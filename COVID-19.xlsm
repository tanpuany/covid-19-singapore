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A647FF45-436C-47ED-83EF-D38B18BE553F}" xr6:coauthVersionLast="31" xr6:coauthVersionMax="31" xr10:uidLastSave="{00000000-0000-0000-0000-000000000000}"/>
  <bookViews>
    <workbookView xWindow="0" yWindow="0" windowWidth="19008" windowHeight="8496" activeTab="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Annex!$A$51</definedName>
    <definedName name="_ftn2" localSheetId="1">Annex!$A$52</definedName>
    <definedName name="_ftn3" localSheetId="1">Annex!$A$53</definedName>
    <definedName name="_ftn4" localSheetId="1">Annex!$A$54</definedName>
    <definedName name="_ftn5" localSheetId="1">Annex!$A$55</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1" i="2" l="1"/>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N191" i="7"/>
  <c r="M191" i="7"/>
  <c r="L191" i="7"/>
  <c r="N190" i="7"/>
  <c r="M190" i="7"/>
  <c r="L190" i="7"/>
  <c r="N189" i="7"/>
  <c r="M189" i="7"/>
  <c r="L189" i="7"/>
  <c r="N188" i="7"/>
  <c r="M188" i="7"/>
  <c r="L188" i="7"/>
  <c r="N187" i="7"/>
  <c r="M187" i="7"/>
  <c r="L187" i="7"/>
  <c r="N186" i="7"/>
  <c r="M186" i="7"/>
  <c r="L186" i="7"/>
  <c r="N185" i="7"/>
  <c r="M185" i="7"/>
  <c r="L185" i="7"/>
  <c r="N184" i="7"/>
  <c r="M184" i="7"/>
  <c r="L184" i="7"/>
  <c r="N183" i="7"/>
  <c r="M183" i="7"/>
  <c r="L183" i="7"/>
  <c r="N182" i="7"/>
  <c r="M182" i="7"/>
  <c r="L182" i="7"/>
  <c r="N181" i="7"/>
  <c r="M181" i="7"/>
  <c r="L181" i="7"/>
  <c r="N180" i="7"/>
  <c r="M180" i="7"/>
  <c r="L180" i="7"/>
  <c r="N179" i="7"/>
  <c r="M179" i="7"/>
  <c r="L179" i="7"/>
  <c r="N178" i="7"/>
  <c r="M178" i="7"/>
  <c r="L178" i="7"/>
  <c r="N177" i="7"/>
  <c r="M177" i="7"/>
  <c r="L177" i="7"/>
  <c r="N176" i="7"/>
  <c r="M176" i="7"/>
  <c r="L176" i="7"/>
  <c r="N175" i="7"/>
  <c r="M175" i="7"/>
  <c r="L175" i="7"/>
  <c r="N174" i="7"/>
  <c r="M174" i="7"/>
  <c r="L174" i="7"/>
  <c r="N173" i="7"/>
  <c r="M173" i="7"/>
  <c r="L173" i="7"/>
  <c r="N172" i="7"/>
  <c r="M172" i="7"/>
  <c r="L172" i="7"/>
  <c r="N171" i="7"/>
  <c r="M171" i="7"/>
  <c r="L171" i="7"/>
  <c r="N170" i="7"/>
  <c r="M170" i="7"/>
  <c r="L170" i="7"/>
  <c r="N169" i="7"/>
  <c r="M169" i="7"/>
  <c r="L169" i="7"/>
  <c r="N168" i="7"/>
  <c r="M168" i="7"/>
  <c r="L168" i="7"/>
  <c r="N167" i="7"/>
  <c r="M167" i="7"/>
  <c r="L167" i="7"/>
  <c r="N166" i="7"/>
  <c r="M166" i="7"/>
  <c r="L166" i="7"/>
  <c r="N165" i="7"/>
  <c r="M165" i="7"/>
  <c r="L165" i="7"/>
  <c r="N164" i="7"/>
  <c r="M164" i="7"/>
  <c r="L164" i="7"/>
  <c r="N163" i="7"/>
  <c r="M163" i="7"/>
  <c r="L163" i="7"/>
  <c r="N162" i="7"/>
  <c r="M162" i="7"/>
  <c r="L162" i="7"/>
  <c r="N161" i="7"/>
  <c r="M161" i="7"/>
  <c r="L161" i="7"/>
  <c r="N160" i="7"/>
  <c r="M160" i="7"/>
  <c r="L160" i="7"/>
  <c r="N159" i="7"/>
  <c r="M159" i="7"/>
  <c r="L159" i="7"/>
  <c r="N158" i="7"/>
  <c r="M158" i="7"/>
  <c r="L158" i="7"/>
  <c r="N157" i="7"/>
  <c r="M157" i="7"/>
  <c r="L157" i="7"/>
  <c r="N156" i="7"/>
  <c r="M156" i="7"/>
  <c r="L156" i="7"/>
  <c r="N155" i="7"/>
  <c r="M155" i="7"/>
  <c r="L155" i="7"/>
  <c r="N154" i="7"/>
  <c r="M154" i="7"/>
  <c r="L154" i="7"/>
  <c r="N153" i="7"/>
  <c r="M153" i="7"/>
  <c r="L153" i="7"/>
  <c r="N152" i="7"/>
  <c r="M152" i="7"/>
  <c r="L152" i="7"/>
  <c r="N151" i="7"/>
  <c r="M151" i="7"/>
  <c r="L151" i="7"/>
  <c r="N150" i="7"/>
  <c r="M150" i="7"/>
  <c r="L150" i="7"/>
  <c r="N149" i="7"/>
  <c r="M149" i="7"/>
  <c r="L149" i="7"/>
  <c r="N148" i="7"/>
  <c r="M148" i="7"/>
  <c r="L148" i="7"/>
  <c r="N147" i="7"/>
  <c r="M147" i="7"/>
  <c r="L147" i="7"/>
  <c r="N146" i="7"/>
  <c r="M146" i="7"/>
  <c r="L146" i="7"/>
  <c r="N145" i="7"/>
  <c r="M145" i="7"/>
  <c r="L145" i="7"/>
  <c r="N144" i="7"/>
  <c r="M144" i="7"/>
  <c r="L144" i="7"/>
  <c r="N143" i="7"/>
  <c r="M143" i="7"/>
  <c r="L143" i="7"/>
  <c r="N142" i="7"/>
  <c r="M142" i="7"/>
  <c r="L142" i="7"/>
  <c r="N141" i="7"/>
  <c r="M141" i="7"/>
  <c r="L141" i="7"/>
  <c r="N140" i="7"/>
  <c r="M140" i="7"/>
  <c r="L140" i="7"/>
  <c r="N139" i="7"/>
  <c r="M139" i="7"/>
  <c r="L139" i="7"/>
  <c r="N138" i="7"/>
  <c r="M138" i="7"/>
  <c r="L138" i="7"/>
  <c r="N137" i="7"/>
  <c r="M137" i="7"/>
  <c r="L137" i="7"/>
  <c r="N136" i="7"/>
  <c r="M136" i="7"/>
  <c r="L136" i="7"/>
  <c r="N135" i="7"/>
  <c r="M135" i="7"/>
  <c r="L135" i="7"/>
  <c r="N134" i="7"/>
  <c r="M134" i="7"/>
  <c r="L134" i="7"/>
  <c r="N133" i="7"/>
  <c r="M133" i="7"/>
  <c r="L133" i="7"/>
  <c r="N132" i="7"/>
  <c r="M132" i="7"/>
  <c r="L132" i="7"/>
  <c r="N131" i="7"/>
  <c r="M131" i="7"/>
  <c r="L131" i="7"/>
  <c r="N130" i="7"/>
  <c r="M130" i="7"/>
  <c r="L130" i="7"/>
  <c r="N129" i="7"/>
  <c r="M129" i="7"/>
  <c r="L129" i="7"/>
  <c r="N128" i="7"/>
  <c r="M128" i="7"/>
  <c r="L128" i="7"/>
  <c r="N127" i="7"/>
  <c r="M127" i="7"/>
  <c r="L127" i="7"/>
  <c r="N126" i="7"/>
  <c r="M126" i="7"/>
  <c r="L126" i="7"/>
  <c r="N125" i="7"/>
  <c r="M125" i="7"/>
  <c r="L125" i="7"/>
  <c r="N124" i="7"/>
  <c r="M124" i="7"/>
  <c r="L124" i="7"/>
  <c r="N123" i="7"/>
  <c r="M123" i="7"/>
  <c r="L123" i="7"/>
  <c r="N122" i="7"/>
  <c r="M122" i="7"/>
  <c r="L122" i="7"/>
  <c r="N121" i="7"/>
  <c r="M121" i="7"/>
  <c r="L121" i="7"/>
  <c r="N120" i="7"/>
  <c r="M120" i="7"/>
  <c r="L120" i="7"/>
  <c r="N119" i="7"/>
  <c r="M119" i="7"/>
  <c r="L119" i="7"/>
  <c r="N118" i="7"/>
  <c r="M118" i="7"/>
  <c r="L118" i="7"/>
  <c r="N117" i="7"/>
  <c r="M117" i="7"/>
  <c r="L117" i="7"/>
  <c r="N116" i="7"/>
  <c r="M116" i="7"/>
  <c r="L116" i="7"/>
  <c r="N115" i="7"/>
  <c r="M115" i="7"/>
  <c r="L115" i="7"/>
  <c r="N114" i="7"/>
  <c r="M114" i="7"/>
  <c r="L114" i="7"/>
  <c r="N113" i="7"/>
  <c r="M113" i="7"/>
  <c r="L113" i="7"/>
  <c r="N112" i="7"/>
  <c r="M112" i="7"/>
  <c r="L112" i="7"/>
  <c r="N111" i="7"/>
  <c r="M111" i="7"/>
  <c r="L111" i="7"/>
  <c r="N110" i="7"/>
  <c r="M110" i="7"/>
  <c r="L110" i="7"/>
  <c r="N109" i="7"/>
  <c r="M109" i="7"/>
  <c r="L109" i="7"/>
  <c r="N108" i="7"/>
  <c r="M108" i="7"/>
  <c r="L108" i="7"/>
  <c r="N107" i="7"/>
  <c r="M107" i="7"/>
  <c r="L107" i="7"/>
  <c r="N106" i="7"/>
  <c r="M106" i="7"/>
  <c r="L106" i="7"/>
  <c r="N105" i="7"/>
  <c r="M105" i="7"/>
  <c r="L105" i="7"/>
  <c r="N104" i="7"/>
  <c r="M104" i="7"/>
  <c r="L104" i="7"/>
  <c r="N103" i="7"/>
  <c r="M103" i="7"/>
  <c r="L103" i="7"/>
  <c r="N102" i="7"/>
  <c r="M102" i="7"/>
  <c r="L102" i="7"/>
  <c r="N101" i="7"/>
  <c r="M101" i="7"/>
  <c r="L101" i="7"/>
  <c r="N100" i="7"/>
  <c r="M100" i="7"/>
  <c r="L100" i="7"/>
  <c r="N99" i="7"/>
  <c r="M99" i="7"/>
  <c r="L99" i="7"/>
  <c r="N98" i="7"/>
  <c r="M98" i="7"/>
  <c r="L98" i="7"/>
  <c r="N97" i="7"/>
  <c r="M97" i="7"/>
  <c r="L97" i="7"/>
  <c r="N96" i="7"/>
  <c r="M96" i="7"/>
  <c r="L96" i="7"/>
  <c r="N95" i="7"/>
  <c r="M95" i="7"/>
  <c r="L95" i="7"/>
  <c r="N94" i="7"/>
  <c r="M94" i="7"/>
  <c r="L94" i="7"/>
  <c r="N93" i="7"/>
  <c r="M93" i="7"/>
  <c r="L93" i="7"/>
  <c r="N92" i="7"/>
  <c r="M92" i="7"/>
  <c r="L92" i="7"/>
  <c r="N91" i="7"/>
  <c r="M91" i="7"/>
  <c r="L91" i="7"/>
  <c r="N90" i="7"/>
  <c r="M90" i="7"/>
  <c r="L90" i="7"/>
  <c r="N89" i="7"/>
  <c r="M89" i="7"/>
  <c r="L89" i="7"/>
  <c r="N88" i="7"/>
  <c r="M88" i="7"/>
  <c r="L88" i="7"/>
  <c r="N87" i="7"/>
  <c r="M87" i="7"/>
  <c r="L87" i="7"/>
  <c r="N86" i="7"/>
  <c r="M86" i="7"/>
  <c r="L86" i="7"/>
  <c r="N85" i="7"/>
  <c r="M85" i="7"/>
  <c r="L85" i="7"/>
  <c r="N84" i="7"/>
  <c r="M84" i="7"/>
  <c r="L84" i="7"/>
  <c r="N83" i="7"/>
  <c r="M83" i="7"/>
  <c r="L83" i="7"/>
  <c r="N82" i="7"/>
  <c r="M82" i="7"/>
  <c r="L82" i="7"/>
  <c r="K191" i="7"/>
  <c r="K190" i="7"/>
  <c r="K189" i="7"/>
  <c r="K188" i="7"/>
  <c r="K187" i="7"/>
  <c r="K186" i="7"/>
  <c r="K185" i="7"/>
  <c r="K184" i="7"/>
  <c r="K183" i="7"/>
  <c r="K182" i="7"/>
  <c r="K181" i="7"/>
  <c r="K180" i="7"/>
  <c r="K179" i="7"/>
  <c r="K178" i="7"/>
  <c r="K177" i="7"/>
  <c r="K176" i="7"/>
  <c r="K175" i="7"/>
  <c r="K174" i="7"/>
  <c r="K173" i="7"/>
  <c r="K172" i="7"/>
  <c r="K171" i="7"/>
  <c r="K170" i="7"/>
  <c r="K169" i="7"/>
  <c r="K168" i="7"/>
  <c r="K167" i="7"/>
  <c r="K166" i="7"/>
  <c r="K165" i="7"/>
  <c r="K164" i="7"/>
  <c r="K163" i="7"/>
  <c r="K162" i="7"/>
  <c r="K161" i="7"/>
  <c r="K160" i="7"/>
  <c r="K159" i="7"/>
  <c r="K158" i="7"/>
  <c r="K157" i="7"/>
  <c r="K156" i="7"/>
  <c r="K155" i="7"/>
  <c r="K154" i="7"/>
  <c r="K153" i="7"/>
  <c r="K152" i="7"/>
  <c r="K151" i="7"/>
  <c r="K150" i="7"/>
  <c r="K149" i="7"/>
  <c r="K148" i="7"/>
  <c r="K147" i="7"/>
  <c r="K146" i="7"/>
  <c r="K145" i="7"/>
  <c r="K144" i="7"/>
  <c r="K143" i="7"/>
  <c r="K142" i="7"/>
  <c r="K141" i="7"/>
  <c r="K140" i="7"/>
  <c r="K139" i="7"/>
  <c r="K138" i="7"/>
  <c r="K137" i="7"/>
  <c r="K136" i="7"/>
  <c r="K135" i="7"/>
  <c r="K134" i="7"/>
  <c r="K133" i="7"/>
  <c r="K132" i="7"/>
  <c r="K131" i="7"/>
  <c r="K130" i="7"/>
  <c r="K129" i="7"/>
  <c r="K128" i="7"/>
  <c r="K127" i="7"/>
  <c r="K126" i="7"/>
  <c r="K125" i="7"/>
  <c r="K124" i="7"/>
  <c r="K123" i="7"/>
  <c r="K122" i="7"/>
  <c r="K121" i="7"/>
  <c r="K120" i="7"/>
  <c r="K119" i="7"/>
  <c r="K118" i="7"/>
  <c r="K117" i="7"/>
  <c r="K116" i="7"/>
  <c r="K115" i="7"/>
  <c r="K114" i="7"/>
  <c r="K113" i="7"/>
  <c r="K112" i="7"/>
  <c r="K111" i="7"/>
  <c r="K110" i="7"/>
  <c r="K109" i="7"/>
  <c r="K108" i="7"/>
  <c r="K107" i="7"/>
  <c r="K106" i="7"/>
  <c r="K105" i="7"/>
  <c r="K104" i="7"/>
  <c r="K103" i="7"/>
  <c r="K102" i="7"/>
  <c r="K101" i="7"/>
  <c r="K100" i="7"/>
  <c r="K99" i="7"/>
  <c r="K98" i="7"/>
  <c r="K97" i="7"/>
  <c r="K96" i="7"/>
  <c r="K95" i="7"/>
  <c r="K94" i="7"/>
  <c r="K93" i="7"/>
  <c r="J191" i="7"/>
  <c r="J190" i="7"/>
  <c r="J189" i="7"/>
  <c r="J188" i="7"/>
  <c r="J187" i="7"/>
  <c r="J186" i="7"/>
  <c r="J185" i="7"/>
  <c r="J184" i="7"/>
  <c r="J183" i="7"/>
  <c r="J182" i="7"/>
  <c r="J181" i="7"/>
  <c r="J180" i="7"/>
  <c r="J179" i="7"/>
  <c r="J178" i="7"/>
  <c r="J177" i="7"/>
  <c r="J176" i="7"/>
  <c r="J175" i="7"/>
  <c r="J174" i="7"/>
  <c r="J173" i="7"/>
  <c r="J172" i="7"/>
  <c r="J171" i="7"/>
  <c r="J170" i="7"/>
  <c r="J169" i="7"/>
  <c r="J168" i="7"/>
  <c r="J167" i="7"/>
  <c r="J166" i="7"/>
  <c r="J165" i="7"/>
  <c r="J164" i="7"/>
  <c r="J163" i="7"/>
  <c r="J162" i="7"/>
  <c r="J161" i="7"/>
  <c r="J160" i="7"/>
  <c r="J159" i="7"/>
  <c r="J158" i="7"/>
  <c r="J157" i="7"/>
  <c r="J156" i="7"/>
  <c r="J155" i="7"/>
  <c r="J154" i="7"/>
  <c r="J153" i="7"/>
  <c r="J152" i="7"/>
  <c r="J151" i="7"/>
  <c r="J150" i="7"/>
  <c r="J149" i="7"/>
  <c r="J148" i="7"/>
  <c r="J147" i="7"/>
  <c r="J146" i="7"/>
  <c r="J145" i="7"/>
  <c r="J144" i="7"/>
  <c r="J143" i="7"/>
  <c r="J142" i="7"/>
  <c r="J141" i="7"/>
  <c r="J140" i="7"/>
  <c r="J139" i="7"/>
  <c r="J138" i="7"/>
  <c r="J137" i="7"/>
  <c r="J136" i="7"/>
  <c r="J135" i="7"/>
  <c r="J134" i="7"/>
  <c r="J133" i="7"/>
  <c r="J132" i="7"/>
  <c r="J131" i="7"/>
  <c r="J130" i="7"/>
  <c r="J129" i="7"/>
  <c r="J128" i="7"/>
  <c r="J127" i="7"/>
  <c r="J126" i="7"/>
  <c r="J125" i="7"/>
  <c r="J124" i="7"/>
  <c r="J123" i="7"/>
  <c r="J122" i="7"/>
  <c r="J121" i="7"/>
  <c r="J120" i="7"/>
  <c r="J119" i="7"/>
  <c r="J118" i="7"/>
  <c r="J117" i="7"/>
  <c r="J116" i="7"/>
  <c r="J115" i="7"/>
  <c r="J114" i="7"/>
  <c r="J113" i="7"/>
  <c r="J112" i="7"/>
  <c r="J111" i="7"/>
  <c r="J110" i="7"/>
  <c r="J109" i="7"/>
  <c r="J108" i="7"/>
  <c r="J107" i="7"/>
  <c r="J106" i="7"/>
  <c r="J105" i="7"/>
  <c r="J104" i="7"/>
  <c r="J103" i="7"/>
  <c r="J102" i="7"/>
  <c r="J101" i="7"/>
  <c r="J100" i="7"/>
  <c r="J99" i="7"/>
  <c r="J98" i="7"/>
  <c r="J97" i="7"/>
  <c r="J96" i="7"/>
  <c r="J95" i="7"/>
  <c r="J94" i="7"/>
  <c r="J93" i="7"/>
  <c r="K92" i="7"/>
  <c r="J92" i="7"/>
  <c r="K91" i="7"/>
  <c r="J91" i="7"/>
  <c r="K90" i="7"/>
  <c r="J90" i="7"/>
  <c r="K89" i="7"/>
  <c r="J89" i="7"/>
  <c r="K88" i="7"/>
  <c r="J88" i="7"/>
  <c r="K87" i="7"/>
  <c r="J87" i="7"/>
  <c r="K86" i="7"/>
  <c r="J86" i="7"/>
  <c r="K85" i="7"/>
  <c r="J85" i="7"/>
  <c r="K84" i="7"/>
  <c r="J84" i="7"/>
  <c r="K83" i="7"/>
  <c r="J83" i="7"/>
  <c r="K82" i="7"/>
  <c r="J82" i="7"/>
  <c r="C60" i="2"/>
  <c r="E60" i="2"/>
  <c r="E59" i="2"/>
  <c r="C59" i="2"/>
  <c r="N81" i="7" l="1"/>
  <c r="M81" i="7"/>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L81" i="7"/>
  <c r="L80" i="7"/>
  <c r="L79" i="7"/>
  <c r="L78" i="7"/>
  <c r="L77" i="7"/>
  <c r="L76" i="7"/>
  <c r="L75" i="7"/>
  <c r="L74" i="7"/>
  <c r="L73" i="7"/>
  <c r="L72" i="7"/>
  <c r="L71" i="7"/>
  <c r="L70" i="7"/>
  <c r="L69" i="7"/>
  <c r="L68" i="7"/>
  <c r="L67" i="7"/>
  <c r="L66" i="7"/>
  <c r="L65" i="7"/>
  <c r="L64" i="7"/>
  <c r="L63" i="7"/>
  <c r="L62" i="7"/>
  <c r="L61" i="7"/>
  <c r="L60" i="7"/>
  <c r="L59" i="7"/>
  <c r="L58" i="7"/>
  <c r="L57" i="7"/>
  <c r="L56" i="7"/>
  <c r="L55" i="7"/>
  <c r="L54" i="7"/>
  <c r="L53" i="7"/>
  <c r="L52" i="7"/>
  <c r="L51" i="7"/>
  <c r="L50" i="7"/>
  <c r="K81"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J81" i="7"/>
  <c r="J80" i="7"/>
  <c r="J79" i="7"/>
  <c r="J78" i="7"/>
  <c r="J77" i="7"/>
  <c r="J76" i="7"/>
  <c r="J75" i="7"/>
  <c r="J74" i="7"/>
  <c r="J73" i="7"/>
  <c r="J72" i="7"/>
  <c r="J71" i="7"/>
  <c r="J70" i="7"/>
  <c r="J69" i="7"/>
  <c r="J68" i="7"/>
  <c r="J67" i="7"/>
  <c r="J66" i="7"/>
  <c r="J65" i="7"/>
  <c r="J64" i="7"/>
  <c r="J63" i="7"/>
  <c r="J62" i="7"/>
  <c r="J61" i="7"/>
  <c r="J60" i="7"/>
  <c r="J59" i="7"/>
  <c r="J58" i="7"/>
  <c r="J57" i="7"/>
  <c r="J56" i="7"/>
  <c r="J55" i="7"/>
  <c r="J54" i="7"/>
  <c r="J53" i="7"/>
  <c r="J52" i="7"/>
  <c r="J51" i="7"/>
  <c r="J50" i="7"/>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<sst xmlns="http://schemas.openxmlformats.org/spreadsheetml/2006/main" count="6385" uniqueCount="1207">
  <si>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</si>
  <si>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</si>
  <si>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</si>
  <si>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</si>
  <si>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</si>
  <si>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</si>
  <si>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</si>
  <si>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</si>
  <si>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</si>
  <si>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</si>
  <si>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</si>
  <si>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</si>
  <si>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</si>
  <si>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</si>
  <si>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</si>
  <si>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</si>
  <si>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</si>
  <si>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</si>
  <si>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</si>
  <si>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</si>
  <si>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</si>
  <si>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</si>
  <si>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</si>
  <si>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</si>
  <si>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</si>
  <si>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</si>
  <si>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</si>
  <si>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</si>
  <si>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</si>
  <si>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</si>
  <si>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</si>
  <si>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</si>
  <si>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</si>
  <si>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</si>
  <si>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</si>
  <si>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</si>
  <si>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</si>
  <si>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</si>
  <si>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</si>
  <si>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</si>
  <si>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</si>
  <si>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</si>
  <si>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</si>
  <si>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</si>
  <si>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</si>
  <si>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</si>
  <si>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</si>
  <si>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</si>
  <si>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</si>
  <si>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</si>
  <si>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</si>
  <si>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</si>
  <si>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</si>
  <si>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</si>
  <si>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</si>
  <si>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</si>
  <si>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</si>
  <si>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</si>
  <si>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</si>
  <si>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</si>
  <si>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</si>
  <si>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</si>
  <si>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</si>
  <si>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</si>
  <si>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</si>
  <si>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</si>
  <si>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</si>
  <si>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</si>
  <si>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</si>
  <si>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</si>
  <si>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</si>
  <si>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</si>
  <si>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</si>
  <si>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</si>
  <si>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</si>
  <si>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</si>
  <si>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</si>
  <si>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</si>
  <si>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</si>
  <si>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</si>
  <si>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</si>
  <si>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</si>
  <si>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</si>
  <si>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</si>
  <si>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</si>
  <si>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</si>
  <si>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</si>
  <si>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</si>
  <si>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</si>
  <si>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</si>
  <si>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</si>
  <si>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</si>
  <si>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</si>
  <si>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</si>
  <si>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</si>
  <si>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</si>
  <si>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</si>
  <si>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</si>
  <si>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</si>
  <si>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</si>
  <si>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</si>
  <si>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</si>
  <si>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</si>
  <si>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</si>
  <si>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</si>
  <si>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</si>
  <si>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</si>
  <si>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</si>
  <si>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</si>
  <si>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</si>
  <si>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</si>
  <si>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</si>
  <si>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</si>
  <si>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</si>
  <si>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</si>
  <si>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</si>
  <si>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</si>
  <si>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</si>
  <si>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</si>
  <si>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</si>
  <si>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</si>
  <si>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</si>
  <si>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</si>
  <si>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</si>
  <si>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</si>
  <si>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</si>
  <si>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</si>
  <si>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</si>
  <si>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</si>
  <si>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</si>
  <si>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</si>
  <si>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</si>
  <si>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</si>
  <si>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</si>
  <si>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</si>
  <si>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</si>
  <si>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</si>
  <si>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</si>
  <si>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</si>
  <si>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</si>
  <si>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</si>
  <si>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</si>
  <si>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</si>
  <si>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</si>
  <si>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</si>
  <si>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</si>
  <si>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</si>
  <si>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</si>
  <si>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</si>
  <si>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</si>
  <si>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</si>
  <si>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</si>
  <si>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</si>
  <si>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</si>
  <si>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</si>
  <si>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</si>
  <si>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</si>
  <si>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</si>
  <si>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</si>
  <si>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</si>
  <si>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</si>
  <si>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</si>
  <si>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</si>
  <si>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</si>
  <si>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</si>
  <si>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</si>
  <si>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</si>
  <si>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</si>
  <si>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</si>
  <si>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</si>
  <si>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</si>
  <si>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</si>
  <si>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</si>
  <si>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</si>
  <si>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</si>
  <si>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</si>
  <si>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</si>
  <si>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</si>
  <si>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</si>
  <si>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</si>
  <si>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</si>
  <si>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</si>
  <si>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</si>
  <si>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</si>
  <si>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</si>
  <si>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</si>
  <si>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</si>
  <si>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</si>
  <si>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</si>
  <si>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</si>
  <si>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</si>
  <si>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</si>
  <si>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</si>
  <si>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</si>
  <si>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</si>
  <si>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</si>
  <si>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</si>
  <si>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</si>
  <si>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</si>
  <si>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</si>
  <si>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</si>
  <si>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</si>
  <si>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</si>
  <si>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</si>
  <si>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</si>
  <si>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</si>
  <si>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</si>
  <si>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</si>
  <si>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</si>
  <si>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</si>
  <si>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</si>
  <si>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</si>
  <si>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</si>
  <si>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</si>
  <si>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</si>
  <si>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</si>
  <si>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</si>
  <si>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</si>
  <si>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</si>
  <si>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</si>
  <si>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</si>
  <si>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</si>
  <si>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</si>
  <si>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</si>
  <si>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</si>
  <si>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</si>
  <si>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</si>
  <si>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</si>
  <si>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</si>
  <si>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</si>
  <si>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</si>
  <si>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</si>
  <si>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</si>
  <si>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</si>
  <si>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</si>
  <si>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</si>
  <si>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</si>
  <si>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</si>
  <si>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</si>
  <si>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</si>
  <si>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</si>
  <si>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</si>
  <si>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</si>
  <si>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</si>
  <si>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</si>
  <si>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</si>
  <si>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</si>
  <si>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</si>
  <si>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</si>
  <si>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</si>
  <si>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</si>
  <si>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</si>
  <si>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</si>
  <si>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</si>
  <si>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</si>
  <si>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</si>
  <si>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</si>
  <si>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</si>
  <si>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</si>
  <si>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</si>
  <si>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</si>
  <si>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</si>
  <si>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</si>
  <si>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</si>
  <si>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</si>
  <si>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</si>
  <si>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</si>
  <si>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</si>
  <si>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</si>
  <si>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</si>
  <si>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</si>
  <si>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</si>
  <si>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</si>
  <si>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</si>
  <si>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</si>
  <si>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</si>
  <si>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</si>
  <si>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</si>
  <si>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</si>
  <si>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</si>
  <si>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</si>
  <si>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</si>
  <si>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</si>
  <si>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</si>
  <si>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</si>
  <si>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</si>
  <si>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</si>
  <si>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</si>
  <si>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</si>
  <si>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</si>
  <si>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</si>
  <si>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</si>
  <si>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</si>
  <si>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</si>
  <si>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</si>
  <si>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</si>
  <si>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</si>
  <si>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</si>
  <si>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</si>
  <si>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</si>
  <si>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</si>
  <si>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</si>
  <si>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</si>
  <si>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</si>
  <si>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</si>
  <si>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</si>
  <si>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</si>
  <si>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</si>
  <si>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</si>
  <si>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</si>
  <si>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</si>
  <si>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</si>
  <si>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</si>
  <si>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</si>
  <si>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</si>
  <si>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</si>
  <si>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</si>
  <si>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</si>
  <si>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</si>
  <si>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</si>
  <si>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</si>
  <si>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</si>
  <si>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</si>
  <si>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</si>
  <si>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</si>
  <si>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</si>
  <si>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</si>
  <si>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</si>
  <si>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</si>
  <si>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</si>
  <si>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</si>
  <si>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</si>
  <si>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</si>
  <si>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</si>
  <si>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</si>
  <si>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</si>
  <si>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</si>
  <si>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</si>
  <si>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</si>
  <si>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</si>
  <si>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</si>
  <si>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</si>
  <si>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</si>
  <si>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</si>
  <si>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</si>
  <si>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</si>
  <si>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</si>
  <si>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</si>
  <si>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</si>
  <si>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</si>
  <si>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</si>
  <si>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</si>
  <si>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</si>
  <si>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</si>
  <si>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</si>
  <si>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</si>
  <si>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</si>
  <si>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</si>
  <si>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</si>
  <si>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</si>
  <si>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</si>
  <si>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</si>
  <si>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</si>
  <si>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</si>
  <si>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</si>
  <si>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</si>
  <si>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</si>
  <si>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</si>
  <si>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</si>
  <si>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</si>
  <si>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</si>
  <si>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</si>
  <si>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</si>
  <si>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</si>
  <si>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</si>
  <si>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</si>
  <si>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</si>
  <si>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</si>
  <si>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</si>
  <si>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</si>
  <si>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</si>
  <si>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</si>
  <si>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</si>
  <si>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</si>
  <si>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</si>
  <si>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</si>
  <si>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</si>
  <si>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</si>
  <si>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</si>
  <si>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</si>
  <si>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</si>
  <si>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</si>
  <si>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</si>
  <si>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</si>
  <si>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</si>
  <si>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</si>
  <si>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</si>
  <si>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</si>
  <si>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</si>
  <si>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</si>
  <si>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</si>
  <si>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</si>
  <si>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</si>
  <si>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</si>
  <si>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</si>
  <si>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</si>
  <si>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</si>
  <si>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</si>
  <si>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</si>
  <si>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</si>
  <si>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</si>
  <si>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</si>
  <si>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</si>
  <si>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</si>
  <si>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</si>
  <si>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</si>
  <si>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</si>
  <si>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</si>
  <si>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</si>
  <si>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</si>
  <si>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</si>
  <si>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</si>
  <si>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</si>
  <si>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</si>
  <si>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</si>
  <si>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</si>
  <si>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</si>
  <si>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</si>
  <si>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</si>
  <si>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</si>
  <si>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</si>
  <si>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</si>
  <si>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</si>
  <si>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</si>
  <si>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</si>
  <si>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</si>
  <si>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</si>
  <si>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</si>
  <si>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</si>
  <si>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</si>
  <si>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</si>
  <si>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</si>
  <si>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</si>
  <si>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</si>
  <si>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</si>
  <si>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</si>
  <si>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</si>
  <si>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</si>
  <si>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</si>
  <si>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</si>
  <si>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</si>
  <si>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</si>
  <si>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</si>
  <si>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</si>
  <si>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</si>
  <si>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</si>
  <si>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</si>
  <si>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</si>
  <si>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</si>
  <si>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</si>
  <si>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</si>
  <si>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</si>
  <si>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</si>
  <si>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</si>
  <si>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</si>
  <si>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</si>
  <si>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</si>
  <si>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</si>
  <si>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</si>
  <si>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</si>
  <si>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</si>
  <si>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</si>
  <si>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</si>
  <si>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</si>
  <si>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</si>
  <si>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</si>
  <si>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</si>
  <si>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</si>
  <si>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</si>
  <si>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</si>
  <si>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</si>
  <si>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</si>
  <si>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</si>
  <si>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</si>
  <si>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</si>
  <si>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</si>
  <si>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</si>
  <si>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</si>
  <si>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</si>
  <si>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</si>
  <si>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</si>
  <si>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</si>
  <si>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</si>
  <si>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</si>
  <si>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</si>
  <si>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</si>
  <si>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</si>
  <si>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</si>
  <si>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</si>
  <si>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</si>
  <si>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</si>
  <si>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</si>
  <si>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</si>
  <si>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</si>
  <si>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</si>
  <si>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</si>
  <si>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</si>
  <si>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</si>
  <si>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</si>
  <si>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</si>
  <si>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</si>
  <si>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</si>
  <si>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</si>
  <si>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</si>
  <si>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</si>
  <si>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</si>
  <si>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</si>
  <si>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</si>
  <si>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</si>
  <si>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</si>
  <si>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</si>
  <si>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</si>
  <si>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</si>
  <si>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</si>
  <si>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</si>
  <si>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</si>
  <si>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</si>
  <si>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</si>
  <si>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</si>
  <si>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</si>
  <si>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</si>
  <si>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</si>
  <si>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</si>
  <si>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</si>
  <si>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</si>
  <si>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</si>
  <si>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</si>
  <si>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</si>
  <si>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</si>
  <si>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</si>
  <si>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</si>
  <si>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</si>
  <si>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</si>
  <si>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</si>
  <si>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</si>
  <si>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</si>
  <si>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</si>
  <si>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</si>
  <si>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</si>
  <si>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</si>
  <si>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</si>
  <si>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</si>
  <si>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</si>
  <si>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</si>
  <si>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</si>
  <si>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</si>
  <si>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</si>
  <si>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</si>
  <si>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</si>
  <si>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</si>
  <si>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</si>
  <si>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</si>
  <si>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</si>
  <si>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</si>
  <si>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</si>
  <si>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</si>
  <si>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</si>
  <si>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</si>
  <si>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</si>
  <si>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</si>
  <si>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</si>
  <si>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</si>
  <si>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</si>
  <si>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</si>
  <si>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</si>
  <si>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</si>
  <si>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</si>
  <si>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</si>
  <si>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</si>
  <si>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</si>
  <si>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</si>
  <si>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</si>
  <si>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</si>
  <si>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</si>
  <si>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</si>
  <si>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</si>
  <si>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</si>
  <si>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</si>
  <si>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</si>
  <si>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</si>
  <si>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</si>
  <si>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</si>
  <si>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</si>
  <si>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</si>
  <si>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</si>
  <si>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</si>
  <si>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</si>
  <si>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</si>
  <si>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</si>
  <si>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</si>
  <si>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</si>
  <si>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</si>
  <si>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</si>
  <si>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</si>
  <si>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</si>
  <si>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</si>
  <si>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</si>
  <si>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</si>
  <si>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</si>
  <si>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</si>
  <si>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</si>
  <si>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</si>
  <si>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</si>
  <si>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</si>
  <si>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</si>
  <si>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</si>
  <si>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</si>
  <si>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</si>
  <si>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</si>
  <si>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</si>
  <si>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</si>
  <si>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</si>
  <si>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</si>
  <si>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</si>
  <si>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</si>
  <si>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</si>
  <si>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</si>
  <si>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</si>
  <si>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</si>
  <si>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</si>
  <si>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</si>
  <si>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</si>
  <si>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</si>
  <si>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</si>
  <si>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</si>
  <si>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</si>
  <si>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</si>
  <si>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</si>
  <si>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</si>
  <si>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</si>
  <si>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</si>
  <si>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</si>
  <si>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</si>
  <si>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</si>
  <si>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</si>
  <si>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</si>
  <si>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</si>
  <si>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</si>
  <si>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</si>
  <si>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</si>
  <si>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</si>
  <si>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</si>
  <si>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</si>
  <si>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</si>
  <si>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</si>
  <si>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</si>
  <si>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</si>
  <si>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</si>
  <si>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</si>
  <si>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</si>
  <si>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</si>
  <si>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</si>
  <si>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</si>
  <si>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</si>
  <si>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</si>
  <si>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</si>
  <si>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</si>
  <si>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</si>
  <si>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</si>
  <si>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</si>
  <si>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</si>
  <si>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</si>
  <si>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</si>
  <si>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</si>
  <si>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</si>
  <si>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</si>
  <si>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</si>
  <si>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</si>
  <si>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</si>
  <si>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</si>
  <si>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</si>
  <si>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</si>
  <si>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</si>
  <si>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</si>
  <si>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</si>
  <si>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</si>
  <si>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</si>
  <si>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</si>
  <si>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</si>
  <si>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</si>
  <si>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</si>
  <si>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</si>
  <si>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</si>
  <si>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</si>
  <si>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</si>
  <si>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</si>
  <si>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</si>
  <si>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</si>
  <si>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</si>
  <si>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</si>
  <si>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</si>
  <si>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</si>
  <si>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</si>
  <si>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</si>
  <si>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</si>
  <si>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</si>
  <si>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</si>
  <si>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</si>
  <si>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</si>
  <si>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</si>
  <si>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</si>
  <si>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</si>
  <si>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</si>
  <si>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</si>
  <si>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</si>
  <si>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</si>
  <si>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</si>
  <si>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</si>
  <si>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</si>
  <si>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</si>
  <si>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</si>
  <si>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</si>
  <si>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</si>
  <si>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</si>
  <si>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</si>
  <si>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</si>
  <si>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</si>
  <si>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</si>
  <si>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</si>
  <si>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</si>
  <si>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</si>
  <si>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</si>
  <si>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</si>
  <si>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</si>
  <si>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</si>
  <si>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</si>
  <si>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</si>
  <si>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</si>
  <si>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</si>
  <si>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</si>
  <si>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</si>
  <si>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</si>
  <si>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</si>
  <si>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</si>
  <si>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</si>
  <si>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</si>
  <si>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</si>
  <si>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</si>
  <si>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</si>
  <si>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</si>
  <si>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</si>
  <si>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</si>
  <si>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</si>
  <si>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</si>
  <si>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</si>
  <si>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</si>
  <si>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</si>
  <si>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</si>
  <si>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</si>
  <si>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</si>
  <si>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</si>
  <si>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</si>
  <si>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</si>
  <si>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</si>
  <si>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</si>
  <si>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</si>
  <si>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</si>
  <si>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</si>
  <si>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</si>
  <si>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</si>
  <si>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</si>
  <si>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</si>
  <si>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</si>
  <si>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</si>
  <si>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</si>
  <si>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</si>
  <si>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</si>
  <si>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</si>
  <si>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</si>
  <si>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</si>
  <si>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</si>
  <si>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</si>
  <si>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</si>
  <si>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</si>
  <si>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</si>
  <si>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</si>
  <si>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</si>
  <si>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</si>
  <si>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</si>
  <si>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</si>
  <si>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</si>
  <si>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</si>
  <si>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</si>
  <si>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</si>
  <si>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</si>
  <si>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</si>
  <si>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</si>
  <si>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</si>
  <si>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</si>
  <si>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</si>
  <si>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</si>
  <si>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</si>
  <si>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</si>
  <si>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</si>
  <si>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</si>
  <si>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</si>
  <si>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</si>
  <si>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</si>
  <si>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</si>
  <si>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</si>
  <si>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</si>
  <si>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</si>
  <si>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</si>
  <si>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</si>
  <si>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</si>
  <si>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</si>
  <si>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</si>
  <si>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</si>
  <si>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</si>
  <si>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</si>
  <si>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</si>
  <si>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</si>
  <si>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</si>
  <si>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</si>
  <si>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</si>
  <si>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</si>
  <si>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</si>
  <si>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</si>
  <si>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</si>
  <si>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</si>
  <si>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</si>
  <si>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</si>
  <si>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</si>
  <si>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</si>
  <si>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</si>
  <si>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</si>
  <si>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</si>
  <si>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</si>
  <si>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</si>
  <si>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</si>
  <si>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</si>
  <si>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</si>
  <si>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</si>
  <si>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</si>
  <si>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</si>
  <si>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</si>
  <si>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</si>
  <si>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</si>
  <si>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</si>
  <si>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</si>
  <si>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</si>
  <si>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</si>
  <si>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</si>
  <si>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</si>
  <si>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</si>
  <si>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</si>
  <si>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</si>
  <si>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</si>
  <si>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</si>
  <si>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</si>
  <si>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</si>
  <si>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</si>
  <si>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</si>
  <si>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</si>
  <si>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</si>
  <si>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</si>
  <si>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</si>
  <si>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</si>
  <si>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</si>
  <si>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</si>
  <si>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</si>
  <si>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</si>
  <si>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</si>
  <si>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</si>
  <si>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</si>
  <si>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</si>
  <si>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</si>
  <si>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</si>
  <si>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</si>
  <si>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</si>
  <si>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</si>
  <si>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</si>
  <si>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</si>
  <si>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</si>
  <si>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</si>
  <si>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</si>
  <si>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</si>
  <si>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</si>
  <si>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</si>
  <si>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</si>
  <si>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</si>
  <si>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</si>
  <si>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</si>
  <si>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</si>
  <si>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</si>
  <si>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</si>
  <si>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</si>
  <si>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</si>
  <si>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</si>
  <si>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</si>
  <si>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</si>
  <si>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</si>
  <si>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</si>
  <si>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</si>
  <si>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</si>
  <si>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</si>
  <si>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</si>
  <si>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</si>
  <si>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</si>
  <si>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</si>
  <si>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</si>
  <si>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</si>
  <si>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</si>
  <si>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</si>
  <si>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</si>
  <si>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</si>
  <si>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</si>
  <si>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</si>
  <si>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</si>
  <si>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</si>
  <si>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</si>
  <si>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</si>
  <si>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</si>
  <si>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</si>
  <si>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</si>
  <si>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</si>
  <si>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</si>
  <si>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</si>
  <si>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</si>
  <si>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</si>
  <si>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</si>
  <si>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</si>
  <si>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</si>
  <si>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</si>
  <si>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</si>
  <si>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</si>
  <si>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</si>
  <si>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</si>
  <si>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</si>
  <si>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</si>
  <si>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</si>
  <si>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</si>
  <si>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</si>
  <si>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</si>
  <si>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</si>
  <si>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</si>
  <si>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</si>
  <si>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</si>
  <si>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</si>
  <si>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</si>
  <si>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</si>
  <si>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</si>
  <si>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</si>
  <si>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</si>
  <si>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</si>
  <si>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</si>
  <si>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</si>
  <si>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</si>
  <si>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</si>
  <si>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</si>
  <si>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</si>
  <si>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</si>
  <si>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</si>
  <si>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</si>
  <si>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</si>
  <si>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</si>
  <si>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</si>
  <si>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</si>
  <si>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</si>
  <si>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</si>
  <si>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</si>
  <si>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</si>
  <si>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</si>
  <si>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</si>
  <si>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</si>
  <si>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</si>
  <si>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</si>
  <si>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</si>
  <si>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</si>
  <si>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</si>
  <si>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</si>
  <si>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</si>
  <si>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</si>
  <si>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</si>
  <si>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</si>
  <si>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</si>
  <si>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</si>
  <si>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</si>
  <si>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</si>
  <si>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</si>
  <si>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</si>
  <si>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</si>
  <si>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</si>
  <si>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</si>
  <si>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</si>
  <si>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</si>
  <si>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</si>
  <si>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</si>
  <si>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</si>
  <si>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</si>
  <si>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</si>
  <si>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</si>
  <si>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</si>
  <si>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</si>
  <si>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</si>
  <si>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</si>
  <si>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</si>
  <si>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</si>
  <si>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</si>
  <si>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</si>
  <si>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</si>
  <si>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</si>
  <si>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</si>
  <si>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</si>
  <si>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</si>
  <si>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</si>
  <si>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</si>
  <si>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</si>
  <si>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</si>
  <si>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</si>
  <si>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</si>
  <si>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</si>
  <si>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</si>
  <si>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</si>
  <si>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</si>
  <si>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</si>
  <si>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</si>
  <si>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</si>
  <si>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</si>
  <si>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</si>
  <si>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</si>
  <si>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</si>
  <si>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</si>
  <si>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</si>
  <si>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</si>
  <si>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</si>
  <si>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</si>
  <si>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</si>
  <si>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</si>
  <si>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</si>
  <si>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</si>
  <si>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</si>
  <si>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</si>
  <si>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</si>
  <si>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</si>
  <si>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</si>
  <si>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</si>
  <si>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</si>
  <si>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</si>
  <si>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</si>
  <si>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</si>
  <si>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</si>
  <si>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</si>
  <si>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</si>
  <si>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</si>
  <si>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</si>
  <si>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</si>
  <si>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</si>
  <si>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</si>
  <si>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</si>
  <si>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</si>
  <si>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</si>
  <si>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</si>
  <si>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</si>
  <si>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</si>
  <si>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</si>
  <si>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</si>
  <si>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</si>
  <si>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</si>
  <si>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</si>
  <si>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</si>
  <si>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</si>
  <si>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</si>
  <si>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</si>
  <si>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</si>
  <si>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</si>
  <si>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</si>
  <si>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</si>
  <si>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</si>
  <si>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</si>
  <si>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</si>
  <si>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</si>
  <si>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</si>
  <si>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</si>
  <si>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</si>
  <si>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</si>
  <si>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</si>
  <si>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</si>
  <si>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</si>
  <si>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</si>
  <si>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</si>
  <si>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</si>
  <si>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</si>
  <si>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</si>
  <si>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</si>
  <si>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</si>
  <si>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</si>
  <si>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</si>
  <si>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</si>
  <si>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</si>
  <si>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</si>
  <si>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</si>
  <si>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</si>
  <si>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</si>
  <si>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</si>
  <si>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</si>
  <si>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</si>
  <si>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</si>
  <si>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</si>
  <si>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</si>
  <si>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</si>
  <si>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</si>
  <si>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</si>
  <si>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</si>
  <si>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</si>
  <si>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</si>
  <si>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</si>
  <si>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</si>
  <si>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</si>
  <si>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</si>
  <si>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</si>
  <si>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</si>
  <si>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</si>
  <si>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</si>
  <si>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</si>
  <si>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</si>
  <si>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</si>
  <si>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</si>
  <si>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</si>
  <si>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</si>
  <si>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</si>
  <si>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</si>
  <si>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</si>
  <si>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</si>
  <si>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</si>
  <si>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</si>
  <si>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</si>
  <si>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</si>
  <si>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</si>
  <si>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</si>
  <si>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</si>
  <si>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</si>
  <si>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</si>
  <si>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</si>
  <si>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</si>
  <si>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</si>
  <si>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</si>
  <si>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</si>
  <si>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</si>
  <si>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</si>
  <si>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</si>
  <si>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</si>
  <si>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</si>
  <si>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</si>
  <si>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</si>
  <si>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</si>
  <si>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</si>
  <si>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</si>
  <si>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</si>
  <si>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</si>
  <si>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</si>
  <si>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</si>
  <si>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</si>
  <si>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</si>
  <si>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</si>
  <si>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</si>
  <si>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</si>
  <si>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</si>
  <si>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</si>
  <si>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</si>
  <si>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</si>
  <si>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</si>
  <si>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</si>
  <si>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</si>
  <si>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</si>
  <si>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</si>
  <si>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</si>
  <si>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unlinked</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</si>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</sst>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4">
    <fill>
      <patternFill patternType="none"/>
    </fill>
    <fill>
      <patternFill patternType="gray125"/>
    </fill>
    <fill>
      <patternFill patternType="solid">
        <fgColor rgb="FFFF0000"/>
        <bgColor indexed="64"/>
      </patternFill>
    </fill>
    <fill>
      <patternFill patternType="solid">
        <fgColor rgb="FFFFE5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32">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456"/>
  <sheetViews>
    <sheetView workbookViewId="0"/>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8"/>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8"/>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8"/>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8"/>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18"/>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8"/>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8"/>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8"/>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8"/>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8"/>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8"/>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8"/>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1"/>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1"/>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1"/>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1"/>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1"/>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1"/>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1"/>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1"/>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1"/>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1"/>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1"/>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1"/>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1"/>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1"/>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1"/>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1"/>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1"/>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1"/>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1"/>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1"/>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1"/>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1"/>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1"/>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1"/>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1"/>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1"/>
      <c r="I346" s="1"/>
      <c r="J346" s="1"/>
      <c r="K346" s="1"/>
      <c r="L346" s="1" t="s">
        <v>1071</v>
      </c>
      <c r="M346" s="5" t="s">
        <v>1128</v>
      </c>
    </row>
    <row r="347" spans="1:13" ht="13.8" customHeight="1" x14ac:dyDescent="0.3">
      <c r="A347" s="6">
        <v>346</v>
      </c>
      <c r="B347" s="6" t="s">
        <v>77</v>
      </c>
      <c r="C347" s="1" t="str">
        <f>Annex!J82</f>
        <v>Male</v>
      </c>
      <c r="D347" s="1">
        <f>Annex!D82</f>
        <v>59</v>
      </c>
      <c r="E347" s="1" t="str">
        <f>Annex!K82</f>
        <v>Singaporean</v>
      </c>
      <c r="F347" s="1" t="str">
        <f>Annex!L82</f>
        <v xml:space="preserve">Case 346 is a Imported case, 59 years old male Singapore Citizen  and has been to India . He is currently admitted at KTPH . </v>
      </c>
      <c r="G347" s="2">
        <v>43910</v>
      </c>
      <c r="H347" s="1"/>
      <c r="I347" s="1"/>
      <c r="J347" s="1"/>
      <c r="K347" s="1"/>
      <c r="L347" s="1" t="str">
        <f>Annex!C82</f>
        <v xml:space="preserve">KTPH </v>
      </c>
      <c r="M347" s="5" t="s">
        <v>1130</v>
      </c>
    </row>
    <row r="348" spans="1:13" ht="13.8" customHeight="1" x14ac:dyDescent="0.3">
      <c r="A348" s="6">
        <v>347</v>
      </c>
      <c r="B348" s="6" t="s">
        <v>77</v>
      </c>
      <c r="C348" s="1" t="str">
        <f>Annex!J83</f>
        <v>Male</v>
      </c>
      <c r="D348" s="1">
        <f>Annex!D83</f>
        <v>27</v>
      </c>
      <c r="E348" s="1" t="str">
        <f>Annex!K83</f>
        <v>Singaporean</v>
      </c>
      <c r="F348" s="1" t="str">
        <f>Annex!L83</f>
        <v xml:space="preserve">Case 347 is a Imported case, 27 years old male Singapore Citizen  and has been to UK . He is currently admitted at KTPH . </v>
      </c>
      <c r="G348" s="2">
        <v>43910</v>
      </c>
      <c r="H348" s="1"/>
      <c r="I348" s="1"/>
      <c r="J348" s="1"/>
      <c r="K348" s="1"/>
      <c r="L348" s="1" t="str">
        <f>Annex!C83</f>
        <v xml:space="preserve">KTPH </v>
      </c>
      <c r="M348" s="5" t="s">
        <v>1130</v>
      </c>
    </row>
    <row r="349" spans="1:13" ht="13.8" customHeight="1" x14ac:dyDescent="0.3">
      <c r="A349" s="6">
        <v>348</v>
      </c>
      <c r="B349" s="6" t="s">
        <v>78</v>
      </c>
      <c r="C349" s="1" t="str">
        <f>Annex!J84</f>
        <v>Female</v>
      </c>
      <c r="D349" s="1">
        <f>Annex!D84</f>
        <v>51</v>
      </c>
      <c r="E349" s="1" t="str">
        <f>Annex!K84</f>
        <v>Singaporean</v>
      </c>
      <c r="F349" s="1" t="str">
        <f>Annex!L84</f>
        <v>Case 348 is a Local linked  case, 51 years old female Singapore Citizen  and has not been overseas. She is currently admitted at NUH . Family member of Case 227</v>
      </c>
      <c r="G349" s="2">
        <v>43910</v>
      </c>
      <c r="H349" s="1"/>
      <c r="I349" s="1"/>
      <c r="J349" s="1"/>
      <c r="K349" s="1"/>
      <c r="L349" s="1" t="str">
        <f>Annex!C84</f>
        <v xml:space="preserve">NUH </v>
      </c>
      <c r="M349" s="5" t="s">
        <v>1130</v>
      </c>
    </row>
    <row r="350" spans="1:13" ht="13.8" customHeight="1" x14ac:dyDescent="0.3">
      <c r="A350" s="6">
        <v>349</v>
      </c>
      <c r="B350" s="6" t="s">
        <v>77</v>
      </c>
      <c r="C350" s="1" t="str">
        <f>Annex!J85</f>
        <v>Male</v>
      </c>
      <c r="D350" s="1">
        <f>Annex!D85</f>
        <v>21</v>
      </c>
      <c r="E350" s="1" t="str">
        <f>Annex!K85</f>
        <v>Singaporean</v>
      </c>
      <c r="F350" s="1" t="str">
        <f>Annex!L85</f>
        <v xml:space="preserve">Case 349 is a Imported case, 21 years old male Singapore Citizen  and has been to UK . He is currently admitted at CGH. </v>
      </c>
      <c r="G350" s="2">
        <v>43910</v>
      </c>
      <c r="H350" s="1"/>
      <c r="I350" s="1"/>
      <c r="J350" s="1"/>
      <c r="K350" s="1"/>
      <c r="L350" s="1" t="str">
        <f>Annex!C85</f>
        <v>CGH</v>
      </c>
      <c r="M350" s="5" t="s">
        <v>1130</v>
      </c>
    </row>
    <row r="351" spans="1:13" ht="13.8" customHeight="1" x14ac:dyDescent="0.3">
      <c r="A351" s="6">
        <v>350</v>
      </c>
      <c r="B351" s="6" t="s">
        <v>78</v>
      </c>
      <c r="C351" s="1" t="str">
        <f>Annex!J86</f>
        <v>Male</v>
      </c>
      <c r="D351" s="1">
        <f>Annex!D86</f>
        <v>61</v>
      </c>
      <c r="E351" s="1" t="str">
        <f>Annex!K86</f>
        <v>Singaporean</v>
      </c>
      <c r="F351" s="1" t="str">
        <f>Annex!L86</f>
        <v xml:space="preserve">Case 350 is a Local unlinked case, 61 years old male Singapore Citizen  and has not been overseas. He is currently admitted at CGH . </v>
      </c>
      <c r="G351" s="2">
        <v>43910</v>
      </c>
      <c r="H351" s="1"/>
      <c r="I351" s="1"/>
      <c r="J351" s="1"/>
      <c r="K351" s="1"/>
      <c r="L351" s="1" t="str">
        <f>Annex!C86</f>
        <v xml:space="preserve">CGH </v>
      </c>
      <c r="M351" s="5" t="s">
        <v>1130</v>
      </c>
    </row>
    <row r="352" spans="1:13" ht="13.8" customHeight="1" x14ac:dyDescent="0.3">
      <c r="A352" s="6">
        <v>351</v>
      </c>
      <c r="B352" s="6" t="s">
        <v>77</v>
      </c>
      <c r="C352" s="1" t="str">
        <f>Annex!J87</f>
        <v>Male</v>
      </c>
      <c r="D352" s="1">
        <f>Annex!D87</f>
        <v>51</v>
      </c>
      <c r="E352" s="1" t="str">
        <f>Annex!K87</f>
        <v>Singaporean</v>
      </c>
      <c r="F352" s="1" t="str">
        <f>Annex!L87</f>
        <v xml:space="preserve">Case 351 is a Imported case, 51 years old male Singapore Citizen  and has been to Indonesia . He is currently admitted at SKH. </v>
      </c>
      <c r="G352" s="2">
        <v>43910</v>
      </c>
      <c r="H352" s="1"/>
      <c r="I352" s="1"/>
      <c r="J352" s="1"/>
      <c r="K352" s="1"/>
      <c r="L352" s="1" t="str">
        <f>Annex!C87</f>
        <v>SKH</v>
      </c>
      <c r="M352" s="5" t="s">
        <v>1130</v>
      </c>
    </row>
    <row r="353" spans="1:13" ht="13.8" customHeight="1" x14ac:dyDescent="0.3">
      <c r="A353" s="6">
        <v>352</v>
      </c>
      <c r="B353" s="6" t="s">
        <v>77</v>
      </c>
      <c r="C353" s="1" t="str">
        <f>Annex!J88</f>
        <v>Male</v>
      </c>
      <c r="D353" s="1">
        <f>Annex!D88</f>
        <v>43</v>
      </c>
      <c r="E353" s="1" t="str">
        <f>Annex!K88</f>
        <v>Singaporean</v>
      </c>
      <c r="F353" s="1" t="str">
        <f>Annex!L88</f>
        <v xml:space="preserve">Case 352 is a Imported case, 43 years old male Singapore Citizen  and has been to Moscow, Russia, Copenhagen, Denmark. He is currently admitted at SGH. </v>
      </c>
      <c r="G353" s="2">
        <v>43910</v>
      </c>
      <c r="H353" s="1"/>
      <c r="I353" s="1"/>
      <c r="J353" s="1"/>
      <c r="K353" s="1"/>
      <c r="L353" s="1" t="str">
        <f>Annex!C88</f>
        <v>SGH</v>
      </c>
      <c r="M353" s="5" t="s">
        <v>1130</v>
      </c>
    </row>
    <row r="354" spans="1:13" ht="13.8" customHeight="1" x14ac:dyDescent="0.3">
      <c r="A354" s="6">
        <v>353</v>
      </c>
      <c r="B354" s="6" t="s">
        <v>78</v>
      </c>
      <c r="C354" s="1" t="str">
        <f>Annex!J89</f>
        <v>Male</v>
      </c>
      <c r="D354" s="1">
        <f>Annex!D89</f>
        <v>23</v>
      </c>
      <c r="E354" s="1" t="str">
        <f>Annex!K89</f>
        <v>Singaporean</v>
      </c>
      <c r="F354" s="1" t="str">
        <f>Annex!L89</f>
        <v>Case 353 is a Local linked  case, 23 years old male Singapore Citizen  and has not been overseas. He is currently admitted at NCID. Contact of Case 177</v>
      </c>
      <c r="G354" s="2">
        <v>43910</v>
      </c>
      <c r="H354" s="1"/>
      <c r="I354" s="1"/>
      <c r="J354" s="1"/>
      <c r="K354" s="1"/>
      <c r="L354" s="1" t="str">
        <f>Annex!C89</f>
        <v>NCID</v>
      </c>
      <c r="M354" s="5" t="s">
        <v>1130</v>
      </c>
    </row>
    <row r="355" spans="1:13" ht="13.8" customHeight="1" x14ac:dyDescent="0.3">
      <c r="A355" s="6">
        <v>354</v>
      </c>
      <c r="B355" s="6" t="s">
        <v>77</v>
      </c>
      <c r="C355" s="1" t="str">
        <f>Annex!J90</f>
        <v>Male</v>
      </c>
      <c r="D355" s="1">
        <f>Annex!D90</f>
        <v>59</v>
      </c>
      <c r="E355" s="1" t="str">
        <f>Annex!K90</f>
        <v>Singaporean</v>
      </c>
      <c r="F355" s="1" t="str">
        <f>Annex!L90</f>
        <v>Case 354 is a Imported  case, 59 years old male Singapore Citizen  and has been to UK . He is currently admitted at SGH . Contact of Case 265</v>
      </c>
      <c r="G355" s="2">
        <v>43910</v>
      </c>
      <c r="H355" s="1"/>
      <c r="I355" s="1"/>
      <c r="J355" s="1"/>
      <c r="K355" s="1"/>
      <c r="L355" s="1" t="str">
        <f>Annex!C90</f>
        <v xml:space="preserve">SGH </v>
      </c>
      <c r="M355" s="5" t="s">
        <v>1130</v>
      </c>
    </row>
    <row r="356" spans="1:13" ht="13.8" customHeight="1" x14ac:dyDescent="0.3">
      <c r="A356" s="6">
        <v>355</v>
      </c>
      <c r="B356" s="6" t="s">
        <v>77</v>
      </c>
      <c r="C356" s="1" t="str">
        <f>Annex!J91</f>
        <v>Male</v>
      </c>
      <c r="D356" s="1">
        <f>Annex!D91</f>
        <v>38</v>
      </c>
      <c r="E356" s="1" t="str">
        <f>Annex!K91</f>
        <v>Australian</v>
      </c>
      <c r="F356" s="1" t="str">
        <f>Annex!L91</f>
        <v xml:space="preserve">Case 355 is a Imported case, 38 years old male Australian (Long Term Visit Pass holder) and has been to UK . He is currently admitted at NCID . </v>
      </c>
      <c r="G356" s="2">
        <v>43910</v>
      </c>
      <c r="H356" s="1"/>
      <c r="I356" s="1"/>
      <c r="J356" s="1"/>
      <c r="K356" s="1"/>
      <c r="L356" s="1" t="str">
        <f>Annex!C91</f>
        <v xml:space="preserve">NCID </v>
      </c>
      <c r="M356" s="5" t="s">
        <v>1130</v>
      </c>
    </row>
    <row r="357" spans="1:13" ht="13.8" customHeight="1" x14ac:dyDescent="0.3">
      <c r="A357" s="6">
        <v>356</v>
      </c>
      <c r="B357" s="6" t="s">
        <v>77</v>
      </c>
      <c r="C357" s="1" t="str">
        <f>Annex!J92</f>
        <v>Male</v>
      </c>
      <c r="D357" s="1">
        <f>Annex!D92</f>
        <v>27</v>
      </c>
      <c r="E357" s="1" t="str">
        <f>Annex!K92</f>
        <v>Australian</v>
      </c>
      <c r="F357" s="1" t="str">
        <f>Annex!L92</f>
        <v xml:space="preserve">Case 356 is a Imported case, 27 years old male Australian (Singapore Work Pass holder) and has been to India . He is currently admitted at NCID . </v>
      </c>
      <c r="G357" s="2">
        <v>43910</v>
      </c>
      <c r="H357" s="1"/>
      <c r="I357" s="1"/>
      <c r="J357" s="1"/>
      <c r="K357" s="1"/>
      <c r="L357" s="1" t="str">
        <f>Annex!C92</f>
        <v xml:space="preserve">NCID </v>
      </c>
      <c r="M357" s="5" t="s">
        <v>1130</v>
      </c>
    </row>
    <row r="358" spans="1:13" ht="13.8" customHeight="1" x14ac:dyDescent="0.3">
      <c r="A358" s="6">
        <v>357</v>
      </c>
      <c r="B358" s="6" t="s">
        <v>77</v>
      </c>
      <c r="C358" s="1" t="str">
        <f>Annex!J93</f>
        <v>Male</v>
      </c>
      <c r="D358" s="1">
        <f>Annex!D93</f>
        <v>41</v>
      </c>
      <c r="E358" s="1" t="str">
        <f>Annex!K93</f>
        <v xml:space="preserve">German </v>
      </c>
      <c r="F358" s="1" t="str">
        <f>Annex!L93</f>
        <v xml:space="preserve">Case 357 is a Imported case, 41 years old male German  and has been to Germany, US, France, Monaco. He is currently admitted at MEH. </v>
      </c>
      <c r="G358" s="2">
        <v>43910</v>
      </c>
      <c r="H358" s="1"/>
      <c r="I358" s="1"/>
      <c r="J358" s="1"/>
      <c r="K358" s="1"/>
      <c r="L358" s="1" t="str">
        <f>Annex!C93</f>
        <v>MEH</v>
      </c>
      <c r="M358" s="5" t="s">
        <v>1130</v>
      </c>
    </row>
    <row r="359" spans="1:13" ht="13.8" customHeight="1" x14ac:dyDescent="0.3">
      <c r="A359" s="6">
        <v>358</v>
      </c>
      <c r="B359" s="6" t="s">
        <v>78</v>
      </c>
      <c r="C359" s="1" t="str">
        <f>Annex!J94</f>
        <v>Female</v>
      </c>
      <c r="D359" s="1">
        <f>Annex!D94</f>
        <v>39</v>
      </c>
      <c r="E359" s="1" t="str">
        <f>Annex!K94</f>
        <v>Singaporean</v>
      </c>
      <c r="F359" s="1" t="str">
        <f>Annex!L94</f>
        <v xml:space="preserve">Case 358 is a Local unlinked case, 39 years old female Singapore Permanent Resident and has not been overseas. She is currently admitted at NCID . </v>
      </c>
      <c r="G359" s="2">
        <v>43910</v>
      </c>
      <c r="H359" s="1"/>
      <c r="I359" s="1"/>
      <c r="J359" s="1"/>
      <c r="K359" s="1"/>
      <c r="L359" s="1" t="str">
        <f>Annex!C94</f>
        <v xml:space="preserve">NCID </v>
      </c>
      <c r="M359" s="5" t="s">
        <v>1130</v>
      </c>
    </row>
    <row r="360" spans="1:13" ht="13.8" customHeight="1" x14ac:dyDescent="0.3">
      <c r="A360" s="6">
        <v>359</v>
      </c>
      <c r="B360" s="6" t="s">
        <v>78</v>
      </c>
      <c r="C360" s="1" t="str">
        <f>Annex!J95</f>
        <v>Female</v>
      </c>
      <c r="D360" s="1">
        <f>Annex!D95</f>
        <v>45</v>
      </c>
      <c r="E360" s="1" t="str">
        <f>Annex!K95</f>
        <v>Singaporean</v>
      </c>
      <c r="F360" s="1" t="str">
        <f>Annex!L95</f>
        <v>Case 359 is a Local linked  case, 45 years old female Singapore Citizen  and has not been overseas. She is currently admitted at NUH . Contact of Case 321</v>
      </c>
      <c r="G360" s="2">
        <v>43910</v>
      </c>
      <c r="H360" s="1"/>
      <c r="I360" s="1"/>
      <c r="J360" s="1"/>
      <c r="K360" s="1"/>
      <c r="L360" s="1" t="str">
        <f>Annex!C95</f>
        <v xml:space="preserve">NUH </v>
      </c>
      <c r="M360" s="5" t="s">
        <v>1130</v>
      </c>
    </row>
    <row r="361" spans="1:13" ht="13.8" customHeight="1" x14ac:dyDescent="0.3">
      <c r="A361" s="6">
        <v>360</v>
      </c>
      <c r="B361" s="6" t="s">
        <v>77</v>
      </c>
      <c r="C361" s="1" t="str">
        <f>Annex!J96</f>
        <v>Male</v>
      </c>
      <c r="D361" s="1">
        <f>Annex!D96</f>
        <v>26</v>
      </c>
      <c r="E361" s="1" t="str">
        <f>Annex!K96</f>
        <v>Singaporean</v>
      </c>
      <c r="F361" s="1" t="str">
        <f>Annex!L96</f>
        <v xml:space="preserve">Case 360 is a Imported case, 26 years old male Singapore Citizen  and has been to UK . He is currently admitted at NCID . </v>
      </c>
      <c r="G361" s="2">
        <v>43910</v>
      </c>
      <c r="H361" s="1"/>
      <c r="I361" s="1"/>
      <c r="J361" s="1"/>
      <c r="K361" s="1"/>
      <c r="L361" s="1" t="str">
        <f>Annex!C96</f>
        <v xml:space="preserve">NCID </v>
      </c>
      <c r="M361" s="5" t="s">
        <v>1130</v>
      </c>
    </row>
    <row r="362" spans="1:13" ht="13.8" customHeight="1" x14ac:dyDescent="0.3">
      <c r="A362" s="6">
        <v>361</v>
      </c>
      <c r="B362" s="6" t="s">
        <v>78</v>
      </c>
      <c r="C362" s="1" t="str">
        <f>Annex!J97</f>
        <v>Male</v>
      </c>
      <c r="D362" s="1">
        <f>Annex!D97</f>
        <v>32</v>
      </c>
      <c r="E362" s="1" t="str">
        <f>Annex!K97</f>
        <v>Singaporean</v>
      </c>
      <c r="F362" s="1" t="str">
        <f>Annex!L97</f>
        <v>Case 361 is a Local linked  case, 32 years old male Singapore Citizen  and has been to Thailand . He is currently admitted at NCID . Contact of Case 318</v>
      </c>
      <c r="G362" s="2">
        <v>43910</v>
      </c>
      <c r="H362" s="1"/>
      <c r="I362" s="1"/>
      <c r="J362" s="1"/>
      <c r="K362" s="1"/>
      <c r="L362" s="1" t="str">
        <f>Annex!C97</f>
        <v xml:space="preserve">NCID </v>
      </c>
      <c r="M362" s="5" t="s">
        <v>1130</v>
      </c>
    </row>
    <row r="363" spans="1:13" ht="13.8" customHeight="1" x14ac:dyDescent="0.3">
      <c r="A363" s="6">
        <v>362</v>
      </c>
      <c r="B363" s="6" t="s">
        <v>77</v>
      </c>
      <c r="C363" s="1" t="str">
        <f>Annex!J98</f>
        <v>Female</v>
      </c>
      <c r="D363" s="1">
        <f>Annex!D98</f>
        <v>45</v>
      </c>
      <c r="E363" s="1" t="str">
        <f>Annex!K98</f>
        <v>Germany</v>
      </c>
      <c r="F363" s="1" t="str">
        <f>Annex!L98</f>
        <v xml:space="preserve">Case 362 is a Imported case, 45 years old female Germany (Long Term Pass holder) and has been to Germany, Holland . She is currently admitted at NCID . </v>
      </c>
      <c r="G363" s="2">
        <v>43910</v>
      </c>
      <c r="H363" s="1"/>
      <c r="I363" s="1"/>
      <c r="J363" s="1"/>
      <c r="K363" s="1"/>
      <c r="L363" s="1" t="str">
        <f>Annex!C98</f>
        <v xml:space="preserve">NCID </v>
      </c>
      <c r="M363" s="5" t="s">
        <v>1130</v>
      </c>
    </row>
    <row r="364" spans="1:13" ht="13.8" customHeight="1" x14ac:dyDescent="0.3">
      <c r="A364" s="6">
        <v>363</v>
      </c>
      <c r="B364" s="6" t="s">
        <v>77</v>
      </c>
      <c r="C364" s="1" t="str">
        <f>Annex!J99</f>
        <v>Male</v>
      </c>
      <c r="D364" s="1">
        <f>Annex!D99</f>
        <v>49</v>
      </c>
      <c r="E364" s="1" t="str">
        <f>Annex!K99</f>
        <v>Singaporean</v>
      </c>
      <c r="F364" s="1" t="str">
        <f>Annex!L99</f>
        <v xml:space="preserve">Case 363 is a Imported case, 49 years old male Singapore Citizen  and has been to UK . He is currently admitted at SKH . </v>
      </c>
      <c r="G364" s="2">
        <v>43910</v>
      </c>
      <c r="H364" s="1"/>
      <c r="I364" s="1"/>
      <c r="J364" s="1"/>
      <c r="K364" s="1"/>
      <c r="L364" s="1" t="str">
        <f>Annex!C99</f>
        <v xml:space="preserve">SKH </v>
      </c>
      <c r="M364" s="5" t="s">
        <v>1130</v>
      </c>
    </row>
    <row r="365" spans="1:13" ht="13.8" customHeight="1" x14ac:dyDescent="0.3">
      <c r="A365" s="6">
        <v>364</v>
      </c>
      <c r="B365" s="6" t="s">
        <v>78</v>
      </c>
      <c r="C365" s="1" t="str">
        <f>Annex!J100</f>
        <v>Male</v>
      </c>
      <c r="D365" s="1">
        <f>Annex!D100</f>
        <v>52</v>
      </c>
      <c r="E365" s="1" t="str">
        <f>Annex!K100</f>
        <v>Singaporean</v>
      </c>
      <c r="F365" s="1" t="str">
        <f>Annex!L100</f>
        <v>Case 364 is a Local linked  case, 52 years old male Singapore Citizen  and has not been overseas. He is currently admitted at NCID . Contact of Case 225</v>
      </c>
      <c r="G365" s="2">
        <v>43910</v>
      </c>
      <c r="H365" s="1"/>
      <c r="I365" s="1"/>
      <c r="J365" s="1"/>
      <c r="K365" s="1"/>
      <c r="L365" s="1" t="str">
        <f>Annex!C100</f>
        <v xml:space="preserve">NCID </v>
      </c>
      <c r="M365" s="5" t="s">
        <v>1130</v>
      </c>
    </row>
    <row r="366" spans="1:13" ht="13.8" customHeight="1" x14ac:dyDescent="0.3">
      <c r="A366" s="6">
        <v>365</v>
      </c>
      <c r="B366" s="6" t="s">
        <v>77</v>
      </c>
      <c r="C366" s="1" t="str">
        <f>Annex!J101</f>
        <v>Male</v>
      </c>
      <c r="D366" s="1">
        <f>Annex!D101</f>
        <v>33</v>
      </c>
      <c r="E366" s="1" t="str">
        <f>Annex!K101</f>
        <v>Netherlands</v>
      </c>
      <c r="F366" s="1" t="str">
        <f>Annex!L101</f>
        <v xml:space="preserve">Case 365 is a Imported case, 33 years old male Netherlands (Singapore Work Pass holder) and has been to Austria, Netherlands, UK. He is currently admitted at NCID . </v>
      </c>
      <c r="G366" s="2">
        <v>43910</v>
      </c>
      <c r="H366" s="1"/>
      <c r="I366" s="1"/>
      <c r="J366" s="1"/>
      <c r="K366" s="1"/>
      <c r="L366" s="1" t="str">
        <f>Annex!C101</f>
        <v xml:space="preserve">NCID </v>
      </c>
      <c r="M366" s="5" t="s">
        <v>1130</v>
      </c>
    </row>
    <row r="367" spans="1:13" ht="13.8" customHeight="1" x14ac:dyDescent="0.3">
      <c r="A367" s="6">
        <v>366</v>
      </c>
      <c r="B367" s="6" t="s">
        <v>77</v>
      </c>
      <c r="C367" s="1" t="str">
        <f>Annex!J102</f>
        <v>Female</v>
      </c>
      <c r="D367" s="1">
        <f>Annex!D102</f>
        <v>26</v>
      </c>
      <c r="E367" s="1" t="str">
        <f>Annex!K102</f>
        <v>Singaporean</v>
      </c>
      <c r="F367" s="1" t="str">
        <f>Annex!L102</f>
        <v>Case 366 is a Imported  case, 26 years old female Singapore Citizen  and has been to UK, Switzerland, Austria. She is currently admitted at NCID . Contact of Case 304</v>
      </c>
      <c r="G367" s="2">
        <v>43910</v>
      </c>
      <c r="H367" s="1"/>
      <c r="I367" s="1"/>
      <c r="J367" s="1"/>
      <c r="K367" s="1"/>
      <c r="L367" s="1" t="str">
        <f>Annex!C102</f>
        <v xml:space="preserve">NCID </v>
      </c>
      <c r="M367" s="5" t="s">
        <v>1130</v>
      </c>
    </row>
    <row r="368" spans="1:13" ht="13.8" customHeight="1" x14ac:dyDescent="0.3">
      <c r="A368" s="6">
        <v>367</v>
      </c>
      <c r="B368" s="6" t="s">
        <v>78</v>
      </c>
      <c r="C368" s="1" t="str">
        <f>Annex!J103</f>
        <v>Male</v>
      </c>
      <c r="D368" s="1">
        <f>Annex!D103</f>
        <v>25</v>
      </c>
      <c r="E368" s="1" t="str">
        <f>Annex!K103</f>
        <v>Singaporean</v>
      </c>
      <c r="F368" s="1" t="str">
        <f>Annex!L103</f>
        <v>Case 367 is a Local linked case, 25 years old male Singapore Citizen  and has been to Malaysia . He is currently admitted at NCID . Family member of Case 338</v>
      </c>
      <c r="G368" s="2">
        <v>43910</v>
      </c>
      <c r="H368" s="1"/>
      <c r="I368" s="1"/>
      <c r="J368" s="1"/>
      <c r="K368" s="1"/>
      <c r="L368" s="1" t="str">
        <f>Annex!C103</f>
        <v xml:space="preserve">NCID </v>
      </c>
      <c r="M368" s="5" t="s">
        <v>1130</v>
      </c>
    </row>
    <row r="369" spans="1:13" ht="13.8" customHeight="1" x14ac:dyDescent="0.3">
      <c r="A369" s="6">
        <v>368</v>
      </c>
      <c r="B369" s="6" t="s">
        <v>78</v>
      </c>
      <c r="C369" s="1" t="str">
        <f>Annex!J104</f>
        <v>Female</v>
      </c>
      <c r="D369" s="1">
        <f>Annex!D104</f>
        <v>19</v>
      </c>
      <c r="E369" s="1" t="str">
        <f>Annex!K104</f>
        <v>Indonesian</v>
      </c>
      <c r="F369" s="1" t="str">
        <f>Annex!L104</f>
        <v>Case 368 is a Local linked  case, 19 years old female Indonesian (Long Term Visit Pass holder) and has not been overseas. She is currently admitted at NCID . Contact of Cases 225 and 294</v>
      </c>
      <c r="G369" s="2">
        <v>43910</v>
      </c>
      <c r="H369" s="1"/>
      <c r="I369" s="1"/>
      <c r="J369" s="1"/>
      <c r="K369" s="1"/>
      <c r="L369" s="1" t="str">
        <f>Annex!C104</f>
        <v xml:space="preserve">NCID </v>
      </c>
      <c r="M369" s="5" t="s">
        <v>1130</v>
      </c>
    </row>
    <row r="370" spans="1:13" ht="13.8" customHeight="1" x14ac:dyDescent="0.3">
      <c r="A370" s="6">
        <v>369</v>
      </c>
      <c r="B370" s="6" t="s">
        <v>77</v>
      </c>
      <c r="C370" s="1" t="str">
        <f>Annex!J105</f>
        <v>Male</v>
      </c>
      <c r="D370" s="1">
        <f>Annex!D105</f>
        <v>34</v>
      </c>
      <c r="E370" s="1" t="str">
        <f>Annex!K105</f>
        <v>Singaporean</v>
      </c>
      <c r="F370" s="1" t="str">
        <f>Annex!L105</f>
        <v xml:space="preserve">Case 369 is a Imported case, 34 years old male Singapore Citizen  and has been to Thailand . He is currently admitted at NCID . </v>
      </c>
      <c r="G370" s="2">
        <v>43910</v>
      </c>
      <c r="H370" s="1"/>
      <c r="I370" s="1"/>
      <c r="J370" s="1"/>
      <c r="K370" s="1"/>
      <c r="L370" s="1" t="str">
        <f>Annex!C105</f>
        <v xml:space="preserve">NCID </v>
      </c>
      <c r="M370" s="5" t="s">
        <v>1130</v>
      </c>
    </row>
    <row r="371" spans="1:13" ht="13.8" customHeight="1" x14ac:dyDescent="0.3">
      <c r="A371" s="6">
        <v>370</v>
      </c>
      <c r="B371" s="6" t="s">
        <v>77</v>
      </c>
      <c r="C371" s="1" t="str">
        <f>Annex!J106</f>
        <v>Male</v>
      </c>
      <c r="D371" s="1">
        <f>Annex!D106</f>
        <v>73</v>
      </c>
      <c r="E371" s="1" t="str">
        <f>Annex!K106</f>
        <v>Malaysia</v>
      </c>
      <c r="F371" s="1" t="str">
        <f>Annex!L106</f>
        <v xml:space="preserve">Case 370 is a Imported case, 73 years old male Malaysia (Singapore Work Pass holder)  and has been to Indonesia . He is currently admitted at NCID . </v>
      </c>
      <c r="G371" s="2">
        <v>43910</v>
      </c>
      <c r="H371" s="1"/>
      <c r="I371" s="1"/>
      <c r="J371" s="1"/>
      <c r="K371" s="1"/>
      <c r="L371" s="1" t="str">
        <f>Annex!C106</f>
        <v xml:space="preserve">NCID </v>
      </c>
      <c r="M371" s="5" t="s">
        <v>1130</v>
      </c>
    </row>
    <row r="372" spans="1:13" ht="13.8" customHeight="1" x14ac:dyDescent="0.3">
      <c r="A372" s="6">
        <v>371</v>
      </c>
      <c r="B372" s="6" t="s">
        <v>77</v>
      </c>
      <c r="C372" s="1" t="str">
        <f>Annex!J107</f>
        <v>Male</v>
      </c>
      <c r="D372" s="1">
        <f>Annex!D107</f>
        <v>22</v>
      </c>
      <c r="E372" s="1" t="str">
        <f>Annex!K107</f>
        <v>Singaporean</v>
      </c>
      <c r="F372" s="1" t="str">
        <f>Annex!L107</f>
        <v xml:space="preserve">Case 371 is a Imported case, 22 years old male Singapore Citizen  and has been to UK . He is currently admitted at NCID . </v>
      </c>
      <c r="G372" s="2">
        <v>43910</v>
      </c>
      <c r="H372" s="1"/>
      <c r="I372" s="1"/>
      <c r="J372" s="1"/>
      <c r="K372" s="1"/>
      <c r="L372" s="1" t="str">
        <f>Annex!C107</f>
        <v xml:space="preserve">NCID </v>
      </c>
      <c r="M372" s="5" t="s">
        <v>1130</v>
      </c>
    </row>
    <row r="373" spans="1:13" ht="13.8" customHeight="1" x14ac:dyDescent="0.3">
      <c r="A373" s="6">
        <v>372</v>
      </c>
      <c r="B373" s="6" t="s">
        <v>77</v>
      </c>
      <c r="C373" s="1" t="str">
        <f>Annex!J108</f>
        <v>Female</v>
      </c>
      <c r="D373" s="1">
        <f>Annex!D108</f>
        <v>22</v>
      </c>
      <c r="E373" s="1" t="str">
        <f>Annex!K108</f>
        <v>Singaporean</v>
      </c>
      <c r="F373" s="1" t="str">
        <f>Annex!L108</f>
        <v xml:space="preserve">Case 372 is a Imported case, 22 years old female Singapore Citizen  and has been to UK . She is currently admitted at NCID . </v>
      </c>
      <c r="G373" s="2">
        <v>43910</v>
      </c>
      <c r="H373" s="1"/>
      <c r="I373" s="1"/>
      <c r="J373" s="1"/>
      <c r="K373" s="1"/>
      <c r="L373" s="1" t="str">
        <f>Annex!C108</f>
        <v xml:space="preserve">NCID </v>
      </c>
      <c r="M373" s="5" t="s">
        <v>1130</v>
      </c>
    </row>
    <row r="374" spans="1:13" ht="13.8" customHeight="1" x14ac:dyDescent="0.3">
      <c r="A374" s="6">
        <v>373</v>
      </c>
      <c r="B374" s="6" t="s">
        <v>77</v>
      </c>
      <c r="C374" s="1" t="str">
        <f>Annex!J109</f>
        <v>Male</v>
      </c>
      <c r="D374" s="1">
        <f>Annex!D109</f>
        <v>51</v>
      </c>
      <c r="E374" s="1" t="str">
        <f>Annex!K109</f>
        <v>Singaporean</v>
      </c>
      <c r="F374" s="1" t="str">
        <f>Annex!L109</f>
        <v xml:space="preserve">Case 373 is a Imported case, 51 years old male Singapore Citizen  and has been to UK . He is currently admitted at NCID . </v>
      </c>
      <c r="G374" s="2">
        <v>43910</v>
      </c>
      <c r="H374" s="1"/>
      <c r="I374" s="1"/>
      <c r="J374" s="1"/>
      <c r="K374" s="1"/>
      <c r="L374" s="1" t="str">
        <f>Annex!C109</f>
        <v xml:space="preserve">NCID </v>
      </c>
      <c r="M374" s="5" t="s">
        <v>1130</v>
      </c>
    </row>
    <row r="375" spans="1:13" ht="13.8" customHeight="1" x14ac:dyDescent="0.3">
      <c r="A375" s="6">
        <v>374</v>
      </c>
      <c r="B375" s="6" t="s">
        <v>77</v>
      </c>
      <c r="C375" s="1" t="str">
        <f>Annex!J110</f>
        <v>Female</v>
      </c>
      <c r="D375" s="1">
        <f>Annex!D110</f>
        <v>23</v>
      </c>
      <c r="E375" s="1" t="str">
        <f>Annex!K110</f>
        <v>Singaporean</v>
      </c>
      <c r="F375" s="1" t="str">
        <f>Annex!L110</f>
        <v xml:space="preserve">Case 374 is a Imported case, 23 years old female Singapore Citizen  and has been to UK . She is currently admitted at NCID . </v>
      </c>
      <c r="G375" s="2">
        <v>43910</v>
      </c>
      <c r="H375" s="1"/>
      <c r="I375" s="1"/>
      <c r="J375" s="1"/>
      <c r="K375" s="1"/>
      <c r="L375" s="1" t="str">
        <f>Annex!C110</f>
        <v xml:space="preserve">NCID </v>
      </c>
      <c r="M375" s="5" t="s">
        <v>1130</v>
      </c>
    </row>
    <row r="376" spans="1:13" ht="13.8" customHeight="1" x14ac:dyDescent="0.3">
      <c r="A376" s="6">
        <v>375</v>
      </c>
      <c r="B376" s="6" t="s">
        <v>77</v>
      </c>
      <c r="C376" s="1" t="str">
        <f>Annex!J111</f>
        <v>Female</v>
      </c>
      <c r="D376" s="1">
        <f>Annex!D111</f>
        <v>25</v>
      </c>
      <c r="E376" s="1" t="str">
        <f>Annex!K111</f>
        <v>Singaporean</v>
      </c>
      <c r="F376" s="1" t="str">
        <f>Annex!L111</f>
        <v xml:space="preserve">Case 375 is a Imported case, 25 years old female Singapore Citizen  and has been to US . She is currently admitted at NCID . </v>
      </c>
      <c r="G376" s="2">
        <v>43910</v>
      </c>
      <c r="H376" s="1"/>
      <c r="I376" s="1"/>
      <c r="J376" s="1"/>
      <c r="K376" s="1"/>
      <c r="L376" s="1" t="str">
        <f>Annex!C111</f>
        <v xml:space="preserve">NCID </v>
      </c>
      <c r="M376" s="5" t="s">
        <v>1130</v>
      </c>
    </row>
    <row r="377" spans="1:13" ht="13.8" customHeight="1" x14ac:dyDescent="0.3">
      <c r="A377" s="6">
        <v>376</v>
      </c>
      <c r="B377" s="6" t="s">
        <v>77</v>
      </c>
      <c r="C377" s="1" t="str">
        <f>Annex!J112</f>
        <v>Female</v>
      </c>
      <c r="D377" s="1">
        <f>Annex!D112</f>
        <v>21</v>
      </c>
      <c r="E377" s="1" t="str">
        <f>Annex!K112</f>
        <v>Singaporean</v>
      </c>
      <c r="F377" s="1" t="str">
        <f>Annex!L112</f>
        <v xml:space="preserve">Case 376 is a Imported case, 21 years old female Singapore Permanent Resident  and has been to UK . She is currently admitted at NCID . </v>
      </c>
      <c r="G377" s="2">
        <v>43910</v>
      </c>
      <c r="H377" s="1"/>
      <c r="I377" s="1"/>
      <c r="J377" s="1"/>
      <c r="K377" s="1"/>
      <c r="L377" s="1" t="str">
        <f>Annex!C112</f>
        <v xml:space="preserve">NCID </v>
      </c>
      <c r="M377" s="5" t="s">
        <v>1130</v>
      </c>
    </row>
    <row r="378" spans="1:13" ht="13.8" customHeight="1" x14ac:dyDescent="0.3">
      <c r="A378" s="6">
        <v>377</v>
      </c>
      <c r="B378" s="6" t="s">
        <v>77</v>
      </c>
      <c r="C378" s="1" t="str">
        <f>Annex!J113</f>
        <v>Male</v>
      </c>
      <c r="D378" s="1">
        <f>Annex!D113</f>
        <v>59</v>
      </c>
      <c r="E378" s="1" t="str">
        <f>Annex!K113</f>
        <v>Singaporean</v>
      </c>
      <c r="F378" s="1" t="str">
        <f>Annex!L113</f>
        <v xml:space="preserve">Case 377 is a Imported case, 59 years old male Singapore Citizen  and has been to UK . He is currently admitted at NUH . </v>
      </c>
      <c r="G378" s="2">
        <v>43910</v>
      </c>
      <c r="H378" s="1"/>
      <c r="I378" s="1"/>
      <c r="J378" s="1"/>
      <c r="K378" s="1"/>
      <c r="L378" s="1" t="str">
        <f>Annex!C113</f>
        <v xml:space="preserve">NUH </v>
      </c>
      <c r="M378" s="5" t="s">
        <v>1130</v>
      </c>
    </row>
    <row r="379" spans="1:13" ht="13.8" customHeight="1" x14ac:dyDescent="0.3">
      <c r="A379" s="6">
        <v>378</v>
      </c>
      <c r="B379" s="6" t="s">
        <v>77</v>
      </c>
      <c r="C379" s="1" t="str">
        <f>Annex!J114</f>
        <v>Male</v>
      </c>
      <c r="D379" s="1">
        <f>Annex!D114</f>
        <v>38</v>
      </c>
      <c r="E379" s="1" t="str">
        <f>Annex!K114</f>
        <v>UK</v>
      </c>
      <c r="F379" s="1" t="str">
        <f>Annex!L114</f>
        <v xml:space="preserve">Case 378 is a Imported case, 38 years old male UK (Long Term Visit Pass holder)  and has been to UK . He is currently admitted at NCID . </v>
      </c>
      <c r="G379" s="2">
        <v>43910</v>
      </c>
      <c r="H379" s="1"/>
      <c r="I379" s="1"/>
      <c r="J379" s="1"/>
      <c r="K379" s="1"/>
      <c r="L379" s="1" t="str">
        <f>Annex!C114</f>
        <v xml:space="preserve">NCID </v>
      </c>
      <c r="M379" s="5" t="s">
        <v>1130</v>
      </c>
    </row>
    <row r="380" spans="1:13" ht="13.8" customHeight="1" x14ac:dyDescent="0.3">
      <c r="A380" s="6">
        <v>379</v>
      </c>
      <c r="B380" s="6" t="s">
        <v>77</v>
      </c>
      <c r="C380" s="1" t="str">
        <f>Annex!J115</f>
        <v>Male</v>
      </c>
      <c r="D380" s="1">
        <f>Annex!D115</f>
        <v>62</v>
      </c>
      <c r="E380" s="1" t="str">
        <f>Annex!K115</f>
        <v>Sweden</v>
      </c>
      <c r="F380" s="1" t="str">
        <f>Annex!L115</f>
        <v xml:space="preserve">Case 379 is a Imported case, 62 years old male Sweden (Singapore Work Pass holder)  and has been to Indonesia . He is currently admitted at NCID . </v>
      </c>
      <c r="G380" s="2">
        <v>43910</v>
      </c>
      <c r="H380" s="1"/>
      <c r="I380" s="1"/>
      <c r="J380" s="1"/>
      <c r="K380" s="1"/>
      <c r="L380" s="1" t="str">
        <f>Annex!C115</f>
        <v xml:space="preserve">NCID </v>
      </c>
      <c r="M380" s="5" t="s">
        <v>1130</v>
      </c>
    </row>
    <row r="381" spans="1:13" ht="13.8" customHeight="1" x14ac:dyDescent="0.3">
      <c r="A381" s="6">
        <v>380</v>
      </c>
      <c r="B381" s="6" t="s">
        <v>77</v>
      </c>
      <c r="C381" s="1" t="str">
        <f>Annex!J116</f>
        <v>Male</v>
      </c>
      <c r="D381" s="1">
        <f>Annex!D116</f>
        <v>34</v>
      </c>
      <c r="E381" s="1" t="str">
        <f>Annex!K116</f>
        <v>Singaporean</v>
      </c>
      <c r="F381" s="1" t="str">
        <f>Annex!L116</f>
        <v xml:space="preserve">Case 380 is a Imported case, 34 years old male Singapore Citizen  and has been to Switzerland . He is currently admitted at SGH . </v>
      </c>
      <c r="G381" s="2">
        <v>43910</v>
      </c>
      <c r="H381" s="1"/>
      <c r="I381" s="1"/>
      <c r="J381" s="1"/>
      <c r="K381" s="1"/>
      <c r="L381" s="1" t="str">
        <f>Annex!C116</f>
        <v xml:space="preserve">SGH </v>
      </c>
      <c r="M381" s="5" t="s">
        <v>1130</v>
      </c>
    </row>
    <row r="382" spans="1:13" ht="13.8" customHeight="1" x14ac:dyDescent="0.3">
      <c r="A382" s="6">
        <v>381</v>
      </c>
      <c r="B382" s="6" t="s">
        <v>77</v>
      </c>
      <c r="C382" s="1" t="str">
        <f>Annex!J117</f>
        <v>Female</v>
      </c>
      <c r="D382" s="1">
        <f>Annex!D117</f>
        <v>27</v>
      </c>
      <c r="E382" s="1" t="str">
        <f>Annex!K117</f>
        <v>Singaporean</v>
      </c>
      <c r="F382" s="1" t="str">
        <f>Annex!L117</f>
        <v xml:space="preserve">Case 381 is a Imported case, 27 years old female Singapore Permanent Resident  and has been to Spain . She is currently admitted at SGH . </v>
      </c>
      <c r="G382" s="2">
        <v>43910</v>
      </c>
      <c r="H382" s="1"/>
      <c r="I382" s="1"/>
      <c r="J382" s="1"/>
      <c r="K382" s="1"/>
      <c r="L382" s="1" t="str">
        <f>Annex!C117</f>
        <v xml:space="preserve">SGH </v>
      </c>
      <c r="M382" s="5" t="s">
        <v>1130</v>
      </c>
    </row>
    <row r="383" spans="1:13" ht="13.8" customHeight="1" x14ac:dyDescent="0.3">
      <c r="A383" s="6">
        <v>382</v>
      </c>
      <c r="B383" s="6" t="s">
        <v>77</v>
      </c>
      <c r="C383" s="1" t="str">
        <f>Annex!J118</f>
        <v>Female</v>
      </c>
      <c r="D383" s="1">
        <f>Annex!D118</f>
        <v>55</v>
      </c>
      <c r="E383" s="1" t="str">
        <f>Annex!K118</f>
        <v>Singaporean</v>
      </c>
      <c r="F383" s="1" t="str">
        <f>Annex!L118</f>
        <v xml:space="preserve">Case 382 is a Imported case, 55 years old female Singapore Citizen  and has been to UK . She is currently admitted at SGH . </v>
      </c>
      <c r="G383" s="2">
        <v>43910</v>
      </c>
      <c r="H383" s="1"/>
      <c r="I383" s="1"/>
      <c r="J383" s="1"/>
      <c r="K383" s="1"/>
      <c r="L383" s="1" t="str">
        <f>Annex!C118</f>
        <v xml:space="preserve">SGH </v>
      </c>
      <c r="M383" s="5" t="s">
        <v>1130</v>
      </c>
    </row>
    <row r="384" spans="1:13" ht="13.8" customHeight="1" x14ac:dyDescent="0.3">
      <c r="A384" s="6">
        <v>383</v>
      </c>
      <c r="B384" s="6" t="s">
        <v>77</v>
      </c>
      <c r="C384" s="1" t="str">
        <f>Annex!J119</f>
        <v>Female</v>
      </c>
      <c r="D384" s="1">
        <f>Annex!D119</f>
        <v>42</v>
      </c>
      <c r="E384" s="1" t="str">
        <f>Annex!K119</f>
        <v>Singaporean</v>
      </c>
      <c r="F384" s="1" t="str">
        <f>Annex!L119</f>
        <v xml:space="preserve">Case 383 is a Imported case, 42 years old female Singapore Citizen  and has been to UK . She is currently admitted at NCID . </v>
      </c>
      <c r="G384" s="2">
        <v>43910</v>
      </c>
      <c r="H384" s="1"/>
      <c r="I384" s="1"/>
      <c r="J384" s="1"/>
      <c r="K384" s="1"/>
      <c r="L384" s="1" t="str">
        <f>Annex!C119</f>
        <v xml:space="preserve">NCID </v>
      </c>
      <c r="M384" s="5" t="s">
        <v>1130</v>
      </c>
    </row>
    <row r="385" spans="1:13" ht="13.8" customHeight="1" x14ac:dyDescent="0.3">
      <c r="A385" s="6">
        <v>384</v>
      </c>
      <c r="B385" s="6" t="s">
        <v>78</v>
      </c>
      <c r="C385" s="1" t="str">
        <f>Annex!J120</f>
        <v>Male</v>
      </c>
      <c r="D385" s="1">
        <f>Annex!D120</f>
        <v>65</v>
      </c>
      <c r="E385" s="1" t="str">
        <f>Annex!K120</f>
        <v>Singaporean</v>
      </c>
      <c r="F385" s="1" t="str">
        <f>Annex!L120</f>
        <v xml:space="preserve">Case 384 is a Local unlinked case, 65 years old male Singapore Citizen  and has not been overseas. He is currently admitted at NCID . </v>
      </c>
      <c r="G385" s="2">
        <v>43910</v>
      </c>
      <c r="H385" s="1"/>
      <c r="I385" s="1"/>
      <c r="J385" s="1"/>
      <c r="K385" s="1"/>
      <c r="L385" s="1" t="str">
        <f>Annex!C120</f>
        <v xml:space="preserve">NCID </v>
      </c>
      <c r="M385" s="5" t="s">
        <v>1130</v>
      </c>
    </row>
    <row r="386" spans="1:13" ht="13.8" customHeight="1" x14ac:dyDescent="0.3">
      <c r="A386" s="6">
        <v>385</v>
      </c>
      <c r="B386" s="6" t="s">
        <v>77</v>
      </c>
      <c r="C386" s="1" t="str">
        <f>Annex!J121</f>
        <v>Male</v>
      </c>
      <c r="D386" s="1">
        <f>Annex!D121</f>
        <v>22</v>
      </c>
      <c r="E386" s="1" t="str">
        <f>Annex!K121</f>
        <v>Singaporean</v>
      </c>
      <c r="F386" s="1" t="str">
        <f>Annex!L121</f>
        <v xml:space="preserve">Case 385 is a Imported case, 22 years old male Singapore Citizen  and has been to UK . He is currently admitted at CGH . </v>
      </c>
      <c r="G386" s="2">
        <v>43910</v>
      </c>
      <c r="H386" s="1"/>
      <c r="I386" s="1"/>
      <c r="J386" s="1"/>
      <c r="K386" s="1"/>
      <c r="L386" s="1" t="str">
        <f>Annex!C121</f>
        <v xml:space="preserve">CGH </v>
      </c>
      <c r="M386" s="5" t="s">
        <v>1130</v>
      </c>
    </row>
    <row r="387" spans="1:13" ht="13.8" customHeight="1" x14ac:dyDescent="0.3">
      <c r="A387" s="6">
        <v>386</v>
      </c>
      <c r="B387" s="6" t="s">
        <v>78</v>
      </c>
      <c r="C387" s="1" t="str">
        <f>Annex!J122</f>
        <v>Female</v>
      </c>
      <c r="D387" s="1">
        <f>Annex!D122</f>
        <v>64</v>
      </c>
      <c r="E387" s="1" t="str">
        <f>Annex!K122</f>
        <v>Singaporean</v>
      </c>
      <c r="F387" s="1" t="str">
        <f>Annex!L122</f>
        <v xml:space="preserve">Case 386 is a Local unlinked case, 64 years old female Singapore Citizen  and has not been overseas. She is currently admitted at NTFGH . </v>
      </c>
      <c r="G387" s="2">
        <v>43911</v>
      </c>
      <c r="H387" s="1"/>
      <c r="I387" s="1"/>
      <c r="J387" s="1"/>
      <c r="K387" s="1"/>
      <c r="L387" s="1" t="str">
        <f>Annex!C122</f>
        <v xml:space="preserve">NTFGH </v>
      </c>
      <c r="M387" s="5" t="s">
        <v>1131</v>
      </c>
    </row>
    <row r="388" spans="1:13" ht="13.8" customHeight="1" x14ac:dyDescent="0.3">
      <c r="A388" s="6">
        <v>387</v>
      </c>
      <c r="B388" s="6" t="s">
        <v>77</v>
      </c>
      <c r="C388" s="1" t="str">
        <f>Annex!J123</f>
        <v>Female</v>
      </c>
      <c r="D388" s="1">
        <f>Annex!D123</f>
        <v>30</v>
      </c>
      <c r="E388" s="1" t="str">
        <f>Annex!K123</f>
        <v>Switzerland</v>
      </c>
      <c r="F388" s="1" t="str">
        <f>Annex!L123</f>
        <v>Case 387 is a Imported  case, 30 years old female Switzerland (Singapore Work Pass holder)  and has been to France, Switzerland . She is currently admitted at NUH. Contact of Case 337</v>
      </c>
      <c r="G388" s="2">
        <v>43911</v>
      </c>
      <c r="H388" s="1"/>
      <c r="I388" s="1"/>
      <c r="J388" s="1"/>
      <c r="K388" s="1"/>
      <c r="L388" s="1" t="str">
        <f>Annex!C123</f>
        <v>NUH</v>
      </c>
      <c r="M388" s="5" t="s">
        <v>1131</v>
      </c>
    </row>
    <row r="389" spans="1:13" ht="13.8" customHeight="1" x14ac:dyDescent="0.3">
      <c r="A389" s="6">
        <v>388</v>
      </c>
      <c r="B389" s="6" t="s">
        <v>78</v>
      </c>
      <c r="C389" s="1" t="str">
        <f>Annex!J124</f>
        <v>Male</v>
      </c>
      <c r="D389" s="1">
        <f>Annex!D124</f>
        <v>40</v>
      </c>
      <c r="E389" s="1" t="str">
        <f>Annex!K124</f>
        <v>Singaporean</v>
      </c>
      <c r="F389" s="1" t="str">
        <f>Annex!L124</f>
        <v>Case 388 is a Local linked  case, 40 years old male Singapore Citizen  and has not been overseas. He is currently admitted at SKH . Family member of Case 351</v>
      </c>
      <c r="G389" s="2">
        <v>43911</v>
      </c>
      <c r="H389" s="1"/>
      <c r="I389" s="1"/>
      <c r="J389" s="1"/>
      <c r="K389" s="1"/>
      <c r="L389" s="1" t="str">
        <f>Annex!C124</f>
        <v xml:space="preserve">SKH </v>
      </c>
      <c r="M389" s="5" t="s">
        <v>1131</v>
      </c>
    </row>
    <row r="390" spans="1:13" ht="13.8" customHeight="1" x14ac:dyDescent="0.3">
      <c r="A390" s="6">
        <v>389</v>
      </c>
      <c r="B390" s="6" t="s">
        <v>77</v>
      </c>
      <c r="C390" s="1" t="str">
        <f>Annex!J125</f>
        <v>Female</v>
      </c>
      <c r="D390" s="1">
        <f>Annex!D125</f>
        <v>36</v>
      </c>
      <c r="E390" s="1" t="str">
        <f>Annex!K125</f>
        <v>Russia</v>
      </c>
      <c r="F390" s="1" t="str">
        <f>Annex!L125</f>
        <v>Case 389 is a Imported  case, 36 years old female Russia (Singapore Work Pass holder)  and has been to India . She is currently admitted at KKH . Family member of Case 298</v>
      </c>
      <c r="G390" s="2">
        <v>43911</v>
      </c>
      <c r="H390" s="1"/>
      <c r="I390" s="1"/>
      <c r="J390" s="1"/>
      <c r="K390" s="1"/>
      <c r="L390" s="1" t="str">
        <f>Annex!C125</f>
        <v xml:space="preserve">KKH </v>
      </c>
      <c r="M390" s="5" t="s">
        <v>1131</v>
      </c>
    </row>
    <row r="391" spans="1:13" ht="13.8" customHeight="1" x14ac:dyDescent="0.3">
      <c r="A391" s="6">
        <v>390</v>
      </c>
      <c r="B391" s="6" t="s">
        <v>77</v>
      </c>
      <c r="C391" s="1" t="str">
        <f>Annex!J126</f>
        <v>Female</v>
      </c>
      <c r="D391" s="1">
        <f>Annex!D126</f>
        <v>35</v>
      </c>
      <c r="E391" s="1" t="str">
        <f>Annex!K126</f>
        <v>Singaporean</v>
      </c>
      <c r="F391" s="1" t="str">
        <f>Annex!L126</f>
        <v xml:space="preserve">Case 390 is a Imported case, 35 years old female Singapore Citizen  and has been to UK . She is currently admitted at KKH . </v>
      </c>
      <c r="G391" s="2">
        <v>43911</v>
      </c>
      <c r="H391" s="1"/>
      <c r="I391" s="1"/>
      <c r="J391" s="1"/>
      <c r="K391" s="1"/>
      <c r="L391" s="1" t="str">
        <f>Annex!C126</f>
        <v xml:space="preserve">KKH </v>
      </c>
      <c r="M391" s="5" t="s">
        <v>1131</v>
      </c>
    </row>
    <row r="392" spans="1:13" ht="13.8" customHeight="1" x14ac:dyDescent="0.3">
      <c r="A392" s="6">
        <v>391</v>
      </c>
      <c r="B392" s="6" t="s">
        <v>77</v>
      </c>
      <c r="C392" s="1" t="str">
        <f>Annex!J127</f>
        <v>Male</v>
      </c>
      <c r="D392" s="1">
        <f>Annex!D127</f>
        <v>53</v>
      </c>
      <c r="E392" s="1" t="str">
        <f>Annex!K127</f>
        <v xml:space="preserve">Australia </v>
      </c>
      <c r="F392" s="1" t="str">
        <f>Annex!L127</f>
        <v xml:space="preserve">Case 391 is a Imported case, 53 years old male Australia  and has been to Australia, US . He is currently admitted at NUH . </v>
      </c>
      <c r="G392" s="2">
        <v>43911</v>
      </c>
      <c r="H392" s="1"/>
      <c r="I392" s="1"/>
      <c r="J392" s="1"/>
      <c r="K392" s="1"/>
      <c r="L392" s="1" t="str">
        <f>Annex!C127</f>
        <v xml:space="preserve">NUH </v>
      </c>
      <c r="M392" s="5" t="s">
        <v>1131</v>
      </c>
    </row>
    <row r="393" spans="1:13" ht="13.8" customHeight="1" x14ac:dyDescent="0.3">
      <c r="A393" s="6">
        <v>392</v>
      </c>
      <c r="B393" s="6" t="s">
        <v>77</v>
      </c>
      <c r="C393" s="1" t="str">
        <f>Annex!J128</f>
        <v>Male</v>
      </c>
      <c r="D393" s="1">
        <f>Annex!D128</f>
        <v>54</v>
      </c>
      <c r="E393" s="1" t="str">
        <f>Annex!K128</f>
        <v>Singaporean</v>
      </c>
      <c r="F393" s="1" t="str">
        <f>Annex!L128</f>
        <v xml:space="preserve">Case 392 is a Imported case, 54 years old male Singapore Permanent Resident  and has been to Indonesia . He is currently admitted at NCID . </v>
      </c>
      <c r="G393" s="2">
        <v>43911</v>
      </c>
      <c r="H393" s="1"/>
      <c r="I393" s="1"/>
      <c r="J393" s="1"/>
      <c r="K393" s="1"/>
      <c r="L393" s="1" t="str">
        <f>Annex!C128</f>
        <v xml:space="preserve">NCID </v>
      </c>
      <c r="M393" s="5" t="s">
        <v>1131</v>
      </c>
    </row>
    <row r="394" spans="1:13" ht="13.8" customHeight="1" x14ac:dyDescent="0.3">
      <c r="A394" s="6">
        <v>393</v>
      </c>
      <c r="B394" s="6" t="s">
        <v>77</v>
      </c>
      <c r="C394" s="1" t="str">
        <f>Annex!J129</f>
        <v>Male</v>
      </c>
      <c r="D394" s="1">
        <f>Annex!D129</f>
        <v>21</v>
      </c>
      <c r="E394" s="1" t="str">
        <f>Annex!K129</f>
        <v>Singaporean</v>
      </c>
      <c r="F394" s="1" t="str">
        <f>Annex!L129</f>
        <v xml:space="preserve">Case 393 is a Imported case, 21 years old male Singapore Citizen  and has been to UK . He is currently admitted at NCID . </v>
      </c>
      <c r="G394" s="2">
        <v>43911</v>
      </c>
      <c r="H394" s="1"/>
      <c r="I394" s="1"/>
      <c r="J394" s="1"/>
      <c r="K394" s="1"/>
      <c r="L394" s="1" t="str">
        <f>Annex!C129</f>
        <v xml:space="preserve">NCID </v>
      </c>
      <c r="M394" s="5" t="s">
        <v>1131</v>
      </c>
    </row>
    <row r="395" spans="1:13" ht="13.8" customHeight="1" x14ac:dyDescent="0.3">
      <c r="A395" s="6">
        <v>394</v>
      </c>
      <c r="B395" s="6" t="s">
        <v>77</v>
      </c>
      <c r="C395" s="1" t="str">
        <f>Annex!J130</f>
        <v>Female</v>
      </c>
      <c r="D395" s="1">
        <f>Annex!D130</f>
        <v>66</v>
      </c>
      <c r="E395" s="1" t="str">
        <f>Annex!K130</f>
        <v>Philippines</v>
      </c>
      <c r="F395" s="1" t="str">
        <f>Annex!L130</f>
        <v xml:space="preserve">Case 394 is a Imported case, 66 years old female Philippines (Long Term Pass holder)  and has been to Philippines . She is currently admitted at CGH . </v>
      </c>
      <c r="G395" s="2">
        <v>43911</v>
      </c>
      <c r="H395" s="1"/>
      <c r="I395" s="1"/>
      <c r="J395" s="1"/>
      <c r="K395" s="1"/>
      <c r="L395" s="1" t="str">
        <f>Annex!C130</f>
        <v xml:space="preserve">CGH </v>
      </c>
      <c r="M395" s="5" t="s">
        <v>1131</v>
      </c>
    </row>
    <row r="396" spans="1:13" ht="13.8" customHeight="1" x14ac:dyDescent="0.3">
      <c r="A396" s="6">
        <v>395</v>
      </c>
      <c r="B396" s="6" t="s">
        <v>78</v>
      </c>
      <c r="C396" s="1" t="str">
        <f>Annex!J131</f>
        <v>Male</v>
      </c>
      <c r="D396" s="1">
        <f>Annex!D131</f>
        <v>54</v>
      </c>
      <c r="E396" s="1" t="str">
        <f>Annex!K131</f>
        <v>Singaporean</v>
      </c>
      <c r="F396" s="1" t="str">
        <f>Annex!L131</f>
        <v xml:space="preserve">Case 395 is a Local unlinked case, 54 years old male Singapore Citizen  and has not been overseas. He is currently admitted at NCID . </v>
      </c>
      <c r="G396" s="2">
        <v>43911</v>
      </c>
      <c r="H396" s="1"/>
      <c r="I396" s="1"/>
      <c r="J396" s="1"/>
      <c r="K396" s="1"/>
      <c r="L396" s="1" t="str">
        <f>Annex!C131</f>
        <v xml:space="preserve">NCID </v>
      </c>
      <c r="M396" s="5" t="s">
        <v>1131</v>
      </c>
    </row>
    <row r="397" spans="1:13" ht="13.8" customHeight="1" x14ac:dyDescent="0.3">
      <c r="A397" s="6">
        <v>396</v>
      </c>
      <c r="B397" s="6" t="s">
        <v>78</v>
      </c>
      <c r="C397" s="1" t="str">
        <f>Annex!J132</f>
        <v>Male</v>
      </c>
      <c r="D397" s="1">
        <f>Annex!D132</f>
        <v>46</v>
      </c>
      <c r="E397" s="1" t="str">
        <f>Annex!K132</f>
        <v>Singaporean</v>
      </c>
      <c r="F397" s="1" t="str">
        <f>Annex!L132</f>
        <v xml:space="preserve">Case 396 is a Local unlinked case, 46 years old male Singapore Citizen  and has not been overseas. He is currently admitted at SKH . </v>
      </c>
      <c r="G397" s="2">
        <v>43911</v>
      </c>
      <c r="H397" s="1"/>
      <c r="I397" s="1"/>
      <c r="J397" s="1"/>
      <c r="K397" s="1"/>
      <c r="L397" s="1" t="str">
        <f>Annex!C132</f>
        <v xml:space="preserve">SKH </v>
      </c>
      <c r="M397" s="5" t="s">
        <v>1131</v>
      </c>
    </row>
    <row r="398" spans="1:13" ht="13.8" customHeight="1" x14ac:dyDescent="0.3">
      <c r="A398" s="6">
        <v>397</v>
      </c>
      <c r="B398" s="6" t="s">
        <v>77</v>
      </c>
      <c r="C398" s="1" t="str">
        <f>Annex!J133</f>
        <v>Male</v>
      </c>
      <c r="D398" s="1">
        <f>Annex!D133</f>
        <v>43</v>
      </c>
      <c r="E398" s="1" t="str">
        <f>Annex!K133</f>
        <v>Ireland</v>
      </c>
      <c r="F398" s="1" t="str">
        <f>Annex!L133</f>
        <v>Case 397 is a Imported  case, 43 years old male Ireland (Singapore Work Pass holder)  and has been to Ireland . He is currently admitted at NCID . Contact of Case 180</v>
      </c>
      <c r="G398" s="2">
        <v>43911</v>
      </c>
      <c r="H398" s="1"/>
      <c r="I398" s="1"/>
      <c r="J398" s="1"/>
      <c r="K398" s="1"/>
      <c r="L398" s="1" t="str">
        <f>Annex!C133</f>
        <v xml:space="preserve">NCID </v>
      </c>
      <c r="M398" s="5" t="s">
        <v>1131</v>
      </c>
    </row>
    <row r="399" spans="1:13" ht="13.8" customHeight="1" x14ac:dyDescent="0.3">
      <c r="A399" s="6">
        <v>398</v>
      </c>
      <c r="B399" s="6" t="s">
        <v>78</v>
      </c>
      <c r="C399" s="1" t="str">
        <f>Annex!J134</f>
        <v>Male</v>
      </c>
      <c r="D399" s="1">
        <f>Annex!D134</f>
        <v>57</v>
      </c>
      <c r="E399" s="1" t="str">
        <f>Annex!K134</f>
        <v>Singaporean</v>
      </c>
      <c r="F399" s="1" t="str">
        <f>Annex!L134</f>
        <v xml:space="preserve">Case 398 is a Local unlinked case, 57 years old male Singapore Permanent Resident  and has not been overseas. He is currently admitted at KTPH7 . </v>
      </c>
      <c r="G399" s="2">
        <v>43911</v>
      </c>
      <c r="H399" s="1"/>
      <c r="I399" s="1"/>
      <c r="J399" s="1"/>
      <c r="K399" s="1"/>
      <c r="L399" s="1" t="str">
        <f>Annex!C134</f>
        <v xml:space="preserve">KTPH7 </v>
      </c>
      <c r="M399" s="5" t="s">
        <v>1131</v>
      </c>
    </row>
    <row r="400" spans="1:13" ht="13.8" customHeight="1" x14ac:dyDescent="0.3">
      <c r="A400" s="6">
        <v>399</v>
      </c>
      <c r="B400" s="6" t="s">
        <v>77</v>
      </c>
      <c r="C400" s="1" t="str">
        <f>Annex!J135</f>
        <v>Female</v>
      </c>
      <c r="D400" s="1">
        <f>Annex!D135</f>
        <v>23</v>
      </c>
      <c r="E400" s="1" t="str">
        <f>Annex!K135</f>
        <v>Singaporean</v>
      </c>
      <c r="F400" s="1" t="str">
        <f>Annex!L135</f>
        <v xml:space="preserve">Case 399 is a Imported case, 23 years old female Singapore Citizen  and has been to UK . She is currently admitted at NCID . </v>
      </c>
      <c r="G400" s="2">
        <v>43911</v>
      </c>
      <c r="H400" s="1"/>
      <c r="I400" s="1"/>
      <c r="J400" s="1"/>
      <c r="K400" s="1"/>
      <c r="L400" s="1" t="str">
        <f>Annex!C135</f>
        <v xml:space="preserve">NCID </v>
      </c>
      <c r="M400" s="5" t="s">
        <v>1131</v>
      </c>
    </row>
    <row r="401" spans="1:13" ht="13.8" customHeight="1" x14ac:dyDescent="0.3">
      <c r="A401" s="6">
        <v>400</v>
      </c>
      <c r="B401" s="6" t="s">
        <v>77</v>
      </c>
      <c r="C401" s="1" t="str">
        <f>Annex!J136</f>
        <v>Male</v>
      </c>
      <c r="D401" s="1">
        <f>Annex!D136</f>
        <v>56</v>
      </c>
      <c r="E401" s="1" t="str">
        <f>Annex!K136</f>
        <v>Singaporean</v>
      </c>
      <c r="F401" s="1" t="str">
        <f>Annex!L136</f>
        <v xml:space="preserve">Case 400 is a Imported case, 56 years old male Singapore Citizen  and has been to UK . He is currently admitted at NCID . </v>
      </c>
      <c r="G401" s="2">
        <v>43911</v>
      </c>
      <c r="H401" s="1"/>
      <c r="I401" s="1"/>
      <c r="J401" s="1"/>
      <c r="K401" s="1"/>
      <c r="L401" s="1" t="str">
        <f>Annex!C136</f>
        <v xml:space="preserve">NCID </v>
      </c>
      <c r="M401" s="5" t="s">
        <v>1131</v>
      </c>
    </row>
    <row r="402" spans="1:13" ht="13.8" customHeight="1" x14ac:dyDescent="0.3">
      <c r="A402" s="6">
        <v>401</v>
      </c>
      <c r="B402" s="6" t="s">
        <v>77</v>
      </c>
      <c r="C402" s="1" t="str">
        <f>Annex!J137</f>
        <v>Male</v>
      </c>
      <c r="D402" s="1">
        <f>Annex!D137</f>
        <v>20</v>
      </c>
      <c r="E402" s="1" t="str">
        <f>Annex!K137</f>
        <v>Singaporean</v>
      </c>
      <c r="F402" s="1" t="str">
        <f>Annex!L137</f>
        <v xml:space="preserve">Case 401 is a Imported case, 20 years old male Singapore Citizen  and has been to UK . He is currently admitted at NCID . </v>
      </c>
      <c r="G402" s="2">
        <v>43911</v>
      </c>
      <c r="H402" s="1"/>
      <c r="I402" s="1"/>
      <c r="J402" s="1"/>
      <c r="K402" s="1"/>
      <c r="L402" s="1" t="str">
        <f>Annex!C137</f>
        <v xml:space="preserve">NCID </v>
      </c>
      <c r="M402" s="5" t="s">
        <v>1131</v>
      </c>
    </row>
    <row r="403" spans="1:13" ht="13.8" customHeight="1" x14ac:dyDescent="0.3">
      <c r="A403" s="6">
        <v>402</v>
      </c>
      <c r="B403" s="6" t="s">
        <v>77</v>
      </c>
      <c r="C403" s="1" t="str">
        <f>Annex!J138</f>
        <v>Female</v>
      </c>
      <c r="D403" s="1">
        <f>Annex!D138</f>
        <v>22</v>
      </c>
      <c r="E403" s="1" t="str">
        <f>Annex!K138</f>
        <v xml:space="preserve">Indonesia Indonesia </v>
      </c>
      <c r="F403" s="1" t="str">
        <f>Annex!L138</f>
        <v xml:space="preserve">Case 402 is a Imported case, 22 years old female Indonesia Indonesia  and has not been overseas. She is currently admitted at MENH. </v>
      </c>
      <c r="G403" s="2">
        <v>43911</v>
      </c>
      <c r="H403" s="1"/>
      <c r="I403" s="1"/>
      <c r="J403" s="1"/>
      <c r="K403" s="1"/>
      <c r="L403" s="1" t="str">
        <f>Annex!C138</f>
        <v>MENH</v>
      </c>
      <c r="M403" s="5" t="s">
        <v>1131</v>
      </c>
    </row>
    <row r="404" spans="1:13" ht="13.8" customHeight="1" x14ac:dyDescent="0.3">
      <c r="A404" s="6">
        <v>403</v>
      </c>
      <c r="B404" s="6" t="s">
        <v>77</v>
      </c>
      <c r="C404" s="1" t="str">
        <f>Annex!J139</f>
        <v>Male</v>
      </c>
      <c r="D404" s="1">
        <f>Annex!D139</f>
        <v>77</v>
      </c>
      <c r="E404" s="1" t="str">
        <f>Annex!K139</f>
        <v>Indonesia</v>
      </c>
      <c r="F404" s="1" t="str">
        <f>Annex!L139</f>
        <v xml:space="preserve">Case 403 is a Imported case, 77 years old male Indonesia (Long Term Pass holder)  and has been to Indonesia . He is currently admitted at MEH . </v>
      </c>
      <c r="G404" s="2">
        <v>43911</v>
      </c>
      <c r="H404" s="1"/>
      <c r="I404" s="1"/>
      <c r="J404" s="1"/>
      <c r="K404" s="1"/>
      <c r="L404" s="1" t="str">
        <f>Annex!C139</f>
        <v xml:space="preserve">MEH </v>
      </c>
      <c r="M404" s="5" t="s">
        <v>1131</v>
      </c>
    </row>
    <row r="405" spans="1:13" ht="13.8" customHeight="1" x14ac:dyDescent="0.3">
      <c r="A405" s="6">
        <v>404</v>
      </c>
      <c r="B405" s="6" t="s">
        <v>77</v>
      </c>
      <c r="C405" s="1" t="str">
        <f>Annex!J140</f>
        <v>Male</v>
      </c>
      <c r="D405" s="1">
        <f>Annex!D140</f>
        <v>28</v>
      </c>
      <c r="E405" s="1" t="str">
        <f>Annex!K140</f>
        <v>Australia</v>
      </c>
      <c r="F405" s="1" t="str">
        <f>Annex!L140</f>
        <v xml:space="preserve">Case 404 is a Imported case, 28 years old male Australia (Long Term Pass holder)  and has been to Malaysia, Philippines . He is currently admitted at NCID . </v>
      </c>
      <c r="G405" s="2">
        <v>43911</v>
      </c>
      <c r="H405" s="1"/>
      <c r="I405" s="1"/>
      <c r="J405" s="1"/>
      <c r="K405" s="1"/>
      <c r="L405" s="1" t="str">
        <f>Annex!C140</f>
        <v xml:space="preserve">NCID </v>
      </c>
      <c r="M405" s="5" t="s">
        <v>1131</v>
      </c>
    </row>
    <row r="406" spans="1:13" ht="13.8" customHeight="1" x14ac:dyDescent="0.3">
      <c r="A406" s="6">
        <v>405</v>
      </c>
      <c r="B406" s="6" t="s">
        <v>77</v>
      </c>
      <c r="C406" s="1" t="str">
        <f>Annex!J141</f>
        <v>Male</v>
      </c>
      <c r="D406" s="1">
        <f>Annex!D141</f>
        <v>25</v>
      </c>
      <c r="E406" s="1" t="str">
        <f>Annex!K141</f>
        <v>Singaporean</v>
      </c>
      <c r="F406" s="1" t="str">
        <f>Annex!L141</f>
        <v xml:space="preserve">Case 405 is a Imported case, 25 years old male Singapore Citizen  and has been to UK . He is currently admitted at NCID . </v>
      </c>
      <c r="G406" s="2">
        <v>43911</v>
      </c>
      <c r="H406" s="1"/>
      <c r="I406" s="1"/>
      <c r="J406" s="1"/>
      <c r="K406" s="1"/>
      <c r="L406" s="1" t="str">
        <f>Annex!C141</f>
        <v xml:space="preserve">NCID </v>
      </c>
      <c r="M406" s="5" t="s">
        <v>1131</v>
      </c>
    </row>
    <row r="407" spans="1:13" ht="13.8" customHeight="1" x14ac:dyDescent="0.3">
      <c r="A407" s="6">
        <v>406</v>
      </c>
      <c r="B407" s="6" t="s">
        <v>78</v>
      </c>
      <c r="C407" s="1" t="str">
        <f>Annex!J142</f>
        <v>Female</v>
      </c>
      <c r="D407" s="1">
        <f>Annex!D142</f>
        <v>61</v>
      </c>
      <c r="E407" s="1" t="str">
        <f>Annex!K142</f>
        <v>Singaporean</v>
      </c>
      <c r="F407" s="1" t="str">
        <f>Annex!L142</f>
        <v xml:space="preserve">Case 406 is a unlinked case, 61 years old female Singapore Citizen  and has been to Local . She is currently admitted at KTPH . </v>
      </c>
      <c r="G407" s="2">
        <v>43911</v>
      </c>
      <c r="H407" s="1"/>
      <c r="I407" s="1"/>
      <c r="J407" s="1"/>
      <c r="K407" s="1"/>
      <c r="L407" s="1" t="str">
        <f>Annex!C142</f>
        <v xml:space="preserve">KTPH </v>
      </c>
      <c r="M407" s="5" t="s">
        <v>1131</v>
      </c>
    </row>
    <row r="408" spans="1:13" ht="13.8" customHeight="1" x14ac:dyDescent="0.3">
      <c r="A408" s="6">
        <v>407</v>
      </c>
      <c r="B408" s="6" t="s">
        <v>77</v>
      </c>
      <c r="C408" s="1" t="str">
        <f>Annex!J143</f>
        <v>Male</v>
      </c>
      <c r="D408" s="1">
        <f>Annex!D143</f>
        <v>25</v>
      </c>
      <c r="E408" s="1" t="str">
        <f>Annex!K143</f>
        <v xml:space="preserve">Spain </v>
      </c>
      <c r="F408" s="1" t="str">
        <f>Annex!L143</f>
        <v xml:space="preserve">Case 407 is a Imported case, 25 years old male Spain  and has been to Pending . He is currently admitted at NCID . </v>
      </c>
      <c r="G408" s="2">
        <v>43911</v>
      </c>
      <c r="H408" s="1"/>
      <c r="I408" s="1"/>
      <c r="J408" s="1"/>
      <c r="K408" s="1"/>
      <c r="L408" s="1" t="str">
        <f>Annex!C143</f>
        <v xml:space="preserve">NCID </v>
      </c>
      <c r="M408" s="5" t="s">
        <v>1131</v>
      </c>
    </row>
    <row r="409" spans="1:13" ht="13.8" customHeight="1" x14ac:dyDescent="0.3">
      <c r="A409" s="6">
        <v>408</v>
      </c>
      <c r="B409" s="6" t="s">
        <v>77</v>
      </c>
      <c r="C409" s="1" t="str">
        <f>Annex!J144</f>
        <v>Male</v>
      </c>
      <c r="D409" s="1">
        <f>Annex!D144</f>
        <v>27</v>
      </c>
      <c r="E409" s="1" t="str">
        <f>Annex!K144</f>
        <v>Singaporean</v>
      </c>
      <c r="F409" s="1" t="str">
        <f>Annex!L144</f>
        <v xml:space="preserve">Case 408 is a Imported case, 27 years old male Singapore Citizen  and has been to US . He is currently admitted at NUH . </v>
      </c>
      <c r="G409" s="2">
        <v>43911</v>
      </c>
      <c r="H409" s="1"/>
      <c r="I409" s="1"/>
      <c r="J409" s="1"/>
      <c r="K409" s="1"/>
      <c r="L409" s="1" t="str">
        <f>Annex!C144</f>
        <v xml:space="preserve">NUH </v>
      </c>
      <c r="M409" s="5" t="s">
        <v>1131</v>
      </c>
    </row>
    <row r="410" spans="1:13" ht="13.8" customHeight="1" x14ac:dyDescent="0.3">
      <c r="A410" s="6">
        <v>409</v>
      </c>
      <c r="B410" s="6" t="s">
        <v>77</v>
      </c>
      <c r="C410" s="1" t="str">
        <f>Annex!J145</f>
        <v>Female</v>
      </c>
      <c r="D410" s="1">
        <f>Annex!D145</f>
        <v>23</v>
      </c>
      <c r="E410" s="1" t="str">
        <f>Annex!K145</f>
        <v xml:space="preserve">Australia </v>
      </c>
      <c r="F410" s="1" t="str">
        <f>Annex!L145</f>
        <v xml:space="preserve">Case 409 is a Imported case, 23 years old female Australia  (Singapore Work Pass holder)  and has been to US . She is currently admitted at NUH . </v>
      </c>
      <c r="G410" s="2">
        <v>43911</v>
      </c>
      <c r="H410" s="1"/>
      <c r="I410" s="1"/>
      <c r="J410" s="1"/>
      <c r="K410" s="1"/>
      <c r="L410" s="1" t="str">
        <f>Annex!C145</f>
        <v xml:space="preserve">NUH </v>
      </c>
      <c r="M410" s="5" t="s">
        <v>1131</v>
      </c>
    </row>
    <row r="411" spans="1:13" ht="13.8" customHeight="1" x14ac:dyDescent="0.3">
      <c r="A411" s="6">
        <v>410</v>
      </c>
      <c r="B411" s="6" t="s">
        <v>77</v>
      </c>
      <c r="C411" s="1" t="str">
        <f>Annex!J146</f>
        <v>Female</v>
      </c>
      <c r="D411" s="1">
        <f>Annex!D146</f>
        <v>20</v>
      </c>
      <c r="E411" s="1" t="str">
        <f>Annex!K146</f>
        <v>Singaporean</v>
      </c>
      <c r="F411" s="1" t="str">
        <f>Annex!L146</f>
        <v xml:space="preserve">Case 410 is a Imported case, 20 years old female Singapore Citizen  and has been to UK . She is currently admitted at NCID . </v>
      </c>
      <c r="G411" s="2">
        <v>43911</v>
      </c>
      <c r="H411" s="1"/>
      <c r="I411" s="1"/>
      <c r="J411" s="1"/>
      <c r="K411" s="1"/>
      <c r="L411" s="1" t="str">
        <f>Annex!C146</f>
        <v xml:space="preserve">NCID </v>
      </c>
      <c r="M411" s="5" t="s">
        <v>1131</v>
      </c>
    </row>
    <row r="412" spans="1:13" ht="13.8" customHeight="1" x14ac:dyDescent="0.3">
      <c r="A412" s="6">
        <v>411</v>
      </c>
      <c r="B412" s="6" t="s">
        <v>77</v>
      </c>
      <c r="C412" s="1" t="str">
        <f>Annex!J147</f>
        <v>Male</v>
      </c>
      <c r="D412" s="1">
        <f>Annex!D147</f>
        <v>30</v>
      </c>
      <c r="E412" s="1" t="str">
        <f>Annex!K147</f>
        <v>Singaporean</v>
      </c>
      <c r="F412" s="1" t="str">
        <f>Annex!L147</f>
        <v xml:space="preserve">Case 411 is a Imported case, 30 years old male Singapore Citizen  and has been to UK . He is currently admitted at NCID . </v>
      </c>
      <c r="G412" s="2">
        <v>43911</v>
      </c>
      <c r="H412" s="1"/>
      <c r="I412" s="1"/>
      <c r="J412" s="1"/>
      <c r="K412" s="1"/>
      <c r="L412" s="1" t="str">
        <f>Annex!C147</f>
        <v xml:space="preserve">NCID </v>
      </c>
      <c r="M412" s="5" t="s">
        <v>1131</v>
      </c>
    </row>
    <row r="413" spans="1:13" ht="13.8" customHeight="1" x14ac:dyDescent="0.3">
      <c r="A413" s="6">
        <v>412</v>
      </c>
      <c r="B413" s="6" t="s">
        <v>77</v>
      </c>
      <c r="C413" s="1" t="str">
        <f>Annex!J148</f>
        <v>Female</v>
      </c>
      <c r="D413" s="1">
        <f>Annex!D148</f>
        <v>19</v>
      </c>
      <c r="E413" s="1" t="str">
        <f>Annex!K148</f>
        <v>Singaporean</v>
      </c>
      <c r="F413" s="1" t="str">
        <f>Annex!L148</f>
        <v xml:space="preserve">Case 412 is a Imported case, 19 years old female Singapore Citizen  and has been to UK . She is currently admitted at NCID . </v>
      </c>
      <c r="G413" s="2">
        <v>43911</v>
      </c>
      <c r="H413" s="1"/>
      <c r="I413" s="1"/>
      <c r="J413" s="1"/>
      <c r="K413" s="1"/>
      <c r="L413" s="1" t="str">
        <f>Annex!C148</f>
        <v xml:space="preserve">NCID </v>
      </c>
      <c r="M413" s="5" t="s">
        <v>1131</v>
      </c>
    </row>
    <row r="414" spans="1:13" ht="13.8" customHeight="1" x14ac:dyDescent="0.3">
      <c r="A414" s="6">
        <v>413</v>
      </c>
      <c r="B414" s="6" t="s">
        <v>77</v>
      </c>
      <c r="C414" s="1" t="str">
        <f>Annex!J149</f>
        <v>Male</v>
      </c>
      <c r="D414" s="1">
        <f>Annex!D149</f>
        <v>29</v>
      </c>
      <c r="E414" s="1" t="str">
        <f>Annex!K149</f>
        <v>Singaporean</v>
      </c>
      <c r="F414" s="1" t="str">
        <f>Annex!L149</f>
        <v xml:space="preserve">Case 413 is a Imported case, 29 years old male Singapore Citizen  and has been to Switzerland . He is currently admitted at NCID . </v>
      </c>
      <c r="G414" s="2">
        <v>43911</v>
      </c>
      <c r="H414" s="1"/>
      <c r="I414" s="1"/>
      <c r="J414" s="1"/>
      <c r="K414" s="1"/>
      <c r="L414" s="1" t="str">
        <f>Annex!C149</f>
        <v xml:space="preserve">NCID </v>
      </c>
      <c r="M414" s="5" t="s">
        <v>1131</v>
      </c>
    </row>
    <row r="415" spans="1:13" ht="13.8" customHeight="1" x14ac:dyDescent="0.3">
      <c r="A415" s="6">
        <v>414</v>
      </c>
      <c r="B415" s="6" t="s">
        <v>77</v>
      </c>
      <c r="C415" s="1" t="str">
        <f>Annex!J150</f>
        <v>Male</v>
      </c>
      <c r="D415" s="1">
        <f>Annex!D150</f>
        <v>37</v>
      </c>
      <c r="E415" s="1" t="str">
        <f>Annex!K150</f>
        <v>Australia</v>
      </c>
      <c r="F415" s="1" t="str">
        <f>Annex!L150</f>
        <v xml:space="preserve">Case 414 is a Imported case, 37 years old male Australia (Long Term Pass holder)  and has been to US . He is currently admitted at NCID . </v>
      </c>
      <c r="G415" s="2">
        <v>43911</v>
      </c>
      <c r="H415" s="1"/>
      <c r="I415" s="1"/>
      <c r="J415" s="1"/>
      <c r="K415" s="1"/>
      <c r="L415" s="1" t="str">
        <f>Annex!C150</f>
        <v xml:space="preserve">NCID </v>
      </c>
      <c r="M415" s="5" t="s">
        <v>1131</v>
      </c>
    </row>
    <row r="416" spans="1:13" ht="13.8" customHeight="1" x14ac:dyDescent="0.3">
      <c r="A416" s="6">
        <v>415</v>
      </c>
      <c r="B416" s="6" t="s">
        <v>77</v>
      </c>
      <c r="C416" s="1" t="str">
        <f>Annex!J151</f>
        <v>Female</v>
      </c>
      <c r="D416" s="1">
        <f>Annex!D151</f>
        <v>64</v>
      </c>
      <c r="E416" s="1" t="str">
        <f>Annex!K151</f>
        <v xml:space="preserve">Indonesia </v>
      </c>
      <c r="F416" s="1" t="str">
        <f>Annex!L151</f>
        <v>Case 415 is a Imported  case, 64 years old female Indonesia  and has been to Indonesia . She is currently admitted at NCID . Family member of Case 212</v>
      </c>
      <c r="G416" s="2">
        <v>43911</v>
      </c>
      <c r="H416" s="1"/>
      <c r="I416" s="1"/>
      <c r="J416" s="1"/>
      <c r="K416" s="1"/>
      <c r="L416" s="1" t="str">
        <f>Annex!C151</f>
        <v xml:space="preserve">NCID </v>
      </c>
      <c r="M416" s="5" t="s">
        <v>1131</v>
      </c>
    </row>
    <row r="417" spans="1:13" ht="13.8" customHeight="1" x14ac:dyDescent="0.3">
      <c r="A417" s="6">
        <v>416</v>
      </c>
      <c r="B417" s="6" t="s">
        <v>77</v>
      </c>
      <c r="C417" s="1" t="str">
        <f>Annex!J152</f>
        <v>Male</v>
      </c>
      <c r="D417" s="1">
        <f>Annex!D152</f>
        <v>21</v>
      </c>
      <c r="E417" s="1" t="str">
        <f>Annex!K152</f>
        <v>Singaporean</v>
      </c>
      <c r="F417" s="1" t="str">
        <f>Annex!L152</f>
        <v xml:space="preserve">Case 416 is a Imported case, 21 years old male Singapore Citizen  and has been to UK . He is currently admitted at NCID . </v>
      </c>
      <c r="G417" s="2">
        <v>43911</v>
      </c>
      <c r="H417" s="1"/>
      <c r="I417" s="1"/>
      <c r="J417" s="1"/>
      <c r="K417" s="1"/>
      <c r="L417" s="1" t="str">
        <f>Annex!C152</f>
        <v xml:space="preserve">NCID </v>
      </c>
      <c r="M417" s="5" t="s">
        <v>1131</v>
      </c>
    </row>
    <row r="418" spans="1:13" ht="13.8" customHeight="1" x14ac:dyDescent="0.3">
      <c r="A418" s="6">
        <v>417</v>
      </c>
      <c r="B418" s="6" t="s">
        <v>77</v>
      </c>
      <c r="C418" s="1" t="str">
        <f>Annex!J153</f>
        <v>Female</v>
      </c>
      <c r="D418" s="1">
        <f>Annex!D153</f>
        <v>18</v>
      </c>
      <c r="E418" s="1" t="str">
        <f>Annex!K153</f>
        <v>France</v>
      </c>
      <c r="F418" s="1" t="str">
        <f>Annex!L153</f>
        <v xml:space="preserve">Case 417 is a Imported case, 18 years old female France (Long Term Pass holder)  and has been to UK . She is currently admitted at NCID . </v>
      </c>
      <c r="G418" s="2">
        <v>43911</v>
      </c>
      <c r="H418" s="1"/>
      <c r="I418" s="1"/>
      <c r="J418" s="1"/>
      <c r="K418" s="1"/>
      <c r="L418" s="1" t="str">
        <f>Annex!C153</f>
        <v xml:space="preserve">NCID </v>
      </c>
      <c r="M418" s="5" t="s">
        <v>1131</v>
      </c>
    </row>
    <row r="419" spans="1:13" ht="13.8" customHeight="1" x14ac:dyDescent="0.3">
      <c r="A419" s="6">
        <v>418</v>
      </c>
      <c r="B419" s="6" t="s">
        <v>77</v>
      </c>
      <c r="C419" s="1" t="str">
        <f>Annex!J154</f>
        <v>Male</v>
      </c>
      <c r="D419" s="1">
        <f>Annex!D154</f>
        <v>44</v>
      </c>
      <c r="E419" s="1" t="str">
        <f>Annex!K154</f>
        <v>Singaporean</v>
      </c>
      <c r="F419" s="1" t="str">
        <f>Annex!L154</f>
        <v xml:space="preserve">Case 418 is a Imported  case, 44 years old male Singapore Permanent Resident  and has been to US . He is currently admitted at NCID . </v>
      </c>
      <c r="G419" s="2">
        <v>43911</v>
      </c>
      <c r="H419" s="1"/>
      <c r="I419" s="1"/>
      <c r="J419" s="1"/>
      <c r="K419" s="1"/>
      <c r="L419" s="1" t="str">
        <f>Annex!C154</f>
        <v xml:space="preserve">NCID </v>
      </c>
      <c r="M419" s="5" t="s">
        <v>1131</v>
      </c>
    </row>
    <row r="420" spans="1:13" ht="13.8" customHeight="1" x14ac:dyDescent="0.3">
      <c r="A420" s="6">
        <v>419</v>
      </c>
      <c r="B420" s="6" t="s">
        <v>77</v>
      </c>
      <c r="C420" s="1" t="str">
        <f>Annex!J155</f>
        <v>Male</v>
      </c>
      <c r="D420" s="1">
        <f>Annex!D155</f>
        <v>45</v>
      </c>
      <c r="E420" s="1" t="str">
        <f>Annex!K155</f>
        <v xml:space="preserve">Netherlands </v>
      </c>
      <c r="F420" s="1" t="str">
        <f>Annex!L155</f>
        <v xml:space="preserve">Case 419 is a Imported case, 45 years old male Netherlands  and has been to Pending . He is currently admitted at NCID . </v>
      </c>
      <c r="G420" s="2">
        <v>43911</v>
      </c>
      <c r="H420" s="1"/>
      <c r="I420" s="1"/>
      <c r="J420" s="1"/>
      <c r="K420" s="1"/>
      <c r="L420" s="1" t="str">
        <f>Annex!C155</f>
        <v xml:space="preserve">NCID </v>
      </c>
      <c r="M420" s="5" t="s">
        <v>1131</v>
      </c>
    </row>
    <row r="421" spans="1:13" ht="13.8" customHeight="1" x14ac:dyDescent="0.3">
      <c r="A421" s="6">
        <v>420</v>
      </c>
      <c r="B421" s="6" t="s">
        <v>77</v>
      </c>
      <c r="C421" s="1" t="str">
        <f>Annex!J156</f>
        <v>Female</v>
      </c>
      <c r="D421" s="1">
        <f>Annex!D156</f>
        <v>21</v>
      </c>
      <c r="E421" s="1" t="str">
        <f>Annex!K156</f>
        <v>Singaporean</v>
      </c>
      <c r="F421" s="1" t="str">
        <f>Annex!L156</f>
        <v xml:space="preserve">Case 420 is a Imported case, 21 years old female Singapore Citizen  and has been to UK . She is currently admitted at NCID . </v>
      </c>
      <c r="G421" s="2">
        <v>43911</v>
      </c>
      <c r="H421" s="1"/>
      <c r="I421" s="1"/>
      <c r="J421" s="1"/>
      <c r="K421" s="1"/>
      <c r="L421" s="1" t="str">
        <f>Annex!C156</f>
        <v xml:space="preserve">NCID </v>
      </c>
      <c r="M421" s="5" t="s">
        <v>1131</v>
      </c>
    </row>
    <row r="422" spans="1:13" ht="13.8" customHeight="1" x14ac:dyDescent="0.3">
      <c r="A422" s="6">
        <v>421</v>
      </c>
      <c r="B422" s="6" t="s">
        <v>77</v>
      </c>
      <c r="C422" s="1" t="str">
        <f>Annex!J157</f>
        <v>Male</v>
      </c>
      <c r="D422" s="1">
        <f>Annex!D157</f>
        <v>23</v>
      </c>
      <c r="E422" s="1" t="str">
        <f>Annex!K157</f>
        <v>Singaporean</v>
      </c>
      <c r="F422" s="1" t="str">
        <f>Annex!L157</f>
        <v xml:space="preserve">Case 421 is a Imported case, 23 years old male Singapore Citizen  and has been to UK . He is currently admitted at NCID . </v>
      </c>
      <c r="G422" s="2">
        <v>43911</v>
      </c>
      <c r="H422" s="1"/>
      <c r="I422" s="1"/>
      <c r="J422" s="1"/>
      <c r="K422" s="1"/>
      <c r="L422" s="1" t="str">
        <f>Annex!C157</f>
        <v xml:space="preserve">NCID </v>
      </c>
      <c r="M422" s="5" t="s">
        <v>1131</v>
      </c>
    </row>
    <row r="423" spans="1:13" ht="13.8" customHeight="1" x14ac:dyDescent="0.3">
      <c r="A423" s="6">
        <v>422</v>
      </c>
      <c r="B423" s="6" t="s">
        <v>77</v>
      </c>
      <c r="C423" s="1" t="str">
        <f>Annex!J158</f>
        <v>Female</v>
      </c>
      <c r="D423" s="1">
        <f>Annex!D158</f>
        <v>56</v>
      </c>
      <c r="E423" s="1" t="str">
        <f>Annex!K158</f>
        <v>Singaporean</v>
      </c>
      <c r="F423" s="1" t="str">
        <f>Annex!L158</f>
        <v xml:space="preserve">Case 422 is a Imported case, 56 years old female Singapore Citizen  and has been to US . She is currently admitted at NCID . </v>
      </c>
      <c r="G423" s="2">
        <v>43911</v>
      </c>
      <c r="H423" s="1"/>
      <c r="I423" s="1"/>
      <c r="J423" s="1"/>
      <c r="K423" s="1"/>
      <c r="L423" s="1" t="str">
        <f>Annex!C158</f>
        <v xml:space="preserve">NCID </v>
      </c>
      <c r="M423" s="5" t="s">
        <v>1131</v>
      </c>
    </row>
    <row r="424" spans="1:13" ht="13.8" customHeight="1" x14ac:dyDescent="0.3">
      <c r="A424" s="6">
        <v>423</v>
      </c>
      <c r="B424" s="6" t="s">
        <v>77</v>
      </c>
      <c r="C424" s="1" t="str">
        <f>Annex!J159</f>
        <v>Male</v>
      </c>
      <c r="D424" s="1">
        <f>Annex!D159</f>
        <v>24</v>
      </c>
      <c r="E424" s="1" t="str">
        <f>Annex!K159</f>
        <v>Singaporean</v>
      </c>
      <c r="F424" s="1" t="str">
        <f>Annex!L159</f>
        <v xml:space="preserve">Case 423 is a Imported case, 24 years old male Singapore Citizen  and has been to Ireland . He is currently admitted at NCID . </v>
      </c>
      <c r="G424" s="2">
        <v>43911</v>
      </c>
      <c r="H424" s="1"/>
      <c r="I424" s="1"/>
      <c r="J424" s="1"/>
      <c r="K424" s="1"/>
      <c r="L424" s="1" t="str">
        <f>Annex!C159</f>
        <v xml:space="preserve">NCID </v>
      </c>
      <c r="M424" s="5" t="s">
        <v>1131</v>
      </c>
    </row>
    <row r="425" spans="1:13" ht="13.8" customHeight="1" x14ac:dyDescent="0.3">
      <c r="A425" s="6">
        <v>424</v>
      </c>
      <c r="B425" s="6" t="s">
        <v>77</v>
      </c>
      <c r="C425" s="1" t="str">
        <f>Annex!J160</f>
        <v>Male</v>
      </c>
      <c r="D425" s="1">
        <f>Annex!D160</f>
        <v>24</v>
      </c>
      <c r="E425" s="1" t="str">
        <f>Annex!K160</f>
        <v>Singaporean</v>
      </c>
      <c r="F425" s="1" t="str">
        <f>Annex!L160</f>
        <v>Case 424 is a Imported  case, 24 years old male Singapore Citizen  and has been to US . He is currently admitted at CGH . Contact of Case 425</v>
      </c>
      <c r="G425" s="2">
        <v>43911</v>
      </c>
      <c r="H425" s="1"/>
      <c r="I425" s="1"/>
      <c r="J425" s="1"/>
      <c r="K425" s="1"/>
      <c r="L425" s="1" t="str">
        <f>Annex!C160</f>
        <v xml:space="preserve">CGH </v>
      </c>
      <c r="M425" s="5" t="s">
        <v>1131</v>
      </c>
    </row>
    <row r="426" spans="1:13" ht="13.8" customHeight="1" x14ac:dyDescent="0.3">
      <c r="A426" s="6">
        <v>425</v>
      </c>
      <c r="B426" s="6" t="s">
        <v>77</v>
      </c>
      <c r="C426" s="1" t="str">
        <f>Annex!J161</f>
        <v>Female</v>
      </c>
      <c r="D426" s="1">
        <f>Annex!D161</f>
        <v>21</v>
      </c>
      <c r="E426" s="1" t="str">
        <f>Annex!K161</f>
        <v>Singaporean</v>
      </c>
      <c r="F426" s="1" t="str">
        <f>Annex!L161</f>
        <v>Case 425 is a Imported  case, 21 years old female Singapore Citizen  and has been to US . She is currently admitted at CGH . Contact of Case 424</v>
      </c>
      <c r="G426" s="2">
        <v>43911</v>
      </c>
      <c r="H426" s="1"/>
      <c r="I426" s="1"/>
      <c r="J426" s="1"/>
      <c r="K426" s="1"/>
      <c r="L426" s="1" t="str">
        <f>Annex!C161</f>
        <v xml:space="preserve">CGH </v>
      </c>
      <c r="M426" s="5" t="s">
        <v>1131</v>
      </c>
    </row>
    <row r="427" spans="1:13" ht="13.8" customHeight="1" x14ac:dyDescent="0.3">
      <c r="A427" s="6">
        <v>426</v>
      </c>
      <c r="B427" s="6" t="s">
        <v>78</v>
      </c>
      <c r="C427" s="1" t="str">
        <f>Annex!J162</f>
        <v>Female</v>
      </c>
      <c r="D427" s="1">
        <f>Annex!D162</f>
        <v>55</v>
      </c>
      <c r="E427" s="1" t="str">
        <f>Annex!K162</f>
        <v>Singaporean</v>
      </c>
      <c r="F427" s="1" t="str">
        <f>Annex!L162</f>
        <v xml:space="preserve">Case 426 is a Local Unlinked case, 55 years old female Singapore Citizen  and has not been overseas. She is currently admitted at NCID . </v>
      </c>
      <c r="G427" s="2">
        <v>43911</v>
      </c>
      <c r="H427" s="1"/>
      <c r="I427" s="1"/>
      <c r="J427" s="1"/>
      <c r="K427" s="1"/>
      <c r="L427" s="1" t="str">
        <f>Annex!C162</f>
        <v xml:space="preserve">NCID </v>
      </c>
      <c r="M427" s="5" t="s">
        <v>1131</v>
      </c>
    </row>
    <row r="428" spans="1:13" ht="13.8" customHeight="1" x14ac:dyDescent="0.3">
      <c r="A428" s="6">
        <v>427</v>
      </c>
      <c r="B428" s="6" t="s">
        <v>77</v>
      </c>
      <c r="C428" s="1" t="str">
        <f>Annex!J163</f>
        <v>Male</v>
      </c>
      <c r="D428" s="1">
        <f>Annex!D163</f>
        <v>39</v>
      </c>
      <c r="E428" s="1" t="str">
        <f>Annex!K163</f>
        <v>Singaporean</v>
      </c>
      <c r="F428" s="1" t="str">
        <f>Annex!L163</f>
        <v xml:space="preserve">Case 427 is a Imported case, 39 years old male Singapore Citizen  and has been to US . He is currently admitted at NCID . </v>
      </c>
      <c r="G428" s="2">
        <v>43911</v>
      </c>
      <c r="H428" s="1"/>
      <c r="I428" s="1"/>
      <c r="J428" s="1"/>
      <c r="K428" s="1"/>
      <c r="L428" s="1" t="str">
        <f>Annex!C163</f>
        <v xml:space="preserve">NCID </v>
      </c>
      <c r="M428" s="5" t="s">
        <v>1131</v>
      </c>
    </row>
    <row r="429" spans="1:13" ht="13.8" customHeight="1" x14ac:dyDescent="0.3">
      <c r="A429" s="6">
        <v>428</v>
      </c>
      <c r="B429" s="6" t="s">
        <v>77</v>
      </c>
      <c r="C429" s="1" t="str">
        <f>Annex!J164</f>
        <v>Male</v>
      </c>
      <c r="D429" s="1">
        <f>Annex!D164</f>
        <v>22</v>
      </c>
      <c r="E429" s="1" t="str">
        <f>Annex!K164</f>
        <v>Singaporean</v>
      </c>
      <c r="F429" s="1" t="str">
        <f>Annex!L164</f>
        <v xml:space="preserve">Case 428 is a Imported case, 22 years old male Singapore Citizen  and has been to UK . He is currently admitted at NCID . </v>
      </c>
      <c r="G429" s="2">
        <v>43911</v>
      </c>
      <c r="H429" s="1"/>
      <c r="I429" s="1"/>
      <c r="J429" s="1"/>
      <c r="K429" s="1"/>
      <c r="L429" s="1" t="str">
        <f>Annex!C164</f>
        <v xml:space="preserve">NCID </v>
      </c>
      <c r="M429" s="5" t="s">
        <v>1131</v>
      </c>
    </row>
    <row r="430" spans="1:13" ht="13.8" customHeight="1" x14ac:dyDescent="0.3">
      <c r="A430" s="6">
        <v>429</v>
      </c>
      <c r="B430" s="6" t="s">
        <v>77</v>
      </c>
      <c r="C430" s="1" t="str">
        <f>Annex!J165</f>
        <v>Female</v>
      </c>
      <c r="D430" s="1">
        <f>Annex!D165</f>
        <v>31</v>
      </c>
      <c r="E430" s="1" t="str">
        <f>Annex!K165</f>
        <v>Singaporean</v>
      </c>
      <c r="F430" s="1" t="str">
        <f>Annex!L165</f>
        <v xml:space="preserve">Case 429 is a Imported case, 31 years old female Singapore Citizen  and has been to Germany, UK . She is currently admitted at NCID . </v>
      </c>
      <c r="G430" s="2">
        <v>43911</v>
      </c>
      <c r="H430" s="1"/>
      <c r="I430" s="1"/>
      <c r="J430" s="1"/>
      <c r="K430" s="1"/>
      <c r="L430" s="1" t="str">
        <f>Annex!C165</f>
        <v xml:space="preserve">NCID </v>
      </c>
      <c r="M430" s="5" t="s">
        <v>1131</v>
      </c>
    </row>
    <row r="431" spans="1:13" ht="13.8" customHeight="1" x14ac:dyDescent="0.3">
      <c r="A431" s="6">
        <v>430</v>
      </c>
      <c r="B431" s="6" t="s">
        <v>78</v>
      </c>
      <c r="C431" s="1" t="str">
        <f>Annex!J166</f>
        <v>Female</v>
      </c>
      <c r="D431" s="1">
        <f>Annex!D166</f>
        <v>59</v>
      </c>
      <c r="E431" s="1" t="str">
        <f>Annex!K166</f>
        <v>Singaporean</v>
      </c>
      <c r="F431" s="1" t="str">
        <f>Annex!L166</f>
        <v>Case 430 is a Local linked  case, 59 years old female Singapore Citizen  and has not been overseas. She is currently admitted at NCID . Family member of Case 350</v>
      </c>
      <c r="G431" s="2">
        <v>43911</v>
      </c>
      <c r="H431" s="1"/>
      <c r="I431" s="1"/>
      <c r="J431" s="1"/>
      <c r="K431" s="1"/>
      <c r="L431" s="1" t="str">
        <f>Annex!C166</f>
        <v xml:space="preserve">NCID </v>
      </c>
      <c r="M431" s="5" t="s">
        <v>1131</v>
      </c>
    </row>
    <row r="432" spans="1:13" ht="13.8" customHeight="1" x14ac:dyDescent="0.3">
      <c r="A432" s="6">
        <v>431</v>
      </c>
      <c r="B432" s="6" t="s">
        <v>77</v>
      </c>
      <c r="C432" s="1" t="str">
        <f>Annex!J167</f>
        <v>Male</v>
      </c>
      <c r="D432" s="1">
        <f>Annex!D167</f>
        <v>58</v>
      </c>
      <c r="E432" s="1" t="str">
        <f>Annex!K167</f>
        <v>Singaporean</v>
      </c>
      <c r="F432" s="1" t="str">
        <f>Annex!L167</f>
        <v xml:space="preserve">Case 431 is a Imported case, 58 years old male Singapore Citizen  and has been to UK . He is currently admitted at NCID . </v>
      </c>
      <c r="G432" s="2">
        <v>43911</v>
      </c>
      <c r="H432" s="1"/>
      <c r="I432" s="1"/>
      <c r="J432" s="1"/>
      <c r="K432" s="1"/>
      <c r="L432" s="1" t="str">
        <f>Annex!C167</f>
        <v xml:space="preserve">NCID </v>
      </c>
      <c r="M432" s="5" t="s">
        <v>1131</v>
      </c>
    </row>
    <row r="433" spans="1:13" ht="13.8" customHeight="1" x14ac:dyDescent="0.3">
      <c r="A433" s="6">
        <v>432</v>
      </c>
      <c r="B433" s="6" t="s">
        <v>77</v>
      </c>
      <c r="C433" s="1" t="str">
        <f>Annex!J168</f>
        <v>Female</v>
      </c>
      <c r="D433" s="1">
        <f>Annex!D168</f>
        <v>53</v>
      </c>
      <c r="E433" s="1" t="str">
        <f>Annex!K168</f>
        <v>UK</v>
      </c>
      <c r="F433" s="1" t="str">
        <f>Annex!L168</f>
        <v xml:space="preserve">Case 432 is a Imported  case, 53 years old female UK (Long Term Pass holder)  and has been to Indonesia . She is currently admitted at NCID . </v>
      </c>
      <c r="G433" s="2">
        <v>43911</v>
      </c>
      <c r="H433" s="1"/>
      <c r="I433" s="1"/>
      <c r="J433" s="1"/>
      <c r="K433" s="1"/>
      <c r="L433" s="1" t="str">
        <f>Annex!C168</f>
        <v xml:space="preserve">NCID </v>
      </c>
      <c r="M433" s="5" t="s">
        <v>1131</v>
      </c>
    </row>
    <row r="434" spans="1:13" ht="13.8" customHeight="1" x14ac:dyDescent="0.3">
      <c r="A434" s="6">
        <v>433</v>
      </c>
      <c r="B434" s="6" t="s">
        <v>77</v>
      </c>
      <c r="C434" s="1" t="str">
        <f>Annex!J169</f>
        <v>Male</v>
      </c>
      <c r="D434" s="1">
        <f>Annex!D169</f>
        <v>24</v>
      </c>
      <c r="E434" s="1" t="str">
        <f>Annex!K169</f>
        <v>Singaporean</v>
      </c>
      <c r="F434" s="1" t="str">
        <f>Annex!L169</f>
        <v xml:space="preserve">Case 433 is a Imported case, 24 years old male Singapore Citizen  and has been to Canada . He is currently admitted at KTPH . </v>
      </c>
      <c r="G434" s="2">
        <v>43912</v>
      </c>
      <c r="H434" s="1"/>
      <c r="I434" s="1"/>
      <c r="J434" s="1"/>
      <c r="K434" s="1"/>
      <c r="L434" s="1" t="str">
        <f>Annex!C169</f>
        <v xml:space="preserve">KTPH </v>
      </c>
      <c r="M434" s="5" t="s">
        <v>1134</v>
      </c>
    </row>
    <row r="435" spans="1:13" ht="13.8" customHeight="1" x14ac:dyDescent="0.3">
      <c r="A435" s="6">
        <v>434</v>
      </c>
      <c r="B435" s="6" t="s">
        <v>78</v>
      </c>
      <c r="C435" s="1" t="str">
        <f>Annex!J170</f>
        <v>Male</v>
      </c>
      <c r="D435" s="1">
        <f>Annex!D170</f>
        <v>36</v>
      </c>
      <c r="E435" s="1" t="str">
        <f>Annex!K170</f>
        <v>Singaporean</v>
      </c>
      <c r="F435" s="1" t="str">
        <f>Annex!L170</f>
        <v xml:space="preserve">Case 434 is a Local unlinked case, 36 years old male Singapore Citizen  and has been to Malaysia . He is currently admitted at NCID . </v>
      </c>
      <c r="G435" s="2">
        <v>43912</v>
      </c>
      <c r="H435" s="1"/>
      <c r="I435" s="1"/>
      <c r="J435" s="1"/>
      <c r="K435" s="1"/>
      <c r="L435" s="1" t="str">
        <f>Annex!C170</f>
        <v xml:space="preserve">NCID </v>
      </c>
      <c r="M435" s="5" t="s">
        <v>1134</v>
      </c>
    </row>
    <row r="436" spans="1:13" ht="13.8" customHeight="1" x14ac:dyDescent="0.3">
      <c r="A436" s="6">
        <v>435</v>
      </c>
      <c r="B436" s="6" t="s">
        <v>77</v>
      </c>
      <c r="C436" s="1" t="str">
        <f>Annex!J171</f>
        <v>Female</v>
      </c>
      <c r="D436" s="1">
        <f>Annex!D171</f>
        <v>30</v>
      </c>
      <c r="E436" s="1" t="str">
        <f>Annex!K171</f>
        <v>Singaporean</v>
      </c>
      <c r="F436" s="1" t="str">
        <f>Annex!L171</f>
        <v xml:space="preserve">Case 435 is a Imported case, 30 years old female Singapore Citizen  and has been to Malaysia . She is currently admitted at NCID . </v>
      </c>
      <c r="G436" s="2">
        <v>43912</v>
      </c>
      <c r="H436" s="1"/>
      <c r="I436" s="1"/>
      <c r="J436" s="1"/>
      <c r="K436" s="1"/>
      <c r="L436" s="1" t="str">
        <f>Annex!C171</f>
        <v xml:space="preserve">NCID </v>
      </c>
      <c r="M436" s="5" t="s">
        <v>1134</v>
      </c>
    </row>
    <row r="437" spans="1:13" ht="13.8" customHeight="1" x14ac:dyDescent="0.3">
      <c r="A437" s="6">
        <v>436</v>
      </c>
      <c r="B437" s="6" t="s">
        <v>77</v>
      </c>
      <c r="C437" s="1" t="str">
        <f>Annex!J172</f>
        <v>Male</v>
      </c>
      <c r="D437" s="1">
        <f>Annex!D172</f>
        <v>46</v>
      </c>
      <c r="E437" s="1" t="str">
        <f>Annex!K172</f>
        <v>Singaporean</v>
      </c>
      <c r="F437" s="1" t="str">
        <f>Annex!L172</f>
        <v xml:space="preserve">Case 436 is a Imported case, 46 years old male Singapore Citizen  and has been to Philippines . He is currently admitted at NCID . </v>
      </c>
      <c r="G437" s="2">
        <v>43912</v>
      </c>
      <c r="H437" s="1"/>
      <c r="I437" s="1"/>
      <c r="J437" s="1"/>
      <c r="K437" s="1"/>
      <c r="L437" s="1" t="str">
        <f>Annex!C172</f>
        <v xml:space="preserve">NCID </v>
      </c>
      <c r="M437" s="5" t="s">
        <v>1134</v>
      </c>
    </row>
    <row r="438" spans="1:13" ht="13.8" customHeight="1" x14ac:dyDescent="0.3">
      <c r="A438" s="6">
        <v>437</v>
      </c>
      <c r="B438" s="6" t="s">
        <v>77</v>
      </c>
      <c r="C438" s="1" t="str">
        <f>Annex!J173</f>
        <v>Male</v>
      </c>
      <c r="D438" s="1">
        <f>Annex!D173</f>
        <v>33</v>
      </c>
      <c r="E438" s="1" t="str">
        <f>Annex!K173</f>
        <v>UK</v>
      </c>
      <c r="F438" s="1" t="str">
        <f>Annex!L173</f>
        <v xml:space="preserve">Case 437 is a Imported case, 33 years old male UK (Singapore Work Pass holder)  and has been to Demark, Switzerland, France . He is currently admitted at SGH . </v>
      </c>
      <c r="G438" s="2">
        <v>43912</v>
      </c>
      <c r="H438" s="1"/>
      <c r="I438" s="1"/>
      <c r="J438" s="1"/>
      <c r="K438" s="1"/>
      <c r="L438" s="1" t="str">
        <f>Annex!C173</f>
        <v xml:space="preserve">SGH </v>
      </c>
      <c r="M438" s="5" t="s">
        <v>1134</v>
      </c>
    </row>
    <row r="439" spans="1:13" ht="13.8" customHeight="1" x14ac:dyDescent="0.3">
      <c r="A439" s="6">
        <v>438</v>
      </c>
      <c r="B439" s="6" t="s">
        <v>77</v>
      </c>
      <c r="C439" s="1" t="str">
        <f>Annex!J174</f>
        <v>Female</v>
      </c>
      <c r="D439" s="1">
        <f>Annex!D174</f>
        <v>55</v>
      </c>
      <c r="E439" s="1" t="str">
        <f>Annex!K174</f>
        <v xml:space="preserve">US </v>
      </c>
      <c r="F439" s="1" t="str">
        <f>Annex!L174</f>
        <v xml:space="preserve">Case 438 is a Imported case, 55 years old female US  and has been to US . She is currently admitted at SGH . </v>
      </c>
      <c r="G439" s="2">
        <v>43912</v>
      </c>
      <c r="H439" s="1"/>
      <c r="I439" s="1"/>
      <c r="J439" s="1"/>
      <c r="K439" s="1"/>
      <c r="L439" s="1" t="str">
        <f>Annex!C174</f>
        <v xml:space="preserve">SGH </v>
      </c>
      <c r="M439" s="5" t="s">
        <v>1134</v>
      </c>
    </row>
    <row r="440" spans="1:13" ht="13.8" customHeight="1" x14ac:dyDescent="0.3">
      <c r="A440" s="6">
        <v>439</v>
      </c>
      <c r="B440" s="6" t="s">
        <v>77</v>
      </c>
      <c r="C440" s="1" t="str">
        <f>Annex!J175</f>
        <v>Female</v>
      </c>
      <c r="D440" s="1">
        <f>Annex!D175</f>
        <v>55</v>
      </c>
      <c r="E440" s="1" t="str">
        <f>Annex!K175</f>
        <v>Denmark</v>
      </c>
      <c r="F440" s="1" t="str">
        <f>Annex!L175</f>
        <v xml:space="preserve">Case 439 is a Imported case, 55 years old female Denmark (Long Term Pass holder)  and has been to Denmark . She is currently admitted at NCID . </v>
      </c>
      <c r="G440" s="2">
        <v>43912</v>
      </c>
      <c r="H440" s="1"/>
      <c r="I440" s="1"/>
      <c r="J440" s="1"/>
      <c r="K440" s="1"/>
      <c r="L440" s="1" t="str">
        <f>Annex!C175</f>
        <v xml:space="preserve">NCID </v>
      </c>
      <c r="M440" s="5" t="s">
        <v>1134</v>
      </c>
    </row>
    <row r="441" spans="1:13" ht="13.8" customHeight="1" x14ac:dyDescent="0.3">
      <c r="A441" s="6">
        <v>440</v>
      </c>
      <c r="B441" s="6" t="s">
        <v>77</v>
      </c>
      <c r="C441" s="1" t="str">
        <f>Annex!J176</f>
        <v>Male</v>
      </c>
      <c r="D441" s="1">
        <f>Annex!D176</f>
        <v>55</v>
      </c>
      <c r="E441" s="1" t="str">
        <f>Annex!K176</f>
        <v>Singaporean</v>
      </c>
      <c r="F441" s="1" t="str">
        <f>Annex!L176</f>
        <v xml:space="preserve">Case 440 is a Imported case, 55 years old male Singapore Citizen  and has been to UK . He is currently admitted at NCID . </v>
      </c>
      <c r="G441" s="2">
        <v>43912</v>
      </c>
      <c r="H441" s="1"/>
      <c r="I441" s="1"/>
      <c r="J441" s="1"/>
      <c r="K441" s="1"/>
      <c r="L441" s="1" t="str">
        <f>Annex!C176</f>
        <v xml:space="preserve">NCID </v>
      </c>
      <c r="M441" s="5" t="s">
        <v>1134</v>
      </c>
    </row>
    <row r="442" spans="1:13" ht="13.8" customHeight="1" x14ac:dyDescent="0.3">
      <c r="A442" s="6">
        <v>441</v>
      </c>
      <c r="B442" s="6" t="s">
        <v>77</v>
      </c>
      <c r="C442" s="1" t="str">
        <f>Annex!J177</f>
        <v>Female</v>
      </c>
      <c r="D442" s="1">
        <f>Annex!D177</f>
        <v>57</v>
      </c>
      <c r="E442" s="1" t="str">
        <f>Annex!K177</f>
        <v>Singaporean</v>
      </c>
      <c r="F442" s="1" t="str">
        <f>Annex!L177</f>
        <v>Case 441 is a Imported  case, 57 years old female Singapore Citizen  and has been to US, Mexico . She is currently admitted at NCID . Family member of Case 308; Contact of Case 277</v>
      </c>
      <c r="G442" s="2">
        <v>43912</v>
      </c>
      <c r="H442" s="1"/>
      <c r="I442" s="1"/>
      <c r="J442" s="1"/>
      <c r="K442" s="1"/>
      <c r="L442" s="1" t="str">
        <f>Annex!C177</f>
        <v xml:space="preserve">NCID </v>
      </c>
      <c r="M442" s="5" t="s">
        <v>1134</v>
      </c>
    </row>
    <row r="443" spans="1:13" ht="13.8" customHeight="1" x14ac:dyDescent="0.3">
      <c r="A443" s="6">
        <v>442</v>
      </c>
      <c r="B443" s="6" t="s">
        <v>78</v>
      </c>
      <c r="C443" s="1" t="str">
        <f>Annex!J178</f>
        <v>Female</v>
      </c>
      <c r="D443" s="1">
        <f>Annex!D178</f>
        <v>48</v>
      </c>
      <c r="E443" s="1" t="str">
        <f>Annex!K178</f>
        <v>Singaporean</v>
      </c>
      <c r="F443" s="1" t="str">
        <f>Annex!L178</f>
        <v>Case 442 is a Local linked  case, 48 years old female Singapore Citizen  and has not been overseas. She is currently admitted at NCID . Family member of Case 398</v>
      </c>
      <c r="G443" s="2">
        <v>43912</v>
      </c>
      <c r="H443" s="1"/>
      <c r="I443" s="1"/>
      <c r="J443" s="1"/>
      <c r="K443" s="1"/>
      <c r="L443" s="1" t="str">
        <f>Annex!C178</f>
        <v xml:space="preserve">NCID </v>
      </c>
      <c r="M443" s="5" t="s">
        <v>1134</v>
      </c>
    </row>
    <row r="444" spans="1:13" ht="13.8" customHeight="1" x14ac:dyDescent="0.3">
      <c r="A444" s="6">
        <v>443</v>
      </c>
      <c r="B444" s="6" t="s">
        <v>78</v>
      </c>
      <c r="C444" s="1" t="str">
        <f>Annex!J179</f>
        <v>Male</v>
      </c>
      <c r="D444" s="1">
        <f>Annex!D179</f>
        <v>29</v>
      </c>
      <c r="E444" s="1" t="str">
        <f>Annex!K179</f>
        <v>Singaporean</v>
      </c>
      <c r="F444" s="1" t="str">
        <f>Annex!L179</f>
        <v>Case 443 is a Local linked  case, 29 years old male Singapore Citizen  and has not been overseas. He is currently admitted at NUH . boulder+ Gym</v>
      </c>
      <c r="G444" s="2">
        <v>43912</v>
      </c>
      <c r="H444" s="1"/>
      <c r="I444" s="1"/>
      <c r="J444" s="1"/>
      <c r="K444" s="1"/>
      <c r="L444" s="1" t="str">
        <f>Annex!C179</f>
        <v xml:space="preserve">NUH </v>
      </c>
      <c r="M444" s="5" t="s">
        <v>1134</v>
      </c>
    </row>
    <row r="445" spans="1:13" ht="13.8" customHeight="1" x14ac:dyDescent="0.3">
      <c r="A445" s="6">
        <v>444</v>
      </c>
      <c r="B445" s="6" t="s">
        <v>77</v>
      </c>
      <c r="C445" s="1" t="str">
        <f>Annex!J180</f>
        <v>Male</v>
      </c>
      <c r="D445" s="1">
        <f>Annex!D180</f>
        <v>44</v>
      </c>
      <c r="E445" s="1" t="str">
        <f>Annex!K180</f>
        <v>Singaporean</v>
      </c>
      <c r="F445" s="1" t="str">
        <f>Annex!L180</f>
        <v xml:space="preserve">Case 444 is a Imported case, 44 years old male Singapore Citizen  and has not been overseas. He is currently admitted at NCID . </v>
      </c>
      <c r="G445" s="2">
        <v>43912</v>
      </c>
      <c r="H445" s="1"/>
      <c r="I445" s="1"/>
      <c r="J445" s="1"/>
      <c r="K445" s="1"/>
      <c r="L445" s="1" t="str">
        <f>Annex!C180</f>
        <v xml:space="preserve">NCID </v>
      </c>
      <c r="M445" s="5" t="s">
        <v>1134</v>
      </c>
    </row>
    <row r="446" spans="1:13" ht="13.8" customHeight="1" x14ac:dyDescent="0.3">
      <c r="A446" s="6">
        <v>445</v>
      </c>
      <c r="B446" s="6" t="s">
        <v>77</v>
      </c>
      <c r="C446" s="1" t="str">
        <f>Annex!J181</f>
        <v>Male</v>
      </c>
      <c r="D446" s="1">
        <f>Annex!D181</f>
        <v>21</v>
      </c>
      <c r="E446" s="1" t="str">
        <f>Annex!K181</f>
        <v>Singaporean</v>
      </c>
      <c r="F446" s="1" t="str">
        <f>Annex!L181</f>
        <v xml:space="preserve">Case 445 is a Imported case, 21 years old male Singapore Citizen  and has been to UK . He is currently admitted at NCID . </v>
      </c>
      <c r="G446" s="2">
        <v>43912</v>
      </c>
      <c r="H446" s="1"/>
      <c r="I446" s="1"/>
      <c r="J446" s="1"/>
      <c r="K446" s="1"/>
      <c r="L446" s="1" t="str">
        <f>Annex!C181</f>
        <v xml:space="preserve">NCID </v>
      </c>
      <c r="M446" s="5" t="s">
        <v>1134</v>
      </c>
    </row>
    <row r="447" spans="1:13" ht="13.8" customHeight="1" x14ac:dyDescent="0.3">
      <c r="A447" s="6">
        <v>446</v>
      </c>
      <c r="B447" s="6" t="s">
        <v>77</v>
      </c>
      <c r="C447" s="1" t="str">
        <f>Annex!J182</f>
        <v>Female</v>
      </c>
      <c r="D447" s="1">
        <f>Annex!D182</f>
        <v>26</v>
      </c>
      <c r="E447" s="1" t="str">
        <f>Annex!K182</f>
        <v>Indonesia</v>
      </c>
      <c r="F447" s="1" t="str">
        <f>Annex!L182</f>
        <v>Case 446 is a Imported  case, 26 years old female Indonesia (Long Term Pass holder)  and has been to UK . She is currently admitted at NCID . Contact of Case 378</v>
      </c>
      <c r="G447" s="2">
        <v>43912</v>
      </c>
      <c r="H447" s="1"/>
      <c r="I447" s="1"/>
      <c r="J447" s="1"/>
      <c r="K447" s="1"/>
      <c r="L447" s="1" t="str">
        <f>Annex!C182</f>
        <v xml:space="preserve">NCID </v>
      </c>
      <c r="M447" s="5" t="s">
        <v>1134</v>
      </c>
    </row>
    <row r="448" spans="1:13" ht="13.8" customHeight="1" x14ac:dyDescent="0.3">
      <c r="A448" s="6">
        <v>447</v>
      </c>
      <c r="B448" s="6" t="s">
        <v>77</v>
      </c>
      <c r="C448" s="1" t="str">
        <f>Annex!J183</f>
        <v>Female</v>
      </c>
      <c r="D448" s="1">
        <f>Annex!D183</f>
        <v>32</v>
      </c>
      <c r="E448" s="1" t="str">
        <f>Annex!K183</f>
        <v>Singaporean</v>
      </c>
      <c r="F448" s="1" t="str">
        <f>Annex!L183</f>
        <v xml:space="preserve">Case 447 is a Imported case, 32 years old female Singapore Citizen  and has been to UK . She is currently admitted at NCID . </v>
      </c>
      <c r="G448" s="2">
        <v>43912</v>
      </c>
      <c r="H448" s="1"/>
      <c r="I448" s="1"/>
      <c r="J448" s="1"/>
      <c r="K448" s="1"/>
      <c r="L448" s="1" t="str">
        <f>Annex!C183</f>
        <v xml:space="preserve">NCID </v>
      </c>
      <c r="M448" s="5" t="s">
        <v>1134</v>
      </c>
    </row>
    <row r="449" spans="1:13" ht="13.8" customHeight="1" x14ac:dyDescent="0.3">
      <c r="A449" s="6">
        <v>448</v>
      </c>
      <c r="B449" s="6" t="s">
        <v>77</v>
      </c>
      <c r="C449" s="1" t="str">
        <f>Annex!J184</f>
        <v>Male</v>
      </c>
      <c r="D449" s="1">
        <f>Annex!D184</f>
        <v>21</v>
      </c>
      <c r="E449" s="1" t="str">
        <f>Annex!K184</f>
        <v>Singaporean</v>
      </c>
      <c r="F449" s="1" t="str">
        <f>Annex!L184</f>
        <v xml:space="preserve">Case 448 is a Imported case, 21 years old male Singapore Citizen  and has been to UK . He is currently admitted at NCID . </v>
      </c>
      <c r="G449" s="2">
        <v>43912</v>
      </c>
      <c r="H449" s="1"/>
      <c r="I449" s="1"/>
      <c r="J449" s="1"/>
      <c r="K449" s="1"/>
      <c r="L449" s="1" t="str">
        <f>Annex!C184</f>
        <v xml:space="preserve">NCID </v>
      </c>
      <c r="M449" s="5" t="s">
        <v>1134</v>
      </c>
    </row>
    <row r="450" spans="1:13" ht="13.8" customHeight="1" x14ac:dyDescent="0.3">
      <c r="A450" s="6">
        <v>449</v>
      </c>
      <c r="B450" s="6" t="s">
        <v>77</v>
      </c>
      <c r="C450" s="1" t="str">
        <f>Annex!J185</f>
        <v>Male</v>
      </c>
      <c r="D450" s="1">
        <f>Annex!D185</f>
        <v>21</v>
      </c>
      <c r="E450" s="1" t="str">
        <f>Annex!K185</f>
        <v>Singaporean</v>
      </c>
      <c r="F450" s="1" t="str">
        <f>Annex!L185</f>
        <v xml:space="preserve">Case 449 is a Imported case, 21 years old male Singapore Citizen  and has been to UK . He is currently admitted at NCID . </v>
      </c>
      <c r="G450" s="2">
        <v>43912</v>
      </c>
      <c r="H450" s="1"/>
      <c r="I450" s="1"/>
      <c r="J450" s="1"/>
      <c r="K450" s="1"/>
      <c r="L450" s="1" t="str">
        <f>Annex!C185</f>
        <v xml:space="preserve">NCID </v>
      </c>
      <c r="M450" s="5" t="s">
        <v>1134</v>
      </c>
    </row>
    <row r="451" spans="1:13" ht="13.8" customHeight="1" x14ac:dyDescent="0.3">
      <c r="A451" s="6">
        <v>450</v>
      </c>
      <c r="B451" s="6" t="s">
        <v>78</v>
      </c>
      <c r="C451" s="1" t="str">
        <f>Annex!J186</f>
        <v>Male</v>
      </c>
      <c r="D451" s="1">
        <f>Annex!D186</f>
        <v>44</v>
      </c>
      <c r="E451" s="1" t="str">
        <f>Annex!K186</f>
        <v>Singaporean</v>
      </c>
      <c r="F451" s="1" t="str">
        <f>Annex!L186</f>
        <v xml:space="preserve">Case 450 is a Local unlinked case, 44 years old male Singapore Citizen  and has not been overseas. He is currently admitted at NCID . </v>
      </c>
      <c r="G451" s="2">
        <v>43912</v>
      </c>
      <c r="H451" s="1"/>
      <c r="I451" s="1"/>
      <c r="J451" s="1"/>
      <c r="K451" s="1"/>
      <c r="L451" s="1" t="str">
        <f>Annex!C186</f>
        <v xml:space="preserve">NCID </v>
      </c>
      <c r="M451" s="5" t="s">
        <v>1134</v>
      </c>
    </row>
    <row r="452" spans="1:13" ht="13.8" customHeight="1" x14ac:dyDescent="0.3">
      <c r="A452" s="6">
        <v>451</v>
      </c>
      <c r="B452" s="6" t="s">
        <v>78</v>
      </c>
      <c r="C452" s="1" t="str">
        <f>Annex!J187</f>
        <v>Male</v>
      </c>
      <c r="D452" s="1">
        <f>Annex!D187</f>
        <v>62</v>
      </c>
      <c r="E452" s="1" t="str">
        <f>Annex!K187</f>
        <v>Singaporean</v>
      </c>
      <c r="F452" s="1" t="str">
        <f>Annex!L187</f>
        <v>Case 451 is a Local linked  case, 62 years old male Singapore Citizen  and has not been overseas. He is currently admitted at NCID . Contact of Case 404</v>
      </c>
      <c r="G452" s="2">
        <v>43912</v>
      </c>
      <c r="H452" s="1"/>
      <c r="I452" s="1"/>
      <c r="J452" s="1"/>
      <c r="K452" s="1"/>
      <c r="L452" s="1" t="str">
        <f>Annex!C187</f>
        <v xml:space="preserve">NCID </v>
      </c>
      <c r="M452" s="5" t="s">
        <v>1134</v>
      </c>
    </row>
    <row r="453" spans="1:13" ht="13.8" customHeight="1" x14ac:dyDescent="0.3">
      <c r="A453" s="6">
        <v>452</v>
      </c>
      <c r="B453" s="6" t="s">
        <v>77</v>
      </c>
      <c r="C453" s="1" t="str">
        <f>Annex!J188</f>
        <v>Female</v>
      </c>
      <c r="D453" s="1">
        <f>Annex!D188</f>
        <v>22</v>
      </c>
      <c r="E453" s="1" t="str">
        <f>Annex!K188</f>
        <v>Singaporean</v>
      </c>
      <c r="F453" s="1" t="str">
        <f>Annex!L188</f>
        <v xml:space="preserve">Case 452 is a Imported case, 22 years old female Singapore Permanent Resident  and has been to UK . She is currently admitted at NCID . </v>
      </c>
      <c r="G453" s="2">
        <v>43912</v>
      </c>
      <c r="H453" s="1"/>
      <c r="I453" s="1"/>
      <c r="J453" s="1"/>
      <c r="K453" s="1"/>
      <c r="L453" s="1" t="str">
        <f>Annex!C188</f>
        <v xml:space="preserve">NCID </v>
      </c>
      <c r="M453" s="5" t="s">
        <v>1134</v>
      </c>
    </row>
    <row r="454" spans="1:13" ht="13.8" customHeight="1" x14ac:dyDescent="0.3">
      <c r="A454" s="6">
        <v>453</v>
      </c>
      <c r="B454" s="6" t="s">
        <v>77</v>
      </c>
      <c r="C454" s="1" t="str">
        <f>Annex!J189</f>
        <v>Male</v>
      </c>
      <c r="D454" s="1">
        <f>Annex!D189</f>
        <v>41</v>
      </c>
      <c r="E454" s="1" t="str">
        <f>Annex!K189</f>
        <v>India</v>
      </c>
      <c r="F454" s="1" t="str">
        <f>Annex!L189</f>
        <v xml:space="preserve">Case 453 is a Imported case, 41 years old male India (Long Term Pass holder)  and has been to UK . He is currently admitted at NCID . </v>
      </c>
      <c r="G454" s="2">
        <v>43912</v>
      </c>
      <c r="H454" s="1"/>
      <c r="I454" s="1"/>
      <c r="J454" s="1"/>
      <c r="K454" s="1"/>
      <c r="L454" s="1" t="str">
        <f>Annex!C189</f>
        <v xml:space="preserve">NCID </v>
      </c>
      <c r="M454" s="5" t="s">
        <v>1134</v>
      </c>
    </row>
    <row r="455" spans="1:13" ht="13.8" customHeight="1" x14ac:dyDescent="0.3">
      <c r="A455" s="6">
        <v>454</v>
      </c>
      <c r="B455" s="6" t="s">
        <v>77</v>
      </c>
      <c r="C455" s="1" t="str">
        <f>Annex!J190</f>
        <v>Female</v>
      </c>
      <c r="D455" s="1">
        <f>Annex!D190</f>
        <v>47</v>
      </c>
      <c r="E455" s="1" t="str">
        <f>Annex!K190</f>
        <v>Singaporean</v>
      </c>
      <c r="F455" s="1" t="str">
        <f>Annex!L190</f>
        <v xml:space="preserve">Case 454 is a Imported case, 47 years old female Singapore Citizen  and has been to US . She is currently admitted at NCID . </v>
      </c>
      <c r="G455" s="2">
        <v>43912</v>
      </c>
      <c r="H455" s="1"/>
      <c r="I455" s="1"/>
      <c r="J455" s="1"/>
      <c r="K455" s="1"/>
      <c r="L455" s="1" t="str">
        <f>Annex!C190</f>
        <v xml:space="preserve">NCID </v>
      </c>
      <c r="M455" s="5" t="s">
        <v>1134</v>
      </c>
    </row>
    <row r="456" spans="1:13" ht="13.8" customHeight="1" x14ac:dyDescent="0.3">
      <c r="A456" s="6">
        <v>455</v>
      </c>
      <c r="B456" s="6" t="s">
        <v>77</v>
      </c>
      <c r="C456" s="1" t="str">
        <f>Annex!J191</f>
        <v>Male</v>
      </c>
      <c r="D456" s="1">
        <f>Annex!D191</f>
        <v>29</v>
      </c>
      <c r="E456" s="1" t="str">
        <f>Annex!K191</f>
        <v>Singaporean</v>
      </c>
      <c r="F456" s="1" t="str">
        <f>Annex!L191</f>
        <v xml:space="preserve">Case 455 is a Imported case, 29 years old male Singapore Citizen  and has been to UK . He is currently admitted at NCID . </v>
      </c>
      <c r="G456" s="2">
        <v>43912</v>
      </c>
      <c r="H456" s="1"/>
      <c r="I456" s="1"/>
      <c r="J456" s="1"/>
      <c r="K456" s="1"/>
      <c r="L456" s="1" t="str">
        <f>Annex!C191</f>
        <v xml:space="preserve">NCID </v>
      </c>
      <c r="M456" s="5" t="s">
        <v>1134</v>
      </c>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N191"/>
  <sheetViews>
    <sheetView topLeftCell="G166" workbookViewId="0">
      <selection activeCell="M82" sqref="M82:N191"/>
    </sheetView>
  </sheetViews>
  <sheetFormatPr defaultRowHeight="14.4" x14ac:dyDescent="0.3"/>
  <cols>
    <col min="6" max="6" width="21.109375" customWidth="1"/>
    <col min="7" max="7" width="19.77734375" customWidth="1"/>
    <col min="8" max="8" width="12.88671875" bestFit="1" customWidth="1"/>
    <col min="9" max="9" width="49.33203125" customWidth="1"/>
    <col min="10" max="11" width="37.554687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50" spans="1:14" x14ac:dyDescent="0.3">
      <c r="A50">
        <v>314</v>
      </c>
      <c r="B50">
        <v>43908</v>
      </c>
      <c r="C50" t="s">
        <v>1058</v>
      </c>
      <c r="D50">
        <v>58</v>
      </c>
      <c r="E50" t="s">
        <v>1059</v>
      </c>
      <c r="F50" t="s">
        <v>1060</v>
      </c>
      <c r="H50" t="s">
        <v>1061</v>
      </c>
      <c r="J50" t="str">
        <f>IF(TRIM(E50)="M","Male",IF(TRIM(E50)="F","Female",""))</f>
        <v>Male</v>
      </c>
      <c r="K50" t="str">
        <f>IF(LEFT(F50,9)="Singapore","Singaporean",LEFT(F50,FIND("(",F50)-2))</f>
        <v>Singaporean</v>
      </c>
      <c r="L50" t="str">
        <f>"Case "&amp;A50&amp;" is a "&amp;H50&amp;" case, "&amp;D50&amp;" years old "&amp;LOWER(J50)&amp;" "&amp;F50 &amp;IF(G50=""," and has not been overseas"," and has been to "&amp;G50)&amp;". "&amp;IF(TRIM(E50)="F","She",IF(TRIM(E50)="M","He"))&amp;" is currently admitted at "&amp;C50&amp;". "&amp;I50</f>
        <v xml:space="preserve">Case 314 is a Local unlinked case, 58 years old male Singapore Citizen  and has not been overseas. He is currently admitted at KTPH . </v>
      </c>
      <c r="M50" t="str">
        <f>IF(G50="","",A50)</f>
        <v/>
      </c>
      <c r="N50" t="str">
        <f>IF(G50="","",G50)</f>
        <v/>
      </c>
    </row>
    <row r="51" spans="1:14" x14ac:dyDescent="0.3">
      <c r="A51" s="23">
        <v>315</v>
      </c>
      <c r="B51" s="24">
        <v>43908</v>
      </c>
      <c r="C51" t="s">
        <v>1062</v>
      </c>
      <c r="D51">
        <v>57</v>
      </c>
      <c r="E51" t="s">
        <v>1059</v>
      </c>
      <c r="F51" t="s">
        <v>1060</v>
      </c>
      <c r="G51" t="s">
        <v>1063</v>
      </c>
      <c r="H51" t="s">
        <v>77</v>
      </c>
      <c r="J51" t="str">
        <f t="shared" ref="J51:J81" si="1">IF(TRIM(E51)="M","Male",IF(TRIM(E51)="F","Female",""))</f>
        <v>Male</v>
      </c>
      <c r="K51" t="str">
        <f t="shared" ref="K51:K81" si="2">IF(LEFT(F51,9)="Singapore","Singaporean",LEFT(F51,FIND("(",F51)-2))</f>
        <v>Singaporean</v>
      </c>
      <c r="L51" t="str">
        <f t="shared" ref="L51:L81" si="3">"Case "&amp;A51&amp;" is a "&amp;H51&amp;" case, "&amp;D51&amp;" years old "&amp;LOWER(J51)&amp;" "&amp;F51 &amp;IF(G51=""," and has not been overseas"," and has been to "&amp;G51)&amp;". "&amp;IF(TRIM(E51)="F","She",IF(TRIM(E51)="M","He"))&amp;" is currently admitted at "&amp;C51&amp;". "&amp;I51</f>
        <v xml:space="preserve">Case 315 is a Imported case, 57 years old male Singapore Citizen  and has been to UK . He is currently admitted at NTFGH . </v>
      </c>
      <c r="M51">
        <f t="shared" ref="M51:M81" si="4">IF(G51="","",A51)</f>
        <v>315</v>
      </c>
      <c r="N51" t="str">
        <f t="shared" ref="N51:N81" si="5">IF(G51="","",G51)</f>
        <v xml:space="preserve">UK </v>
      </c>
    </row>
    <row r="52" spans="1:14" x14ac:dyDescent="0.3">
      <c r="A52" s="23">
        <v>316</v>
      </c>
      <c r="B52" s="24">
        <v>43908</v>
      </c>
      <c r="C52" t="s">
        <v>1064</v>
      </c>
      <c r="D52">
        <v>25</v>
      </c>
      <c r="E52" t="s">
        <v>932</v>
      </c>
      <c r="F52" t="s">
        <v>1065</v>
      </c>
      <c r="G52" t="s">
        <v>360</v>
      </c>
      <c r="H52" t="s">
        <v>77</v>
      </c>
      <c r="J52" t="str">
        <f t="shared" si="1"/>
        <v>Male</v>
      </c>
      <c r="K52" t="str">
        <f t="shared" si="2"/>
        <v>Malaysia</v>
      </c>
      <c r="L52" t="str">
        <f t="shared" si="3"/>
        <v xml:space="preserve">Case 316 is a Imported case, 25 years old male Malaysia (Singapore Work Pass)  and has been to Malaysia . He is currently admitted at CGH . </v>
      </c>
      <c r="M52">
        <f t="shared" si="4"/>
        <v>316</v>
      </c>
      <c r="N52" t="str">
        <f t="shared" si="5"/>
        <v xml:space="preserve">Malaysia </v>
      </c>
    </row>
    <row r="53" spans="1:14" x14ac:dyDescent="0.3">
      <c r="A53" s="23">
        <v>317</v>
      </c>
      <c r="B53" s="24">
        <v>43908</v>
      </c>
      <c r="C53" t="s">
        <v>1066</v>
      </c>
      <c r="D53">
        <v>29</v>
      </c>
      <c r="E53" t="s">
        <v>1059</v>
      </c>
      <c r="F53" t="s">
        <v>1060</v>
      </c>
      <c r="G53" t="s">
        <v>1063</v>
      </c>
      <c r="H53" t="s">
        <v>77</v>
      </c>
      <c r="J53" t="str">
        <f t="shared" si="1"/>
        <v>Male</v>
      </c>
      <c r="K53" t="str">
        <f t="shared" si="2"/>
        <v>Singaporean</v>
      </c>
      <c r="L53" t="str">
        <f t="shared" si="3"/>
        <v xml:space="preserve">Case 317 is a Imported case, 29 years old male Singapore Citizen  and has been to UK . He is currently admitted at SKH . </v>
      </c>
      <c r="M53">
        <f t="shared" si="4"/>
        <v>317</v>
      </c>
      <c r="N53" t="str">
        <f t="shared" si="5"/>
        <v xml:space="preserve">UK </v>
      </c>
    </row>
    <row r="54" spans="1:14" x14ac:dyDescent="0.3">
      <c r="A54" s="23">
        <v>318</v>
      </c>
      <c r="B54" s="24">
        <v>43908</v>
      </c>
      <c r="C54" t="s">
        <v>1066</v>
      </c>
      <c r="D54">
        <v>58</v>
      </c>
      <c r="E54" t="s">
        <v>930</v>
      </c>
      <c r="F54" t="s">
        <v>1067</v>
      </c>
      <c r="H54" t="s">
        <v>1061</v>
      </c>
      <c r="J54" t="str">
        <f t="shared" si="1"/>
        <v>Female</v>
      </c>
      <c r="K54" t="str">
        <f t="shared" si="2"/>
        <v>China</v>
      </c>
      <c r="L54" t="str">
        <f t="shared" si="3"/>
        <v xml:space="preserve">Case 318 is a Local unlinked case, 58 years old female China (Singapore Long Term Pass) and has not been overseas. She is currently admitted at SKH . </v>
      </c>
      <c r="M54" t="str">
        <f t="shared" si="4"/>
        <v/>
      </c>
      <c r="N54" t="str">
        <f t="shared" si="5"/>
        <v/>
      </c>
    </row>
    <row r="55" spans="1:14" x14ac:dyDescent="0.3">
      <c r="A55" s="23">
        <v>319</v>
      </c>
      <c r="B55" s="24">
        <v>43908</v>
      </c>
      <c r="C55" t="s">
        <v>1066</v>
      </c>
      <c r="D55">
        <v>67</v>
      </c>
      <c r="E55" t="s">
        <v>930</v>
      </c>
      <c r="F55" t="s">
        <v>1068</v>
      </c>
      <c r="G55" t="s">
        <v>706</v>
      </c>
      <c r="H55" t="s">
        <v>1069</v>
      </c>
      <c r="I55" t="s">
        <v>1070</v>
      </c>
      <c r="J55" t="str">
        <f t="shared" si="1"/>
        <v>Female</v>
      </c>
      <c r="K55" t="str">
        <f t="shared" si="2"/>
        <v>Philippines</v>
      </c>
      <c r="L55" t="str">
        <f t="shared" si="3"/>
        <v>Case 319 is a Imported  case, 67 years old female Philippines (Singapore Work Pass)  and has been to Philippines . She is currently admitted at SKH . Contact of Case 279</v>
      </c>
      <c r="M55">
        <f t="shared" si="4"/>
        <v>319</v>
      </c>
      <c r="N55" t="str">
        <f t="shared" si="5"/>
        <v xml:space="preserve">Philippines </v>
      </c>
    </row>
    <row r="56" spans="1:14" x14ac:dyDescent="0.3">
      <c r="A56">
        <v>320</v>
      </c>
      <c r="B56" s="24">
        <v>43908</v>
      </c>
      <c r="C56" t="s">
        <v>1071</v>
      </c>
      <c r="D56">
        <v>34</v>
      </c>
      <c r="E56" t="s">
        <v>932</v>
      </c>
      <c r="F56" t="s">
        <v>1072</v>
      </c>
      <c r="G56" t="s">
        <v>1063</v>
      </c>
      <c r="H56" t="s">
        <v>77</v>
      </c>
      <c r="J56" t="str">
        <f t="shared" si="1"/>
        <v>Male</v>
      </c>
      <c r="K56" t="str">
        <f t="shared" si="2"/>
        <v>Singaporean</v>
      </c>
      <c r="L56" t="str">
        <f t="shared" si="3"/>
        <v xml:space="preserve">Case 320 is a Imported case, 34 years old male Singapore Permanent Resident  and has been to UK . He is currently admitted at NCID . </v>
      </c>
      <c r="M56">
        <f t="shared" si="4"/>
        <v>320</v>
      </c>
      <c r="N56" t="str">
        <f t="shared" si="5"/>
        <v xml:space="preserve">UK </v>
      </c>
    </row>
    <row r="57" spans="1:14" x14ac:dyDescent="0.3">
      <c r="A57">
        <v>321</v>
      </c>
      <c r="B57" s="24">
        <v>43908</v>
      </c>
      <c r="C57" t="s">
        <v>343</v>
      </c>
      <c r="D57">
        <v>65</v>
      </c>
      <c r="E57" t="s">
        <v>1073</v>
      </c>
      <c r="F57" t="s">
        <v>1060</v>
      </c>
      <c r="H57" t="s">
        <v>1061</v>
      </c>
      <c r="J57" t="str">
        <f t="shared" si="1"/>
        <v>Female</v>
      </c>
      <c r="K57" t="str">
        <f t="shared" si="2"/>
        <v>Singaporean</v>
      </c>
      <c r="L57" t="str">
        <f t="shared" si="3"/>
        <v xml:space="preserve">Case 321 is a Local unlinked case, 65 years old female Singapore Citizen  and has not been overseas. She is currently admitted at NUH . </v>
      </c>
      <c r="M57" t="str">
        <f t="shared" si="4"/>
        <v/>
      </c>
      <c r="N57" t="str">
        <f t="shared" si="5"/>
        <v/>
      </c>
    </row>
    <row r="58" spans="1:14" x14ac:dyDescent="0.3">
      <c r="A58">
        <v>322</v>
      </c>
      <c r="B58" s="24">
        <v>43908</v>
      </c>
      <c r="C58" t="s">
        <v>1074</v>
      </c>
      <c r="D58">
        <v>46</v>
      </c>
      <c r="E58" t="s">
        <v>930</v>
      </c>
      <c r="F58" t="s">
        <v>949</v>
      </c>
      <c r="G58" t="s">
        <v>1075</v>
      </c>
      <c r="H58" t="s">
        <v>77</v>
      </c>
      <c r="J58" t="str">
        <f t="shared" si="1"/>
        <v>Female</v>
      </c>
      <c r="K58" t="str">
        <f t="shared" si="2"/>
        <v>Singaporean</v>
      </c>
      <c r="L58" t="str">
        <f t="shared" si="3"/>
        <v xml:space="preserve">Case 322 is a Imported case, 46 years old female Singapore Permanent Resident and has been to Switzerland, France . She is currently admitted at AH . </v>
      </c>
      <c r="M58">
        <f t="shared" si="4"/>
        <v>322</v>
      </c>
      <c r="N58" t="str">
        <f t="shared" si="5"/>
        <v xml:space="preserve">Switzerland, France </v>
      </c>
    </row>
    <row r="59" spans="1:14" x14ac:dyDescent="0.3">
      <c r="A59">
        <v>323</v>
      </c>
      <c r="B59" s="24">
        <v>43908</v>
      </c>
      <c r="C59" t="s">
        <v>1071</v>
      </c>
      <c r="D59">
        <v>24</v>
      </c>
      <c r="E59" t="s">
        <v>1059</v>
      </c>
      <c r="F59" t="s">
        <v>1060</v>
      </c>
      <c r="G59" t="s">
        <v>1063</v>
      </c>
      <c r="H59" t="s">
        <v>77</v>
      </c>
      <c r="J59" t="str">
        <f t="shared" si="1"/>
        <v>Male</v>
      </c>
      <c r="K59" t="str">
        <f t="shared" si="2"/>
        <v>Singaporean</v>
      </c>
      <c r="L59" t="str">
        <f t="shared" si="3"/>
        <v xml:space="preserve">Case 323 is a Imported case, 24 years old male Singapore Citizen  and has been to UK . He is currently admitted at NCID . </v>
      </c>
      <c r="M59">
        <f t="shared" si="4"/>
        <v>323</v>
      </c>
      <c r="N59" t="str">
        <f t="shared" si="5"/>
        <v xml:space="preserve">UK </v>
      </c>
    </row>
    <row r="60" spans="1:14" x14ac:dyDescent="0.3">
      <c r="A60">
        <v>324</v>
      </c>
      <c r="B60" s="24">
        <v>43908</v>
      </c>
      <c r="C60" t="s">
        <v>1071</v>
      </c>
      <c r="D60">
        <v>45</v>
      </c>
      <c r="E60" t="s">
        <v>932</v>
      </c>
      <c r="F60" t="s">
        <v>1076</v>
      </c>
      <c r="G60" t="s">
        <v>1063</v>
      </c>
      <c r="H60" t="s">
        <v>77</v>
      </c>
      <c r="J60" t="str">
        <f t="shared" si="1"/>
        <v>Male</v>
      </c>
      <c r="K60" t="str">
        <f t="shared" si="2"/>
        <v>Brazil</v>
      </c>
      <c r="L60" t="str">
        <f t="shared" si="3"/>
        <v xml:space="preserve">Case 324 is a Imported case, 45 years old male Brazil (Singapore Work Pass)  and has been to UK . He is currently admitted at NCID . </v>
      </c>
      <c r="M60">
        <f t="shared" si="4"/>
        <v>324</v>
      </c>
      <c r="N60" t="str">
        <f t="shared" si="5"/>
        <v xml:space="preserve">UK </v>
      </c>
    </row>
    <row r="61" spans="1:14" x14ac:dyDescent="0.3">
      <c r="A61">
        <v>325</v>
      </c>
      <c r="B61" s="24">
        <v>43909</v>
      </c>
      <c r="C61" t="s">
        <v>1071</v>
      </c>
      <c r="D61">
        <v>38</v>
      </c>
      <c r="E61" t="s">
        <v>932</v>
      </c>
      <c r="F61" t="s">
        <v>1068</v>
      </c>
      <c r="G61" t="s">
        <v>1063</v>
      </c>
      <c r="H61" t="s">
        <v>77</v>
      </c>
      <c r="J61" t="str">
        <f t="shared" si="1"/>
        <v>Male</v>
      </c>
      <c r="K61" t="str">
        <f t="shared" si="2"/>
        <v>Philippines</v>
      </c>
      <c r="L61" t="str">
        <f t="shared" si="3"/>
        <v xml:space="preserve">Case 325 is a Imported case, 38 years old male Philippines (Singapore Work Pass)  and has been to UK . He is currently admitted at NCID . </v>
      </c>
      <c r="M61">
        <f t="shared" si="4"/>
        <v>325</v>
      </c>
      <c r="N61" t="str">
        <f t="shared" si="5"/>
        <v xml:space="preserve">UK </v>
      </c>
    </row>
    <row r="62" spans="1:14" x14ac:dyDescent="0.3">
      <c r="A62">
        <v>326</v>
      </c>
      <c r="B62" s="24">
        <v>43909</v>
      </c>
      <c r="C62" t="s">
        <v>1071</v>
      </c>
      <c r="D62">
        <v>33</v>
      </c>
      <c r="E62" t="s">
        <v>1059</v>
      </c>
      <c r="F62" t="s">
        <v>1060</v>
      </c>
      <c r="G62" t="s">
        <v>1077</v>
      </c>
      <c r="H62" t="s">
        <v>77</v>
      </c>
      <c r="J62" t="str">
        <f t="shared" si="1"/>
        <v>Male</v>
      </c>
      <c r="K62" t="str">
        <f t="shared" si="2"/>
        <v>Singaporean</v>
      </c>
      <c r="L62" t="str">
        <f t="shared" si="3"/>
        <v xml:space="preserve">Case 326 is a Imported case, 33 years old male Singapore Citizen  and has been to UK, Netherlands . He is currently admitted at NCID . </v>
      </c>
      <c r="M62">
        <f t="shared" si="4"/>
        <v>326</v>
      </c>
      <c r="N62" t="str">
        <f t="shared" si="5"/>
        <v xml:space="preserve">UK, Netherlands </v>
      </c>
    </row>
    <row r="63" spans="1:14" x14ac:dyDescent="0.3">
      <c r="A63">
        <v>327</v>
      </c>
      <c r="B63" s="24">
        <v>43909</v>
      </c>
      <c r="C63" t="s">
        <v>1071</v>
      </c>
      <c r="D63">
        <v>38</v>
      </c>
      <c r="E63" t="s">
        <v>1073</v>
      </c>
      <c r="F63" t="s">
        <v>931</v>
      </c>
      <c r="G63" t="s">
        <v>1078</v>
      </c>
      <c r="H63" t="s">
        <v>77</v>
      </c>
      <c r="J63" t="str">
        <f t="shared" si="1"/>
        <v>Female</v>
      </c>
      <c r="K63" t="str">
        <f t="shared" si="2"/>
        <v>Singaporean</v>
      </c>
      <c r="L63" t="str">
        <f t="shared" si="3"/>
        <v xml:space="preserve">Case 327 is a Imported case, 38 years old female Singapore Citizen and has been to Switzerland, Italy, Austria, Germany. She is currently admitted at NCID . </v>
      </c>
      <c r="M63">
        <f t="shared" si="4"/>
        <v>327</v>
      </c>
      <c r="N63" t="str">
        <f t="shared" si="5"/>
        <v>Switzerland, Italy, Austria, Germany</v>
      </c>
    </row>
    <row r="64" spans="1:14" x14ac:dyDescent="0.3">
      <c r="A64">
        <v>328</v>
      </c>
      <c r="B64" s="24">
        <v>43909</v>
      </c>
      <c r="C64" t="s">
        <v>1071</v>
      </c>
      <c r="D64">
        <v>63</v>
      </c>
      <c r="E64" t="s">
        <v>930</v>
      </c>
      <c r="F64" t="s">
        <v>1072</v>
      </c>
      <c r="G64" t="s">
        <v>1079</v>
      </c>
      <c r="H64" t="s">
        <v>1069</v>
      </c>
      <c r="I64" t="s">
        <v>1080</v>
      </c>
      <c r="J64" t="str">
        <f t="shared" si="1"/>
        <v>Female</v>
      </c>
      <c r="K64" t="str">
        <f t="shared" si="2"/>
        <v>Singaporean</v>
      </c>
      <c r="L64" t="str">
        <f t="shared" si="3"/>
        <v>Case 328 is a Imported  case, 63 years old female Singapore Permanent Resident  and has been to UK, Switzerland . She is currently admitted at NCID . Family member of Case 268</v>
      </c>
      <c r="M64">
        <f t="shared" si="4"/>
        <v>328</v>
      </c>
      <c r="N64" t="str">
        <f t="shared" si="5"/>
        <v xml:space="preserve">UK, Switzerland </v>
      </c>
    </row>
    <row r="65" spans="1:14" x14ac:dyDescent="0.3">
      <c r="A65">
        <v>329</v>
      </c>
      <c r="B65" s="24">
        <v>43909</v>
      </c>
      <c r="C65" t="s">
        <v>1071</v>
      </c>
      <c r="D65">
        <v>64</v>
      </c>
      <c r="E65" t="s">
        <v>1059</v>
      </c>
      <c r="F65" t="s">
        <v>1060</v>
      </c>
      <c r="G65" t="s">
        <v>1081</v>
      </c>
      <c r="H65" t="s">
        <v>1069</v>
      </c>
      <c r="I65" t="s">
        <v>1082</v>
      </c>
      <c r="J65" t="str">
        <f t="shared" si="1"/>
        <v>Male</v>
      </c>
      <c r="K65" t="str">
        <f t="shared" si="2"/>
        <v>Singaporean</v>
      </c>
      <c r="L65" t="str">
        <f t="shared" si="3"/>
        <v>Case 329 is a Imported  case, 64 years old male Singapore Citizen  and has been to Turkey . He is currently admitted at NCID . Family member of Case 292</v>
      </c>
      <c r="M65">
        <f t="shared" si="4"/>
        <v>329</v>
      </c>
      <c r="N65" t="str">
        <f t="shared" si="5"/>
        <v xml:space="preserve">Turkey </v>
      </c>
    </row>
    <row r="66" spans="1:14" x14ac:dyDescent="0.3">
      <c r="A66">
        <v>330</v>
      </c>
      <c r="B66" s="24">
        <v>43909</v>
      </c>
      <c r="C66" t="s">
        <v>1071</v>
      </c>
      <c r="D66">
        <v>67</v>
      </c>
      <c r="E66" t="s">
        <v>1059</v>
      </c>
      <c r="F66" t="s">
        <v>1060</v>
      </c>
      <c r="H66" t="s">
        <v>1061</v>
      </c>
      <c r="J66" t="str">
        <f t="shared" si="1"/>
        <v>Male</v>
      </c>
      <c r="K66" t="str">
        <f t="shared" si="2"/>
        <v>Singaporean</v>
      </c>
      <c r="L66" t="str">
        <f t="shared" si="3"/>
        <v xml:space="preserve">Case 330 is a Local unlinked case, 67 years old male Singapore Citizen  and has not been overseas. He is currently admitted at NCID . </v>
      </c>
      <c r="M66" t="str">
        <f t="shared" si="4"/>
        <v/>
      </c>
      <c r="N66" t="str">
        <f t="shared" si="5"/>
        <v/>
      </c>
    </row>
    <row r="67" spans="1:14" x14ac:dyDescent="0.3">
      <c r="A67">
        <v>331</v>
      </c>
      <c r="B67" s="24">
        <v>43909</v>
      </c>
      <c r="C67" t="s">
        <v>1071</v>
      </c>
      <c r="D67">
        <v>49</v>
      </c>
      <c r="E67" t="s">
        <v>930</v>
      </c>
      <c r="F67" t="s">
        <v>1072</v>
      </c>
      <c r="G67" t="s">
        <v>1063</v>
      </c>
      <c r="H67" t="s">
        <v>77</v>
      </c>
      <c r="J67" t="str">
        <f t="shared" si="1"/>
        <v>Female</v>
      </c>
      <c r="K67" t="str">
        <f t="shared" si="2"/>
        <v>Singaporean</v>
      </c>
      <c r="L67" t="str">
        <f t="shared" si="3"/>
        <v xml:space="preserve">Case 331 is a Imported case, 49 years old female Singapore Permanent Resident  and has been to UK . She is currently admitted at NCID . </v>
      </c>
      <c r="M67">
        <f t="shared" si="4"/>
        <v>331</v>
      </c>
      <c r="N67" t="str">
        <f t="shared" si="5"/>
        <v xml:space="preserve">UK </v>
      </c>
    </row>
    <row r="68" spans="1:14" x14ac:dyDescent="0.3">
      <c r="A68">
        <v>332</v>
      </c>
      <c r="B68" s="24">
        <v>43909</v>
      </c>
      <c r="C68" t="s">
        <v>1071</v>
      </c>
      <c r="D68">
        <v>36</v>
      </c>
      <c r="E68" t="s">
        <v>930</v>
      </c>
      <c r="F68" t="s">
        <v>1083</v>
      </c>
      <c r="G68" t="s">
        <v>1063</v>
      </c>
      <c r="H68" t="s">
        <v>77</v>
      </c>
      <c r="J68" t="str">
        <f t="shared" si="1"/>
        <v>Female</v>
      </c>
      <c r="K68" t="str">
        <f t="shared" si="2"/>
        <v>US</v>
      </c>
      <c r="L68" t="str">
        <f t="shared" si="3"/>
        <v xml:space="preserve">Case 332 is a Imported case, 36 years old female US (Singapore Long Term Pass) and has been to UK . She is currently admitted at NCID . </v>
      </c>
      <c r="M68">
        <f t="shared" si="4"/>
        <v>332</v>
      </c>
      <c r="N68" t="str">
        <f t="shared" si="5"/>
        <v xml:space="preserve">UK </v>
      </c>
    </row>
    <row r="69" spans="1:14" x14ac:dyDescent="0.3">
      <c r="A69">
        <v>333</v>
      </c>
      <c r="B69" s="24">
        <v>43909</v>
      </c>
      <c r="C69" t="s">
        <v>1071</v>
      </c>
      <c r="D69">
        <v>48</v>
      </c>
      <c r="E69" t="s">
        <v>932</v>
      </c>
      <c r="F69" t="s">
        <v>1084</v>
      </c>
      <c r="G69" t="s">
        <v>1085</v>
      </c>
      <c r="H69" t="s">
        <v>77</v>
      </c>
      <c r="J69" t="str">
        <f t="shared" si="1"/>
        <v>Male</v>
      </c>
      <c r="K69" t="str">
        <f t="shared" si="2"/>
        <v>Columbia</v>
      </c>
      <c r="L69" t="str">
        <f t="shared" si="3"/>
        <v xml:space="preserve">Case 333 is a Imported case, 48 years old male Columbia (Singapore Long Term Pass) and has been to US . He is currently admitted at NCID . </v>
      </c>
      <c r="M69">
        <f t="shared" si="4"/>
        <v>333</v>
      </c>
      <c r="N69" t="str">
        <f t="shared" si="5"/>
        <v xml:space="preserve">US </v>
      </c>
    </row>
    <row r="70" spans="1:14" x14ac:dyDescent="0.3">
      <c r="A70">
        <v>334</v>
      </c>
      <c r="B70" s="24">
        <v>43909</v>
      </c>
      <c r="C70" t="s">
        <v>1071</v>
      </c>
      <c r="D70">
        <v>32</v>
      </c>
      <c r="E70" t="s">
        <v>1073</v>
      </c>
      <c r="F70" t="s">
        <v>1060</v>
      </c>
      <c r="G70" t="s">
        <v>1085</v>
      </c>
      <c r="H70" t="s">
        <v>77</v>
      </c>
      <c r="J70" t="str">
        <f t="shared" si="1"/>
        <v>Female</v>
      </c>
      <c r="K70" t="str">
        <f t="shared" si="2"/>
        <v>Singaporean</v>
      </c>
      <c r="L70" t="str">
        <f t="shared" si="3"/>
        <v xml:space="preserve">Case 334 is a Imported case, 32 years old female Singapore Citizen  and has been to US . She is currently admitted at NCID . </v>
      </c>
      <c r="M70">
        <f t="shared" si="4"/>
        <v>334</v>
      </c>
      <c r="N70" t="str">
        <f t="shared" si="5"/>
        <v xml:space="preserve">US </v>
      </c>
    </row>
    <row r="71" spans="1:14" x14ac:dyDescent="0.3">
      <c r="A71">
        <v>335</v>
      </c>
      <c r="B71" s="24">
        <v>43909</v>
      </c>
      <c r="C71" t="s">
        <v>1071</v>
      </c>
      <c r="D71">
        <v>57</v>
      </c>
      <c r="E71" t="s">
        <v>1059</v>
      </c>
      <c r="F71" t="s">
        <v>1060</v>
      </c>
      <c r="H71" t="s">
        <v>1086</v>
      </c>
      <c r="I71" t="s">
        <v>965</v>
      </c>
      <c r="J71" t="str">
        <f t="shared" si="1"/>
        <v>Male</v>
      </c>
      <c r="K71" t="str">
        <f t="shared" si="2"/>
        <v>Singaporean</v>
      </c>
      <c r="L71" t="str">
        <f t="shared" si="3"/>
        <v>Case 335 is a Local linked  case, 57 years old male Singapore Citizen  and has not been overseas. He is currently admitted at NCID . Family member of Case 234</v>
      </c>
      <c r="M71" t="str">
        <f t="shared" si="4"/>
        <v/>
      </c>
      <c r="N71" t="str">
        <f t="shared" si="5"/>
        <v/>
      </c>
    </row>
    <row r="72" spans="1:14" x14ac:dyDescent="0.3">
      <c r="A72">
        <v>336</v>
      </c>
      <c r="B72" s="24">
        <v>43909</v>
      </c>
      <c r="C72" t="s">
        <v>1058</v>
      </c>
      <c r="D72">
        <v>60</v>
      </c>
      <c r="E72" t="s">
        <v>1059</v>
      </c>
      <c r="F72" t="s">
        <v>1060</v>
      </c>
      <c r="H72" t="s">
        <v>1061</v>
      </c>
      <c r="J72" t="str">
        <f t="shared" si="1"/>
        <v>Male</v>
      </c>
      <c r="K72" t="str">
        <f t="shared" si="2"/>
        <v>Singaporean</v>
      </c>
      <c r="L72" t="str">
        <f t="shared" si="3"/>
        <v xml:space="preserve">Case 336 is a Local unlinked case, 60 years old male Singapore Citizen  and has not been overseas. He is currently admitted at KTPH . </v>
      </c>
      <c r="M72" t="str">
        <f t="shared" si="4"/>
        <v/>
      </c>
      <c r="N72" t="str">
        <f t="shared" si="5"/>
        <v/>
      </c>
    </row>
    <row r="73" spans="1:14" x14ac:dyDescent="0.3">
      <c r="A73">
        <v>337</v>
      </c>
      <c r="B73" s="24">
        <v>43909</v>
      </c>
      <c r="C73" t="s">
        <v>343</v>
      </c>
      <c r="D73">
        <v>31</v>
      </c>
      <c r="E73" t="s">
        <v>932</v>
      </c>
      <c r="F73" t="s">
        <v>1087</v>
      </c>
      <c r="G73" t="s">
        <v>1088</v>
      </c>
      <c r="H73" t="s">
        <v>77</v>
      </c>
      <c r="J73" t="str">
        <f t="shared" si="1"/>
        <v>Male</v>
      </c>
      <c r="K73" t="str">
        <f t="shared" si="2"/>
        <v>Switzerland</v>
      </c>
      <c r="L73" t="str">
        <f t="shared" si="3"/>
        <v xml:space="preserve">Case 337 is a Imported case, 31 years old male Switzerland (Singapore Work Pass) and has been to France, Switzerland . He is currently admitted at NUH . </v>
      </c>
      <c r="M73">
        <f t="shared" si="4"/>
        <v>337</v>
      </c>
      <c r="N73" t="str">
        <f t="shared" si="5"/>
        <v xml:space="preserve">France, Switzerland </v>
      </c>
    </row>
    <row r="74" spans="1:14" x14ac:dyDescent="0.3">
      <c r="A74">
        <v>338</v>
      </c>
      <c r="B74" s="24">
        <v>43909</v>
      </c>
      <c r="C74" t="s">
        <v>1071</v>
      </c>
      <c r="D74">
        <v>57</v>
      </c>
      <c r="E74" t="s">
        <v>1059</v>
      </c>
      <c r="F74" t="s">
        <v>1060</v>
      </c>
      <c r="H74" t="s">
        <v>1061</v>
      </c>
      <c r="J74" t="str">
        <f t="shared" si="1"/>
        <v>Male</v>
      </c>
      <c r="K74" t="str">
        <f t="shared" si="2"/>
        <v>Singaporean</v>
      </c>
      <c r="L74" t="str">
        <f t="shared" si="3"/>
        <v xml:space="preserve">Case 338 is a Local unlinked case, 57 years old male Singapore Citizen  and has not been overseas. He is currently admitted at NCID . </v>
      </c>
      <c r="M74" t="str">
        <f t="shared" si="4"/>
        <v/>
      </c>
      <c r="N74" t="str">
        <f t="shared" si="5"/>
        <v/>
      </c>
    </row>
    <row r="75" spans="1:14" x14ac:dyDescent="0.3">
      <c r="A75">
        <v>339</v>
      </c>
      <c r="B75" s="24">
        <v>43909</v>
      </c>
      <c r="C75" t="s">
        <v>1071</v>
      </c>
      <c r="D75">
        <v>66</v>
      </c>
      <c r="E75" t="s">
        <v>1059</v>
      </c>
      <c r="F75" t="s">
        <v>1060</v>
      </c>
      <c r="G75" t="s">
        <v>706</v>
      </c>
      <c r="H75" t="s">
        <v>1069</v>
      </c>
      <c r="I75" t="s">
        <v>1089</v>
      </c>
      <c r="J75" t="str">
        <f t="shared" si="1"/>
        <v>Male</v>
      </c>
      <c r="K75" t="str">
        <f t="shared" si="2"/>
        <v>Singaporean</v>
      </c>
      <c r="L75" t="str">
        <f t="shared" si="3"/>
        <v>Case 339 is a Imported  case, 66 years old male Singapore Citizen  and has been to Philippines . He is currently admitted at NCID . Family member of Case 279</v>
      </c>
      <c r="M75">
        <f t="shared" si="4"/>
        <v>339</v>
      </c>
      <c r="N75" t="str">
        <f t="shared" si="5"/>
        <v xml:space="preserve">Philippines </v>
      </c>
    </row>
    <row r="76" spans="1:14" x14ac:dyDescent="0.3">
      <c r="A76">
        <v>340</v>
      </c>
      <c r="B76" s="24">
        <v>43909</v>
      </c>
      <c r="C76" t="s">
        <v>1071</v>
      </c>
      <c r="D76">
        <v>27</v>
      </c>
      <c r="E76" t="s">
        <v>1059</v>
      </c>
      <c r="F76" t="s">
        <v>1060</v>
      </c>
      <c r="G76" t="s">
        <v>706</v>
      </c>
      <c r="H76" t="s">
        <v>1069</v>
      </c>
      <c r="I76" t="s">
        <v>1090</v>
      </c>
      <c r="J76" t="str">
        <f t="shared" si="1"/>
        <v>Male</v>
      </c>
      <c r="K76" t="str">
        <f t="shared" si="2"/>
        <v>Singaporean</v>
      </c>
      <c r="L76" t="str">
        <f t="shared" si="3"/>
        <v>Case 340 is a Imported  case, 27 years old male Singapore Citizen  and has been to Philippines . He is currently admitted at NCID . Contact of Cases 222 and 307</v>
      </c>
      <c r="M76">
        <f t="shared" si="4"/>
        <v>340</v>
      </c>
      <c r="N76" t="str">
        <f t="shared" si="5"/>
        <v xml:space="preserve">Philippines </v>
      </c>
    </row>
    <row r="77" spans="1:14" x14ac:dyDescent="0.3">
      <c r="A77">
        <v>341</v>
      </c>
      <c r="B77" s="24">
        <v>43909</v>
      </c>
      <c r="C77" t="s">
        <v>1071</v>
      </c>
      <c r="D77">
        <v>31</v>
      </c>
      <c r="E77" t="s">
        <v>932</v>
      </c>
      <c r="F77" t="s">
        <v>1091</v>
      </c>
      <c r="G77" t="s">
        <v>1063</v>
      </c>
      <c r="H77" t="s">
        <v>77</v>
      </c>
      <c r="J77" t="str">
        <f t="shared" si="1"/>
        <v>Male</v>
      </c>
      <c r="K77" t="str">
        <f t="shared" si="2"/>
        <v>Germany</v>
      </c>
      <c r="L77" t="str">
        <f t="shared" si="3"/>
        <v xml:space="preserve">Case 341 is a Imported case, 31 years old male Germany (Singapore Work Pass) and has been to UK . He is currently admitted at NCID . </v>
      </c>
      <c r="M77">
        <f t="shared" si="4"/>
        <v>341</v>
      </c>
      <c r="N77" t="str">
        <f t="shared" si="5"/>
        <v xml:space="preserve">UK </v>
      </c>
    </row>
    <row r="78" spans="1:14" x14ac:dyDescent="0.3">
      <c r="A78">
        <v>342</v>
      </c>
      <c r="B78" s="24">
        <v>43909</v>
      </c>
      <c r="C78" t="s">
        <v>1071</v>
      </c>
      <c r="D78">
        <v>31</v>
      </c>
      <c r="E78" t="s">
        <v>1059</v>
      </c>
      <c r="F78" t="s">
        <v>1060</v>
      </c>
      <c r="G78" t="s">
        <v>794</v>
      </c>
      <c r="H78" t="s">
        <v>77</v>
      </c>
      <c r="J78" t="str">
        <f t="shared" si="1"/>
        <v>Male</v>
      </c>
      <c r="K78" t="str">
        <f t="shared" si="2"/>
        <v>Singaporean</v>
      </c>
      <c r="L78" t="str">
        <f t="shared" si="3"/>
        <v xml:space="preserve">Case 342 is a Imported case, 31 years old male Singapore Citizen  and has been to Thailand . He is currently admitted at NCID . </v>
      </c>
      <c r="M78">
        <f t="shared" si="4"/>
        <v>342</v>
      </c>
      <c r="N78" t="str">
        <f t="shared" si="5"/>
        <v xml:space="preserve">Thailand </v>
      </c>
    </row>
    <row r="79" spans="1:14" x14ac:dyDescent="0.3">
      <c r="A79">
        <v>343</v>
      </c>
      <c r="B79" s="24">
        <v>43909</v>
      </c>
      <c r="C79" t="s">
        <v>1071</v>
      </c>
      <c r="D79">
        <v>20</v>
      </c>
      <c r="E79" t="s">
        <v>930</v>
      </c>
      <c r="F79" t="s">
        <v>1072</v>
      </c>
      <c r="G79" t="s">
        <v>1063</v>
      </c>
      <c r="H79" t="s">
        <v>77</v>
      </c>
      <c r="J79" t="str">
        <f t="shared" si="1"/>
        <v>Female</v>
      </c>
      <c r="K79" t="str">
        <f t="shared" si="2"/>
        <v>Singaporean</v>
      </c>
      <c r="L79" t="str">
        <f t="shared" si="3"/>
        <v xml:space="preserve">Case 343 is a Imported case, 20 years old female Singapore Permanent Resident  and has been to UK . She is currently admitted at NCID . </v>
      </c>
      <c r="M79">
        <f t="shared" si="4"/>
        <v>343</v>
      </c>
      <c r="N79" t="str">
        <f t="shared" si="5"/>
        <v xml:space="preserve">UK </v>
      </c>
    </row>
    <row r="80" spans="1:14" x14ac:dyDescent="0.3">
      <c r="A80">
        <v>344</v>
      </c>
      <c r="B80" s="24">
        <v>43909</v>
      </c>
      <c r="C80" t="s">
        <v>1071</v>
      </c>
      <c r="D80">
        <v>21</v>
      </c>
      <c r="E80" t="s">
        <v>1073</v>
      </c>
      <c r="F80" t="s">
        <v>1060</v>
      </c>
      <c r="G80" t="s">
        <v>1063</v>
      </c>
      <c r="H80" t="s">
        <v>77</v>
      </c>
      <c r="J80" t="str">
        <f t="shared" si="1"/>
        <v>Female</v>
      </c>
      <c r="K80" t="str">
        <f t="shared" si="2"/>
        <v>Singaporean</v>
      </c>
      <c r="L80" t="str">
        <f t="shared" si="3"/>
        <v xml:space="preserve">Case 344 is a Imported case, 21 years old female Singapore Citizen  and has been to UK . She is currently admitted at NCID . </v>
      </c>
      <c r="M80">
        <f t="shared" si="4"/>
        <v>344</v>
      </c>
      <c r="N80" t="str">
        <f t="shared" si="5"/>
        <v xml:space="preserve">UK </v>
      </c>
    </row>
    <row r="81" spans="1:14" x14ac:dyDescent="0.3">
      <c r="A81">
        <v>345</v>
      </c>
      <c r="B81" s="24">
        <v>43909</v>
      </c>
      <c r="C81" t="s">
        <v>1071</v>
      </c>
      <c r="D81">
        <v>30</v>
      </c>
      <c r="E81" t="s">
        <v>932</v>
      </c>
      <c r="F81" t="s">
        <v>1092</v>
      </c>
      <c r="G81" t="s">
        <v>1063</v>
      </c>
      <c r="H81" t="s">
        <v>1086</v>
      </c>
      <c r="I81" t="s">
        <v>733</v>
      </c>
      <c r="J81" t="str">
        <f t="shared" si="1"/>
        <v>Male</v>
      </c>
      <c r="K81" t="str">
        <f t="shared" si="2"/>
        <v>German</v>
      </c>
      <c r="L81" t="str">
        <f t="shared" si="3"/>
        <v>Case 345 is a Local linked  case, 30 years old male German (Singapore Work Pass)  and has been to UK . He is currently admitted at NCID . boulder+ Gym</v>
      </c>
      <c r="M81">
        <f t="shared" si="4"/>
        <v>345</v>
      </c>
      <c r="N81" t="str">
        <f t="shared" si="5"/>
        <v xml:space="preserve">UK </v>
      </c>
    </row>
    <row r="82" spans="1:14" x14ac:dyDescent="0.3">
      <c r="A82">
        <v>346</v>
      </c>
      <c r="B82" s="24">
        <v>43909</v>
      </c>
      <c r="C82" t="s">
        <v>1058</v>
      </c>
      <c r="D82">
        <v>59</v>
      </c>
      <c r="E82" t="s">
        <v>1059</v>
      </c>
      <c r="F82" t="s">
        <v>1060</v>
      </c>
      <c r="G82" t="s">
        <v>798</v>
      </c>
      <c r="H82" t="s">
        <v>77</v>
      </c>
      <c r="J82" t="str">
        <f t="shared" ref="J82:J145" si="6">IF(TRIM(E82)="M","Male",IF(TRIM(E82)="F","Female",""))</f>
        <v>Male</v>
      </c>
      <c r="K82" t="str">
        <f t="shared" ref="K82:K92" si="7">IF(LEFT(F82,9)="Singapore","Singaporean",LEFT(F82,FIND("(",F82)-2))</f>
        <v>Singaporean</v>
      </c>
      <c r="L82" t="str">
        <f t="shared" ref="L82:L145" si="8">"Case "&amp;A82&amp;" is a "&amp;H82&amp;" case, "&amp;D82&amp;" years old "&amp;LOWER(J82)&amp;" "&amp;F82 &amp;IF(G82=""," and has not been overseas"," and has been to "&amp;G82)&amp;". "&amp;IF(TRIM(E82)="F","She",IF(TRIM(E82)="M","He"))&amp;" is currently admitted at "&amp;C82&amp;". "&amp;I82</f>
        <v xml:space="preserve">Case 346 is a Imported case, 59 years old male Singapore Citizen  and has been to India . He is currently admitted at KTPH . </v>
      </c>
      <c r="M82">
        <f t="shared" ref="M82:M145" si="9">IF(G82="","",A82)</f>
        <v>346</v>
      </c>
      <c r="N82" t="str">
        <f t="shared" ref="N82:N145" si="10">IF(G82="","",G82)</f>
        <v xml:space="preserve">India </v>
      </c>
    </row>
    <row r="83" spans="1:14" x14ac:dyDescent="0.3">
      <c r="A83">
        <v>347</v>
      </c>
      <c r="B83" s="24">
        <v>43909</v>
      </c>
      <c r="C83" t="s">
        <v>1058</v>
      </c>
      <c r="D83">
        <v>27</v>
      </c>
      <c r="E83" t="s">
        <v>1059</v>
      </c>
      <c r="F83" t="s">
        <v>1060</v>
      </c>
      <c r="G83" t="s">
        <v>1063</v>
      </c>
      <c r="H83" t="s">
        <v>77</v>
      </c>
      <c r="J83" t="str">
        <f t="shared" si="6"/>
        <v>Male</v>
      </c>
      <c r="K83" t="str">
        <f t="shared" si="7"/>
        <v>Singaporean</v>
      </c>
      <c r="L83" t="str">
        <f t="shared" si="8"/>
        <v xml:space="preserve">Case 347 is a Imported case, 27 years old male Singapore Citizen  and has been to UK . He is currently admitted at KTPH . </v>
      </c>
      <c r="M83">
        <f t="shared" si="9"/>
        <v>347</v>
      </c>
      <c r="N83" t="str">
        <f t="shared" si="10"/>
        <v xml:space="preserve">UK </v>
      </c>
    </row>
    <row r="84" spans="1:14" x14ac:dyDescent="0.3">
      <c r="A84">
        <v>348</v>
      </c>
      <c r="B84" s="24">
        <v>43909</v>
      </c>
      <c r="C84" t="s">
        <v>343</v>
      </c>
      <c r="D84">
        <v>51</v>
      </c>
      <c r="E84" t="s">
        <v>1073</v>
      </c>
      <c r="F84" t="s">
        <v>1060</v>
      </c>
      <c r="H84" t="s">
        <v>1086</v>
      </c>
      <c r="I84" t="s">
        <v>1135</v>
      </c>
      <c r="J84" t="str">
        <f t="shared" si="6"/>
        <v>Female</v>
      </c>
      <c r="K84" t="str">
        <f t="shared" si="7"/>
        <v>Singaporean</v>
      </c>
      <c r="L84" t="str">
        <f t="shared" si="8"/>
        <v>Case 348 is a Local linked  case, 51 years old female Singapore Citizen  and has not been overseas. She is currently admitted at NUH . Family member of Case 227</v>
      </c>
      <c r="M84" t="str">
        <f t="shared" si="9"/>
        <v/>
      </c>
      <c r="N84" t="str">
        <f t="shared" si="10"/>
        <v/>
      </c>
    </row>
    <row r="85" spans="1:14" x14ac:dyDescent="0.3">
      <c r="A85">
        <v>349</v>
      </c>
      <c r="B85" s="24">
        <v>43909</v>
      </c>
      <c r="C85" t="s">
        <v>135</v>
      </c>
      <c r="D85">
        <v>21</v>
      </c>
      <c r="E85" t="s">
        <v>1059</v>
      </c>
      <c r="F85" t="s">
        <v>1060</v>
      </c>
      <c r="G85" t="s">
        <v>1063</v>
      </c>
      <c r="H85" t="s">
        <v>77</v>
      </c>
      <c r="J85" t="str">
        <f t="shared" si="6"/>
        <v>Male</v>
      </c>
      <c r="K85" t="str">
        <f t="shared" si="7"/>
        <v>Singaporean</v>
      </c>
      <c r="L85" t="str">
        <f t="shared" si="8"/>
        <v xml:space="preserve">Case 349 is a Imported case, 21 years old male Singapore Citizen  and has been to UK . He is currently admitted at CGH. </v>
      </c>
      <c r="M85">
        <f t="shared" si="9"/>
        <v>349</v>
      </c>
      <c r="N85" t="str">
        <f t="shared" si="10"/>
        <v xml:space="preserve">UK </v>
      </c>
    </row>
    <row r="86" spans="1:14" x14ac:dyDescent="0.3">
      <c r="A86">
        <v>350</v>
      </c>
      <c r="B86" s="24">
        <v>43909</v>
      </c>
      <c r="C86" t="s">
        <v>1064</v>
      </c>
      <c r="D86">
        <v>61</v>
      </c>
      <c r="E86" t="s">
        <v>1059</v>
      </c>
      <c r="F86" t="s">
        <v>1060</v>
      </c>
      <c r="H86" t="s">
        <v>1061</v>
      </c>
      <c r="J86" t="str">
        <f t="shared" si="6"/>
        <v>Male</v>
      </c>
      <c r="K86" t="str">
        <f t="shared" si="7"/>
        <v>Singaporean</v>
      </c>
      <c r="L86" t="str">
        <f t="shared" si="8"/>
        <v xml:space="preserve">Case 350 is a Local unlinked case, 61 years old male Singapore Citizen  and has not been overseas. He is currently admitted at CGH . </v>
      </c>
      <c r="M86" t="str">
        <f t="shared" si="9"/>
        <v/>
      </c>
      <c r="N86" t="str">
        <f t="shared" si="10"/>
        <v/>
      </c>
    </row>
    <row r="87" spans="1:14" x14ac:dyDescent="0.3">
      <c r="A87">
        <v>351</v>
      </c>
      <c r="B87" s="24">
        <v>43909</v>
      </c>
      <c r="C87" t="s">
        <v>134</v>
      </c>
      <c r="D87">
        <v>51</v>
      </c>
      <c r="E87" t="s">
        <v>1059</v>
      </c>
      <c r="F87" t="s">
        <v>1060</v>
      </c>
      <c r="G87" t="s">
        <v>687</v>
      </c>
      <c r="H87" t="s">
        <v>77</v>
      </c>
      <c r="J87" t="str">
        <f t="shared" si="6"/>
        <v>Male</v>
      </c>
      <c r="K87" t="str">
        <f t="shared" si="7"/>
        <v>Singaporean</v>
      </c>
      <c r="L87" t="str">
        <f t="shared" si="8"/>
        <v xml:space="preserve">Case 351 is a Imported case, 51 years old male Singapore Citizen  and has been to Indonesia . He is currently admitted at SKH. </v>
      </c>
      <c r="M87">
        <f t="shared" si="9"/>
        <v>351</v>
      </c>
      <c r="N87" t="str">
        <f t="shared" si="10"/>
        <v xml:space="preserve">Indonesia </v>
      </c>
    </row>
    <row r="88" spans="1:14" x14ac:dyDescent="0.3">
      <c r="A88">
        <v>352</v>
      </c>
      <c r="B88" s="24">
        <v>43909</v>
      </c>
      <c r="C88" t="s">
        <v>132</v>
      </c>
      <c r="D88">
        <v>43</v>
      </c>
      <c r="E88" t="s">
        <v>1059</v>
      </c>
      <c r="F88" t="s">
        <v>1060</v>
      </c>
      <c r="G88" t="s">
        <v>1136</v>
      </c>
      <c r="H88" t="s">
        <v>77</v>
      </c>
      <c r="J88" t="str">
        <f t="shared" si="6"/>
        <v>Male</v>
      </c>
      <c r="K88" t="str">
        <f t="shared" si="7"/>
        <v>Singaporean</v>
      </c>
      <c r="L88" t="str">
        <f t="shared" si="8"/>
        <v xml:space="preserve">Case 352 is a Imported case, 43 years old male Singapore Citizen  and has been to Moscow, Russia, Copenhagen, Denmark. He is currently admitted at SGH. </v>
      </c>
      <c r="M88">
        <f t="shared" si="9"/>
        <v>352</v>
      </c>
      <c r="N88" t="str">
        <f t="shared" si="10"/>
        <v>Moscow, Russia, Copenhagen, Denmark</v>
      </c>
    </row>
    <row r="89" spans="1:14" x14ac:dyDescent="0.3">
      <c r="A89">
        <v>353</v>
      </c>
      <c r="B89" s="24">
        <v>43909</v>
      </c>
      <c r="C89" t="s">
        <v>133</v>
      </c>
      <c r="D89">
        <v>23</v>
      </c>
      <c r="E89" t="s">
        <v>1059</v>
      </c>
      <c r="F89" t="s">
        <v>1060</v>
      </c>
      <c r="H89" t="s">
        <v>1086</v>
      </c>
      <c r="I89" t="s">
        <v>1137</v>
      </c>
      <c r="J89" t="str">
        <f t="shared" si="6"/>
        <v>Male</v>
      </c>
      <c r="K89" t="str">
        <f t="shared" si="7"/>
        <v>Singaporean</v>
      </c>
      <c r="L89" t="str">
        <f t="shared" si="8"/>
        <v>Case 353 is a Local linked  case, 23 years old male Singapore Citizen  and has not been overseas. He is currently admitted at NCID. Contact of Case 177</v>
      </c>
      <c r="M89" t="str">
        <f t="shared" si="9"/>
        <v/>
      </c>
      <c r="N89" t="str">
        <f t="shared" si="10"/>
        <v/>
      </c>
    </row>
    <row r="90" spans="1:14" x14ac:dyDescent="0.3">
      <c r="A90">
        <v>354</v>
      </c>
      <c r="B90" s="24">
        <v>43909</v>
      </c>
      <c r="C90" t="s">
        <v>1138</v>
      </c>
      <c r="D90">
        <v>59</v>
      </c>
      <c r="E90" t="s">
        <v>1059</v>
      </c>
      <c r="F90" t="s">
        <v>1060</v>
      </c>
      <c r="G90" t="s">
        <v>1063</v>
      </c>
      <c r="H90" t="s">
        <v>1069</v>
      </c>
      <c r="I90" t="s">
        <v>1139</v>
      </c>
      <c r="J90" t="str">
        <f t="shared" si="6"/>
        <v>Male</v>
      </c>
      <c r="K90" t="str">
        <f t="shared" si="7"/>
        <v>Singaporean</v>
      </c>
      <c r="L90" t="str">
        <f t="shared" si="8"/>
        <v>Case 354 is a Imported  case, 59 years old male Singapore Citizen  and has been to UK . He is currently admitted at SGH . Contact of Case 265</v>
      </c>
      <c r="M90">
        <f t="shared" si="9"/>
        <v>354</v>
      </c>
      <c r="N90" t="str">
        <f t="shared" si="10"/>
        <v xml:space="preserve">UK </v>
      </c>
    </row>
    <row r="91" spans="1:14" x14ac:dyDescent="0.3">
      <c r="A91">
        <v>355</v>
      </c>
      <c r="B91" s="24">
        <v>43909</v>
      </c>
      <c r="C91" t="s">
        <v>1071</v>
      </c>
      <c r="D91">
        <v>38</v>
      </c>
      <c r="E91" t="s">
        <v>1059</v>
      </c>
      <c r="F91" t="s">
        <v>1140</v>
      </c>
      <c r="G91" t="s">
        <v>1063</v>
      </c>
      <c r="H91" t="s">
        <v>77</v>
      </c>
      <c r="J91" t="str">
        <f t="shared" si="6"/>
        <v>Male</v>
      </c>
      <c r="K91" t="str">
        <f t="shared" si="7"/>
        <v>Australian</v>
      </c>
      <c r="L91" t="str">
        <f t="shared" si="8"/>
        <v xml:space="preserve">Case 355 is a Imported case, 38 years old male Australian (Long Term Visit Pass holder) and has been to UK . He is currently admitted at NCID . </v>
      </c>
      <c r="M91">
        <f t="shared" si="9"/>
        <v>355</v>
      </c>
      <c r="N91" t="str">
        <f t="shared" si="10"/>
        <v xml:space="preserve">UK </v>
      </c>
    </row>
    <row r="92" spans="1:14" x14ac:dyDescent="0.3">
      <c r="A92">
        <v>356</v>
      </c>
      <c r="B92" s="24">
        <v>43909</v>
      </c>
      <c r="C92" t="s">
        <v>1071</v>
      </c>
      <c r="D92">
        <v>27</v>
      </c>
      <c r="E92" t="s">
        <v>1059</v>
      </c>
      <c r="F92" t="s">
        <v>1141</v>
      </c>
      <c r="G92" t="s">
        <v>798</v>
      </c>
      <c r="H92" t="s">
        <v>77</v>
      </c>
      <c r="J92" t="str">
        <f t="shared" si="6"/>
        <v>Male</v>
      </c>
      <c r="K92" t="str">
        <f t="shared" si="7"/>
        <v>Australian</v>
      </c>
      <c r="L92" t="str">
        <f t="shared" si="8"/>
        <v xml:space="preserve">Case 356 is a Imported case, 27 years old male Australian (Singapore Work Pass holder) and has been to India . He is currently admitted at NCID . </v>
      </c>
      <c r="M92">
        <f t="shared" si="9"/>
        <v>356</v>
      </c>
      <c r="N92" t="str">
        <f t="shared" si="10"/>
        <v xml:space="preserve">India </v>
      </c>
    </row>
    <row r="93" spans="1:14" x14ac:dyDescent="0.3">
      <c r="A93">
        <v>357</v>
      </c>
      <c r="B93" s="24">
        <v>43909</v>
      </c>
      <c r="C93" t="s">
        <v>1142</v>
      </c>
      <c r="D93">
        <v>41</v>
      </c>
      <c r="E93" t="s">
        <v>1059</v>
      </c>
      <c r="F93" t="s">
        <v>1093</v>
      </c>
      <c r="G93" t="s">
        <v>1143</v>
      </c>
      <c r="H93" t="s">
        <v>77</v>
      </c>
      <c r="J93" t="str">
        <f t="shared" si="6"/>
        <v>Male</v>
      </c>
      <c r="K93" t="str">
        <f>IF(LEFT(F93,9)="Singapore","Singaporean",IF(ISERR(FIND("(",F93)),F93,LEFT(F93,FIND("(",F93)-2)))</f>
        <v xml:space="preserve">German </v>
      </c>
      <c r="L93" t="str">
        <f t="shared" si="8"/>
        <v xml:space="preserve">Case 357 is a Imported case, 41 years old male German  and has been to Germany, US, France, Monaco. He is currently admitted at MEH. </v>
      </c>
      <c r="M93">
        <f t="shared" si="9"/>
        <v>357</v>
      </c>
      <c r="N93" t="str">
        <f t="shared" si="10"/>
        <v>Germany, US, France, Monaco</v>
      </c>
    </row>
    <row r="94" spans="1:14" x14ac:dyDescent="0.3">
      <c r="A94">
        <v>358</v>
      </c>
      <c r="B94" s="24">
        <v>43909</v>
      </c>
      <c r="C94" t="s">
        <v>1071</v>
      </c>
      <c r="D94">
        <v>39</v>
      </c>
      <c r="E94" t="s">
        <v>1073</v>
      </c>
      <c r="F94" t="s">
        <v>949</v>
      </c>
      <c r="H94" t="s">
        <v>1061</v>
      </c>
      <c r="J94" t="str">
        <f t="shared" si="6"/>
        <v>Female</v>
      </c>
      <c r="K94" t="str">
        <f t="shared" ref="K94:K157" si="11">IF(LEFT(F94,9)="Singapore","Singaporean",IF(ISERR(FIND("(",F94)),F94,LEFT(F94,FIND("(",F94)-2)))</f>
        <v>Singaporean</v>
      </c>
      <c r="L94" t="str">
        <f t="shared" si="8"/>
        <v xml:space="preserve">Case 358 is a Local unlinked case, 39 years old female Singapore Permanent Resident and has not been overseas. She is currently admitted at NCID . </v>
      </c>
      <c r="M94" t="str">
        <f t="shared" si="9"/>
        <v/>
      </c>
      <c r="N94" t="str">
        <f t="shared" si="10"/>
        <v/>
      </c>
    </row>
    <row r="95" spans="1:14" x14ac:dyDescent="0.3">
      <c r="A95">
        <v>359</v>
      </c>
      <c r="B95" s="24">
        <v>43909</v>
      </c>
      <c r="C95" t="s">
        <v>343</v>
      </c>
      <c r="D95">
        <v>45</v>
      </c>
      <c r="E95" t="s">
        <v>1073</v>
      </c>
      <c r="F95" t="s">
        <v>1060</v>
      </c>
      <c r="H95" t="s">
        <v>1086</v>
      </c>
      <c r="I95" t="s">
        <v>1144</v>
      </c>
      <c r="J95" t="str">
        <f t="shared" si="6"/>
        <v>Female</v>
      </c>
      <c r="K95" t="str">
        <f t="shared" si="11"/>
        <v>Singaporean</v>
      </c>
      <c r="L95" t="str">
        <f t="shared" si="8"/>
        <v>Case 359 is a Local linked  case, 45 years old female Singapore Citizen  and has not been overseas. She is currently admitted at NUH . Contact of Case 321</v>
      </c>
      <c r="M95" t="str">
        <f t="shared" si="9"/>
        <v/>
      </c>
      <c r="N95" t="str">
        <f t="shared" si="10"/>
        <v/>
      </c>
    </row>
    <row r="96" spans="1:14" x14ac:dyDescent="0.3">
      <c r="A96">
        <v>360</v>
      </c>
      <c r="B96" s="24">
        <v>43909</v>
      </c>
      <c r="C96" t="s">
        <v>1071</v>
      </c>
      <c r="D96">
        <v>26</v>
      </c>
      <c r="E96" t="s">
        <v>1059</v>
      </c>
      <c r="F96" t="s">
        <v>1060</v>
      </c>
      <c r="G96" t="s">
        <v>1063</v>
      </c>
      <c r="H96" t="s">
        <v>77</v>
      </c>
      <c r="J96" t="str">
        <f t="shared" si="6"/>
        <v>Male</v>
      </c>
      <c r="K96" t="str">
        <f t="shared" si="11"/>
        <v>Singaporean</v>
      </c>
      <c r="L96" t="str">
        <f t="shared" si="8"/>
        <v xml:space="preserve">Case 360 is a Imported case, 26 years old male Singapore Citizen  and has been to UK . He is currently admitted at NCID . </v>
      </c>
      <c r="M96">
        <f t="shared" si="9"/>
        <v>360</v>
      </c>
      <c r="N96" t="str">
        <f t="shared" si="10"/>
        <v xml:space="preserve">UK </v>
      </c>
    </row>
    <row r="97" spans="1:14" x14ac:dyDescent="0.3">
      <c r="A97">
        <v>361</v>
      </c>
      <c r="B97" s="24">
        <v>43909</v>
      </c>
      <c r="C97" t="s">
        <v>1071</v>
      </c>
      <c r="D97">
        <v>32</v>
      </c>
      <c r="E97" t="s">
        <v>1059</v>
      </c>
      <c r="F97" t="s">
        <v>1060</v>
      </c>
      <c r="G97" t="s">
        <v>794</v>
      </c>
      <c r="H97" t="s">
        <v>1086</v>
      </c>
      <c r="I97" t="s">
        <v>1145</v>
      </c>
      <c r="J97" t="str">
        <f t="shared" si="6"/>
        <v>Male</v>
      </c>
      <c r="K97" t="str">
        <f t="shared" si="11"/>
        <v>Singaporean</v>
      </c>
      <c r="L97" t="str">
        <f t="shared" si="8"/>
        <v>Case 361 is a Local linked  case, 32 years old male Singapore Citizen  and has been to Thailand . He is currently admitted at NCID . Contact of Case 318</v>
      </c>
      <c r="M97">
        <f t="shared" si="9"/>
        <v>361</v>
      </c>
      <c r="N97" t="str">
        <f t="shared" si="10"/>
        <v xml:space="preserve">Thailand </v>
      </c>
    </row>
    <row r="98" spans="1:14" x14ac:dyDescent="0.3">
      <c r="A98">
        <v>362</v>
      </c>
      <c r="B98" s="24">
        <v>43909</v>
      </c>
      <c r="C98" t="s">
        <v>1071</v>
      </c>
      <c r="D98">
        <v>45</v>
      </c>
      <c r="E98" t="s">
        <v>1073</v>
      </c>
      <c r="F98" t="s">
        <v>1146</v>
      </c>
      <c r="G98" t="s">
        <v>1147</v>
      </c>
      <c r="H98" t="s">
        <v>77</v>
      </c>
      <c r="J98" t="str">
        <f t="shared" si="6"/>
        <v>Female</v>
      </c>
      <c r="K98" t="str">
        <f t="shared" si="11"/>
        <v>Germany</v>
      </c>
      <c r="L98" t="str">
        <f t="shared" si="8"/>
        <v xml:space="preserve">Case 362 is a Imported case, 45 years old female Germany (Long Term Pass holder) and has been to Germany, Holland . She is currently admitted at NCID . </v>
      </c>
      <c r="M98">
        <f t="shared" si="9"/>
        <v>362</v>
      </c>
      <c r="N98" t="str">
        <f t="shared" si="10"/>
        <v xml:space="preserve">Germany, Holland </v>
      </c>
    </row>
    <row r="99" spans="1:14" x14ac:dyDescent="0.3">
      <c r="A99">
        <v>363</v>
      </c>
      <c r="B99" s="24">
        <v>43909</v>
      </c>
      <c r="C99" t="s">
        <v>1066</v>
      </c>
      <c r="D99">
        <v>49</v>
      </c>
      <c r="E99" t="s">
        <v>1059</v>
      </c>
      <c r="F99" t="s">
        <v>1060</v>
      </c>
      <c r="G99" t="s">
        <v>1063</v>
      </c>
      <c r="H99" t="s">
        <v>77</v>
      </c>
      <c r="J99" t="str">
        <f t="shared" si="6"/>
        <v>Male</v>
      </c>
      <c r="K99" t="str">
        <f t="shared" si="11"/>
        <v>Singaporean</v>
      </c>
      <c r="L99" t="str">
        <f t="shared" si="8"/>
        <v xml:space="preserve">Case 363 is a Imported case, 49 years old male Singapore Citizen  and has been to UK . He is currently admitted at SKH . </v>
      </c>
      <c r="M99">
        <f t="shared" si="9"/>
        <v>363</v>
      </c>
      <c r="N99" t="str">
        <f t="shared" si="10"/>
        <v xml:space="preserve">UK </v>
      </c>
    </row>
    <row r="100" spans="1:14" x14ac:dyDescent="0.3">
      <c r="A100">
        <v>364</v>
      </c>
      <c r="B100" s="24">
        <v>43910</v>
      </c>
      <c r="C100" t="s">
        <v>1071</v>
      </c>
      <c r="D100">
        <v>52</v>
      </c>
      <c r="E100" t="s">
        <v>1059</v>
      </c>
      <c r="F100" t="s">
        <v>1060</v>
      </c>
      <c r="H100" t="s">
        <v>1086</v>
      </c>
      <c r="I100" t="s">
        <v>1148</v>
      </c>
      <c r="J100" t="str">
        <f t="shared" si="6"/>
        <v>Male</v>
      </c>
      <c r="K100" t="str">
        <f t="shared" si="11"/>
        <v>Singaporean</v>
      </c>
      <c r="L100" t="str">
        <f t="shared" si="8"/>
        <v>Case 364 is a Local linked  case, 52 years old male Singapore Citizen  and has not been overseas. He is currently admitted at NCID . Contact of Case 225</v>
      </c>
      <c r="M100" t="str">
        <f t="shared" si="9"/>
        <v/>
      </c>
      <c r="N100" t="str">
        <f t="shared" si="10"/>
        <v/>
      </c>
    </row>
    <row r="101" spans="1:14" x14ac:dyDescent="0.3">
      <c r="A101">
        <v>365</v>
      </c>
      <c r="B101" s="24">
        <v>43910</v>
      </c>
      <c r="C101" t="s">
        <v>1071</v>
      </c>
      <c r="D101">
        <v>33</v>
      </c>
      <c r="E101" t="s">
        <v>1059</v>
      </c>
      <c r="F101" t="s">
        <v>1149</v>
      </c>
      <c r="G101" t="s">
        <v>1150</v>
      </c>
      <c r="H101" t="s">
        <v>77</v>
      </c>
      <c r="J101" t="str">
        <f t="shared" si="6"/>
        <v>Male</v>
      </c>
      <c r="K101" t="str">
        <f t="shared" si="11"/>
        <v>Netherlands</v>
      </c>
      <c r="L101" t="str">
        <f t="shared" si="8"/>
        <v xml:space="preserve">Case 365 is a Imported case, 33 years old male Netherlands (Singapore Work Pass holder) and has been to Austria, Netherlands, UK. He is currently admitted at NCID . </v>
      </c>
      <c r="M101">
        <f t="shared" si="9"/>
        <v>365</v>
      </c>
      <c r="N101" t="str">
        <f t="shared" si="10"/>
        <v>Austria, Netherlands, UK</v>
      </c>
    </row>
    <row r="102" spans="1:14" x14ac:dyDescent="0.3">
      <c r="A102">
        <v>366</v>
      </c>
      <c r="B102" s="24">
        <v>43910</v>
      </c>
      <c r="C102" t="s">
        <v>1071</v>
      </c>
      <c r="D102">
        <v>26</v>
      </c>
      <c r="E102" t="s">
        <v>1073</v>
      </c>
      <c r="F102" t="s">
        <v>1060</v>
      </c>
      <c r="G102" t="s">
        <v>958</v>
      </c>
      <c r="H102" t="s">
        <v>1069</v>
      </c>
      <c r="I102" t="s">
        <v>1151</v>
      </c>
      <c r="J102" t="str">
        <f t="shared" si="6"/>
        <v>Female</v>
      </c>
      <c r="K102" t="str">
        <f t="shared" si="11"/>
        <v>Singaporean</v>
      </c>
      <c r="L102" t="str">
        <f t="shared" si="8"/>
        <v>Case 366 is a Imported  case, 26 years old female Singapore Citizen  and has been to UK, Switzerland, Austria. She is currently admitted at NCID . Contact of Case 304</v>
      </c>
      <c r="M102">
        <f t="shared" si="9"/>
        <v>366</v>
      </c>
      <c r="N102" t="str">
        <f t="shared" si="10"/>
        <v>UK, Switzerland, Austria</v>
      </c>
    </row>
    <row r="103" spans="1:14" x14ac:dyDescent="0.3">
      <c r="A103">
        <v>367</v>
      </c>
      <c r="B103" s="24">
        <v>43910</v>
      </c>
      <c r="C103" t="s">
        <v>1071</v>
      </c>
      <c r="D103">
        <v>25</v>
      </c>
      <c r="E103" t="s">
        <v>1059</v>
      </c>
      <c r="F103" t="s">
        <v>1060</v>
      </c>
      <c r="G103" t="s">
        <v>360</v>
      </c>
      <c r="H103" t="s">
        <v>1152</v>
      </c>
      <c r="I103" t="s">
        <v>1153</v>
      </c>
      <c r="J103" t="str">
        <f t="shared" si="6"/>
        <v>Male</v>
      </c>
      <c r="K103" t="str">
        <f t="shared" si="11"/>
        <v>Singaporean</v>
      </c>
      <c r="L103" t="str">
        <f t="shared" si="8"/>
        <v>Case 367 is a Local linked case, 25 years old male Singapore Citizen  and has been to Malaysia . He is currently admitted at NCID . Family member of Case 338</v>
      </c>
      <c r="M103">
        <f t="shared" si="9"/>
        <v>367</v>
      </c>
      <c r="N103" t="str">
        <f t="shared" si="10"/>
        <v xml:space="preserve">Malaysia </v>
      </c>
    </row>
    <row r="104" spans="1:14" x14ac:dyDescent="0.3">
      <c r="A104">
        <v>368</v>
      </c>
      <c r="B104" s="24">
        <v>43910</v>
      </c>
      <c r="C104" t="s">
        <v>1071</v>
      </c>
      <c r="D104">
        <v>19</v>
      </c>
      <c r="E104" t="s">
        <v>1073</v>
      </c>
      <c r="F104" t="s">
        <v>1154</v>
      </c>
      <c r="H104" t="s">
        <v>1086</v>
      </c>
      <c r="I104" t="s">
        <v>1155</v>
      </c>
      <c r="J104" t="str">
        <f t="shared" si="6"/>
        <v>Female</v>
      </c>
      <c r="K104" t="str">
        <f t="shared" si="11"/>
        <v>Indonesian</v>
      </c>
      <c r="L104" t="str">
        <f t="shared" si="8"/>
        <v>Case 368 is a Local linked  case, 19 years old female Indonesian (Long Term Visit Pass holder) and has not been overseas. She is currently admitted at NCID . Contact of Cases 225 and 294</v>
      </c>
      <c r="M104" t="str">
        <f t="shared" si="9"/>
        <v/>
      </c>
      <c r="N104" t="str">
        <f t="shared" si="10"/>
        <v/>
      </c>
    </row>
    <row r="105" spans="1:14" x14ac:dyDescent="0.3">
      <c r="A105">
        <v>369</v>
      </c>
      <c r="B105" s="24">
        <v>43910</v>
      </c>
      <c r="C105" t="s">
        <v>1071</v>
      </c>
      <c r="D105">
        <v>34</v>
      </c>
      <c r="E105" t="s">
        <v>1059</v>
      </c>
      <c r="F105" t="s">
        <v>1060</v>
      </c>
      <c r="G105" t="s">
        <v>794</v>
      </c>
      <c r="H105" t="s">
        <v>77</v>
      </c>
      <c r="J105" t="str">
        <f t="shared" si="6"/>
        <v>Male</v>
      </c>
      <c r="K105" t="str">
        <f t="shared" si="11"/>
        <v>Singaporean</v>
      </c>
      <c r="L105" t="str">
        <f t="shared" si="8"/>
        <v xml:space="preserve">Case 369 is a Imported case, 34 years old male Singapore Citizen  and has been to Thailand . He is currently admitted at NCID . </v>
      </c>
      <c r="M105">
        <f t="shared" si="9"/>
        <v>369</v>
      </c>
      <c r="N105" t="str">
        <f t="shared" si="10"/>
        <v xml:space="preserve">Thailand </v>
      </c>
    </row>
    <row r="106" spans="1:14" x14ac:dyDescent="0.3">
      <c r="A106">
        <v>370</v>
      </c>
      <c r="B106" s="24">
        <v>43910</v>
      </c>
      <c r="C106" t="s">
        <v>1071</v>
      </c>
      <c r="D106">
        <v>73</v>
      </c>
      <c r="E106" t="s">
        <v>1059</v>
      </c>
      <c r="F106" t="s">
        <v>1156</v>
      </c>
      <c r="G106" t="s">
        <v>687</v>
      </c>
      <c r="H106" t="s">
        <v>77</v>
      </c>
      <c r="J106" t="str">
        <f t="shared" si="6"/>
        <v>Male</v>
      </c>
      <c r="K106" t="str">
        <f t="shared" si="11"/>
        <v>Malaysia</v>
      </c>
      <c r="L106" t="str">
        <f t="shared" si="8"/>
        <v xml:space="preserve">Case 370 is a Imported case, 73 years old male Malaysia (Singapore Work Pass holder)  and has been to Indonesia . He is currently admitted at NCID . </v>
      </c>
      <c r="M106">
        <f t="shared" si="9"/>
        <v>370</v>
      </c>
      <c r="N106" t="str">
        <f t="shared" si="10"/>
        <v xml:space="preserve">Indonesia </v>
      </c>
    </row>
    <row r="107" spans="1:14" x14ac:dyDescent="0.3">
      <c r="A107">
        <v>371</v>
      </c>
      <c r="B107" s="24">
        <v>43910</v>
      </c>
      <c r="C107" t="s">
        <v>1071</v>
      </c>
      <c r="D107">
        <v>22</v>
      </c>
      <c r="E107" t="s">
        <v>1059</v>
      </c>
      <c r="F107" t="s">
        <v>1060</v>
      </c>
      <c r="G107" t="s">
        <v>1063</v>
      </c>
      <c r="H107" t="s">
        <v>77</v>
      </c>
      <c r="J107" t="str">
        <f t="shared" si="6"/>
        <v>Male</v>
      </c>
      <c r="K107" t="str">
        <f t="shared" si="11"/>
        <v>Singaporean</v>
      </c>
      <c r="L107" t="str">
        <f t="shared" si="8"/>
        <v xml:space="preserve">Case 371 is a Imported case, 22 years old male Singapore Citizen  and has been to UK . He is currently admitted at NCID . </v>
      </c>
      <c r="M107">
        <f t="shared" si="9"/>
        <v>371</v>
      </c>
      <c r="N107" t="str">
        <f t="shared" si="10"/>
        <v xml:space="preserve">UK </v>
      </c>
    </row>
    <row r="108" spans="1:14" x14ac:dyDescent="0.3">
      <c r="A108">
        <v>372</v>
      </c>
      <c r="B108" s="24">
        <v>43910</v>
      </c>
      <c r="C108" t="s">
        <v>1071</v>
      </c>
      <c r="D108">
        <v>22</v>
      </c>
      <c r="E108" t="s">
        <v>1073</v>
      </c>
      <c r="F108" t="s">
        <v>1060</v>
      </c>
      <c r="G108" t="s">
        <v>1063</v>
      </c>
      <c r="H108" t="s">
        <v>77</v>
      </c>
      <c r="J108" t="str">
        <f t="shared" si="6"/>
        <v>Female</v>
      </c>
      <c r="K108" t="str">
        <f t="shared" si="11"/>
        <v>Singaporean</v>
      </c>
      <c r="L108" t="str">
        <f t="shared" si="8"/>
        <v xml:space="preserve">Case 372 is a Imported case, 22 years old female Singapore Citizen  and has been to UK . She is currently admitted at NCID . </v>
      </c>
      <c r="M108">
        <f t="shared" si="9"/>
        <v>372</v>
      </c>
      <c r="N108" t="str">
        <f t="shared" si="10"/>
        <v xml:space="preserve">UK </v>
      </c>
    </row>
    <row r="109" spans="1:14" x14ac:dyDescent="0.3">
      <c r="A109">
        <v>373</v>
      </c>
      <c r="B109" s="24">
        <v>43910</v>
      </c>
      <c r="C109" t="s">
        <v>1071</v>
      </c>
      <c r="D109">
        <v>51</v>
      </c>
      <c r="E109" t="s">
        <v>1059</v>
      </c>
      <c r="F109" t="s">
        <v>1060</v>
      </c>
      <c r="G109" t="s">
        <v>1063</v>
      </c>
      <c r="H109" t="s">
        <v>77</v>
      </c>
      <c r="J109" t="str">
        <f t="shared" si="6"/>
        <v>Male</v>
      </c>
      <c r="K109" t="str">
        <f t="shared" si="11"/>
        <v>Singaporean</v>
      </c>
      <c r="L109" t="str">
        <f t="shared" si="8"/>
        <v xml:space="preserve">Case 373 is a Imported case, 51 years old male Singapore Citizen  and has been to UK . He is currently admitted at NCID . </v>
      </c>
      <c r="M109">
        <f t="shared" si="9"/>
        <v>373</v>
      </c>
      <c r="N109" t="str">
        <f t="shared" si="10"/>
        <v xml:space="preserve">UK </v>
      </c>
    </row>
    <row r="110" spans="1:14" x14ac:dyDescent="0.3">
      <c r="A110">
        <v>374</v>
      </c>
      <c r="B110" s="24">
        <v>43910</v>
      </c>
      <c r="C110" t="s">
        <v>1071</v>
      </c>
      <c r="D110">
        <v>23</v>
      </c>
      <c r="E110" t="s">
        <v>1073</v>
      </c>
      <c r="F110" t="s">
        <v>1060</v>
      </c>
      <c r="G110" t="s">
        <v>1063</v>
      </c>
      <c r="H110" t="s">
        <v>77</v>
      </c>
      <c r="J110" t="str">
        <f t="shared" si="6"/>
        <v>Female</v>
      </c>
      <c r="K110" t="str">
        <f t="shared" si="11"/>
        <v>Singaporean</v>
      </c>
      <c r="L110" t="str">
        <f t="shared" si="8"/>
        <v xml:space="preserve">Case 374 is a Imported case, 23 years old female Singapore Citizen  and has been to UK . She is currently admitted at NCID . </v>
      </c>
      <c r="M110">
        <f t="shared" si="9"/>
        <v>374</v>
      </c>
      <c r="N110" t="str">
        <f t="shared" si="10"/>
        <v xml:space="preserve">UK </v>
      </c>
    </row>
    <row r="111" spans="1:14" x14ac:dyDescent="0.3">
      <c r="A111">
        <v>375</v>
      </c>
      <c r="B111" s="24">
        <v>43910</v>
      </c>
      <c r="C111" t="s">
        <v>1071</v>
      </c>
      <c r="D111">
        <v>25</v>
      </c>
      <c r="E111" t="s">
        <v>1073</v>
      </c>
      <c r="F111" t="s">
        <v>1060</v>
      </c>
      <c r="G111" t="s">
        <v>1085</v>
      </c>
      <c r="H111" t="s">
        <v>77</v>
      </c>
      <c r="J111" t="str">
        <f t="shared" si="6"/>
        <v>Female</v>
      </c>
      <c r="K111" t="str">
        <f t="shared" si="11"/>
        <v>Singaporean</v>
      </c>
      <c r="L111" t="str">
        <f t="shared" si="8"/>
        <v xml:space="preserve">Case 375 is a Imported case, 25 years old female Singapore Citizen  and has been to US . She is currently admitted at NCID . </v>
      </c>
      <c r="M111">
        <f t="shared" si="9"/>
        <v>375</v>
      </c>
      <c r="N111" t="str">
        <f t="shared" si="10"/>
        <v xml:space="preserve">US </v>
      </c>
    </row>
    <row r="112" spans="1:14" x14ac:dyDescent="0.3">
      <c r="A112">
        <v>376</v>
      </c>
      <c r="B112" s="24">
        <v>43910</v>
      </c>
      <c r="C112" t="s">
        <v>1071</v>
      </c>
      <c r="D112">
        <v>21</v>
      </c>
      <c r="E112" t="s">
        <v>1073</v>
      </c>
      <c r="F112" t="s">
        <v>1072</v>
      </c>
      <c r="G112" t="s">
        <v>1063</v>
      </c>
      <c r="H112" t="s">
        <v>77</v>
      </c>
      <c r="J112" t="str">
        <f t="shared" si="6"/>
        <v>Female</v>
      </c>
      <c r="K112" t="str">
        <f t="shared" si="11"/>
        <v>Singaporean</v>
      </c>
      <c r="L112" t="str">
        <f t="shared" si="8"/>
        <v xml:space="preserve">Case 376 is a Imported case, 21 years old female Singapore Permanent Resident  and has been to UK . She is currently admitted at NCID . </v>
      </c>
      <c r="M112">
        <f t="shared" si="9"/>
        <v>376</v>
      </c>
      <c r="N112" t="str">
        <f t="shared" si="10"/>
        <v xml:space="preserve">UK </v>
      </c>
    </row>
    <row r="113" spans="1:14" x14ac:dyDescent="0.3">
      <c r="A113">
        <v>377</v>
      </c>
      <c r="B113" s="24">
        <v>43910</v>
      </c>
      <c r="C113" t="s">
        <v>343</v>
      </c>
      <c r="D113">
        <v>59</v>
      </c>
      <c r="E113" t="s">
        <v>1059</v>
      </c>
      <c r="F113" t="s">
        <v>1060</v>
      </c>
      <c r="G113" t="s">
        <v>1063</v>
      </c>
      <c r="H113" t="s">
        <v>77</v>
      </c>
      <c r="J113" t="str">
        <f t="shared" si="6"/>
        <v>Male</v>
      </c>
      <c r="K113" t="str">
        <f t="shared" si="11"/>
        <v>Singaporean</v>
      </c>
      <c r="L113" t="str">
        <f t="shared" si="8"/>
        <v xml:space="preserve">Case 377 is a Imported case, 59 years old male Singapore Citizen  and has been to UK . He is currently admitted at NUH . </v>
      </c>
      <c r="M113">
        <f t="shared" si="9"/>
        <v>377</v>
      </c>
      <c r="N113" t="str">
        <f t="shared" si="10"/>
        <v xml:space="preserve">UK </v>
      </c>
    </row>
    <row r="114" spans="1:14" x14ac:dyDescent="0.3">
      <c r="A114">
        <v>378</v>
      </c>
      <c r="B114" s="24">
        <v>43910</v>
      </c>
      <c r="C114" t="s">
        <v>1071</v>
      </c>
      <c r="D114">
        <v>38</v>
      </c>
      <c r="E114" t="s">
        <v>1059</v>
      </c>
      <c r="F114" t="s">
        <v>1157</v>
      </c>
      <c r="G114" t="s">
        <v>1063</v>
      </c>
      <c r="H114" t="s">
        <v>77</v>
      </c>
      <c r="J114" t="str">
        <f t="shared" si="6"/>
        <v>Male</v>
      </c>
      <c r="K114" t="str">
        <f t="shared" si="11"/>
        <v>UK</v>
      </c>
      <c r="L114" t="str">
        <f t="shared" si="8"/>
        <v xml:space="preserve">Case 378 is a Imported case, 38 years old male UK (Long Term Visit Pass holder)  and has been to UK . He is currently admitted at NCID . </v>
      </c>
      <c r="M114">
        <f t="shared" si="9"/>
        <v>378</v>
      </c>
      <c r="N114" t="str">
        <f t="shared" si="10"/>
        <v xml:space="preserve">UK </v>
      </c>
    </row>
    <row r="115" spans="1:14" x14ac:dyDescent="0.3">
      <c r="A115">
        <v>379</v>
      </c>
      <c r="B115" s="24">
        <v>43910</v>
      </c>
      <c r="C115" t="s">
        <v>1071</v>
      </c>
      <c r="D115">
        <v>62</v>
      </c>
      <c r="E115" t="s">
        <v>1059</v>
      </c>
      <c r="F115" t="s">
        <v>1158</v>
      </c>
      <c r="G115" t="s">
        <v>687</v>
      </c>
      <c r="H115" t="s">
        <v>77</v>
      </c>
      <c r="J115" t="str">
        <f t="shared" si="6"/>
        <v>Male</v>
      </c>
      <c r="K115" t="str">
        <f t="shared" si="11"/>
        <v>Sweden</v>
      </c>
      <c r="L115" t="str">
        <f t="shared" si="8"/>
        <v xml:space="preserve">Case 379 is a Imported case, 62 years old male Sweden (Singapore Work Pass holder)  and has been to Indonesia . He is currently admitted at NCID . </v>
      </c>
      <c r="M115">
        <f t="shared" si="9"/>
        <v>379</v>
      </c>
      <c r="N115" t="str">
        <f t="shared" si="10"/>
        <v xml:space="preserve">Indonesia </v>
      </c>
    </row>
    <row r="116" spans="1:14" x14ac:dyDescent="0.3">
      <c r="A116">
        <v>380</v>
      </c>
      <c r="B116" s="24">
        <v>43910</v>
      </c>
      <c r="C116" t="s">
        <v>1138</v>
      </c>
      <c r="D116">
        <v>34</v>
      </c>
      <c r="E116" t="s">
        <v>1059</v>
      </c>
      <c r="F116" t="s">
        <v>1060</v>
      </c>
      <c r="G116" t="s">
        <v>680</v>
      </c>
      <c r="H116" t="s">
        <v>77</v>
      </c>
      <c r="J116" t="str">
        <f t="shared" si="6"/>
        <v>Male</v>
      </c>
      <c r="K116" t="str">
        <f t="shared" si="11"/>
        <v>Singaporean</v>
      </c>
      <c r="L116" t="str">
        <f t="shared" si="8"/>
        <v xml:space="preserve">Case 380 is a Imported case, 34 years old male Singapore Citizen  and has been to Switzerland . He is currently admitted at SGH . </v>
      </c>
      <c r="M116">
        <f t="shared" si="9"/>
        <v>380</v>
      </c>
      <c r="N116" t="str">
        <f t="shared" si="10"/>
        <v xml:space="preserve">Switzerland </v>
      </c>
    </row>
    <row r="117" spans="1:14" x14ac:dyDescent="0.3">
      <c r="A117">
        <v>381</v>
      </c>
      <c r="B117" s="24">
        <v>43910</v>
      </c>
      <c r="C117" t="s">
        <v>1138</v>
      </c>
      <c r="D117">
        <v>27</v>
      </c>
      <c r="E117" t="s">
        <v>1073</v>
      </c>
      <c r="F117" t="s">
        <v>1072</v>
      </c>
      <c r="G117" t="s">
        <v>711</v>
      </c>
      <c r="H117" t="s">
        <v>77</v>
      </c>
      <c r="J117" t="str">
        <f t="shared" si="6"/>
        <v>Female</v>
      </c>
      <c r="K117" t="str">
        <f t="shared" si="11"/>
        <v>Singaporean</v>
      </c>
      <c r="L117" t="str">
        <f t="shared" si="8"/>
        <v xml:space="preserve">Case 381 is a Imported case, 27 years old female Singapore Permanent Resident  and has been to Spain . She is currently admitted at SGH . </v>
      </c>
      <c r="M117">
        <f t="shared" si="9"/>
        <v>381</v>
      </c>
      <c r="N117" t="str">
        <f t="shared" si="10"/>
        <v xml:space="preserve">Spain </v>
      </c>
    </row>
    <row r="118" spans="1:14" x14ac:dyDescent="0.3">
      <c r="A118">
        <v>382</v>
      </c>
      <c r="B118" s="24">
        <v>43910</v>
      </c>
      <c r="C118" t="s">
        <v>1138</v>
      </c>
      <c r="D118">
        <v>55</v>
      </c>
      <c r="E118" t="s">
        <v>1073</v>
      </c>
      <c r="F118" t="s">
        <v>1060</v>
      </c>
      <c r="G118" t="s">
        <v>1063</v>
      </c>
      <c r="H118" t="s">
        <v>77</v>
      </c>
      <c r="J118" t="str">
        <f t="shared" si="6"/>
        <v>Female</v>
      </c>
      <c r="K118" t="str">
        <f t="shared" si="11"/>
        <v>Singaporean</v>
      </c>
      <c r="L118" t="str">
        <f t="shared" si="8"/>
        <v xml:space="preserve">Case 382 is a Imported case, 55 years old female Singapore Citizen  and has been to UK . She is currently admitted at SGH . </v>
      </c>
      <c r="M118">
        <f t="shared" si="9"/>
        <v>382</v>
      </c>
      <c r="N118" t="str">
        <f t="shared" si="10"/>
        <v xml:space="preserve">UK </v>
      </c>
    </row>
    <row r="119" spans="1:14" x14ac:dyDescent="0.3">
      <c r="A119">
        <v>383</v>
      </c>
      <c r="B119" s="24">
        <v>43910</v>
      </c>
      <c r="C119" t="s">
        <v>1071</v>
      </c>
      <c r="D119">
        <v>42</v>
      </c>
      <c r="E119" t="s">
        <v>1073</v>
      </c>
      <c r="F119" t="s">
        <v>1060</v>
      </c>
      <c r="G119" t="s">
        <v>1063</v>
      </c>
      <c r="H119" t="s">
        <v>77</v>
      </c>
      <c r="J119" t="str">
        <f t="shared" si="6"/>
        <v>Female</v>
      </c>
      <c r="K119" t="str">
        <f t="shared" si="11"/>
        <v>Singaporean</v>
      </c>
      <c r="L119" t="str">
        <f t="shared" si="8"/>
        <v xml:space="preserve">Case 383 is a Imported case, 42 years old female Singapore Citizen  and has been to UK . She is currently admitted at NCID . </v>
      </c>
      <c r="M119">
        <f t="shared" si="9"/>
        <v>383</v>
      </c>
      <c r="N119" t="str">
        <f t="shared" si="10"/>
        <v xml:space="preserve">UK </v>
      </c>
    </row>
    <row r="120" spans="1:14" x14ac:dyDescent="0.3">
      <c r="A120">
        <v>384</v>
      </c>
      <c r="B120" s="24">
        <v>43910</v>
      </c>
      <c r="C120" t="s">
        <v>1071</v>
      </c>
      <c r="D120">
        <v>65</v>
      </c>
      <c r="E120" t="s">
        <v>1059</v>
      </c>
      <c r="F120" t="s">
        <v>1060</v>
      </c>
      <c r="H120" t="s">
        <v>1061</v>
      </c>
      <c r="J120" t="str">
        <f t="shared" si="6"/>
        <v>Male</v>
      </c>
      <c r="K120" t="str">
        <f t="shared" si="11"/>
        <v>Singaporean</v>
      </c>
      <c r="L120" t="str">
        <f t="shared" si="8"/>
        <v xml:space="preserve">Case 384 is a Local unlinked case, 65 years old male Singapore Citizen  and has not been overseas. He is currently admitted at NCID . </v>
      </c>
      <c r="M120" t="str">
        <f t="shared" si="9"/>
        <v/>
      </c>
      <c r="N120" t="str">
        <f t="shared" si="10"/>
        <v/>
      </c>
    </row>
    <row r="121" spans="1:14" x14ac:dyDescent="0.3">
      <c r="A121">
        <v>385</v>
      </c>
      <c r="B121" s="24">
        <v>43910</v>
      </c>
      <c r="C121" t="s">
        <v>1064</v>
      </c>
      <c r="D121">
        <v>22</v>
      </c>
      <c r="E121" t="s">
        <v>1059</v>
      </c>
      <c r="F121" t="s">
        <v>1060</v>
      </c>
      <c r="G121" t="s">
        <v>1063</v>
      </c>
      <c r="H121" t="s">
        <v>77</v>
      </c>
      <c r="J121" t="str">
        <f t="shared" si="6"/>
        <v>Male</v>
      </c>
      <c r="K121" t="str">
        <f t="shared" si="11"/>
        <v>Singaporean</v>
      </c>
      <c r="L121" t="str">
        <f t="shared" si="8"/>
        <v xml:space="preserve">Case 385 is a Imported case, 22 years old male Singapore Citizen  and has been to UK . He is currently admitted at CGH . </v>
      </c>
      <c r="M121">
        <f t="shared" si="9"/>
        <v>385</v>
      </c>
      <c r="N121" t="str">
        <f t="shared" si="10"/>
        <v xml:space="preserve">UK </v>
      </c>
    </row>
    <row r="122" spans="1:14" x14ac:dyDescent="0.3">
      <c r="A122">
        <v>386</v>
      </c>
      <c r="B122" s="24">
        <v>43910</v>
      </c>
      <c r="C122" t="s">
        <v>1062</v>
      </c>
      <c r="D122">
        <v>64</v>
      </c>
      <c r="E122" t="s">
        <v>1073</v>
      </c>
      <c r="F122" t="s">
        <v>1060</v>
      </c>
      <c r="H122" t="s">
        <v>1061</v>
      </c>
      <c r="J122" t="str">
        <f t="shared" si="6"/>
        <v>Female</v>
      </c>
      <c r="K122" t="str">
        <f t="shared" si="11"/>
        <v>Singaporean</v>
      </c>
      <c r="L122" t="str">
        <f t="shared" si="8"/>
        <v xml:space="preserve">Case 386 is a Local unlinked case, 64 years old female Singapore Citizen  and has not been overseas. She is currently admitted at NTFGH . </v>
      </c>
      <c r="M122" t="str">
        <f t="shared" si="9"/>
        <v/>
      </c>
      <c r="N122" t="str">
        <f t="shared" si="10"/>
        <v/>
      </c>
    </row>
    <row r="123" spans="1:14" x14ac:dyDescent="0.3">
      <c r="A123">
        <v>387</v>
      </c>
      <c r="B123" s="24">
        <v>43910</v>
      </c>
      <c r="C123" t="s">
        <v>138</v>
      </c>
      <c r="D123">
        <v>30</v>
      </c>
      <c r="E123" t="s">
        <v>1073</v>
      </c>
      <c r="F123" t="s">
        <v>1159</v>
      </c>
      <c r="G123" t="s">
        <v>1088</v>
      </c>
      <c r="H123" t="s">
        <v>1069</v>
      </c>
      <c r="I123" t="s">
        <v>1196</v>
      </c>
      <c r="J123" t="str">
        <f t="shared" si="6"/>
        <v>Female</v>
      </c>
      <c r="K123" t="str">
        <f t="shared" si="11"/>
        <v>Switzerland</v>
      </c>
      <c r="L123" t="str">
        <f t="shared" si="8"/>
        <v>Case 387 is a Imported  case, 30 years old female Switzerland (Singapore Work Pass holder)  and has been to France, Switzerland . She is currently admitted at NUH. Contact of Case 337</v>
      </c>
      <c r="M123">
        <f t="shared" si="9"/>
        <v>387</v>
      </c>
      <c r="N123" t="str">
        <f t="shared" si="10"/>
        <v xml:space="preserve">France, Switzerland </v>
      </c>
    </row>
    <row r="124" spans="1:14" x14ac:dyDescent="0.3">
      <c r="A124">
        <v>388</v>
      </c>
      <c r="B124" s="24">
        <v>43910</v>
      </c>
      <c r="C124" t="s">
        <v>1066</v>
      </c>
      <c r="D124">
        <v>40</v>
      </c>
      <c r="E124" t="s">
        <v>1059</v>
      </c>
      <c r="F124" t="s">
        <v>1060</v>
      </c>
      <c r="H124" t="s">
        <v>1086</v>
      </c>
      <c r="I124" t="s">
        <v>1160</v>
      </c>
      <c r="J124" t="str">
        <f t="shared" si="6"/>
        <v>Male</v>
      </c>
      <c r="K124" t="str">
        <f t="shared" si="11"/>
        <v>Singaporean</v>
      </c>
      <c r="L124" t="str">
        <f t="shared" si="8"/>
        <v>Case 388 is a Local linked  case, 40 years old male Singapore Citizen  and has not been overseas. He is currently admitted at SKH . Family member of Case 351</v>
      </c>
      <c r="M124" t="str">
        <f t="shared" si="9"/>
        <v/>
      </c>
      <c r="N124" t="str">
        <f t="shared" si="10"/>
        <v/>
      </c>
    </row>
    <row r="125" spans="1:14" x14ac:dyDescent="0.3">
      <c r="A125">
        <v>389</v>
      </c>
      <c r="B125" s="24">
        <v>43910</v>
      </c>
      <c r="C125" t="s">
        <v>1161</v>
      </c>
      <c r="D125">
        <v>36</v>
      </c>
      <c r="E125" t="s">
        <v>1073</v>
      </c>
      <c r="F125" t="s">
        <v>1162</v>
      </c>
      <c r="G125" t="s">
        <v>798</v>
      </c>
      <c r="H125" t="s">
        <v>1069</v>
      </c>
      <c r="I125" t="s">
        <v>1163</v>
      </c>
      <c r="J125" t="str">
        <f t="shared" si="6"/>
        <v>Female</v>
      </c>
      <c r="K125" t="str">
        <f t="shared" si="11"/>
        <v>Russia</v>
      </c>
      <c r="L125" t="str">
        <f t="shared" si="8"/>
        <v>Case 389 is a Imported  case, 36 years old female Russia (Singapore Work Pass holder)  and has been to India . She is currently admitted at KKH . Family member of Case 298</v>
      </c>
      <c r="M125">
        <f t="shared" si="9"/>
        <v>389</v>
      </c>
      <c r="N125" t="str">
        <f t="shared" si="10"/>
        <v xml:space="preserve">India </v>
      </c>
    </row>
    <row r="126" spans="1:14" x14ac:dyDescent="0.3">
      <c r="A126">
        <v>390</v>
      </c>
      <c r="B126" s="24">
        <v>43910</v>
      </c>
      <c r="C126" t="s">
        <v>1161</v>
      </c>
      <c r="D126">
        <v>35</v>
      </c>
      <c r="E126" t="s">
        <v>1073</v>
      </c>
      <c r="F126" t="s">
        <v>1060</v>
      </c>
      <c r="G126" t="s">
        <v>1063</v>
      </c>
      <c r="H126" t="s">
        <v>77</v>
      </c>
      <c r="J126" t="str">
        <f t="shared" si="6"/>
        <v>Female</v>
      </c>
      <c r="K126" t="str">
        <f t="shared" si="11"/>
        <v>Singaporean</v>
      </c>
      <c r="L126" t="str">
        <f t="shared" si="8"/>
        <v xml:space="preserve">Case 390 is a Imported case, 35 years old female Singapore Citizen  and has been to UK . She is currently admitted at KKH . </v>
      </c>
      <c r="M126">
        <f t="shared" si="9"/>
        <v>390</v>
      </c>
      <c r="N126" t="str">
        <f t="shared" si="10"/>
        <v xml:space="preserve">UK </v>
      </c>
    </row>
    <row r="127" spans="1:14" x14ac:dyDescent="0.3">
      <c r="A127">
        <v>391</v>
      </c>
      <c r="B127" s="24">
        <v>43910</v>
      </c>
      <c r="C127" t="s">
        <v>343</v>
      </c>
      <c r="D127">
        <v>53</v>
      </c>
      <c r="E127" t="s">
        <v>1059</v>
      </c>
      <c r="F127" t="s">
        <v>844</v>
      </c>
      <c r="G127" t="s">
        <v>1164</v>
      </c>
      <c r="H127" t="s">
        <v>77</v>
      </c>
      <c r="J127" t="str">
        <f t="shared" si="6"/>
        <v>Male</v>
      </c>
      <c r="K127" t="str">
        <f t="shared" si="11"/>
        <v xml:space="preserve">Australia </v>
      </c>
      <c r="L127" t="str">
        <f t="shared" si="8"/>
        <v xml:space="preserve">Case 391 is a Imported case, 53 years old male Australia  and has been to Australia, US . He is currently admitted at NUH . </v>
      </c>
      <c r="M127">
        <f t="shared" si="9"/>
        <v>391</v>
      </c>
      <c r="N127" t="str">
        <f t="shared" si="10"/>
        <v xml:space="preserve">Australia, US </v>
      </c>
    </row>
    <row r="128" spans="1:14" x14ac:dyDescent="0.3">
      <c r="A128">
        <v>392</v>
      </c>
      <c r="B128" s="24">
        <v>43910</v>
      </c>
      <c r="C128" t="s">
        <v>1071</v>
      </c>
      <c r="D128">
        <v>54</v>
      </c>
      <c r="E128" t="s">
        <v>1059</v>
      </c>
      <c r="F128" t="s">
        <v>1072</v>
      </c>
      <c r="G128" t="s">
        <v>687</v>
      </c>
      <c r="H128" t="s">
        <v>77</v>
      </c>
      <c r="J128" t="str">
        <f t="shared" si="6"/>
        <v>Male</v>
      </c>
      <c r="K128" t="str">
        <f t="shared" si="11"/>
        <v>Singaporean</v>
      </c>
      <c r="L128" t="str">
        <f t="shared" si="8"/>
        <v xml:space="preserve">Case 392 is a Imported case, 54 years old male Singapore Permanent Resident  and has been to Indonesia . He is currently admitted at NCID . </v>
      </c>
      <c r="M128">
        <f t="shared" si="9"/>
        <v>392</v>
      </c>
      <c r="N128" t="str">
        <f t="shared" si="10"/>
        <v xml:space="preserve">Indonesia </v>
      </c>
    </row>
    <row r="129" spans="1:14" x14ac:dyDescent="0.3">
      <c r="A129">
        <v>393</v>
      </c>
      <c r="B129" s="24">
        <v>43910</v>
      </c>
      <c r="C129" t="s">
        <v>1071</v>
      </c>
      <c r="D129">
        <v>21</v>
      </c>
      <c r="E129" t="s">
        <v>1059</v>
      </c>
      <c r="F129" t="s">
        <v>1060</v>
      </c>
      <c r="G129" t="s">
        <v>1063</v>
      </c>
      <c r="H129" t="s">
        <v>77</v>
      </c>
      <c r="J129" t="str">
        <f t="shared" si="6"/>
        <v>Male</v>
      </c>
      <c r="K129" t="str">
        <f t="shared" si="11"/>
        <v>Singaporean</v>
      </c>
      <c r="L129" t="str">
        <f t="shared" si="8"/>
        <v xml:space="preserve">Case 393 is a Imported case, 21 years old male Singapore Citizen  and has been to UK . He is currently admitted at NCID . </v>
      </c>
      <c r="M129">
        <f t="shared" si="9"/>
        <v>393</v>
      </c>
      <c r="N129" t="str">
        <f t="shared" si="10"/>
        <v xml:space="preserve">UK </v>
      </c>
    </row>
    <row r="130" spans="1:14" x14ac:dyDescent="0.3">
      <c r="A130">
        <v>394</v>
      </c>
      <c r="B130" s="24">
        <v>43910</v>
      </c>
      <c r="C130" t="s">
        <v>1064</v>
      </c>
      <c r="D130">
        <v>66</v>
      </c>
      <c r="E130" t="s">
        <v>1073</v>
      </c>
      <c r="F130" t="s">
        <v>1165</v>
      </c>
      <c r="G130" t="s">
        <v>706</v>
      </c>
      <c r="H130" t="s">
        <v>77</v>
      </c>
      <c r="J130" t="str">
        <f t="shared" si="6"/>
        <v>Female</v>
      </c>
      <c r="K130" t="str">
        <f t="shared" si="11"/>
        <v>Philippines</v>
      </c>
      <c r="L130" t="str">
        <f t="shared" si="8"/>
        <v xml:space="preserve">Case 394 is a Imported case, 66 years old female Philippines (Long Term Pass holder)  and has been to Philippines . She is currently admitted at CGH . </v>
      </c>
      <c r="M130">
        <f t="shared" si="9"/>
        <v>394</v>
      </c>
      <c r="N130" t="str">
        <f t="shared" si="10"/>
        <v xml:space="preserve">Philippines </v>
      </c>
    </row>
    <row r="131" spans="1:14" x14ac:dyDescent="0.3">
      <c r="A131">
        <v>395</v>
      </c>
      <c r="B131" s="24">
        <v>43910</v>
      </c>
      <c r="C131" t="s">
        <v>1071</v>
      </c>
      <c r="D131">
        <v>54</v>
      </c>
      <c r="E131" t="s">
        <v>1059</v>
      </c>
      <c r="F131" t="s">
        <v>1060</v>
      </c>
      <c r="H131" t="s">
        <v>1061</v>
      </c>
      <c r="J131" t="str">
        <f t="shared" si="6"/>
        <v>Male</v>
      </c>
      <c r="K131" t="str">
        <f t="shared" si="11"/>
        <v>Singaporean</v>
      </c>
      <c r="L131" t="str">
        <f t="shared" si="8"/>
        <v xml:space="preserve">Case 395 is a Local unlinked case, 54 years old male Singapore Citizen  and has not been overseas. He is currently admitted at NCID . </v>
      </c>
      <c r="M131" t="str">
        <f t="shared" si="9"/>
        <v/>
      </c>
      <c r="N131" t="str">
        <f t="shared" si="10"/>
        <v/>
      </c>
    </row>
    <row r="132" spans="1:14" x14ac:dyDescent="0.3">
      <c r="A132">
        <v>396</v>
      </c>
      <c r="B132" s="24">
        <v>43910</v>
      </c>
      <c r="C132" t="s">
        <v>1066</v>
      </c>
      <c r="D132">
        <v>46</v>
      </c>
      <c r="E132" t="s">
        <v>1059</v>
      </c>
      <c r="F132" t="s">
        <v>1060</v>
      </c>
      <c r="H132" t="s">
        <v>1061</v>
      </c>
      <c r="J132" t="str">
        <f t="shared" si="6"/>
        <v>Male</v>
      </c>
      <c r="K132" t="str">
        <f t="shared" si="11"/>
        <v>Singaporean</v>
      </c>
      <c r="L132" t="str">
        <f t="shared" si="8"/>
        <v xml:space="preserve">Case 396 is a Local unlinked case, 46 years old male Singapore Citizen  and has not been overseas. He is currently admitted at SKH . </v>
      </c>
      <c r="M132" t="str">
        <f t="shared" si="9"/>
        <v/>
      </c>
      <c r="N132" t="str">
        <f t="shared" si="10"/>
        <v/>
      </c>
    </row>
    <row r="133" spans="1:14" x14ac:dyDescent="0.3">
      <c r="A133">
        <v>397</v>
      </c>
      <c r="B133" s="24">
        <v>43910</v>
      </c>
      <c r="C133" t="s">
        <v>1071</v>
      </c>
      <c r="D133">
        <v>43</v>
      </c>
      <c r="E133" t="s">
        <v>1059</v>
      </c>
      <c r="F133" t="s">
        <v>1166</v>
      </c>
      <c r="G133" t="s">
        <v>1167</v>
      </c>
      <c r="H133" t="s">
        <v>1069</v>
      </c>
      <c r="I133" t="s">
        <v>1168</v>
      </c>
      <c r="J133" t="str">
        <f t="shared" si="6"/>
        <v>Male</v>
      </c>
      <c r="K133" t="str">
        <f t="shared" si="11"/>
        <v>Ireland</v>
      </c>
      <c r="L133" t="str">
        <f t="shared" si="8"/>
        <v>Case 397 is a Imported  case, 43 years old male Ireland (Singapore Work Pass holder)  and has been to Ireland . He is currently admitted at NCID . Contact of Case 180</v>
      </c>
      <c r="M133">
        <f t="shared" si="9"/>
        <v>397</v>
      </c>
      <c r="N133" t="str">
        <f t="shared" si="10"/>
        <v xml:space="preserve">Ireland </v>
      </c>
    </row>
    <row r="134" spans="1:14" x14ac:dyDescent="0.3">
      <c r="A134">
        <v>398</v>
      </c>
      <c r="B134" s="24">
        <v>43910</v>
      </c>
      <c r="C134" t="s">
        <v>1169</v>
      </c>
      <c r="D134">
        <v>57</v>
      </c>
      <c r="E134" t="s">
        <v>1059</v>
      </c>
      <c r="F134" t="s">
        <v>1072</v>
      </c>
      <c r="H134" t="s">
        <v>1061</v>
      </c>
      <c r="J134" t="str">
        <f t="shared" si="6"/>
        <v>Male</v>
      </c>
      <c r="K134" t="str">
        <f t="shared" si="11"/>
        <v>Singaporean</v>
      </c>
      <c r="L134" t="str">
        <f t="shared" si="8"/>
        <v xml:space="preserve">Case 398 is a Local unlinked case, 57 years old male Singapore Permanent Resident  and has not been overseas. He is currently admitted at KTPH7 . </v>
      </c>
      <c r="M134" t="str">
        <f t="shared" si="9"/>
        <v/>
      </c>
      <c r="N134" t="str">
        <f t="shared" si="10"/>
        <v/>
      </c>
    </row>
    <row r="135" spans="1:14" x14ac:dyDescent="0.3">
      <c r="A135">
        <v>399</v>
      </c>
      <c r="B135" s="24">
        <v>43910</v>
      </c>
      <c r="C135" t="s">
        <v>1071</v>
      </c>
      <c r="D135">
        <v>23</v>
      </c>
      <c r="E135" t="s">
        <v>1073</v>
      </c>
      <c r="F135" t="s">
        <v>1060</v>
      </c>
      <c r="G135" t="s">
        <v>1063</v>
      </c>
      <c r="H135" t="s">
        <v>77</v>
      </c>
      <c r="J135" t="str">
        <f t="shared" si="6"/>
        <v>Female</v>
      </c>
      <c r="K135" t="str">
        <f t="shared" si="11"/>
        <v>Singaporean</v>
      </c>
      <c r="L135" t="str">
        <f t="shared" si="8"/>
        <v xml:space="preserve">Case 399 is a Imported case, 23 years old female Singapore Citizen  and has been to UK . She is currently admitted at NCID . </v>
      </c>
      <c r="M135">
        <f t="shared" si="9"/>
        <v>399</v>
      </c>
      <c r="N135" t="str">
        <f t="shared" si="10"/>
        <v xml:space="preserve">UK </v>
      </c>
    </row>
    <row r="136" spans="1:14" x14ac:dyDescent="0.3">
      <c r="A136">
        <v>400</v>
      </c>
      <c r="B136" s="24">
        <v>43910</v>
      </c>
      <c r="C136" t="s">
        <v>1071</v>
      </c>
      <c r="D136">
        <v>56</v>
      </c>
      <c r="E136" t="s">
        <v>1059</v>
      </c>
      <c r="F136" t="s">
        <v>1060</v>
      </c>
      <c r="G136" t="s">
        <v>1063</v>
      </c>
      <c r="H136" t="s">
        <v>77</v>
      </c>
      <c r="J136" t="str">
        <f t="shared" si="6"/>
        <v>Male</v>
      </c>
      <c r="K136" t="str">
        <f t="shared" si="11"/>
        <v>Singaporean</v>
      </c>
      <c r="L136" t="str">
        <f t="shared" si="8"/>
        <v xml:space="preserve">Case 400 is a Imported case, 56 years old male Singapore Citizen  and has been to UK . He is currently admitted at NCID . </v>
      </c>
      <c r="M136">
        <f t="shared" si="9"/>
        <v>400</v>
      </c>
      <c r="N136" t="str">
        <f t="shared" si="10"/>
        <v xml:space="preserve">UK </v>
      </c>
    </row>
    <row r="137" spans="1:14" x14ac:dyDescent="0.3">
      <c r="A137">
        <v>401</v>
      </c>
      <c r="B137" s="24">
        <v>43910</v>
      </c>
      <c r="C137" t="s">
        <v>1071</v>
      </c>
      <c r="D137">
        <v>20</v>
      </c>
      <c r="E137" t="s">
        <v>1059</v>
      </c>
      <c r="F137" t="s">
        <v>1060</v>
      </c>
      <c r="G137" t="s">
        <v>1063</v>
      </c>
      <c r="H137" t="s">
        <v>77</v>
      </c>
      <c r="J137" t="str">
        <f t="shared" si="6"/>
        <v>Male</v>
      </c>
      <c r="K137" t="str">
        <f t="shared" si="11"/>
        <v>Singaporean</v>
      </c>
      <c r="L137" t="str">
        <f t="shared" si="8"/>
        <v xml:space="preserve">Case 401 is a Imported case, 20 years old male Singapore Citizen  and has been to UK . He is currently admitted at NCID . </v>
      </c>
      <c r="M137">
        <f t="shared" si="9"/>
        <v>401</v>
      </c>
      <c r="N137" t="str">
        <f t="shared" si="10"/>
        <v xml:space="preserve">UK </v>
      </c>
    </row>
    <row r="138" spans="1:14" x14ac:dyDescent="0.3">
      <c r="A138">
        <v>402</v>
      </c>
      <c r="B138" s="24">
        <v>43910</v>
      </c>
      <c r="C138" t="s">
        <v>1170</v>
      </c>
      <c r="D138">
        <v>22</v>
      </c>
      <c r="E138" t="s">
        <v>1073</v>
      </c>
      <c r="F138" t="s">
        <v>1171</v>
      </c>
      <c r="H138" t="s">
        <v>77</v>
      </c>
      <c r="J138" t="str">
        <f t="shared" si="6"/>
        <v>Female</v>
      </c>
      <c r="K138" t="str">
        <f t="shared" si="11"/>
        <v xml:space="preserve">Indonesia Indonesia </v>
      </c>
      <c r="L138" t="str">
        <f t="shared" si="8"/>
        <v xml:space="preserve">Case 402 is a Imported case, 22 years old female Indonesia Indonesia  and has not been overseas. She is currently admitted at MENH. </v>
      </c>
      <c r="M138" t="str">
        <f t="shared" si="9"/>
        <v/>
      </c>
      <c r="N138" t="str">
        <f t="shared" si="10"/>
        <v/>
      </c>
    </row>
    <row r="139" spans="1:14" x14ac:dyDescent="0.3">
      <c r="A139">
        <v>403</v>
      </c>
      <c r="B139" s="24">
        <v>43910</v>
      </c>
      <c r="C139" t="s">
        <v>1172</v>
      </c>
      <c r="D139">
        <v>77</v>
      </c>
      <c r="E139" t="s">
        <v>1059</v>
      </c>
      <c r="F139" t="s">
        <v>1173</v>
      </c>
      <c r="G139" t="s">
        <v>687</v>
      </c>
      <c r="H139" t="s">
        <v>77</v>
      </c>
      <c r="J139" t="str">
        <f t="shared" si="6"/>
        <v>Male</v>
      </c>
      <c r="K139" t="str">
        <f t="shared" si="11"/>
        <v>Indonesia</v>
      </c>
      <c r="L139" t="str">
        <f t="shared" si="8"/>
        <v xml:space="preserve">Case 403 is a Imported case, 77 years old male Indonesia (Long Term Pass holder)  and has been to Indonesia . He is currently admitted at MEH . </v>
      </c>
      <c r="M139">
        <f t="shared" si="9"/>
        <v>403</v>
      </c>
      <c r="N139" t="str">
        <f t="shared" si="10"/>
        <v xml:space="preserve">Indonesia </v>
      </c>
    </row>
    <row r="140" spans="1:14" x14ac:dyDescent="0.3">
      <c r="A140">
        <v>404</v>
      </c>
      <c r="B140" s="24">
        <v>43910</v>
      </c>
      <c r="C140" t="s">
        <v>1071</v>
      </c>
      <c r="D140">
        <v>28</v>
      </c>
      <c r="E140" t="s">
        <v>1059</v>
      </c>
      <c r="F140" t="s">
        <v>1174</v>
      </c>
      <c r="G140" t="s">
        <v>1175</v>
      </c>
      <c r="H140" t="s">
        <v>77</v>
      </c>
      <c r="J140" t="str">
        <f t="shared" si="6"/>
        <v>Male</v>
      </c>
      <c r="K140" t="str">
        <f t="shared" si="11"/>
        <v>Australia</v>
      </c>
      <c r="L140" t="str">
        <f t="shared" si="8"/>
        <v xml:space="preserve">Case 404 is a Imported case, 28 years old male Australia (Long Term Pass holder)  and has been to Malaysia, Philippines . He is currently admitted at NCID . </v>
      </c>
      <c r="M140">
        <f t="shared" si="9"/>
        <v>404</v>
      </c>
      <c r="N140" t="str">
        <f t="shared" si="10"/>
        <v xml:space="preserve">Malaysia, Philippines </v>
      </c>
    </row>
    <row r="141" spans="1:14" x14ac:dyDescent="0.3">
      <c r="A141">
        <v>405</v>
      </c>
      <c r="B141" s="24">
        <v>43910</v>
      </c>
      <c r="C141" t="s">
        <v>1071</v>
      </c>
      <c r="D141">
        <v>25</v>
      </c>
      <c r="E141" t="s">
        <v>1059</v>
      </c>
      <c r="F141" t="s">
        <v>1060</v>
      </c>
      <c r="G141" t="s">
        <v>1063</v>
      </c>
      <c r="H141" t="s">
        <v>77</v>
      </c>
      <c r="J141" t="str">
        <f t="shared" si="6"/>
        <v>Male</v>
      </c>
      <c r="K141" t="str">
        <f t="shared" si="11"/>
        <v>Singaporean</v>
      </c>
      <c r="L141" t="str">
        <f t="shared" si="8"/>
        <v xml:space="preserve">Case 405 is a Imported case, 25 years old male Singapore Citizen  and has been to UK . He is currently admitted at NCID . </v>
      </c>
      <c r="M141">
        <f t="shared" si="9"/>
        <v>405</v>
      </c>
      <c r="N141" t="str">
        <f t="shared" si="10"/>
        <v xml:space="preserve">UK </v>
      </c>
    </row>
    <row r="142" spans="1:14" x14ac:dyDescent="0.3">
      <c r="A142">
        <v>406</v>
      </c>
      <c r="B142" s="24">
        <v>43910</v>
      </c>
      <c r="C142" t="s">
        <v>1058</v>
      </c>
      <c r="D142">
        <v>61</v>
      </c>
      <c r="E142" t="s">
        <v>1073</v>
      </c>
      <c r="F142" t="s">
        <v>1060</v>
      </c>
      <c r="G142" t="s">
        <v>1176</v>
      </c>
      <c r="H142" t="s">
        <v>1177</v>
      </c>
      <c r="J142" t="str">
        <f t="shared" si="6"/>
        <v>Female</v>
      </c>
      <c r="K142" t="str">
        <f t="shared" si="11"/>
        <v>Singaporean</v>
      </c>
      <c r="L142" t="str">
        <f t="shared" si="8"/>
        <v xml:space="preserve">Case 406 is a unlinked case, 61 years old female Singapore Citizen  and has been to Local . She is currently admitted at KTPH . </v>
      </c>
      <c r="M142">
        <f t="shared" si="9"/>
        <v>406</v>
      </c>
      <c r="N142" t="str">
        <f t="shared" si="10"/>
        <v xml:space="preserve">Local </v>
      </c>
    </row>
    <row r="143" spans="1:14" x14ac:dyDescent="0.3">
      <c r="A143">
        <v>407</v>
      </c>
      <c r="B143" s="24">
        <v>43910</v>
      </c>
      <c r="C143" t="s">
        <v>1071</v>
      </c>
      <c r="D143">
        <v>25</v>
      </c>
      <c r="E143" t="s">
        <v>1059</v>
      </c>
      <c r="F143" t="s">
        <v>711</v>
      </c>
      <c r="G143" t="s">
        <v>1178</v>
      </c>
      <c r="H143" t="s">
        <v>77</v>
      </c>
      <c r="J143" t="str">
        <f t="shared" si="6"/>
        <v>Male</v>
      </c>
      <c r="K143" t="str">
        <f t="shared" si="11"/>
        <v xml:space="preserve">Spain </v>
      </c>
      <c r="L143" t="str">
        <f t="shared" si="8"/>
        <v xml:space="preserve">Case 407 is a Imported case, 25 years old male Spain  and has been to Pending . He is currently admitted at NCID . </v>
      </c>
      <c r="M143">
        <f t="shared" si="9"/>
        <v>407</v>
      </c>
      <c r="N143" t="str">
        <f t="shared" si="10"/>
        <v xml:space="preserve">Pending </v>
      </c>
    </row>
    <row r="144" spans="1:14" x14ac:dyDescent="0.3">
      <c r="A144">
        <v>408</v>
      </c>
      <c r="B144" s="24">
        <v>43910</v>
      </c>
      <c r="C144" t="s">
        <v>343</v>
      </c>
      <c r="D144">
        <v>27</v>
      </c>
      <c r="E144" t="s">
        <v>1059</v>
      </c>
      <c r="F144" t="s">
        <v>1060</v>
      </c>
      <c r="G144" t="s">
        <v>1085</v>
      </c>
      <c r="H144" t="s">
        <v>77</v>
      </c>
      <c r="J144" t="str">
        <f t="shared" si="6"/>
        <v>Male</v>
      </c>
      <c r="K144" t="str">
        <f t="shared" si="11"/>
        <v>Singaporean</v>
      </c>
      <c r="L144" t="str">
        <f t="shared" si="8"/>
        <v xml:space="preserve">Case 408 is a Imported case, 27 years old male Singapore Citizen  and has been to US . He is currently admitted at NUH . </v>
      </c>
      <c r="M144">
        <f t="shared" si="9"/>
        <v>408</v>
      </c>
      <c r="N144" t="str">
        <f t="shared" si="10"/>
        <v xml:space="preserve">US </v>
      </c>
    </row>
    <row r="145" spans="1:14" x14ac:dyDescent="0.3">
      <c r="A145">
        <v>409</v>
      </c>
      <c r="B145" s="24">
        <v>43910</v>
      </c>
      <c r="C145" t="s">
        <v>343</v>
      </c>
      <c r="D145">
        <v>23</v>
      </c>
      <c r="E145" t="s">
        <v>1073</v>
      </c>
      <c r="F145" t="s">
        <v>1179</v>
      </c>
      <c r="G145" t="s">
        <v>1085</v>
      </c>
      <c r="H145" t="s">
        <v>77</v>
      </c>
      <c r="J145" t="str">
        <f t="shared" si="6"/>
        <v>Female</v>
      </c>
      <c r="K145" t="str">
        <f t="shared" si="11"/>
        <v xml:space="preserve">Australia </v>
      </c>
      <c r="L145" t="str">
        <f t="shared" si="8"/>
        <v xml:space="preserve">Case 409 is a Imported case, 23 years old female Australia  (Singapore Work Pass holder)  and has been to US . She is currently admitted at NUH . </v>
      </c>
      <c r="M145">
        <f t="shared" si="9"/>
        <v>409</v>
      </c>
      <c r="N145" t="str">
        <f t="shared" si="10"/>
        <v xml:space="preserve">US </v>
      </c>
    </row>
    <row r="146" spans="1:14" x14ac:dyDescent="0.3">
      <c r="A146">
        <v>410</v>
      </c>
      <c r="B146" s="24">
        <v>43911</v>
      </c>
      <c r="C146" t="s">
        <v>1071</v>
      </c>
      <c r="D146">
        <v>20</v>
      </c>
      <c r="E146" t="s">
        <v>1073</v>
      </c>
      <c r="F146" t="s">
        <v>1060</v>
      </c>
      <c r="G146" t="s">
        <v>1063</v>
      </c>
      <c r="H146" t="s">
        <v>77</v>
      </c>
      <c r="J146" t="str">
        <f t="shared" ref="J146:J191" si="12">IF(TRIM(E146)="M","Male",IF(TRIM(E146)="F","Female",""))</f>
        <v>Female</v>
      </c>
      <c r="K146" t="str">
        <f t="shared" si="11"/>
        <v>Singaporean</v>
      </c>
      <c r="L146" t="str">
        <f t="shared" ref="L146:L191" si="13">"Case "&amp;A146&amp;" is a "&amp;H146&amp;" case, "&amp;D146&amp;" years old "&amp;LOWER(J146)&amp;" "&amp;F146 &amp;IF(G146=""," and has not been overseas"," and has been to "&amp;G146)&amp;". "&amp;IF(TRIM(E146)="F","She",IF(TRIM(E146)="M","He"))&amp;" is currently admitted at "&amp;C146&amp;". "&amp;I146</f>
        <v xml:space="preserve">Case 410 is a Imported case, 20 years old female Singapore Citizen  and has been to UK . She is currently admitted at NCID . </v>
      </c>
      <c r="M146">
        <f t="shared" ref="M146:M191" si="14">IF(G146="","",A146)</f>
        <v>410</v>
      </c>
      <c r="N146" t="str">
        <f t="shared" ref="N146:N191" si="15">IF(G146="","",G146)</f>
        <v xml:space="preserve">UK </v>
      </c>
    </row>
    <row r="147" spans="1:14" x14ac:dyDescent="0.3">
      <c r="A147">
        <v>411</v>
      </c>
      <c r="B147" s="24">
        <v>43911</v>
      </c>
      <c r="C147" t="s">
        <v>1071</v>
      </c>
      <c r="D147">
        <v>30</v>
      </c>
      <c r="E147" t="s">
        <v>1059</v>
      </c>
      <c r="F147" t="s">
        <v>1060</v>
      </c>
      <c r="G147" t="s">
        <v>1063</v>
      </c>
      <c r="H147" t="s">
        <v>77</v>
      </c>
      <c r="J147" t="str">
        <f t="shared" si="12"/>
        <v>Male</v>
      </c>
      <c r="K147" t="str">
        <f t="shared" si="11"/>
        <v>Singaporean</v>
      </c>
      <c r="L147" t="str">
        <f t="shared" si="13"/>
        <v xml:space="preserve">Case 411 is a Imported case, 30 years old male Singapore Citizen  and has been to UK . He is currently admitted at NCID . </v>
      </c>
      <c r="M147">
        <f t="shared" si="14"/>
        <v>411</v>
      </c>
      <c r="N147" t="str">
        <f t="shared" si="15"/>
        <v xml:space="preserve">UK </v>
      </c>
    </row>
    <row r="148" spans="1:14" x14ac:dyDescent="0.3">
      <c r="A148">
        <v>412</v>
      </c>
      <c r="B148" s="24">
        <v>43911</v>
      </c>
      <c r="C148" t="s">
        <v>1071</v>
      </c>
      <c r="D148">
        <v>19</v>
      </c>
      <c r="E148" t="s">
        <v>1073</v>
      </c>
      <c r="F148" t="s">
        <v>1060</v>
      </c>
      <c r="G148" t="s">
        <v>1063</v>
      </c>
      <c r="H148" t="s">
        <v>77</v>
      </c>
      <c r="J148" t="str">
        <f t="shared" si="12"/>
        <v>Female</v>
      </c>
      <c r="K148" t="str">
        <f t="shared" si="11"/>
        <v>Singaporean</v>
      </c>
      <c r="L148" t="str">
        <f t="shared" si="13"/>
        <v xml:space="preserve">Case 412 is a Imported case, 19 years old female Singapore Citizen  and has been to UK . She is currently admitted at NCID . </v>
      </c>
      <c r="M148">
        <f t="shared" si="14"/>
        <v>412</v>
      </c>
      <c r="N148" t="str">
        <f t="shared" si="15"/>
        <v xml:space="preserve">UK </v>
      </c>
    </row>
    <row r="149" spans="1:14" x14ac:dyDescent="0.3">
      <c r="A149">
        <v>413</v>
      </c>
      <c r="B149" s="24">
        <v>43911</v>
      </c>
      <c r="C149" t="s">
        <v>1071</v>
      </c>
      <c r="D149">
        <v>29</v>
      </c>
      <c r="E149" t="s">
        <v>1059</v>
      </c>
      <c r="F149" t="s">
        <v>1060</v>
      </c>
      <c r="G149" t="s">
        <v>680</v>
      </c>
      <c r="H149" t="s">
        <v>77</v>
      </c>
      <c r="J149" t="str">
        <f t="shared" si="12"/>
        <v>Male</v>
      </c>
      <c r="K149" t="str">
        <f t="shared" si="11"/>
        <v>Singaporean</v>
      </c>
      <c r="L149" t="str">
        <f t="shared" si="13"/>
        <v xml:space="preserve">Case 413 is a Imported case, 29 years old male Singapore Citizen  and has been to Switzerland . He is currently admitted at NCID . </v>
      </c>
      <c r="M149">
        <f t="shared" si="14"/>
        <v>413</v>
      </c>
      <c r="N149" t="str">
        <f t="shared" si="15"/>
        <v xml:space="preserve">Switzerland </v>
      </c>
    </row>
    <row r="150" spans="1:14" x14ac:dyDescent="0.3">
      <c r="A150">
        <v>414</v>
      </c>
      <c r="B150" s="24">
        <v>43911</v>
      </c>
      <c r="C150" t="s">
        <v>1071</v>
      </c>
      <c r="D150">
        <v>37</v>
      </c>
      <c r="E150" t="s">
        <v>1059</v>
      </c>
      <c r="F150" t="s">
        <v>1174</v>
      </c>
      <c r="G150" t="s">
        <v>1085</v>
      </c>
      <c r="H150" t="s">
        <v>77</v>
      </c>
      <c r="J150" t="str">
        <f t="shared" si="12"/>
        <v>Male</v>
      </c>
      <c r="K150" t="str">
        <f t="shared" si="11"/>
        <v>Australia</v>
      </c>
      <c r="L150" t="str">
        <f t="shared" si="13"/>
        <v xml:space="preserve">Case 414 is a Imported case, 37 years old male Australia (Long Term Pass holder)  and has been to US . He is currently admitted at NCID . </v>
      </c>
      <c r="M150">
        <f t="shared" si="14"/>
        <v>414</v>
      </c>
      <c r="N150" t="str">
        <f t="shared" si="15"/>
        <v xml:space="preserve">US </v>
      </c>
    </row>
    <row r="151" spans="1:14" x14ac:dyDescent="0.3">
      <c r="A151">
        <v>415</v>
      </c>
      <c r="B151" s="24">
        <v>43911</v>
      </c>
      <c r="C151" t="s">
        <v>1071</v>
      </c>
      <c r="D151">
        <v>64</v>
      </c>
      <c r="E151" t="s">
        <v>1073</v>
      </c>
      <c r="F151" t="s">
        <v>687</v>
      </c>
      <c r="G151" t="s">
        <v>687</v>
      </c>
      <c r="H151" t="s">
        <v>1069</v>
      </c>
      <c r="I151" t="s">
        <v>1180</v>
      </c>
      <c r="J151" t="str">
        <f t="shared" si="12"/>
        <v>Female</v>
      </c>
      <c r="K151" t="str">
        <f t="shared" si="11"/>
        <v xml:space="preserve">Indonesia </v>
      </c>
      <c r="L151" t="str">
        <f t="shared" si="13"/>
        <v>Case 415 is a Imported  case, 64 years old female Indonesia  and has been to Indonesia . She is currently admitted at NCID . Family member of Case 212</v>
      </c>
      <c r="M151">
        <f t="shared" si="14"/>
        <v>415</v>
      </c>
      <c r="N151" t="str">
        <f t="shared" si="15"/>
        <v xml:space="preserve">Indonesia </v>
      </c>
    </row>
    <row r="152" spans="1:14" x14ac:dyDescent="0.3">
      <c r="A152">
        <v>416</v>
      </c>
      <c r="B152" s="24">
        <v>43911</v>
      </c>
      <c r="C152" t="s">
        <v>1071</v>
      </c>
      <c r="D152">
        <v>21</v>
      </c>
      <c r="E152" t="s">
        <v>1059</v>
      </c>
      <c r="F152" t="s">
        <v>1060</v>
      </c>
      <c r="G152" t="s">
        <v>1063</v>
      </c>
      <c r="H152" t="s">
        <v>77</v>
      </c>
      <c r="J152" t="str">
        <f t="shared" si="12"/>
        <v>Male</v>
      </c>
      <c r="K152" t="str">
        <f t="shared" si="11"/>
        <v>Singaporean</v>
      </c>
      <c r="L152" t="str">
        <f t="shared" si="13"/>
        <v xml:space="preserve">Case 416 is a Imported case, 21 years old male Singapore Citizen  and has been to UK . He is currently admitted at NCID . </v>
      </c>
      <c r="M152">
        <f t="shared" si="14"/>
        <v>416</v>
      </c>
      <c r="N152" t="str">
        <f t="shared" si="15"/>
        <v xml:space="preserve">UK </v>
      </c>
    </row>
    <row r="153" spans="1:14" x14ac:dyDescent="0.3">
      <c r="A153">
        <v>417</v>
      </c>
      <c r="B153" s="24">
        <v>43911</v>
      </c>
      <c r="C153" t="s">
        <v>1071</v>
      </c>
      <c r="D153">
        <v>18</v>
      </c>
      <c r="E153" t="s">
        <v>1073</v>
      </c>
      <c r="F153" t="s">
        <v>1181</v>
      </c>
      <c r="G153" t="s">
        <v>1063</v>
      </c>
      <c r="H153" t="s">
        <v>77</v>
      </c>
      <c r="J153" t="str">
        <f t="shared" si="12"/>
        <v>Female</v>
      </c>
      <c r="K153" t="str">
        <f t="shared" si="11"/>
        <v>France</v>
      </c>
      <c r="L153" t="str">
        <f t="shared" si="13"/>
        <v xml:space="preserve">Case 417 is a Imported case, 18 years old female France (Long Term Pass holder)  and has been to UK . She is currently admitted at NCID . </v>
      </c>
      <c r="M153">
        <f t="shared" si="14"/>
        <v>417</v>
      </c>
      <c r="N153" t="str">
        <f t="shared" si="15"/>
        <v xml:space="preserve">UK </v>
      </c>
    </row>
    <row r="154" spans="1:14" x14ac:dyDescent="0.3">
      <c r="A154">
        <v>418</v>
      </c>
      <c r="B154" s="24">
        <v>43911</v>
      </c>
      <c r="C154" t="s">
        <v>1071</v>
      </c>
      <c r="D154">
        <v>44</v>
      </c>
      <c r="E154" t="s">
        <v>1059</v>
      </c>
      <c r="F154" t="s">
        <v>1072</v>
      </c>
      <c r="G154" t="s">
        <v>1085</v>
      </c>
      <c r="H154" t="s">
        <v>1069</v>
      </c>
      <c r="J154" t="str">
        <f t="shared" si="12"/>
        <v>Male</v>
      </c>
      <c r="K154" t="str">
        <f t="shared" si="11"/>
        <v>Singaporean</v>
      </c>
      <c r="L154" t="str">
        <f t="shared" si="13"/>
        <v xml:space="preserve">Case 418 is a Imported  case, 44 years old male Singapore Permanent Resident  and has been to US . He is currently admitted at NCID . </v>
      </c>
      <c r="M154">
        <f t="shared" si="14"/>
        <v>418</v>
      </c>
      <c r="N154" t="str">
        <f t="shared" si="15"/>
        <v xml:space="preserve">US </v>
      </c>
    </row>
    <row r="155" spans="1:14" x14ac:dyDescent="0.3">
      <c r="A155">
        <v>419</v>
      </c>
      <c r="B155" s="24">
        <v>43911</v>
      </c>
      <c r="C155" t="s">
        <v>1071</v>
      </c>
      <c r="D155">
        <v>45</v>
      </c>
      <c r="E155" t="s">
        <v>1059</v>
      </c>
      <c r="F155" t="s">
        <v>875</v>
      </c>
      <c r="G155" t="s">
        <v>1178</v>
      </c>
      <c r="H155" t="s">
        <v>77</v>
      </c>
      <c r="J155" t="str">
        <f t="shared" si="12"/>
        <v>Male</v>
      </c>
      <c r="K155" t="str">
        <f t="shared" si="11"/>
        <v xml:space="preserve">Netherlands </v>
      </c>
      <c r="L155" t="str">
        <f t="shared" si="13"/>
        <v xml:space="preserve">Case 419 is a Imported case, 45 years old male Netherlands  and has been to Pending . He is currently admitted at NCID . </v>
      </c>
      <c r="M155">
        <f t="shared" si="14"/>
        <v>419</v>
      </c>
      <c r="N155" t="str">
        <f t="shared" si="15"/>
        <v xml:space="preserve">Pending </v>
      </c>
    </row>
    <row r="156" spans="1:14" x14ac:dyDescent="0.3">
      <c r="A156">
        <v>420</v>
      </c>
      <c r="B156" s="24">
        <v>43911</v>
      </c>
      <c r="C156" t="s">
        <v>1071</v>
      </c>
      <c r="D156">
        <v>21</v>
      </c>
      <c r="E156" t="s">
        <v>1073</v>
      </c>
      <c r="F156" t="s">
        <v>1060</v>
      </c>
      <c r="G156" t="s">
        <v>1063</v>
      </c>
      <c r="H156" t="s">
        <v>77</v>
      </c>
      <c r="J156" t="str">
        <f t="shared" si="12"/>
        <v>Female</v>
      </c>
      <c r="K156" t="str">
        <f t="shared" si="11"/>
        <v>Singaporean</v>
      </c>
      <c r="L156" t="str">
        <f t="shared" si="13"/>
        <v xml:space="preserve">Case 420 is a Imported case, 21 years old female Singapore Citizen  and has been to UK . She is currently admitted at NCID . </v>
      </c>
      <c r="M156">
        <f t="shared" si="14"/>
        <v>420</v>
      </c>
      <c r="N156" t="str">
        <f t="shared" si="15"/>
        <v xml:space="preserve">UK </v>
      </c>
    </row>
    <row r="157" spans="1:14" x14ac:dyDescent="0.3">
      <c r="A157">
        <v>421</v>
      </c>
      <c r="B157" s="24">
        <v>43911</v>
      </c>
      <c r="C157" t="s">
        <v>1071</v>
      </c>
      <c r="D157">
        <v>23</v>
      </c>
      <c r="E157" t="s">
        <v>1059</v>
      </c>
      <c r="F157" t="s">
        <v>1060</v>
      </c>
      <c r="G157" t="s">
        <v>1063</v>
      </c>
      <c r="H157" t="s">
        <v>77</v>
      </c>
      <c r="J157" t="str">
        <f t="shared" si="12"/>
        <v>Male</v>
      </c>
      <c r="K157" t="str">
        <f t="shared" si="11"/>
        <v>Singaporean</v>
      </c>
      <c r="L157" t="str">
        <f t="shared" si="13"/>
        <v xml:space="preserve">Case 421 is a Imported case, 23 years old male Singapore Citizen  and has been to UK . He is currently admitted at NCID . </v>
      </c>
      <c r="M157">
        <f t="shared" si="14"/>
        <v>421</v>
      </c>
      <c r="N157" t="str">
        <f t="shared" si="15"/>
        <v xml:space="preserve">UK </v>
      </c>
    </row>
    <row r="158" spans="1:14" x14ac:dyDescent="0.3">
      <c r="A158">
        <v>422</v>
      </c>
      <c r="B158" s="24">
        <v>43911</v>
      </c>
      <c r="C158" t="s">
        <v>1071</v>
      </c>
      <c r="D158">
        <v>56</v>
      </c>
      <c r="E158" t="s">
        <v>1073</v>
      </c>
      <c r="F158" t="s">
        <v>1060</v>
      </c>
      <c r="G158" t="s">
        <v>1085</v>
      </c>
      <c r="H158" t="s">
        <v>77</v>
      </c>
      <c r="J158" t="str">
        <f t="shared" si="12"/>
        <v>Female</v>
      </c>
      <c r="K158" t="str">
        <f t="shared" ref="K158:K191" si="16">IF(LEFT(F158,9)="Singapore","Singaporean",IF(ISERR(FIND("(",F158)),F158,LEFT(F158,FIND("(",F158)-2)))</f>
        <v>Singaporean</v>
      </c>
      <c r="L158" t="str">
        <f t="shared" si="13"/>
        <v xml:space="preserve">Case 422 is a Imported case, 56 years old female Singapore Citizen  and has been to US . She is currently admitted at NCID . </v>
      </c>
      <c r="M158">
        <f t="shared" si="14"/>
        <v>422</v>
      </c>
      <c r="N158" t="str">
        <f t="shared" si="15"/>
        <v xml:space="preserve">US </v>
      </c>
    </row>
    <row r="159" spans="1:14" x14ac:dyDescent="0.3">
      <c r="A159">
        <v>423</v>
      </c>
      <c r="B159" s="24">
        <v>43911</v>
      </c>
      <c r="C159" t="s">
        <v>1071</v>
      </c>
      <c r="D159">
        <v>24</v>
      </c>
      <c r="E159" t="s">
        <v>1059</v>
      </c>
      <c r="F159" t="s">
        <v>1060</v>
      </c>
      <c r="G159" t="s">
        <v>1167</v>
      </c>
      <c r="H159" t="s">
        <v>77</v>
      </c>
      <c r="J159" t="str">
        <f t="shared" si="12"/>
        <v>Male</v>
      </c>
      <c r="K159" t="str">
        <f t="shared" si="16"/>
        <v>Singaporean</v>
      </c>
      <c r="L159" t="str">
        <f t="shared" si="13"/>
        <v xml:space="preserve">Case 423 is a Imported case, 24 years old male Singapore Citizen  and has been to Ireland . He is currently admitted at NCID . </v>
      </c>
      <c r="M159">
        <f t="shared" si="14"/>
        <v>423</v>
      </c>
      <c r="N159" t="str">
        <f t="shared" si="15"/>
        <v xml:space="preserve">Ireland </v>
      </c>
    </row>
    <row r="160" spans="1:14" x14ac:dyDescent="0.3">
      <c r="A160">
        <v>424</v>
      </c>
      <c r="B160" s="24">
        <v>43911</v>
      </c>
      <c r="C160" t="s">
        <v>1064</v>
      </c>
      <c r="D160">
        <v>24</v>
      </c>
      <c r="E160" t="s">
        <v>1059</v>
      </c>
      <c r="F160" t="s">
        <v>1060</v>
      </c>
      <c r="G160" t="s">
        <v>1085</v>
      </c>
      <c r="H160" t="s">
        <v>1069</v>
      </c>
      <c r="I160" t="s">
        <v>1182</v>
      </c>
      <c r="J160" t="str">
        <f t="shared" si="12"/>
        <v>Male</v>
      </c>
      <c r="K160" t="str">
        <f t="shared" si="16"/>
        <v>Singaporean</v>
      </c>
      <c r="L160" t="str">
        <f t="shared" si="13"/>
        <v>Case 424 is a Imported  case, 24 years old male Singapore Citizen  and has been to US . He is currently admitted at CGH . Contact of Case 425</v>
      </c>
      <c r="M160">
        <f t="shared" si="14"/>
        <v>424</v>
      </c>
      <c r="N160" t="str">
        <f t="shared" si="15"/>
        <v xml:space="preserve">US </v>
      </c>
    </row>
    <row r="161" spans="1:14" x14ac:dyDescent="0.3">
      <c r="A161">
        <v>425</v>
      </c>
      <c r="B161" s="24">
        <v>43911</v>
      </c>
      <c r="C161" t="s">
        <v>1064</v>
      </c>
      <c r="D161">
        <v>21</v>
      </c>
      <c r="E161" t="s">
        <v>1073</v>
      </c>
      <c r="F161" t="s">
        <v>1060</v>
      </c>
      <c r="G161" t="s">
        <v>1085</v>
      </c>
      <c r="H161" t="s">
        <v>1069</v>
      </c>
      <c r="I161" t="s">
        <v>1183</v>
      </c>
      <c r="J161" t="str">
        <f t="shared" si="12"/>
        <v>Female</v>
      </c>
      <c r="K161" t="str">
        <f t="shared" si="16"/>
        <v>Singaporean</v>
      </c>
      <c r="L161" t="str">
        <f t="shared" si="13"/>
        <v>Case 425 is a Imported  case, 21 years old female Singapore Citizen  and has been to US . She is currently admitted at CGH . Contact of Case 424</v>
      </c>
      <c r="M161">
        <f t="shared" si="14"/>
        <v>425</v>
      </c>
      <c r="N161" t="str">
        <f t="shared" si="15"/>
        <v xml:space="preserve">US </v>
      </c>
    </row>
    <row r="162" spans="1:14" x14ac:dyDescent="0.3">
      <c r="A162">
        <v>426</v>
      </c>
      <c r="B162" s="24">
        <v>43911</v>
      </c>
      <c r="C162" t="s">
        <v>1071</v>
      </c>
      <c r="D162">
        <v>55</v>
      </c>
      <c r="E162" t="s">
        <v>1073</v>
      </c>
      <c r="F162" t="s">
        <v>1060</v>
      </c>
      <c r="H162" t="s">
        <v>936</v>
      </c>
      <c r="J162" t="str">
        <f t="shared" si="12"/>
        <v>Female</v>
      </c>
      <c r="K162" t="str">
        <f t="shared" si="16"/>
        <v>Singaporean</v>
      </c>
      <c r="L162" t="str">
        <f t="shared" si="13"/>
        <v xml:space="preserve">Case 426 is a Local Unlinked case, 55 years old female Singapore Citizen  and has not been overseas. She is currently admitted at NCID . </v>
      </c>
      <c r="M162" t="str">
        <f t="shared" si="14"/>
        <v/>
      </c>
      <c r="N162" t="str">
        <f t="shared" si="15"/>
        <v/>
      </c>
    </row>
    <row r="163" spans="1:14" x14ac:dyDescent="0.3">
      <c r="A163">
        <v>427</v>
      </c>
      <c r="B163" s="24">
        <v>43911</v>
      </c>
      <c r="C163" t="s">
        <v>1071</v>
      </c>
      <c r="D163">
        <v>39</v>
      </c>
      <c r="E163" t="s">
        <v>1059</v>
      </c>
      <c r="F163" t="s">
        <v>1060</v>
      </c>
      <c r="G163" t="s">
        <v>1085</v>
      </c>
      <c r="H163" t="s">
        <v>77</v>
      </c>
      <c r="J163" t="str">
        <f t="shared" si="12"/>
        <v>Male</v>
      </c>
      <c r="K163" t="str">
        <f t="shared" si="16"/>
        <v>Singaporean</v>
      </c>
      <c r="L163" t="str">
        <f t="shared" si="13"/>
        <v xml:space="preserve">Case 427 is a Imported case, 39 years old male Singapore Citizen  and has been to US . He is currently admitted at NCID . </v>
      </c>
      <c r="M163">
        <f t="shared" si="14"/>
        <v>427</v>
      </c>
      <c r="N163" t="str">
        <f t="shared" si="15"/>
        <v xml:space="preserve">US </v>
      </c>
    </row>
    <row r="164" spans="1:14" x14ac:dyDescent="0.3">
      <c r="A164">
        <v>428</v>
      </c>
      <c r="B164" s="24">
        <v>43911</v>
      </c>
      <c r="C164" t="s">
        <v>1071</v>
      </c>
      <c r="D164">
        <v>22</v>
      </c>
      <c r="E164" t="s">
        <v>1059</v>
      </c>
      <c r="F164" t="s">
        <v>1060</v>
      </c>
      <c r="G164" t="s">
        <v>1063</v>
      </c>
      <c r="H164" t="s">
        <v>77</v>
      </c>
      <c r="J164" t="str">
        <f t="shared" si="12"/>
        <v>Male</v>
      </c>
      <c r="K164" t="str">
        <f t="shared" si="16"/>
        <v>Singaporean</v>
      </c>
      <c r="L164" t="str">
        <f t="shared" si="13"/>
        <v xml:space="preserve">Case 428 is a Imported case, 22 years old male Singapore Citizen  and has been to UK . He is currently admitted at NCID . </v>
      </c>
      <c r="M164">
        <f t="shared" si="14"/>
        <v>428</v>
      </c>
      <c r="N164" t="str">
        <f t="shared" si="15"/>
        <v xml:space="preserve">UK </v>
      </c>
    </row>
    <row r="165" spans="1:14" x14ac:dyDescent="0.3">
      <c r="A165">
        <v>429</v>
      </c>
      <c r="B165" s="24">
        <v>43911</v>
      </c>
      <c r="C165" t="s">
        <v>1071</v>
      </c>
      <c r="D165">
        <v>31</v>
      </c>
      <c r="E165" t="s">
        <v>1073</v>
      </c>
      <c r="F165" t="s">
        <v>1060</v>
      </c>
      <c r="G165" t="s">
        <v>1184</v>
      </c>
      <c r="H165" t="s">
        <v>77</v>
      </c>
      <c r="J165" t="str">
        <f t="shared" si="12"/>
        <v>Female</v>
      </c>
      <c r="K165" t="str">
        <f t="shared" si="16"/>
        <v>Singaporean</v>
      </c>
      <c r="L165" t="str">
        <f t="shared" si="13"/>
        <v xml:space="preserve">Case 429 is a Imported case, 31 years old female Singapore Citizen  and has been to Germany, UK . She is currently admitted at NCID . </v>
      </c>
      <c r="M165">
        <f t="shared" si="14"/>
        <v>429</v>
      </c>
      <c r="N165" t="str">
        <f t="shared" si="15"/>
        <v xml:space="preserve">Germany, UK </v>
      </c>
    </row>
    <row r="166" spans="1:14" x14ac:dyDescent="0.3">
      <c r="A166">
        <v>430</v>
      </c>
      <c r="B166" s="24">
        <v>43911</v>
      </c>
      <c r="C166" t="s">
        <v>1071</v>
      </c>
      <c r="D166">
        <v>59</v>
      </c>
      <c r="E166" t="s">
        <v>1073</v>
      </c>
      <c r="F166" t="s">
        <v>1060</v>
      </c>
      <c r="H166" t="s">
        <v>1086</v>
      </c>
      <c r="I166" t="s">
        <v>1185</v>
      </c>
      <c r="J166" t="str">
        <f t="shared" si="12"/>
        <v>Female</v>
      </c>
      <c r="K166" t="str">
        <f t="shared" si="16"/>
        <v>Singaporean</v>
      </c>
      <c r="L166" t="str">
        <f t="shared" si="13"/>
        <v>Case 430 is a Local linked  case, 59 years old female Singapore Citizen  and has not been overseas. She is currently admitted at NCID . Family member of Case 350</v>
      </c>
      <c r="M166" t="str">
        <f t="shared" si="14"/>
        <v/>
      </c>
      <c r="N166" t="str">
        <f t="shared" si="15"/>
        <v/>
      </c>
    </row>
    <row r="167" spans="1:14" x14ac:dyDescent="0.3">
      <c r="A167">
        <v>431</v>
      </c>
      <c r="B167" s="24">
        <v>43911</v>
      </c>
      <c r="C167" t="s">
        <v>1071</v>
      </c>
      <c r="D167">
        <v>58</v>
      </c>
      <c r="E167" t="s">
        <v>1059</v>
      </c>
      <c r="F167" t="s">
        <v>1060</v>
      </c>
      <c r="G167" t="s">
        <v>1063</v>
      </c>
      <c r="H167" t="s">
        <v>77</v>
      </c>
      <c r="J167" t="str">
        <f t="shared" si="12"/>
        <v>Male</v>
      </c>
      <c r="K167" t="str">
        <f t="shared" si="16"/>
        <v>Singaporean</v>
      </c>
      <c r="L167" t="str">
        <f t="shared" si="13"/>
        <v xml:space="preserve">Case 431 is a Imported case, 58 years old male Singapore Citizen  and has been to UK . He is currently admitted at NCID . </v>
      </c>
      <c r="M167">
        <f t="shared" si="14"/>
        <v>431</v>
      </c>
      <c r="N167" t="str">
        <f t="shared" si="15"/>
        <v xml:space="preserve">UK </v>
      </c>
    </row>
    <row r="168" spans="1:14" x14ac:dyDescent="0.3">
      <c r="A168">
        <v>432</v>
      </c>
      <c r="B168" s="24">
        <v>43911</v>
      </c>
      <c r="C168" t="s">
        <v>1071</v>
      </c>
      <c r="D168">
        <v>53</v>
      </c>
      <c r="E168" t="s">
        <v>1073</v>
      </c>
      <c r="F168" t="s">
        <v>1186</v>
      </c>
      <c r="G168" t="s">
        <v>687</v>
      </c>
      <c r="H168" t="s">
        <v>1069</v>
      </c>
      <c r="J168" t="str">
        <f t="shared" si="12"/>
        <v>Female</v>
      </c>
      <c r="K168" t="str">
        <f t="shared" si="16"/>
        <v>UK</v>
      </c>
      <c r="L168" t="str">
        <f t="shared" si="13"/>
        <v xml:space="preserve">Case 432 is a Imported  case, 53 years old female UK (Long Term Pass holder)  and has been to Indonesia . She is currently admitted at NCID . </v>
      </c>
      <c r="M168">
        <f t="shared" si="14"/>
        <v>432</v>
      </c>
      <c r="N168" t="str">
        <f t="shared" si="15"/>
        <v xml:space="preserve">Indonesia </v>
      </c>
    </row>
    <row r="169" spans="1:14" x14ac:dyDescent="0.3">
      <c r="A169">
        <v>433</v>
      </c>
      <c r="B169" s="24">
        <v>43911</v>
      </c>
      <c r="C169" t="s">
        <v>1058</v>
      </c>
      <c r="D169">
        <v>24</v>
      </c>
      <c r="E169" t="s">
        <v>1059</v>
      </c>
      <c r="F169" t="s">
        <v>1060</v>
      </c>
      <c r="G169" t="s">
        <v>809</v>
      </c>
      <c r="H169" t="s">
        <v>77</v>
      </c>
      <c r="J169" t="str">
        <f t="shared" si="12"/>
        <v>Male</v>
      </c>
      <c r="K169" t="str">
        <f t="shared" si="16"/>
        <v>Singaporean</v>
      </c>
      <c r="L169" t="str">
        <f t="shared" si="13"/>
        <v xml:space="preserve">Case 433 is a Imported case, 24 years old male Singapore Citizen  and has been to Canada . He is currently admitted at KTPH . </v>
      </c>
      <c r="M169">
        <f t="shared" si="14"/>
        <v>433</v>
      </c>
      <c r="N169" t="str">
        <f t="shared" si="15"/>
        <v xml:space="preserve">Canada </v>
      </c>
    </row>
    <row r="170" spans="1:14" x14ac:dyDescent="0.3">
      <c r="A170">
        <v>434</v>
      </c>
      <c r="B170" s="24">
        <v>43911</v>
      </c>
      <c r="C170" t="s">
        <v>1071</v>
      </c>
      <c r="D170">
        <v>36</v>
      </c>
      <c r="E170" t="s">
        <v>1059</v>
      </c>
      <c r="F170" t="s">
        <v>1060</v>
      </c>
      <c r="G170" t="s">
        <v>360</v>
      </c>
      <c r="H170" t="s">
        <v>1061</v>
      </c>
      <c r="J170" t="str">
        <f t="shared" si="12"/>
        <v>Male</v>
      </c>
      <c r="K170" t="str">
        <f t="shared" si="16"/>
        <v>Singaporean</v>
      </c>
      <c r="L170" t="str">
        <f t="shared" si="13"/>
        <v xml:space="preserve">Case 434 is a Local unlinked case, 36 years old male Singapore Citizen  and has been to Malaysia . He is currently admitted at NCID . </v>
      </c>
      <c r="M170">
        <f t="shared" si="14"/>
        <v>434</v>
      </c>
      <c r="N170" t="str">
        <f t="shared" si="15"/>
        <v xml:space="preserve">Malaysia </v>
      </c>
    </row>
    <row r="171" spans="1:14" x14ac:dyDescent="0.3">
      <c r="A171">
        <v>435</v>
      </c>
      <c r="B171" s="24">
        <v>43911</v>
      </c>
      <c r="C171" t="s">
        <v>1071</v>
      </c>
      <c r="D171">
        <v>30</v>
      </c>
      <c r="E171" t="s">
        <v>1073</v>
      </c>
      <c r="F171" t="s">
        <v>1060</v>
      </c>
      <c r="G171" t="s">
        <v>360</v>
      </c>
      <c r="H171" t="s">
        <v>77</v>
      </c>
      <c r="J171" t="str">
        <f t="shared" si="12"/>
        <v>Female</v>
      </c>
      <c r="K171" t="str">
        <f t="shared" si="16"/>
        <v>Singaporean</v>
      </c>
      <c r="L171" t="str">
        <f t="shared" si="13"/>
        <v xml:space="preserve">Case 435 is a Imported case, 30 years old female Singapore Citizen  and has been to Malaysia . She is currently admitted at NCID . </v>
      </c>
      <c r="M171">
        <f t="shared" si="14"/>
        <v>435</v>
      </c>
      <c r="N171" t="str">
        <f t="shared" si="15"/>
        <v xml:space="preserve">Malaysia </v>
      </c>
    </row>
    <row r="172" spans="1:14" x14ac:dyDescent="0.3">
      <c r="A172">
        <v>436</v>
      </c>
      <c r="B172" s="24">
        <v>43911</v>
      </c>
      <c r="C172" t="s">
        <v>1071</v>
      </c>
      <c r="D172">
        <v>46</v>
      </c>
      <c r="E172" t="s">
        <v>1059</v>
      </c>
      <c r="F172" t="s">
        <v>1060</v>
      </c>
      <c r="G172" t="s">
        <v>706</v>
      </c>
      <c r="H172" t="s">
        <v>77</v>
      </c>
      <c r="J172" t="str">
        <f t="shared" si="12"/>
        <v>Male</v>
      </c>
      <c r="K172" t="str">
        <f t="shared" si="16"/>
        <v>Singaporean</v>
      </c>
      <c r="L172" t="str">
        <f t="shared" si="13"/>
        <v xml:space="preserve">Case 436 is a Imported case, 46 years old male Singapore Citizen  and has been to Philippines . He is currently admitted at NCID . </v>
      </c>
      <c r="M172">
        <f t="shared" si="14"/>
        <v>436</v>
      </c>
      <c r="N172" t="str">
        <f t="shared" si="15"/>
        <v xml:space="preserve">Philippines </v>
      </c>
    </row>
    <row r="173" spans="1:14" x14ac:dyDescent="0.3">
      <c r="A173">
        <v>437</v>
      </c>
      <c r="B173" s="24">
        <v>43911</v>
      </c>
      <c r="C173" t="s">
        <v>1138</v>
      </c>
      <c r="D173">
        <v>33</v>
      </c>
      <c r="E173" t="s">
        <v>1059</v>
      </c>
      <c r="F173" t="s">
        <v>1187</v>
      </c>
      <c r="G173" t="s">
        <v>1188</v>
      </c>
      <c r="H173" t="s">
        <v>77</v>
      </c>
      <c r="J173" t="str">
        <f t="shared" si="12"/>
        <v>Male</v>
      </c>
      <c r="K173" t="str">
        <f t="shared" si="16"/>
        <v>UK</v>
      </c>
      <c r="L173" t="str">
        <f t="shared" si="13"/>
        <v xml:space="preserve">Case 437 is a Imported case, 33 years old male UK (Singapore Work Pass holder)  and has been to Demark, Switzerland, France . He is currently admitted at SGH . </v>
      </c>
      <c r="M173">
        <f t="shared" si="14"/>
        <v>437</v>
      </c>
      <c r="N173" t="str">
        <f t="shared" si="15"/>
        <v xml:space="preserve">Demark, Switzerland, France </v>
      </c>
    </row>
    <row r="174" spans="1:14" x14ac:dyDescent="0.3">
      <c r="A174">
        <v>438</v>
      </c>
      <c r="B174" s="24">
        <v>43911</v>
      </c>
      <c r="C174" t="s">
        <v>1138</v>
      </c>
      <c r="D174">
        <v>55</v>
      </c>
      <c r="E174" t="s">
        <v>1073</v>
      </c>
      <c r="F174" t="s">
        <v>1085</v>
      </c>
      <c r="G174" t="s">
        <v>1085</v>
      </c>
      <c r="H174" t="s">
        <v>77</v>
      </c>
      <c r="J174" t="str">
        <f t="shared" si="12"/>
        <v>Female</v>
      </c>
      <c r="K174" t="str">
        <f t="shared" si="16"/>
        <v xml:space="preserve">US </v>
      </c>
      <c r="L174" t="str">
        <f t="shared" si="13"/>
        <v xml:space="preserve">Case 438 is a Imported case, 55 years old female US  and has been to US . She is currently admitted at SGH . </v>
      </c>
      <c r="M174">
        <f t="shared" si="14"/>
        <v>438</v>
      </c>
      <c r="N174" t="str">
        <f t="shared" si="15"/>
        <v xml:space="preserve">US </v>
      </c>
    </row>
    <row r="175" spans="1:14" x14ac:dyDescent="0.3">
      <c r="A175">
        <v>439</v>
      </c>
      <c r="B175" s="24">
        <v>43911</v>
      </c>
      <c r="C175" t="s">
        <v>1071</v>
      </c>
      <c r="D175">
        <v>55</v>
      </c>
      <c r="E175" t="s">
        <v>1073</v>
      </c>
      <c r="F175" t="s">
        <v>1189</v>
      </c>
      <c r="G175" t="s">
        <v>1049</v>
      </c>
      <c r="H175" t="s">
        <v>77</v>
      </c>
      <c r="J175" t="str">
        <f t="shared" si="12"/>
        <v>Female</v>
      </c>
      <c r="K175" t="str">
        <f t="shared" si="16"/>
        <v>Denmark</v>
      </c>
      <c r="L175" t="str">
        <f t="shared" si="13"/>
        <v xml:space="preserve">Case 439 is a Imported case, 55 years old female Denmark (Long Term Pass holder)  and has been to Denmark . She is currently admitted at NCID . </v>
      </c>
      <c r="M175">
        <f t="shared" si="14"/>
        <v>439</v>
      </c>
      <c r="N175" t="str">
        <f t="shared" si="15"/>
        <v xml:space="preserve">Denmark </v>
      </c>
    </row>
    <row r="176" spans="1:14" x14ac:dyDescent="0.3">
      <c r="A176">
        <v>440</v>
      </c>
      <c r="B176" s="24">
        <v>43911</v>
      </c>
      <c r="C176" t="s">
        <v>1071</v>
      </c>
      <c r="D176">
        <v>55</v>
      </c>
      <c r="E176" t="s">
        <v>1059</v>
      </c>
      <c r="F176" t="s">
        <v>1060</v>
      </c>
      <c r="G176" t="s">
        <v>1063</v>
      </c>
      <c r="H176" t="s">
        <v>77</v>
      </c>
      <c r="J176" t="str">
        <f t="shared" si="12"/>
        <v>Male</v>
      </c>
      <c r="K176" t="str">
        <f t="shared" si="16"/>
        <v>Singaporean</v>
      </c>
      <c r="L176" t="str">
        <f t="shared" si="13"/>
        <v xml:space="preserve">Case 440 is a Imported case, 55 years old male Singapore Citizen  and has been to UK . He is currently admitted at NCID . </v>
      </c>
      <c r="M176">
        <f t="shared" si="14"/>
        <v>440</v>
      </c>
      <c r="N176" t="str">
        <f t="shared" si="15"/>
        <v xml:space="preserve">UK </v>
      </c>
    </row>
    <row r="177" spans="1:14" x14ac:dyDescent="0.3">
      <c r="A177">
        <v>441</v>
      </c>
      <c r="B177" s="24">
        <v>43911</v>
      </c>
      <c r="C177" t="s">
        <v>1071</v>
      </c>
      <c r="D177">
        <v>57</v>
      </c>
      <c r="E177" t="s">
        <v>1073</v>
      </c>
      <c r="F177" t="s">
        <v>1060</v>
      </c>
      <c r="G177" t="s">
        <v>1190</v>
      </c>
      <c r="H177" t="s">
        <v>1069</v>
      </c>
      <c r="I177" t="s">
        <v>1191</v>
      </c>
      <c r="J177" t="str">
        <f t="shared" si="12"/>
        <v>Female</v>
      </c>
      <c r="K177" t="str">
        <f t="shared" si="16"/>
        <v>Singaporean</v>
      </c>
      <c r="L177" t="str">
        <f t="shared" si="13"/>
        <v>Case 441 is a Imported  case, 57 years old female Singapore Citizen  and has been to US, Mexico . She is currently admitted at NCID . Family member of Case 308; Contact of Case 277</v>
      </c>
      <c r="M177">
        <f t="shared" si="14"/>
        <v>441</v>
      </c>
      <c r="N177" t="str">
        <f t="shared" si="15"/>
        <v xml:space="preserve">US, Mexico </v>
      </c>
    </row>
    <row r="178" spans="1:14" x14ac:dyDescent="0.3">
      <c r="A178">
        <v>442</v>
      </c>
      <c r="B178" s="24">
        <v>43911</v>
      </c>
      <c r="C178" t="s">
        <v>1071</v>
      </c>
      <c r="D178">
        <v>48</v>
      </c>
      <c r="E178" t="s">
        <v>1073</v>
      </c>
      <c r="F178" t="s">
        <v>1060</v>
      </c>
      <c r="H178" t="s">
        <v>1086</v>
      </c>
      <c r="I178" t="s">
        <v>1192</v>
      </c>
      <c r="J178" t="str">
        <f t="shared" si="12"/>
        <v>Female</v>
      </c>
      <c r="K178" t="str">
        <f t="shared" si="16"/>
        <v>Singaporean</v>
      </c>
      <c r="L178" t="str">
        <f t="shared" si="13"/>
        <v>Case 442 is a Local linked  case, 48 years old female Singapore Citizen  and has not been overseas. She is currently admitted at NCID . Family member of Case 398</v>
      </c>
      <c r="M178" t="str">
        <f t="shared" si="14"/>
        <v/>
      </c>
      <c r="N178" t="str">
        <f t="shared" si="15"/>
        <v/>
      </c>
    </row>
    <row r="179" spans="1:14" x14ac:dyDescent="0.3">
      <c r="A179">
        <v>443</v>
      </c>
      <c r="B179" s="24">
        <v>43911</v>
      </c>
      <c r="C179" t="s">
        <v>343</v>
      </c>
      <c r="D179">
        <v>29</v>
      </c>
      <c r="E179" t="s">
        <v>1059</v>
      </c>
      <c r="F179" t="s">
        <v>1060</v>
      </c>
      <c r="H179" t="s">
        <v>1086</v>
      </c>
      <c r="I179" t="s">
        <v>733</v>
      </c>
      <c r="J179" t="str">
        <f t="shared" si="12"/>
        <v>Male</v>
      </c>
      <c r="K179" t="str">
        <f t="shared" si="16"/>
        <v>Singaporean</v>
      </c>
      <c r="L179" t="str">
        <f t="shared" si="13"/>
        <v>Case 443 is a Local linked  case, 29 years old male Singapore Citizen  and has not been overseas. He is currently admitted at NUH . boulder+ Gym</v>
      </c>
      <c r="M179" t="str">
        <f t="shared" si="14"/>
        <v/>
      </c>
      <c r="N179" t="str">
        <f t="shared" si="15"/>
        <v/>
      </c>
    </row>
    <row r="180" spans="1:14" x14ac:dyDescent="0.3">
      <c r="A180">
        <v>444</v>
      </c>
      <c r="B180" s="24">
        <v>43911</v>
      </c>
      <c r="C180" t="s">
        <v>1071</v>
      </c>
      <c r="D180">
        <v>44</v>
      </c>
      <c r="E180" t="s">
        <v>1059</v>
      </c>
      <c r="F180" t="s">
        <v>1060</v>
      </c>
      <c r="H180" t="s">
        <v>77</v>
      </c>
      <c r="J180" t="str">
        <f t="shared" si="12"/>
        <v>Male</v>
      </c>
      <c r="K180" t="str">
        <f t="shared" si="16"/>
        <v>Singaporean</v>
      </c>
      <c r="L180" t="str">
        <f t="shared" si="13"/>
        <v xml:space="preserve">Case 444 is a Imported case, 44 years old male Singapore Citizen  and has not been overseas. He is currently admitted at NCID . </v>
      </c>
      <c r="M180" t="str">
        <f t="shared" si="14"/>
        <v/>
      </c>
      <c r="N180" t="str">
        <f t="shared" si="15"/>
        <v/>
      </c>
    </row>
    <row r="181" spans="1:14" x14ac:dyDescent="0.3">
      <c r="A181">
        <v>445</v>
      </c>
      <c r="B181" s="24">
        <v>43911</v>
      </c>
      <c r="C181" t="s">
        <v>1071</v>
      </c>
      <c r="D181">
        <v>21</v>
      </c>
      <c r="E181" t="s">
        <v>1059</v>
      </c>
      <c r="F181" t="s">
        <v>1060</v>
      </c>
      <c r="G181" t="s">
        <v>1063</v>
      </c>
      <c r="H181" t="s">
        <v>77</v>
      </c>
      <c r="J181" t="str">
        <f t="shared" si="12"/>
        <v>Male</v>
      </c>
      <c r="K181" t="str">
        <f t="shared" si="16"/>
        <v>Singaporean</v>
      </c>
      <c r="L181" t="str">
        <f t="shared" si="13"/>
        <v xml:space="preserve">Case 445 is a Imported case, 21 years old male Singapore Citizen  and has been to UK . He is currently admitted at NCID . </v>
      </c>
      <c r="M181">
        <f t="shared" si="14"/>
        <v>445</v>
      </c>
      <c r="N181" t="str">
        <f t="shared" si="15"/>
        <v xml:space="preserve">UK </v>
      </c>
    </row>
    <row r="182" spans="1:14" x14ac:dyDescent="0.3">
      <c r="A182">
        <v>446</v>
      </c>
      <c r="B182" s="24">
        <v>43911</v>
      </c>
      <c r="C182" t="s">
        <v>1071</v>
      </c>
      <c r="D182">
        <v>26</v>
      </c>
      <c r="E182" t="s">
        <v>1073</v>
      </c>
      <c r="F182" t="s">
        <v>1173</v>
      </c>
      <c r="G182" t="s">
        <v>1063</v>
      </c>
      <c r="H182" t="s">
        <v>1069</v>
      </c>
      <c r="I182" t="s">
        <v>1193</v>
      </c>
      <c r="J182" t="str">
        <f t="shared" si="12"/>
        <v>Female</v>
      </c>
      <c r="K182" t="str">
        <f t="shared" si="16"/>
        <v>Indonesia</v>
      </c>
      <c r="L182" t="str">
        <f t="shared" si="13"/>
        <v>Case 446 is a Imported  case, 26 years old female Indonesia (Long Term Pass holder)  and has been to UK . She is currently admitted at NCID . Contact of Case 378</v>
      </c>
      <c r="M182">
        <f t="shared" si="14"/>
        <v>446</v>
      </c>
      <c r="N182" t="str">
        <f t="shared" si="15"/>
        <v xml:space="preserve">UK </v>
      </c>
    </row>
    <row r="183" spans="1:14" x14ac:dyDescent="0.3">
      <c r="A183">
        <v>447</v>
      </c>
      <c r="B183" s="24">
        <v>43911</v>
      </c>
      <c r="C183" t="s">
        <v>1071</v>
      </c>
      <c r="D183">
        <v>32</v>
      </c>
      <c r="E183" t="s">
        <v>1073</v>
      </c>
      <c r="F183" t="s">
        <v>1060</v>
      </c>
      <c r="G183" t="s">
        <v>1063</v>
      </c>
      <c r="H183" t="s">
        <v>77</v>
      </c>
      <c r="J183" t="str">
        <f t="shared" si="12"/>
        <v>Female</v>
      </c>
      <c r="K183" t="str">
        <f t="shared" si="16"/>
        <v>Singaporean</v>
      </c>
      <c r="L183" t="str">
        <f t="shared" si="13"/>
        <v xml:space="preserve">Case 447 is a Imported case, 32 years old female Singapore Citizen  and has been to UK . She is currently admitted at NCID . </v>
      </c>
      <c r="M183">
        <f t="shared" si="14"/>
        <v>447</v>
      </c>
      <c r="N183" t="str">
        <f t="shared" si="15"/>
        <v xml:space="preserve">UK </v>
      </c>
    </row>
    <row r="184" spans="1:14" x14ac:dyDescent="0.3">
      <c r="A184">
        <v>448</v>
      </c>
      <c r="B184" s="24">
        <v>43911</v>
      </c>
      <c r="C184" t="s">
        <v>1071</v>
      </c>
      <c r="D184">
        <v>21</v>
      </c>
      <c r="E184" t="s">
        <v>1059</v>
      </c>
      <c r="F184" t="s">
        <v>1060</v>
      </c>
      <c r="G184" t="s">
        <v>1063</v>
      </c>
      <c r="H184" t="s">
        <v>77</v>
      </c>
      <c r="J184" t="str">
        <f t="shared" si="12"/>
        <v>Male</v>
      </c>
      <c r="K184" t="str">
        <f t="shared" si="16"/>
        <v>Singaporean</v>
      </c>
      <c r="L184" t="str">
        <f t="shared" si="13"/>
        <v xml:space="preserve">Case 448 is a Imported case, 21 years old male Singapore Citizen  and has been to UK . He is currently admitted at NCID . </v>
      </c>
      <c r="M184">
        <f t="shared" si="14"/>
        <v>448</v>
      </c>
      <c r="N184" t="str">
        <f t="shared" si="15"/>
        <v xml:space="preserve">UK </v>
      </c>
    </row>
    <row r="185" spans="1:14" x14ac:dyDescent="0.3">
      <c r="A185">
        <v>449</v>
      </c>
      <c r="B185" s="24">
        <v>43911</v>
      </c>
      <c r="C185" t="s">
        <v>1071</v>
      </c>
      <c r="D185">
        <v>21</v>
      </c>
      <c r="E185" t="s">
        <v>1059</v>
      </c>
      <c r="F185" t="s">
        <v>1060</v>
      </c>
      <c r="G185" t="s">
        <v>1063</v>
      </c>
      <c r="H185" t="s">
        <v>77</v>
      </c>
      <c r="J185" t="str">
        <f t="shared" si="12"/>
        <v>Male</v>
      </c>
      <c r="K185" t="str">
        <f t="shared" si="16"/>
        <v>Singaporean</v>
      </c>
      <c r="L185" t="str">
        <f t="shared" si="13"/>
        <v xml:space="preserve">Case 449 is a Imported case, 21 years old male Singapore Citizen  and has been to UK . He is currently admitted at NCID . </v>
      </c>
      <c r="M185">
        <f t="shared" si="14"/>
        <v>449</v>
      </c>
      <c r="N185" t="str">
        <f t="shared" si="15"/>
        <v xml:space="preserve">UK </v>
      </c>
    </row>
    <row r="186" spans="1:14" x14ac:dyDescent="0.3">
      <c r="A186">
        <v>450</v>
      </c>
      <c r="B186" s="24">
        <v>43911</v>
      </c>
      <c r="C186" t="s">
        <v>1071</v>
      </c>
      <c r="D186">
        <v>44</v>
      </c>
      <c r="E186" t="s">
        <v>1059</v>
      </c>
      <c r="F186" t="s">
        <v>1060</v>
      </c>
      <c r="H186" t="s">
        <v>1061</v>
      </c>
      <c r="J186" t="str">
        <f t="shared" si="12"/>
        <v>Male</v>
      </c>
      <c r="K186" t="str">
        <f t="shared" si="16"/>
        <v>Singaporean</v>
      </c>
      <c r="L186" t="str">
        <f t="shared" si="13"/>
        <v xml:space="preserve">Case 450 is a Local unlinked case, 44 years old male Singapore Citizen  and has not been overseas. He is currently admitted at NCID . </v>
      </c>
      <c r="M186" t="str">
        <f t="shared" si="14"/>
        <v/>
      </c>
      <c r="N186" t="str">
        <f t="shared" si="15"/>
        <v/>
      </c>
    </row>
    <row r="187" spans="1:14" x14ac:dyDescent="0.3">
      <c r="A187">
        <v>451</v>
      </c>
      <c r="B187" s="24">
        <v>43912</v>
      </c>
      <c r="C187" t="s">
        <v>1071</v>
      </c>
      <c r="D187">
        <v>62</v>
      </c>
      <c r="E187" t="s">
        <v>1059</v>
      </c>
      <c r="F187" t="s">
        <v>1060</v>
      </c>
      <c r="H187" t="s">
        <v>1086</v>
      </c>
      <c r="I187" t="s">
        <v>1194</v>
      </c>
      <c r="J187" t="str">
        <f t="shared" si="12"/>
        <v>Male</v>
      </c>
      <c r="K187" t="str">
        <f t="shared" si="16"/>
        <v>Singaporean</v>
      </c>
      <c r="L187" t="str">
        <f t="shared" si="13"/>
        <v>Case 451 is a Local linked  case, 62 years old male Singapore Citizen  and has not been overseas. He is currently admitted at NCID . Contact of Case 404</v>
      </c>
      <c r="M187" t="str">
        <f t="shared" si="14"/>
        <v/>
      </c>
      <c r="N187" t="str">
        <f t="shared" si="15"/>
        <v/>
      </c>
    </row>
    <row r="188" spans="1:14" x14ac:dyDescent="0.3">
      <c r="A188">
        <v>452</v>
      </c>
      <c r="B188" s="24">
        <v>43912</v>
      </c>
      <c r="C188" t="s">
        <v>1071</v>
      </c>
      <c r="D188">
        <v>22</v>
      </c>
      <c r="E188" t="s">
        <v>1073</v>
      </c>
      <c r="F188" t="s">
        <v>1072</v>
      </c>
      <c r="G188" t="s">
        <v>1063</v>
      </c>
      <c r="H188" t="s">
        <v>77</v>
      </c>
      <c r="J188" t="str">
        <f t="shared" si="12"/>
        <v>Female</v>
      </c>
      <c r="K188" t="str">
        <f t="shared" si="16"/>
        <v>Singaporean</v>
      </c>
      <c r="L188" t="str">
        <f t="shared" si="13"/>
        <v xml:space="preserve">Case 452 is a Imported case, 22 years old female Singapore Permanent Resident  and has been to UK . She is currently admitted at NCID . </v>
      </c>
      <c r="M188">
        <f t="shared" si="14"/>
        <v>452</v>
      </c>
      <c r="N188" t="str">
        <f t="shared" si="15"/>
        <v xml:space="preserve">UK </v>
      </c>
    </row>
    <row r="189" spans="1:14" x14ac:dyDescent="0.3">
      <c r="A189">
        <v>453</v>
      </c>
      <c r="B189" s="24">
        <v>43912</v>
      </c>
      <c r="C189" t="s">
        <v>1071</v>
      </c>
      <c r="D189">
        <v>41</v>
      </c>
      <c r="E189" t="s">
        <v>1059</v>
      </c>
      <c r="F189" t="s">
        <v>1195</v>
      </c>
      <c r="G189" t="s">
        <v>1063</v>
      </c>
      <c r="H189" t="s">
        <v>77</v>
      </c>
      <c r="J189" t="str">
        <f t="shared" si="12"/>
        <v>Male</v>
      </c>
      <c r="K189" t="str">
        <f t="shared" si="16"/>
        <v>India</v>
      </c>
      <c r="L189" t="str">
        <f t="shared" si="13"/>
        <v xml:space="preserve">Case 453 is a Imported case, 41 years old male India (Long Term Pass holder)  and has been to UK . He is currently admitted at NCID . </v>
      </c>
      <c r="M189">
        <f t="shared" si="14"/>
        <v>453</v>
      </c>
      <c r="N189" t="str">
        <f t="shared" si="15"/>
        <v xml:space="preserve">UK </v>
      </c>
    </row>
    <row r="190" spans="1:14" x14ac:dyDescent="0.3">
      <c r="A190">
        <v>454</v>
      </c>
      <c r="B190" s="24">
        <v>43912</v>
      </c>
      <c r="C190" t="s">
        <v>1071</v>
      </c>
      <c r="D190">
        <v>47</v>
      </c>
      <c r="E190" t="s">
        <v>1073</v>
      </c>
      <c r="F190" t="s">
        <v>1060</v>
      </c>
      <c r="G190" t="s">
        <v>1085</v>
      </c>
      <c r="H190" t="s">
        <v>77</v>
      </c>
      <c r="J190" t="str">
        <f t="shared" si="12"/>
        <v>Female</v>
      </c>
      <c r="K190" t="str">
        <f t="shared" si="16"/>
        <v>Singaporean</v>
      </c>
      <c r="L190" t="str">
        <f t="shared" si="13"/>
        <v xml:space="preserve">Case 454 is a Imported case, 47 years old female Singapore Citizen  and has been to US . She is currently admitted at NCID . </v>
      </c>
      <c r="M190">
        <f t="shared" si="14"/>
        <v>454</v>
      </c>
      <c r="N190" t="str">
        <f t="shared" si="15"/>
        <v xml:space="preserve">US </v>
      </c>
    </row>
    <row r="191" spans="1:14" x14ac:dyDescent="0.3">
      <c r="A191">
        <v>455</v>
      </c>
      <c r="B191" s="24">
        <v>43912</v>
      </c>
      <c r="C191" t="s">
        <v>1071</v>
      </c>
      <c r="D191">
        <v>29</v>
      </c>
      <c r="E191" t="s">
        <v>1059</v>
      </c>
      <c r="F191" t="s">
        <v>1060</v>
      </c>
      <c r="G191" t="s">
        <v>1063</v>
      </c>
      <c r="H191" t="s">
        <v>77</v>
      </c>
      <c r="J191" t="str">
        <f t="shared" si="12"/>
        <v>Male</v>
      </c>
      <c r="K191" t="str">
        <f t="shared" si="16"/>
        <v>Singaporean</v>
      </c>
      <c r="L191" t="str">
        <f t="shared" si="13"/>
        <v xml:space="preserve">Case 455 is a Imported case, 29 years old male Singapore Citizen  and has been to UK . He is currently admitted at NCID . </v>
      </c>
      <c r="M191">
        <f t="shared" si="14"/>
        <v>455</v>
      </c>
      <c r="N191" t="str">
        <f t="shared" si="15"/>
        <v xml:space="preserve">UK </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30"/>
  <sheetViews>
    <sheetView topLeftCell="A127" workbookViewId="0">
      <selection activeCell="B130" sqref="A130:B130"/>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759"/>
  <sheetViews>
    <sheetView topLeftCell="A488" workbookViewId="0">
      <selection activeCell="B488" sqref="B488"/>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1197</v>
      </c>
      <c r="C657" s="1" t="s">
        <v>1129</v>
      </c>
    </row>
    <row r="658" spans="1:3" x14ac:dyDescent="0.3">
      <c r="A658" s="1">
        <v>352</v>
      </c>
      <c r="B658" s="1" t="s">
        <v>1198</v>
      </c>
      <c r="C658" s="1" t="s">
        <v>1129</v>
      </c>
    </row>
    <row r="659" spans="1:3" x14ac:dyDescent="0.3">
      <c r="A659" s="1">
        <v>352</v>
      </c>
      <c r="B659" s="1" t="s">
        <v>1199</v>
      </c>
      <c r="C659" s="1" t="s">
        <v>1129</v>
      </c>
    </row>
    <row r="660" spans="1:3" x14ac:dyDescent="0.3">
      <c r="A660" s="1">
        <v>352</v>
      </c>
      <c r="B660" s="1" t="s">
        <v>1200</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1201</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1202</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1203</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1204</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1178</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1178</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1205</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1206</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43"/>
  <sheetViews>
    <sheetView topLeftCell="A126" workbookViewId="0">
      <selection activeCell="C143" sqref="A128:C143"/>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1">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1"/>
  <sheetViews>
    <sheetView tabSelected="1" topLeftCell="A53" workbookViewId="0">
      <selection activeCell="O61" sqref="O61"/>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1"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2020-03-23T02:12:52Z</dcterms:modified>
</cp:coreProperties>
</file>