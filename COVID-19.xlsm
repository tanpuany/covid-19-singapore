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53C47C53-B3C7-49D1-903D-2B8EF47E4BD5}" xr6:coauthVersionLast="31" xr6:coauthVersionMax="31" xr10:uidLastSave="{00000000-0000-0000-0000-000000000000}"/>
  <bookViews>
    <workbookView xWindow="0" yWindow="0" windowWidth="19008" windowHeight="8496" activeTab="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46" i="1" l="1"/>
  <c r="L880" i="1" l="1"/>
  <c r="F880" i="1"/>
  <c r="E880" i="1"/>
  <c r="D880" i="1"/>
  <c r="C880" i="1"/>
  <c r="B880" i="1"/>
  <c r="A880" i="1"/>
  <c r="L879" i="1"/>
  <c r="F879" i="1"/>
  <c r="E879" i="1"/>
  <c r="D879" i="1"/>
  <c r="C879" i="1"/>
  <c r="B879" i="1"/>
  <c r="A879" i="1"/>
  <c r="L878" i="1"/>
  <c r="F878" i="1"/>
  <c r="E878" i="1"/>
  <c r="D878" i="1"/>
  <c r="C878" i="1"/>
  <c r="B878" i="1"/>
  <c r="A878" i="1"/>
  <c r="L877" i="1"/>
  <c r="F877" i="1"/>
  <c r="E877" i="1"/>
  <c r="D877" i="1"/>
  <c r="C877" i="1"/>
  <c r="B877" i="1"/>
  <c r="A877" i="1"/>
  <c r="L876" i="1"/>
  <c r="F876" i="1"/>
  <c r="E876" i="1"/>
  <c r="D876" i="1"/>
  <c r="C876" i="1"/>
  <c r="B876" i="1"/>
  <c r="A876" i="1"/>
  <c r="L875" i="1"/>
  <c r="F875" i="1"/>
  <c r="E875" i="1"/>
  <c r="D875" i="1"/>
  <c r="C875" i="1"/>
  <c r="B875" i="1"/>
  <c r="A875" i="1"/>
  <c r="L874" i="1"/>
  <c r="F874" i="1"/>
  <c r="E874" i="1"/>
  <c r="D874" i="1"/>
  <c r="C874" i="1"/>
  <c r="B874" i="1"/>
  <c r="A874" i="1"/>
  <c r="L873" i="1"/>
  <c r="F873" i="1"/>
  <c r="E873" i="1"/>
  <c r="D873" i="1"/>
  <c r="C873" i="1"/>
  <c r="B873" i="1"/>
  <c r="A873" i="1"/>
  <c r="L872" i="1"/>
  <c r="F872" i="1"/>
  <c r="E872" i="1"/>
  <c r="D872" i="1"/>
  <c r="C872" i="1"/>
  <c r="B872" i="1"/>
  <c r="A872" i="1"/>
  <c r="L871" i="1"/>
  <c r="F871" i="1"/>
  <c r="E871" i="1"/>
  <c r="D871" i="1"/>
  <c r="C871" i="1"/>
  <c r="B871" i="1"/>
  <c r="A871" i="1"/>
  <c r="L870" i="1"/>
  <c r="F870" i="1"/>
  <c r="E870" i="1"/>
  <c r="D870" i="1"/>
  <c r="C870" i="1"/>
  <c r="B870" i="1"/>
  <c r="A870" i="1"/>
  <c r="L869" i="1"/>
  <c r="F869" i="1"/>
  <c r="E869" i="1"/>
  <c r="D869" i="1"/>
  <c r="C869" i="1"/>
  <c r="B869" i="1"/>
  <c r="A869" i="1"/>
  <c r="L868" i="1"/>
  <c r="F868" i="1"/>
  <c r="E868" i="1"/>
  <c r="D868" i="1"/>
  <c r="C868" i="1"/>
  <c r="B868" i="1"/>
  <c r="A868" i="1"/>
  <c r="L867" i="1"/>
  <c r="F867" i="1"/>
  <c r="E867" i="1"/>
  <c r="D867" i="1"/>
  <c r="C867" i="1"/>
  <c r="B867" i="1"/>
  <c r="A867" i="1"/>
  <c r="L866" i="1"/>
  <c r="F866" i="1"/>
  <c r="E866" i="1"/>
  <c r="D866" i="1"/>
  <c r="C866" i="1"/>
  <c r="B866" i="1"/>
  <c r="A866" i="1"/>
  <c r="L865" i="1"/>
  <c r="F865" i="1"/>
  <c r="E865" i="1"/>
  <c r="D865" i="1"/>
  <c r="C865" i="1"/>
  <c r="B865" i="1"/>
  <c r="A865" i="1"/>
  <c r="L864" i="1"/>
  <c r="F864" i="1"/>
  <c r="E864" i="1"/>
  <c r="D864" i="1"/>
  <c r="C864" i="1"/>
  <c r="B864" i="1"/>
  <c r="A864" i="1"/>
  <c r="L863" i="1"/>
  <c r="F863" i="1"/>
  <c r="E863" i="1"/>
  <c r="D863" i="1"/>
  <c r="C863" i="1"/>
  <c r="B863" i="1"/>
  <c r="A863" i="1"/>
  <c r="L862" i="1"/>
  <c r="F862" i="1"/>
  <c r="E862" i="1"/>
  <c r="D862" i="1"/>
  <c r="C862" i="1"/>
  <c r="B862" i="1"/>
  <c r="A862" i="1"/>
  <c r="L861" i="1"/>
  <c r="F861" i="1"/>
  <c r="E861" i="1"/>
  <c r="D861" i="1"/>
  <c r="C861" i="1"/>
  <c r="B861" i="1"/>
  <c r="A861" i="1"/>
  <c r="L860" i="1"/>
  <c r="F860" i="1"/>
  <c r="E860" i="1"/>
  <c r="D860" i="1"/>
  <c r="C860" i="1"/>
  <c r="B860" i="1"/>
  <c r="A860" i="1"/>
  <c r="L859" i="1"/>
  <c r="F859" i="1"/>
  <c r="E859" i="1"/>
  <c r="D859" i="1"/>
  <c r="C859" i="1"/>
  <c r="B859" i="1"/>
  <c r="A859" i="1"/>
  <c r="L858" i="1"/>
  <c r="F858" i="1"/>
  <c r="E858" i="1"/>
  <c r="D858" i="1"/>
  <c r="C858" i="1"/>
  <c r="B858" i="1"/>
  <c r="A858" i="1"/>
  <c r="L857" i="1"/>
  <c r="F857" i="1"/>
  <c r="E857" i="1"/>
  <c r="D857" i="1"/>
  <c r="C857" i="1"/>
  <c r="B857" i="1"/>
  <c r="A857" i="1"/>
  <c r="L856" i="1"/>
  <c r="F856" i="1"/>
  <c r="E856" i="1"/>
  <c r="D856" i="1"/>
  <c r="C856" i="1"/>
  <c r="B856" i="1"/>
  <c r="A856" i="1"/>
  <c r="L855" i="1"/>
  <c r="F855" i="1"/>
  <c r="E855" i="1"/>
  <c r="D855" i="1"/>
  <c r="C855" i="1"/>
  <c r="B855" i="1"/>
  <c r="A855" i="1"/>
  <c r="L854" i="1"/>
  <c r="F854" i="1"/>
  <c r="E854" i="1"/>
  <c r="D854" i="1"/>
  <c r="C854" i="1"/>
  <c r="B854" i="1"/>
  <c r="A854" i="1"/>
  <c r="L853" i="1"/>
  <c r="F853" i="1"/>
  <c r="E853" i="1"/>
  <c r="D853" i="1"/>
  <c r="C853" i="1"/>
  <c r="B853" i="1"/>
  <c r="A853" i="1"/>
  <c r="L852" i="1"/>
  <c r="F852" i="1"/>
  <c r="E852" i="1"/>
  <c r="D852" i="1"/>
  <c r="C852" i="1"/>
  <c r="B852" i="1"/>
  <c r="A852" i="1"/>
  <c r="L851" i="1"/>
  <c r="F851" i="1"/>
  <c r="E851" i="1"/>
  <c r="D851" i="1"/>
  <c r="C851" i="1"/>
  <c r="B851" i="1"/>
  <c r="A851" i="1"/>
  <c r="L850" i="1"/>
  <c r="F850" i="1"/>
  <c r="E850" i="1"/>
  <c r="D850" i="1"/>
  <c r="C850" i="1"/>
  <c r="B850" i="1"/>
  <c r="A850" i="1"/>
  <c r="L849" i="1"/>
  <c r="F849" i="1"/>
  <c r="E849" i="1"/>
  <c r="D849" i="1"/>
  <c r="C849" i="1"/>
  <c r="B849" i="1"/>
  <c r="A849" i="1"/>
  <c r="L848" i="1"/>
  <c r="F848" i="1"/>
  <c r="E848" i="1"/>
  <c r="D848" i="1"/>
  <c r="C848" i="1"/>
  <c r="B848" i="1"/>
  <c r="A848" i="1"/>
  <c r="L847" i="1"/>
  <c r="F847" i="1"/>
  <c r="E847" i="1"/>
  <c r="D847" i="1"/>
  <c r="C847" i="1"/>
  <c r="B847" i="1"/>
  <c r="A847" i="1"/>
  <c r="F846" i="1"/>
  <c r="E846" i="1"/>
  <c r="D846" i="1"/>
  <c r="C846" i="1"/>
  <c r="B846" i="1"/>
  <c r="A846" i="1"/>
  <c r="L846" i="1"/>
  <c r="P614" i="7"/>
  <c r="O614" i="7"/>
  <c r="N614" i="7"/>
  <c r="M614" i="7"/>
  <c r="K614" i="7"/>
  <c r="J614" i="7"/>
  <c r="L614" i="7" s="1"/>
  <c r="P613" i="7"/>
  <c r="O613" i="7"/>
  <c r="N613" i="7"/>
  <c r="M613" i="7"/>
  <c r="K613" i="7"/>
  <c r="J613" i="7"/>
  <c r="L613" i="7" s="1"/>
  <c r="P612" i="7"/>
  <c r="O612" i="7"/>
  <c r="N612" i="7"/>
  <c r="M612" i="7"/>
  <c r="K612" i="7"/>
  <c r="J612" i="7"/>
  <c r="L612" i="7" s="1"/>
  <c r="P611" i="7"/>
  <c r="O611" i="7"/>
  <c r="N611" i="7"/>
  <c r="M611" i="7"/>
  <c r="L611" i="7"/>
  <c r="K611" i="7"/>
  <c r="J611" i="7"/>
  <c r="P610" i="7"/>
  <c r="O610" i="7"/>
  <c r="N610" i="7"/>
  <c r="M610" i="7"/>
  <c r="K610" i="7"/>
  <c r="J610" i="7"/>
  <c r="L610" i="7" s="1"/>
  <c r="P609" i="7"/>
  <c r="O609" i="7"/>
  <c r="N609" i="7"/>
  <c r="M609" i="7"/>
  <c r="K609" i="7"/>
  <c r="J609" i="7"/>
  <c r="L609" i="7" s="1"/>
  <c r="P608" i="7"/>
  <c r="O608" i="7"/>
  <c r="N608" i="7"/>
  <c r="M608" i="7"/>
  <c r="K608" i="7"/>
  <c r="J608" i="7"/>
  <c r="L608" i="7" s="1"/>
  <c r="P607" i="7"/>
  <c r="O607" i="7"/>
  <c r="N607" i="7"/>
  <c r="M607" i="7"/>
  <c r="L607" i="7"/>
  <c r="K607" i="7"/>
  <c r="J607" i="7"/>
  <c r="P606" i="7"/>
  <c r="O606" i="7"/>
  <c r="N606" i="7"/>
  <c r="M606" i="7"/>
  <c r="K606" i="7"/>
  <c r="J606" i="7"/>
  <c r="L606" i="7" s="1"/>
  <c r="P605" i="7"/>
  <c r="O605" i="7"/>
  <c r="N605" i="7"/>
  <c r="M605" i="7"/>
  <c r="K605" i="7"/>
  <c r="J605" i="7"/>
  <c r="L605" i="7" s="1"/>
  <c r="P604" i="7"/>
  <c r="O604" i="7"/>
  <c r="N604" i="7"/>
  <c r="M604" i="7"/>
  <c r="K604" i="7"/>
  <c r="J604" i="7"/>
  <c r="L604" i="7" s="1"/>
  <c r="P603" i="7"/>
  <c r="O603" i="7"/>
  <c r="N603" i="7"/>
  <c r="M603" i="7"/>
  <c r="L603" i="7"/>
  <c r="K603" i="7"/>
  <c r="J603" i="7"/>
  <c r="P602" i="7"/>
  <c r="O602" i="7"/>
  <c r="N602" i="7"/>
  <c r="M602" i="7"/>
  <c r="K602" i="7"/>
  <c r="J602" i="7"/>
  <c r="L602" i="7" s="1"/>
  <c r="P601" i="7"/>
  <c r="O601" i="7"/>
  <c r="N601" i="7"/>
  <c r="M601" i="7"/>
  <c r="K601" i="7"/>
  <c r="J601" i="7"/>
  <c r="L601" i="7" s="1"/>
  <c r="P600" i="7"/>
  <c r="O600" i="7"/>
  <c r="N600" i="7"/>
  <c r="M600" i="7"/>
  <c r="L600" i="7"/>
  <c r="K600" i="7"/>
  <c r="J600" i="7"/>
  <c r="P599" i="7"/>
  <c r="O599" i="7"/>
  <c r="N599" i="7"/>
  <c r="M599" i="7"/>
  <c r="L599" i="7"/>
  <c r="K599" i="7"/>
  <c r="J599" i="7"/>
  <c r="P598" i="7"/>
  <c r="O598" i="7"/>
  <c r="N598" i="7"/>
  <c r="M598" i="7"/>
  <c r="K598" i="7"/>
  <c r="J598" i="7"/>
  <c r="L598" i="7" s="1"/>
  <c r="P597" i="7"/>
  <c r="O597" i="7"/>
  <c r="N597" i="7"/>
  <c r="M597" i="7"/>
  <c r="K597" i="7"/>
  <c r="J597" i="7"/>
  <c r="L597" i="7" s="1"/>
  <c r="P596" i="7"/>
  <c r="O596" i="7"/>
  <c r="N596" i="7"/>
  <c r="M596" i="7"/>
  <c r="L596" i="7"/>
  <c r="K596" i="7"/>
  <c r="J596" i="7"/>
  <c r="P595" i="7"/>
  <c r="O595" i="7"/>
  <c r="N595" i="7"/>
  <c r="M595" i="7"/>
  <c r="L595" i="7"/>
  <c r="K595" i="7"/>
  <c r="J595" i="7"/>
  <c r="P594" i="7"/>
  <c r="O594" i="7"/>
  <c r="N594" i="7"/>
  <c r="M594" i="7"/>
  <c r="K594" i="7"/>
  <c r="J594" i="7"/>
  <c r="L594" i="7" s="1"/>
  <c r="P593" i="7"/>
  <c r="O593" i="7"/>
  <c r="N593" i="7"/>
  <c r="M593" i="7"/>
  <c r="K593" i="7"/>
  <c r="J593" i="7"/>
  <c r="L593" i="7" s="1"/>
  <c r="P592" i="7"/>
  <c r="O592" i="7"/>
  <c r="N592" i="7"/>
  <c r="M592" i="7"/>
  <c r="L592" i="7"/>
  <c r="K592" i="7"/>
  <c r="J592" i="7"/>
  <c r="P591" i="7"/>
  <c r="O591" i="7"/>
  <c r="N591" i="7"/>
  <c r="M591" i="7"/>
  <c r="L591" i="7"/>
  <c r="K591" i="7"/>
  <c r="J591" i="7"/>
  <c r="P590" i="7"/>
  <c r="O590" i="7"/>
  <c r="N590" i="7"/>
  <c r="M590" i="7"/>
  <c r="K590" i="7"/>
  <c r="J590" i="7"/>
  <c r="L590" i="7" s="1"/>
  <c r="P589" i="7"/>
  <c r="O589" i="7"/>
  <c r="N589" i="7"/>
  <c r="M589" i="7"/>
  <c r="K589" i="7"/>
  <c r="J589" i="7"/>
  <c r="L589" i="7" s="1"/>
  <c r="P588" i="7"/>
  <c r="O588" i="7"/>
  <c r="N588" i="7"/>
  <c r="M588" i="7"/>
  <c r="L588" i="7"/>
  <c r="K588" i="7"/>
  <c r="J588" i="7"/>
  <c r="P587" i="7"/>
  <c r="O587" i="7"/>
  <c r="N587" i="7"/>
  <c r="M587" i="7"/>
  <c r="L587" i="7"/>
  <c r="K587" i="7"/>
  <c r="J587" i="7"/>
  <c r="P586" i="7"/>
  <c r="O586" i="7"/>
  <c r="N586" i="7"/>
  <c r="M586" i="7"/>
  <c r="K586" i="7"/>
  <c r="J586" i="7"/>
  <c r="L586" i="7" s="1"/>
  <c r="P585" i="7"/>
  <c r="O585" i="7"/>
  <c r="N585" i="7"/>
  <c r="M585" i="7"/>
  <c r="K585" i="7"/>
  <c r="J585" i="7"/>
  <c r="L585" i="7" s="1"/>
  <c r="P584" i="7"/>
  <c r="O584" i="7"/>
  <c r="N584" i="7"/>
  <c r="M584" i="7"/>
  <c r="L584" i="7"/>
  <c r="K584" i="7"/>
  <c r="J584" i="7"/>
  <c r="P583" i="7"/>
  <c r="O583" i="7"/>
  <c r="N583" i="7"/>
  <c r="M583" i="7"/>
  <c r="L583" i="7"/>
  <c r="K583" i="7"/>
  <c r="J583" i="7"/>
  <c r="P582" i="7"/>
  <c r="O582" i="7"/>
  <c r="N582" i="7"/>
  <c r="M582" i="7"/>
  <c r="K582" i="7"/>
  <c r="J582" i="7"/>
  <c r="L582" i="7" s="1"/>
  <c r="P581" i="7"/>
  <c r="O581" i="7"/>
  <c r="N581" i="7"/>
  <c r="M581" i="7"/>
  <c r="K581" i="7"/>
  <c r="J581" i="7"/>
  <c r="L581" i="7" s="1"/>
  <c r="P580" i="7"/>
  <c r="O580" i="7"/>
  <c r="N580" i="7"/>
  <c r="M580" i="7"/>
  <c r="L580" i="7"/>
  <c r="K580" i="7"/>
  <c r="J580" i="7"/>
  <c r="E69" i="2"/>
  <c r="C69" i="2"/>
  <c r="L845" i="1" l="1"/>
  <c r="E845" i="1"/>
  <c r="D845" i="1"/>
  <c r="C845" i="1"/>
  <c r="B845" i="1"/>
  <c r="A845" i="1"/>
  <c r="L844" i="1"/>
  <c r="F844" i="1"/>
  <c r="E844" i="1"/>
  <c r="D844" i="1"/>
  <c r="C844" i="1"/>
  <c r="B844" i="1"/>
  <c r="A844" i="1"/>
  <c r="L843" i="1"/>
  <c r="F843" i="1"/>
  <c r="E843" i="1"/>
  <c r="D843" i="1"/>
  <c r="C843" i="1"/>
  <c r="B843" i="1"/>
  <c r="A843" i="1"/>
  <c r="L842" i="1"/>
  <c r="F842" i="1"/>
  <c r="E842" i="1"/>
  <c r="D842" i="1"/>
  <c r="C842" i="1"/>
  <c r="B842" i="1"/>
  <c r="A842" i="1"/>
  <c r="L841" i="1"/>
  <c r="F841" i="1"/>
  <c r="E841" i="1"/>
  <c r="D841" i="1"/>
  <c r="C841" i="1"/>
  <c r="B841" i="1"/>
  <c r="A841" i="1"/>
  <c r="L840" i="1"/>
  <c r="F840" i="1"/>
  <c r="E840" i="1"/>
  <c r="D840" i="1"/>
  <c r="C840" i="1"/>
  <c r="B840" i="1"/>
  <c r="A840" i="1"/>
  <c r="L839" i="1"/>
  <c r="F839" i="1"/>
  <c r="E839" i="1"/>
  <c r="D839" i="1"/>
  <c r="C839" i="1"/>
  <c r="B839" i="1"/>
  <c r="A839" i="1"/>
  <c r="L838" i="1"/>
  <c r="F838" i="1"/>
  <c r="E838" i="1"/>
  <c r="D838" i="1"/>
  <c r="C838" i="1"/>
  <c r="B838" i="1"/>
  <c r="A838" i="1"/>
  <c r="L837" i="1"/>
  <c r="F837" i="1"/>
  <c r="E837" i="1"/>
  <c r="D837" i="1"/>
  <c r="C837" i="1"/>
  <c r="B837" i="1"/>
  <c r="A837" i="1"/>
  <c r="L836" i="1"/>
  <c r="F836" i="1"/>
  <c r="E836" i="1"/>
  <c r="D836" i="1"/>
  <c r="C836" i="1"/>
  <c r="B836" i="1"/>
  <c r="A836" i="1"/>
  <c r="L835" i="1"/>
  <c r="F835" i="1"/>
  <c r="E835" i="1"/>
  <c r="D835" i="1"/>
  <c r="C835" i="1"/>
  <c r="B835" i="1"/>
  <c r="A835" i="1"/>
  <c r="L834" i="1"/>
  <c r="F834" i="1"/>
  <c r="E834" i="1"/>
  <c r="D834" i="1"/>
  <c r="C834" i="1"/>
  <c r="B834" i="1"/>
  <c r="A834" i="1"/>
  <c r="L833" i="1"/>
  <c r="F833" i="1"/>
  <c r="E833" i="1"/>
  <c r="D833" i="1"/>
  <c r="C833" i="1"/>
  <c r="B833" i="1"/>
  <c r="A833" i="1"/>
  <c r="L832" i="1"/>
  <c r="F832" i="1"/>
  <c r="E832" i="1"/>
  <c r="D832" i="1"/>
  <c r="C832" i="1"/>
  <c r="B832" i="1"/>
  <c r="A832" i="1"/>
  <c r="L831" i="1"/>
  <c r="F831" i="1"/>
  <c r="E831" i="1"/>
  <c r="D831" i="1"/>
  <c r="C831" i="1"/>
  <c r="B831" i="1"/>
  <c r="A831" i="1"/>
  <c r="L830" i="1"/>
  <c r="F830" i="1"/>
  <c r="E830" i="1"/>
  <c r="D830" i="1"/>
  <c r="C830" i="1"/>
  <c r="B830" i="1"/>
  <c r="A830" i="1"/>
  <c r="L829" i="1"/>
  <c r="F829" i="1"/>
  <c r="E829" i="1"/>
  <c r="D829" i="1"/>
  <c r="C829" i="1"/>
  <c r="B829" i="1"/>
  <c r="A829" i="1"/>
  <c r="L828" i="1"/>
  <c r="F828" i="1"/>
  <c r="E828" i="1"/>
  <c r="D828" i="1"/>
  <c r="C828" i="1"/>
  <c r="B828" i="1"/>
  <c r="A828" i="1"/>
  <c r="L827" i="1"/>
  <c r="F827" i="1"/>
  <c r="E827" i="1"/>
  <c r="D827" i="1"/>
  <c r="C827" i="1"/>
  <c r="B827" i="1"/>
  <c r="A827" i="1"/>
  <c r="L826" i="1"/>
  <c r="F826" i="1"/>
  <c r="E826" i="1"/>
  <c r="D826" i="1"/>
  <c r="C826" i="1"/>
  <c r="B826" i="1"/>
  <c r="A826" i="1"/>
  <c r="L825" i="1"/>
  <c r="F825" i="1"/>
  <c r="E825" i="1"/>
  <c r="D825" i="1"/>
  <c r="C825" i="1"/>
  <c r="B825" i="1"/>
  <c r="A825" i="1"/>
  <c r="L824" i="1"/>
  <c r="F824" i="1"/>
  <c r="E824" i="1"/>
  <c r="D824" i="1"/>
  <c r="C824" i="1"/>
  <c r="B824" i="1"/>
  <c r="A824" i="1"/>
  <c r="L823" i="1"/>
  <c r="F823" i="1"/>
  <c r="E823" i="1"/>
  <c r="D823" i="1"/>
  <c r="C823" i="1"/>
  <c r="B823" i="1"/>
  <c r="A823" i="1"/>
  <c r="L822" i="1"/>
  <c r="F822" i="1"/>
  <c r="E822" i="1"/>
  <c r="D822" i="1"/>
  <c r="C822" i="1"/>
  <c r="B822" i="1"/>
  <c r="A822" i="1"/>
  <c r="L821" i="1"/>
  <c r="F821" i="1"/>
  <c r="E821" i="1"/>
  <c r="D821" i="1"/>
  <c r="C821" i="1"/>
  <c r="B821" i="1"/>
  <c r="A821" i="1"/>
  <c r="L820" i="1"/>
  <c r="F820" i="1"/>
  <c r="E820" i="1"/>
  <c r="D820" i="1"/>
  <c r="C820" i="1"/>
  <c r="B820" i="1"/>
  <c r="A820" i="1"/>
  <c r="L819" i="1"/>
  <c r="F819" i="1"/>
  <c r="E819" i="1"/>
  <c r="D819" i="1"/>
  <c r="C819" i="1"/>
  <c r="B819" i="1"/>
  <c r="A819" i="1"/>
  <c r="L818" i="1"/>
  <c r="F818" i="1"/>
  <c r="E818" i="1"/>
  <c r="D818" i="1"/>
  <c r="C818" i="1"/>
  <c r="B818" i="1"/>
  <c r="A818" i="1"/>
  <c r="L817" i="1"/>
  <c r="F817" i="1"/>
  <c r="E817" i="1"/>
  <c r="D817" i="1"/>
  <c r="C817" i="1"/>
  <c r="B817" i="1"/>
  <c r="A817" i="1"/>
  <c r="L816" i="1"/>
  <c r="F816" i="1"/>
  <c r="E816" i="1"/>
  <c r="D816" i="1"/>
  <c r="C816" i="1"/>
  <c r="B816" i="1"/>
  <c r="A816" i="1"/>
  <c r="L815" i="1"/>
  <c r="F815" i="1"/>
  <c r="E815" i="1"/>
  <c r="D815" i="1"/>
  <c r="C815" i="1"/>
  <c r="B815" i="1"/>
  <c r="A815" i="1"/>
  <c r="L814" i="1"/>
  <c r="F814" i="1"/>
  <c r="E814" i="1"/>
  <c r="D814" i="1"/>
  <c r="C814" i="1"/>
  <c r="B814" i="1"/>
  <c r="A814" i="1"/>
  <c r="L813" i="1"/>
  <c r="F813" i="1"/>
  <c r="E813" i="1"/>
  <c r="D813" i="1"/>
  <c r="C813" i="1"/>
  <c r="B813" i="1"/>
  <c r="A813" i="1"/>
  <c r="L812" i="1"/>
  <c r="F812" i="1"/>
  <c r="E812" i="1"/>
  <c r="D812" i="1"/>
  <c r="C812" i="1"/>
  <c r="B812" i="1"/>
  <c r="A812" i="1"/>
  <c r="L811" i="1"/>
  <c r="F811" i="1"/>
  <c r="E811" i="1"/>
  <c r="D811" i="1"/>
  <c r="C811" i="1"/>
  <c r="B811" i="1"/>
  <c r="A811" i="1"/>
  <c r="L810" i="1"/>
  <c r="F810" i="1"/>
  <c r="E810" i="1"/>
  <c r="D810" i="1"/>
  <c r="C810" i="1"/>
  <c r="B810" i="1"/>
  <c r="A810" i="1"/>
  <c r="L809" i="1"/>
  <c r="F809" i="1"/>
  <c r="E809" i="1"/>
  <c r="D809" i="1"/>
  <c r="C809" i="1"/>
  <c r="B809" i="1"/>
  <c r="A809" i="1"/>
  <c r="L808" i="1"/>
  <c r="F808" i="1"/>
  <c r="E808" i="1"/>
  <c r="D808" i="1"/>
  <c r="C808" i="1"/>
  <c r="B808" i="1"/>
  <c r="A808" i="1"/>
  <c r="L807" i="1"/>
  <c r="F807" i="1"/>
  <c r="E807" i="1"/>
  <c r="D807" i="1"/>
  <c r="C807" i="1"/>
  <c r="B807" i="1"/>
  <c r="A807" i="1"/>
  <c r="L806" i="1"/>
  <c r="F806" i="1"/>
  <c r="E806" i="1"/>
  <c r="D806" i="1"/>
  <c r="C806" i="1"/>
  <c r="B806" i="1"/>
  <c r="A806" i="1"/>
  <c r="L805" i="1"/>
  <c r="F805" i="1"/>
  <c r="E805" i="1"/>
  <c r="D805" i="1"/>
  <c r="C805" i="1"/>
  <c r="B805" i="1"/>
  <c r="A805" i="1"/>
  <c r="F804" i="1"/>
  <c r="E804" i="1"/>
  <c r="D804" i="1"/>
  <c r="C804" i="1"/>
  <c r="B804" i="1"/>
  <c r="A804" i="1"/>
  <c r="L804" i="1"/>
  <c r="P579" i="7"/>
  <c r="O579" i="7"/>
  <c r="N579" i="7"/>
  <c r="M579" i="7"/>
  <c r="K579" i="7"/>
  <c r="J579" i="7"/>
  <c r="L579" i="7" s="1"/>
  <c r="F845" i="1" s="1"/>
  <c r="P578" i="7"/>
  <c r="O578" i="7"/>
  <c r="N578" i="7"/>
  <c r="M578" i="7"/>
  <c r="L578" i="7"/>
  <c r="K578" i="7"/>
  <c r="J578" i="7"/>
  <c r="P577" i="7"/>
  <c r="O577" i="7"/>
  <c r="N577" i="7"/>
  <c r="M577" i="7"/>
  <c r="L577" i="7"/>
  <c r="K577" i="7"/>
  <c r="J577" i="7"/>
  <c r="P576" i="7"/>
  <c r="O576" i="7"/>
  <c r="N576" i="7"/>
  <c r="M576" i="7"/>
  <c r="K576" i="7"/>
  <c r="J576" i="7"/>
  <c r="L576" i="7" s="1"/>
  <c r="P575" i="7"/>
  <c r="O575" i="7"/>
  <c r="N575" i="7"/>
  <c r="M575" i="7"/>
  <c r="K575" i="7"/>
  <c r="J575" i="7"/>
  <c r="L575" i="7" s="1"/>
  <c r="P574" i="7"/>
  <c r="O574" i="7"/>
  <c r="N574" i="7"/>
  <c r="M574" i="7"/>
  <c r="L574" i="7"/>
  <c r="K574" i="7"/>
  <c r="J574" i="7"/>
  <c r="P573" i="7"/>
  <c r="O573" i="7"/>
  <c r="N573" i="7"/>
  <c r="M573" i="7"/>
  <c r="L573" i="7"/>
  <c r="K573" i="7"/>
  <c r="J573" i="7"/>
  <c r="P572" i="7"/>
  <c r="O572" i="7"/>
  <c r="N572" i="7"/>
  <c r="M572" i="7"/>
  <c r="K572" i="7"/>
  <c r="J572" i="7"/>
  <c r="L572" i="7" s="1"/>
  <c r="P571" i="7"/>
  <c r="O571" i="7"/>
  <c r="N571" i="7"/>
  <c r="M571" i="7"/>
  <c r="K571" i="7"/>
  <c r="J571" i="7"/>
  <c r="L571" i="7" s="1"/>
  <c r="P570" i="7"/>
  <c r="O570" i="7"/>
  <c r="N570" i="7"/>
  <c r="M570" i="7"/>
  <c r="L570" i="7"/>
  <c r="K570" i="7"/>
  <c r="J570" i="7"/>
  <c r="P569" i="7"/>
  <c r="O569" i="7"/>
  <c r="N569" i="7"/>
  <c r="M569" i="7"/>
  <c r="L569" i="7"/>
  <c r="K569" i="7"/>
  <c r="J569" i="7"/>
  <c r="P568" i="7"/>
  <c r="O568" i="7"/>
  <c r="N568" i="7"/>
  <c r="M568" i="7"/>
  <c r="K568" i="7"/>
  <c r="J568" i="7"/>
  <c r="L568" i="7" s="1"/>
  <c r="P567" i="7"/>
  <c r="O567" i="7"/>
  <c r="N567" i="7"/>
  <c r="M567" i="7"/>
  <c r="K567" i="7"/>
  <c r="J567" i="7"/>
  <c r="L567" i="7" s="1"/>
  <c r="P566" i="7"/>
  <c r="O566" i="7"/>
  <c r="N566" i="7"/>
  <c r="M566" i="7"/>
  <c r="L566" i="7"/>
  <c r="K566" i="7"/>
  <c r="J566" i="7"/>
  <c r="P565" i="7"/>
  <c r="O565" i="7"/>
  <c r="N565" i="7"/>
  <c r="M565" i="7"/>
  <c r="L565" i="7"/>
  <c r="K565" i="7"/>
  <c r="J565" i="7"/>
  <c r="P564" i="7"/>
  <c r="O564" i="7"/>
  <c r="N564" i="7"/>
  <c r="M564" i="7"/>
  <c r="K564" i="7"/>
  <c r="J564" i="7"/>
  <c r="L564" i="7" s="1"/>
  <c r="P563" i="7"/>
  <c r="O563" i="7"/>
  <c r="N563" i="7"/>
  <c r="M563" i="7"/>
  <c r="K563" i="7"/>
  <c r="J563" i="7"/>
  <c r="L563" i="7" s="1"/>
  <c r="P562" i="7"/>
  <c r="O562" i="7"/>
  <c r="N562" i="7"/>
  <c r="M562" i="7"/>
  <c r="L562" i="7"/>
  <c r="K562" i="7"/>
  <c r="J562" i="7"/>
  <c r="P561" i="7"/>
  <c r="O561" i="7"/>
  <c r="N561" i="7"/>
  <c r="M561" i="7"/>
  <c r="L561" i="7"/>
  <c r="K561" i="7"/>
  <c r="J561" i="7"/>
  <c r="P560" i="7"/>
  <c r="O560" i="7"/>
  <c r="N560" i="7"/>
  <c r="M560" i="7"/>
  <c r="K560" i="7"/>
  <c r="J560" i="7"/>
  <c r="L560" i="7" s="1"/>
  <c r="P559" i="7"/>
  <c r="O559" i="7"/>
  <c r="N559" i="7"/>
  <c r="M559" i="7"/>
  <c r="K559" i="7"/>
  <c r="J559" i="7"/>
  <c r="L559" i="7" s="1"/>
  <c r="P558" i="7"/>
  <c r="O558" i="7"/>
  <c r="N558" i="7"/>
  <c r="M558" i="7"/>
  <c r="L558" i="7"/>
  <c r="K558" i="7"/>
  <c r="J558" i="7"/>
  <c r="P557" i="7"/>
  <c r="O557" i="7"/>
  <c r="N557" i="7"/>
  <c r="M557" i="7"/>
  <c r="L557" i="7"/>
  <c r="K557" i="7"/>
  <c r="J557" i="7"/>
  <c r="P556" i="7"/>
  <c r="O556" i="7"/>
  <c r="N556" i="7"/>
  <c r="M556" i="7"/>
  <c r="K556" i="7"/>
  <c r="J556" i="7"/>
  <c r="L556" i="7" s="1"/>
  <c r="P555" i="7"/>
  <c r="O555" i="7"/>
  <c r="N555" i="7"/>
  <c r="M555" i="7"/>
  <c r="K555" i="7"/>
  <c r="J555" i="7"/>
  <c r="L555" i="7" s="1"/>
  <c r="P554" i="7"/>
  <c r="O554" i="7"/>
  <c r="N554" i="7"/>
  <c r="M554" i="7"/>
  <c r="L554" i="7"/>
  <c r="K554" i="7"/>
  <c r="J554" i="7"/>
  <c r="P553" i="7"/>
  <c r="O553" i="7"/>
  <c r="N553" i="7"/>
  <c r="M553" i="7"/>
  <c r="L553" i="7"/>
  <c r="K553" i="7"/>
  <c r="J553" i="7"/>
  <c r="P552" i="7"/>
  <c r="O552" i="7"/>
  <c r="N552" i="7"/>
  <c r="M552" i="7"/>
  <c r="K552" i="7"/>
  <c r="J552" i="7"/>
  <c r="L552" i="7" s="1"/>
  <c r="P551" i="7"/>
  <c r="O551" i="7"/>
  <c r="N551" i="7"/>
  <c r="M551" i="7"/>
  <c r="K551" i="7"/>
  <c r="J551" i="7"/>
  <c r="L551" i="7" s="1"/>
  <c r="P550" i="7"/>
  <c r="O550" i="7"/>
  <c r="N550" i="7"/>
  <c r="M550" i="7"/>
  <c r="L550" i="7"/>
  <c r="K550" i="7"/>
  <c r="J550" i="7"/>
  <c r="P549" i="7"/>
  <c r="O549" i="7"/>
  <c r="N549" i="7"/>
  <c r="M549" i="7"/>
  <c r="L549" i="7"/>
  <c r="K549" i="7"/>
  <c r="J549" i="7"/>
  <c r="P548" i="7"/>
  <c r="O548" i="7"/>
  <c r="N548" i="7"/>
  <c r="M548" i="7"/>
  <c r="K548" i="7"/>
  <c r="J548" i="7"/>
  <c r="L548" i="7" s="1"/>
  <c r="P547" i="7"/>
  <c r="O547" i="7"/>
  <c r="N547" i="7"/>
  <c r="M547" i="7"/>
  <c r="K547" i="7"/>
  <c r="J547" i="7"/>
  <c r="L547" i="7" s="1"/>
  <c r="P546" i="7"/>
  <c r="O546" i="7"/>
  <c r="N546" i="7"/>
  <c r="M546" i="7"/>
  <c r="L546" i="7"/>
  <c r="K546" i="7"/>
  <c r="J546" i="7"/>
  <c r="P545" i="7"/>
  <c r="O545" i="7"/>
  <c r="N545" i="7"/>
  <c r="M545" i="7"/>
  <c r="L545" i="7"/>
  <c r="K545" i="7"/>
  <c r="J545" i="7"/>
  <c r="P544" i="7"/>
  <c r="O544" i="7"/>
  <c r="N544" i="7"/>
  <c r="M544" i="7"/>
  <c r="K544" i="7"/>
  <c r="J544" i="7"/>
  <c r="L544" i="7" s="1"/>
  <c r="P543" i="7"/>
  <c r="O543" i="7"/>
  <c r="N543" i="7"/>
  <c r="M543" i="7"/>
  <c r="K543" i="7"/>
  <c r="J543" i="7"/>
  <c r="L543" i="7" s="1"/>
  <c r="P542" i="7"/>
  <c r="O542" i="7"/>
  <c r="N542" i="7"/>
  <c r="M542" i="7"/>
  <c r="L542" i="7"/>
  <c r="K542" i="7"/>
  <c r="J542" i="7"/>
  <c r="P541" i="7"/>
  <c r="O541" i="7"/>
  <c r="N541" i="7"/>
  <c r="M541" i="7"/>
  <c r="L541" i="7"/>
  <c r="K541" i="7"/>
  <c r="J541" i="7"/>
  <c r="P540" i="7"/>
  <c r="O540" i="7"/>
  <c r="N540" i="7"/>
  <c r="M540" i="7"/>
  <c r="K540" i="7"/>
  <c r="J540" i="7"/>
  <c r="L540" i="7" s="1"/>
  <c r="P539" i="7"/>
  <c r="O539" i="7"/>
  <c r="N539" i="7"/>
  <c r="M539" i="7"/>
  <c r="K539" i="7"/>
  <c r="J539" i="7"/>
  <c r="L539" i="7" s="1"/>
  <c r="P538" i="7"/>
  <c r="O538" i="7"/>
  <c r="N538" i="7"/>
  <c r="M538" i="7"/>
  <c r="L538" i="7"/>
  <c r="K538" i="7"/>
  <c r="J538" i="7"/>
  <c r="E68" i="2"/>
  <c r="C68" i="2"/>
  <c r="L803" i="1"/>
  <c r="F803" i="1"/>
  <c r="D803" i="1"/>
  <c r="B803" i="1"/>
  <c r="A803" i="1"/>
  <c r="L802" i="1"/>
  <c r="E802" i="1"/>
  <c r="D802" i="1"/>
  <c r="B802" i="1"/>
  <c r="A802" i="1"/>
  <c r="L801" i="1"/>
  <c r="D801" i="1"/>
  <c r="B801" i="1"/>
  <c r="A801" i="1"/>
  <c r="L800" i="1"/>
  <c r="D800" i="1"/>
  <c r="C800" i="1"/>
  <c r="B800" i="1"/>
  <c r="A800" i="1"/>
  <c r="L799" i="1"/>
  <c r="D799" i="1"/>
  <c r="B799" i="1"/>
  <c r="A799" i="1"/>
  <c r="L798" i="1"/>
  <c r="E798" i="1"/>
  <c r="D798" i="1"/>
  <c r="B798" i="1"/>
  <c r="A798" i="1"/>
  <c r="L797" i="1"/>
  <c r="D797" i="1"/>
  <c r="B797" i="1"/>
  <c r="A797" i="1"/>
  <c r="L796" i="1"/>
  <c r="D796" i="1"/>
  <c r="B796" i="1"/>
  <c r="A796" i="1"/>
  <c r="L795" i="1"/>
  <c r="F795" i="1"/>
  <c r="D795" i="1"/>
  <c r="B795" i="1"/>
  <c r="A795" i="1"/>
  <c r="L794" i="1"/>
  <c r="E794" i="1"/>
  <c r="D794" i="1"/>
  <c r="B794" i="1"/>
  <c r="A794" i="1"/>
  <c r="L793" i="1"/>
  <c r="D793" i="1"/>
  <c r="B793" i="1"/>
  <c r="A793" i="1"/>
  <c r="L792" i="1"/>
  <c r="D792" i="1"/>
  <c r="C792" i="1"/>
  <c r="B792" i="1"/>
  <c r="A792" i="1"/>
  <c r="L791" i="1"/>
  <c r="D791" i="1"/>
  <c r="B791" i="1"/>
  <c r="A791" i="1"/>
  <c r="L790" i="1"/>
  <c r="E790" i="1"/>
  <c r="D790" i="1"/>
  <c r="B790" i="1"/>
  <c r="A790" i="1"/>
  <c r="L789" i="1"/>
  <c r="D789" i="1"/>
  <c r="B789" i="1"/>
  <c r="A789" i="1"/>
  <c r="L788" i="1"/>
  <c r="D788" i="1"/>
  <c r="C788" i="1"/>
  <c r="B788" i="1"/>
  <c r="A788" i="1"/>
  <c r="L787" i="1"/>
  <c r="F787" i="1"/>
  <c r="D787" i="1"/>
  <c r="B787" i="1"/>
  <c r="A787" i="1"/>
  <c r="L786" i="1"/>
  <c r="E786" i="1"/>
  <c r="D786" i="1"/>
  <c r="B786" i="1"/>
  <c r="A786" i="1"/>
  <c r="L785" i="1"/>
  <c r="D785" i="1"/>
  <c r="B785" i="1"/>
  <c r="A785" i="1"/>
  <c r="L784" i="1"/>
  <c r="D784" i="1"/>
  <c r="C784" i="1"/>
  <c r="B784" i="1"/>
  <c r="A784" i="1"/>
  <c r="L783" i="1"/>
  <c r="D783" i="1"/>
  <c r="B783" i="1"/>
  <c r="A783" i="1"/>
  <c r="L782" i="1"/>
  <c r="E782" i="1"/>
  <c r="D782" i="1"/>
  <c r="B782" i="1"/>
  <c r="A782" i="1"/>
  <c r="L781" i="1"/>
  <c r="D781" i="1"/>
  <c r="B781" i="1"/>
  <c r="A781" i="1"/>
  <c r="L780" i="1"/>
  <c r="D780" i="1"/>
  <c r="B780" i="1"/>
  <c r="A780" i="1"/>
  <c r="L779" i="1"/>
  <c r="F779" i="1"/>
  <c r="D779" i="1"/>
  <c r="B779" i="1"/>
  <c r="A779" i="1"/>
  <c r="L778" i="1"/>
  <c r="E778" i="1"/>
  <c r="D778" i="1"/>
  <c r="B778" i="1"/>
  <c r="A778" i="1"/>
  <c r="L777" i="1"/>
  <c r="D777" i="1"/>
  <c r="B777" i="1"/>
  <c r="A777" i="1"/>
  <c r="L776" i="1"/>
  <c r="D776" i="1"/>
  <c r="C776" i="1"/>
  <c r="B776" i="1"/>
  <c r="A776" i="1"/>
  <c r="L775" i="1"/>
  <c r="D775" i="1"/>
  <c r="B775" i="1"/>
  <c r="A775" i="1"/>
  <c r="L774" i="1"/>
  <c r="E774" i="1"/>
  <c r="D774" i="1"/>
  <c r="B774" i="1"/>
  <c r="A774" i="1"/>
  <c r="L773" i="1"/>
  <c r="D773" i="1"/>
  <c r="B773" i="1"/>
  <c r="A773" i="1"/>
  <c r="L772" i="1"/>
  <c r="D772" i="1"/>
  <c r="C772" i="1"/>
  <c r="B772" i="1"/>
  <c r="A772" i="1"/>
  <c r="L771" i="1"/>
  <c r="F771" i="1"/>
  <c r="D771" i="1"/>
  <c r="B771" i="1"/>
  <c r="A771" i="1"/>
  <c r="L770" i="1"/>
  <c r="E770" i="1"/>
  <c r="D770" i="1"/>
  <c r="B770" i="1"/>
  <c r="A770" i="1"/>
  <c r="L769" i="1"/>
  <c r="D769" i="1"/>
  <c r="B769" i="1"/>
  <c r="A769" i="1"/>
  <c r="L768" i="1"/>
  <c r="D768" i="1"/>
  <c r="C768" i="1"/>
  <c r="B768" i="1"/>
  <c r="A768" i="1"/>
  <c r="L767" i="1"/>
  <c r="D767" i="1"/>
  <c r="B767" i="1"/>
  <c r="A767" i="1"/>
  <c r="L766" i="1"/>
  <c r="E766" i="1"/>
  <c r="D766" i="1"/>
  <c r="B766" i="1"/>
  <c r="A766" i="1"/>
  <c r="L765" i="1"/>
  <c r="D765" i="1"/>
  <c r="B765" i="1"/>
  <c r="A765" i="1"/>
  <c r="L764" i="1"/>
  <c r="D764" i="1"/>
  <c r="B764" i="1"/>
  <c r="A764" i="1"/>
  <c r="L763" i="1"/>
  <c r="F763" i="1"/>
  <c r="D763" i="1"/>
  <c r="B763" i="1"/>
  <c r="A763" i="1"/>
  <c r="L762" i="1"/>
  <c r="E762" i="1"/>
  <c r="D762" i="1"/>
  <c r="B762" i="1"/>
  <c r="A762" i="1"/>
  <c r="L761" i="1"/>
  <c r="D761" i="1"/>
  <c r="B761" i="1"/>
  <c r="A761" i="1"/>
  <c r="L760" i="1"/>
  <c r="D760" i="1"/>
  <c r="C760" i="1"/>
  <c r="B760" i="1"/>
  <c r="A760" i="1"/>
  <c r="L759" i="1"/>
  <c r="D759" i="1"/>
  <c r="B759" i="1"/>
  <c r="A759" i="1"/>
  <c r="L758" i="1"/>
  <c r="E758" i="1"/>
  <c r="D758" i="1"/>
  <c r="B758" i="1"/>
  <c r="A758" i="1"/>
  <c r="L757" i="1"/>
  <c r="D757" i="1"/>
  <c r="B757" i="1"/>
  <c r="A757" i="1"/>
  <c r="L756" i="1"/>
  <c r="D756" i="1"/>
  <c r="C756" i="1"/>
  <c r="B756" i="1"/>
  <c r="A756" i="1"/>
  <c r="L755" i="1"/>
  <c r="F755" i="1"/>
  <c r="D755" i="1"/>
  <c r="B755" i="1"/>
  <c r="A755" i="1"/>
  <c r="L754" i="1"/>
  <c r="E754" i="1"/>
  <c r="D754" i="1"/>
  <c r="B754" i="1"/>
  <c r="A754" i="1"/>
  <c r="L753" i="1"/>
  <c r="D753" i="1"/>
  <c r="B753" i="1"/>
  <c r="A753" i="1"/>
  <c r="L752" i="1"/>
  <c r="D752" i="1"/>
  <c r="C752" i="1"/>
  <c r="B752" i="1"/>
  <c r="A752" i="1"/>
  <c r="L751" i="1"/>
  <c r="D751" i="1"/>
  <c r="B751" i="1"/>
  <c r="A751" i="1"/>
  <c r="L750" i="1"/>
  <c r="E750" i="1"/>
  <c r="D750" i="1"/>
  <c r="B750" i="1"/>
  <c r="A750" i="1"/>
  <c r="L749" i="1"/>
  <c r="D749" i="1"/>
  <c r="B749" i="1"/>
  <c r="A749" i="1"/>
  <c r="L748" i="1"/>
  <c r="D748" i="1"/>
  <c r="B748" i="1"/>
  <c r="A748" i="1"/>
  <c r="L747" i="1"/>
  <c r="F747" i="1"/>
  <c r="D747" i="1"/>
  <c r="B747" i="1"/>
  <c r="A747" i="1"/>
  <c r="L746" i="1"/>
  <c r="E746" i="1"/>
  <c r="D746" i="1"/>
  <c r="B746" i="1"/>
  <c r="A746" i="1"/>
  <c r="L745" i="1"/>
  <c r="D745" i="1"/>
  <c r="B745" i="1"/>
  <c r="A745" i="1"/>
  <c r="L744" i="1"/>
  <c r="D744" i="1"/>
  <c r="C744" i="1"/>
  <c r="B744" i="1"/>
  <c r="A744" i="1"/>
  <c r="L743" i="1"/>
  <c r="D743" i="1"/>
  <c r="B743" i="1"/>
  <c r="A743" i="1"/>
  <c r="L742" i="1"/>
  <c r="E742" i="1"/>
  <c r="D742" i="1"/>
  <c r="B742" i="1"/>
  <c r="A742" i="1"/>
  <c r="L741" i="1"/>
  <c r="D741" i="1"/>
  <c r="B741" i="1"/>
  <c r="A741" i="1"/>
  <c r="L740" i="1"/>
  <c r="D740" i="1"/>
  <c r="C740" i="1"/>
  <c r="B740" i="1"/>
  <c r="A740" i="1"/>
  <c r="L739" i="1"/>
  <c r="F739" i="1"/>
  <c r="D739" i="1"/>
  <c r="B739" i="1"/>
  <c r="A739" i="1"/>
  <c r="L738" i="1"/>
  <c r="E738" i="1"/>
  <c r="D738" i="1"/>
  <c r="B738" i="1"/>
  <c r="A738" i="1"/>
  <c r="L737" i="1"/>
  <c r="D737" i="1"/>
  <c r="B737" i="1"/>
  <c r="A737" i="1"/>
  <c r="L736" i="1"/>
  <c r="D736" i="1"/>
  <c r="C736" i="1"/>
  <c r="B736" i="1"/>
  <c r="A736" i="1"/>
  <c r="L735" i="1"/>
  <c r="D735" i="1"/>
  <c r="B735" i="1"/>
  <c r="A735" i="1"/>
  <c r="L734" i="1"/>
  <c r="E734" i="1"/>
  <c r="D734" i="1"/>
  <c r="B734" i="1"/>
  <c r="A734" i="1"/>
  <c r="P537" i="7"/>
  <c r="O537" i="7"/>
  <c r="N537" i="7"/>
  <c r="M537" i="7"/>
  <c r="L537" i="7"/>
  <c r="K537" i="7"/>
  <c r="E803" i="1" s="1"/>
  <c r="J537" i="7"/>
  <c r="C803" i="1" s="1"/>
  <c r="P536" i="7"/>
  <c r="O536" i="7"/>
  <c r="N536" i="7"/>
  <c r="M536" i="7"/>
  <c r="L536" i="7"/>
  <c r="F802" i="1" s="1"/>
  <c r="K536" i="7"/>
  <c r="J536" i="7"/>
  <c r="C802" i="1" s="1"/>
  <c r="P535" i="7"/>
  <c r="O535" i="7"/>
  <c r="N535" i="7"/>
  <c r="M535" i="7"/>
  <c r="K535" i="7"/>
  <c r="E801" i="1" s="1"/>
  <c r="J535" i="7"/>
  <c r="P534" i="7"/>
  <c r="O534" i="7"/>
  <c r="N534" i="7"/>
  <c r="M534" i="7"/>
  <c r="K534" i="7"/>
  <c r="E800" i="1" s="1"/>
  <c r="J534" i="7"/>
  <c r="L534" i="7" s="1"/>
  <c r="F800" i="1" s="1"/>
  <c r="P533" i="7"/>
  <c r="O533" i="7"/>
  <c r="N533" i="7"/>
  <c r="M533" i="7"/>
  <c r="K533" i="7"/>
  <c r="E799" i="1" s="1"/>
  <c r="J533" i="7"/>
  <c r="C799" i="1" s="1"/>
  <c r="P532" i="7"/>
  <c r="O532" i="7"/>
  <c r="N532" i="7"/>
  <c r="M532" i="7"/>
  <c r="K532" i="7"/>
  <c r="J532" i="7"/>
  <c r="P531" i="7"/>
  <c r="O531" i="7"/>
  <c r="N531" i="7"/>
  <c r="M531" i="7"/>
  <c r="K531" i="7"/>
  <c r="E797" i="1" s="1"/>
  <c r="J531" i="7"/>
  <c r="L531" i="7" s="1"/>
  <c r="F797" i="1" s="1"/>
  <c r="P530" i="7"/>
  <c r="O530" i="7"/>
  <c r="N530" i="7"/>
  <c r="M530" i="7"/>
  <c r="K530" i="7"/>
  <c r="E796" i="1" s="1"/>
  <c r="J530" i="7"/>
  <c r="L530" i="7" s="1"/>
  <c r="F796" i="1" s="1"/>
  <c r="P529" i="7"/>
  <c r="O529" i="7"/>
  <c r="N529" i="7"/>
  <c r="M529" i="7"/>
  <c r="L529" i="7"/>
  <c r="K529" i="7"/>
  <c r="E795" i="1" s="1"/>
  <c r="J529" i="7"/>
  <c r="C795" i="1" s="1"/>
  <c r="P528" i="7"/>
  <c r="O528" i="7"/>
  <c r="N528" i="7"/>
  <c r="M528" i="7"/>
  <c r="L528" i="7"/>
  <c r="F794" i="1" s="1"/>
  <c r="K528" i="7"/>
  <c r="J528" i="7"/>
  <c r="C794" i="1" s="1"/>
  <c r="P527" i="7"/>
  <c r="O527" i="7"/>
  <c r="N527" i="7"/>
  <c r="M527" i="7"/>
  <c r="K527" i="7"/>
  <c r="E793" i="1" s="1"/>
  <c r="J527" i="7"/>
  <c r="P526" i="7"/>
  <c r="O526" i="7"/>
  <c r="N526" i="7"/>
  <c r="M526" i="7"/>
  <c r="K526" i="7"/>
  <c r="E792" i="1" s="1"/>
  <c r="J526" i="7"/>
  <c r="L526" i="7" s="1"/>
  <c r="F792" i="1" s="1"/>
  <c r="P525" i="7"/>
  <c r="O525" i="7"/>
  <c r="N525" i="7"/>
  <c r="M525" i="7"/>
  <c r="K525" i="7"/>
  <c r="E791" i="1" s="1"/>
  <c r="J525" i="7"/>
  <c r="C791" i="1" s="1"/>
  <c r="P524" i="7"/>
  <c r="O524" i="7"/>
  <c r="N524" i="7"/>
  <c r="M524" i="7"/>
  <c r="K524" i="7"/>
  <c r="J524" i="7"/>
  <c r="P523" i="7"/>
  <c r="O523" i="7"/>
  <c r="N523" i="7"/>
  <c r="M523" i="7"/>
  <c r="K523" i="7"/>
  <c r="E789" i="1" s="1"/>
  <c r="J523" i="7"/>
  <c r="L523" i="7" s="1"/>
  <c r="F789" i="1" s="1"/>
  <c r="P522" i="7"/>
  <c r="O522" i="7"/>
  <c r="N522" i="7"/>
  <c r="M522" i="7"/>
  <c r="K522" i="7"/>
  <c r="E788" i="1" s="1"/>
  <c r="J522" i="7"/>
  <c r="L522" i="7" s="1"/>
  <c r="F788" i="1" s="1"/>
  <c r="P521" i="7"/>
  <c r="O521" i="7"/>
  <c r="N521" i="7"/>
  <c r="M521" i="7"/>
  <c r="L521" i="7"/>
  <c r="K521" i="7"/>
  <c r="E787" i="1" s="1"/>
  <c r="J521" i="7"/>
  <c r="C787" i="1" s="1"/>
  <c r="P520" i="7"/>
  <c r="O520" i="7"/>
  <c r="N520" i="7"/>
  <c r="M520" i="7"/>
  <c r="L520" i="7"/>
  <c r="F786" i="1" s="1"/>
  <c r="K520" i="7"/>
  <c r="J520" i="7"/>
  <c r="C786" i="1" s="1"/>
  <c r="P519" i="7"/>
  <c r="O519" i="7"/>
  <c r="N519" i="7"/>
  <c r="M519" i="7"/>
  <c r="K519" i="7"/>
  <c r="E785" i="1" s="1"/>
  <c r="J519" i="7"/>
  <c r="P518" i="7"/>
  <c r="O518" i="7"/>
  <c r="N518" i="7"/>
  <c r="M518" i="7"/>
  <c r="K518" i="7"/>
  <c r="E784" i="1" s="1"/>
  <c r="J518" i="7"/>
  <c r="L518" i="7" s="1"/>
  <c r="F784" i="1" s="1"/>
  <c r="P517" i="7"/>
  <c r="O517" i="7"/>
  <c r="N517" i="7"/>
  <c r="M517" i="7"/>
  <c r="K517" i="7"/>
  <c r="E783" i="1" s="1"/>
  <c r="J517" i="7"/>
  <c r="C783" i="1" s="1"/>
  <c r="P516" i="7"/>
  <c r="O516" i="7"/>
  <c r="N516" i="7"/>
  <c r="M516" i="7"/>
  <c r="K516" i="7"/>
  <c r="J516" i="7"/>
  <c r="P515" i="7"/>
  <c r="O515" i="7"/>
  <c r="N515" i="7"/>
  <c r="M515" i="7"/>
  <c r="K515" i="7"/>
  <c r="E781" i="1" s="1"/>
  <c r="J515" i="7"/>
  <c r="L515" i="7" s="1"/>
  <c r="F781" i="1" s="1"/>
  <c r="P514" i="7"/>
  <c r="O514" i="7"/>
  <c r="N514" i="7"/>
  <c r="M514" i="7"/>
  <c r="K514" i="7"/>
  <c r="E780" i="1" s="1"/>
  <c r="J514" i="7"/>
  <c r="L514" i="7" s="1"/>
  <c r="F780" i="1" s="1"/>
  <c r="P513" i="7"/>
  <c r="O513" i="7"/>
  <c r="N513" i="7"/>
  <c r="M513" i="7"/>
  <c r="L513" i="7"/>
  <c r="K513" i="7"/>
  <c r="E779" i="1" s="1"/>
  <c r="J513" i="7"/>
  <c r="C779" i="1" s="1"/>
  <c r="P512" i="7"/>
  <c r="O512" i="7"/>
  <c r="N512" i="7"/>
  <c r="M512" i="7"/>
  <c r="L512" i="7"/>
  <c r="F778" i="1" s="1"/>
  <c r="K512" i="7"/>
  <c r="J512" i="7"/>
  <c r="C778" i="1" s="1"/>
  <c r="P511" i="7"/>
  <c r="O511" i="7"/>
  <c r="N511" i="7"/>
  <c r="M511" i="7"/>
  <c r="K511" i="7"/>
  <c r="E777" i="1" s="1"/>
  <c r="J511" i="7"/>
  <c r="P510" i="7"/>
  <c r="O510" i="7"/>
  <c r="N510" i="7"/>
  <c r="M510" i="7"/>
  <c r="K510" i="7"/>
  <c r="E776" i="1" s="1"/>
  <c r="J510" i="7"/>
  <c r="L510" i="7" s="1"/>
  <c r="F776" i="1" s="1"/>
  <c r="P509" i="7"/>
  <c r="O509" i="7"/>
  <c r="N509" i="7"/>
  <c r="M509" i="7"/>
  <c r="K509" i="7"/>
  <c r="E775" i="1" s="1"/>
  <c r="J509" i="7"/>
  <c r="C775" i="1" s="1"/>
  <c r="P508" i="7"/>
  <c r="O508" i="7"/>
  <c r="N508" i="7"/>
  <c r="M508" i="7"/>
  <c r="K508" i="7"/>
  <c r="J508" i="7"/>
  <c r="P507" i="7"/>
  <c r="O507" i="7"/>
  <c r="N507" i="7"/>
  <c r="M507" i="7"/>
  <c r="K507" i="7"/>
  <c r="E773" i="1" s="1"/>
  <c r="J507" i="7"/>
  <c r="L507" i="7" s="1"/>
  <c r="F773" i="1" s="1"/>
  <c r="P506" i="7"/>
  <c r="O506" i="7"/>
  <c r="N506" i="7"/>
  <c r="M506" i="7"/>
  <c r="K506" i="7"/>
  <c r="E772" i="1" s="1"/>
  <c r="J506" i="7"/>
  <c r="L506" i="7" s="1"/>
  <c r="F772" i="1" s="1"/>
  <c r="P505" i="7"/>
  <c r="O505" i="7"/>
  <c r="N505" i="7"/>
  <c r="M505" i="7"/>
  <c r="L505" i="7"/>
  <c r="K505" i="7"/>
  <c r="E771" i="1" s="1"/>
  <c r="J505" i="7"/>
  <c r="C771" i="1" s="1"/>
  <c r="P504" i="7"/>
  <c r="O504" i="7"/>
  <c r="N504" i="7"/>
  <c r="M504" i="7"/>
  <c r="L504" i="7"/>
  <c r="F770" i="1" s="1"/>
  <c r="K504" i="7"/>
  <c r="J504" i="7"/>
  <c r="C770" i="1" s="1"/>
  <c r="P503" i="7"/>
  <c r="O503" i="7"/>
  <c r="N503" i="7"/>
  <c r="M503" i="7"/>
  <c r="K503" i="7"/>
  <c r="E769" i="1" s="1"/>
  <c r="J503" i="7"/>
  <c r="P502" i="7"/>
  <c r="O502" i="7"/>
  <c r="N502" i="7"/>
  <c r="M502" i="7"/>
  <c r="K502" i="7"/>
  <c r="E768" i="1" s="1"/>
  <c r="J502" i="7"/>
  <c r="L502" i="7" s="1"/>
  <c r="F768" i="1" s="1"/>
  <c r="P501" i="7"/>
  <c r="O501" i="7"/>
  <c r="N501" i="7"/>
  <c r="M501" i="7"/>
  <c r="K501" i="7"/>
  <c r="E767" i="1" s="1"/>
  <c r="J501" i="7"/>
  <c r="C767" i="1" s="1"/>
  <c r="P500" i="7"/>
  <c r="O500" i="7"/>
  <c r="N500" i="7"/>
  <c r="M500" i="7"/>
  <c r="K500" i="7"/>
  <c r="J500" i="7"/>
  <c r="P499" i="7"/>
  <c r="O499" i="7"/>
  <c r="N499" i="7"/>
  <c r="M499" i="7"/>
  <c r="K499" i="7"/>
  <c r="E765" i="1" s="1"/>
  <c r="J499" i="7"/>
  <c r="L499" i="7" s="1"/>
  <c r="F765" i="1" s="1"/>
  <c r="P498" i="7"/>
  <c r="O498" i="7"/>
  <c r="N498" i="7"/>
  <c r="M498" i="7"/>
  <c r="K498" i="7"/>
  <c r="E764" i="1" s="1"/>
  <c r="J498" i="7"/>
  <c r="L498" i="7" s="1"/>
  <c r="F764" i="1" s="1"/>
  <c r="P497" i="7"/>
  <c r="O497" i="7"/>
  <c r="N497" i="7"/>
  <c r="M497" i="7"/>
  <c r="L497" i="7"/>
  <c r="K497" i="7"/>
  <c r="E763" i="1" s="1"/>
  <c r="J497" i="7"/>
  <c r="C763" i="1" s="1"/>
  <c r="P496" i="7"/>
  <c r="O496" i="7"/>
  <c r="N496" i="7"/>
  <c r="M496" i="7"/>
  <c r="L496" i="7"/>
  <c r="F762" i="1" s="1"/>
  <c r="K496" i="7"/>
  <c r="J496" i="7"/>
  <c r="C762" i="1" s="1"/>
  <c r="P495" i="7"/>
  <c r="O495" i="7"/>
  <c r="N495" i="7"/>
  <c r="M495" i="7"/>
  <c r="K495" i="7"/>
  <c r="E761" i="1" s="1"/>
  <c r="J495" i="7"/>
  <c r="P494" i="7"/>
  <c r="O494" i="7"/>
  <c r="N494" i="7"/>
  <c r="M494" i="7"/>
  <c r="K494" i="7"/>
  <c r="E760" i="1" s="1"/>
  <c r="J494" i="7"/>
  <c r="L494" i="7" s="1"/>
  <c r="F760" i="1" s="1"/>
  <c r="P493" i="7"/>
  <c r="O493" i="7"/>
  <c r="N493" i="7"/>
  <c r="M493" i="7"/>
  <c r="K493" i="7"/>
  <c r="E759" i="1" s="1"/>
  <c r="J493" i="7"/>
  <c r="C759" i="1" s="1"/>
  <c r="P492" i="7"/>
  <c r="O492" i="7"/>
  <c r="N492" i="7"/>
  <c r="M492" i="7"/>
  <c r="K492" i="7"/>
  <c r="J492" i="7"/>
  <c r="P491" i="7"/>
  <c r="O491" i="7"/>
  <c r="N491" i="7"/>
  <c r="M491" i="7"/>
  <c r="K491" i="7"/>
  <c r="E757" i="1" s="1"/>
  <c r="J491" i="7"/>
  <c r="L491" i="7" s="1"/>
  <c r="F757" i="1" s="1"/>
  <c r="P490" i="7"/>
  <c r="O490" i="7"/>
  <c r="N490" i="7"/>
  <c r="M490" i="7"/>
  <c r="K490" i="7"/>
  <c r="E756" i="1" s="1"/>
  <c r="J490" i="7"/>
  <c r="L490" i="7" s="1"/>
  <c r="F756" i="1" s="1"/>
  <c r="P489" i="7"/>
  <c r="O489" i="7"/>
  <c r="N489" i="7"/>
  <c r="M489" i="7"/>
  <c r="L489" i="7"/>
  <c r="K489" i="7"/>
  <c r="E755" i="1" s="1"/>
  <c r="J489" i="7"/>
  <c r="C755" i="1" s="1"/>
  <c r="P488" i="7"/>
  <c r="O488" i="7"/>
  <c r="N488" i="7"/>
  <c r="M488" i="7"/>
  <c r="L488" i="7"/>
  <c r="F754" i="1" s="1"/>
  <c r="K488" i="7"/>
  <c r="J488" i="7"/>
  <c r="C754" i="1" s="1"/>
  <c r="P487" i="7"/>
  <c r="O487" i="7"/>
  <c r="N487" i="7"/>
  <c r="M487" i="7"/>
  <c r="K487" i="7"/>
  <c r="E753" i="1" s="1"/>
  <c r="J487" i="7"/>
  <c r="P486" i="7"/>
  <c r="O486" i="7"/>
  <c r="N486" i="7"/>
  <c r="M486" i="7"/>
  <c r="K486" i="7"/>
  <c r="E752" i="1" s="1"/>
  <c r="J486" i="7"/>
  <c r="L486" i="7" s="1"/>
  <c r="F752" i="1" s="1"/>
  <c r="P485" i="7"/>
  <c r="O485" i="7"/>
  <c r="N485" i="7"/>
  <c r="M485" i="7"/>
  <c r="K485" i="7"/>
  <c r="E751" i="1" s="1"/>
  <c r="J485" i="7"/>
  <c r="C751" i="1" s="1"/>
  <c r="P484" i="7"/>
  <c r="O484" i="7"/>
  <c r="N484" i="7"/>
  <c r="M484" i="7"/>
  <c r="K484" i="7"/>
  <c r="J484" i="7"/>
  <c r="P483" i="7"/>
  <c r="O483" i="7"/>
  <c r="N483" i="7"/>
  <c r="M483" i="7"/>
  <c r="K483" i="7"/>
  <c r="E749" i="1" s="1"/>
  <c r="J483" i="7"/>
  <c r="L483" i="7" s="1"/>
  <c r="F749" i="1" s="1"/>
  <c r="P482" i="7"/>
  <c r="O482" i="7"/>
  <c r="N482" i="7"/>
  <c r="M482" i="7"/>
  <c r="K482" i="7"/>
  <c r="E748" i="1" s="1"/>
  <c r="J482" i="7"/>
  <c r="L482" i="7" s="1"/>
  <c r="F748" i="1" s="1"/>
  <c r="P481" i="7"/>
  <c r="O481" i="7"/>
  <c r="N481" i="7"/>
  <c r="M481" i="7"/>
  <c r="L481" i="7"/>
  <c r="K481" i="7"/>
  <c r="E747" i="1" s="1"/>
  <c r="J481" i="7"/>
  <c r="C747" i="1" s="1"/>
  <c r="P480" i="7"/>
  <c r="O480" i="7"/>
  <c r="N480" i="7"/>
  <c r="M480" i="7"/>
  <c r="L480" i="7"/>
  <c r="F746" i="1" s="1"/>
  <c r="K480" i="7"/>
  <c r="J480" i="7"/>
  <c r="C746" i="1" s="1"/>
  <c r="P479" i="7"/>
  <c r="O479" i="7"/>
  <c r="N479" i="7"/>
  <c r="M479" i="7"/>
  <c r="K479" i="7"/>
  <c r="E745" i="1" s="1"/>
  <c r="J479" i="7"/>
  <c r="P478" i="7"/>
  <c r="O478" i="7"/>
  <c r="N478" i="7"/>
  <c r="M478" i="7"/>
  <c r="K478" i="7"/>
  <c r="E744" i="1" s="1"/>
  <c r="J478" i="7"/>
  <c r="L478" i="7" s="1"/>
  <c r="F744" i="1" s="1"/>
  <c r="P477" i="7"/>
  <c r="O477" i="7"/>
  <c r="N477" i="7"/>
  <c r="M477" i="7"/>
  <c r="K477" i="7"/>
  <c r="E743" i="1" s="1"/>
  <c r="J477" i="7"/>
  <c r="C743" i="1" s="1"/>
  <c r="P476" i="7"/>
  <c r="O476" i="7"/>
  <c r="N476" i="7"/>
  <c r="M476" i="7"/>
  <c r="K476" i="7"/>
  <c r="J476" i="7"/>
  <c r="P475" i="7"/>
  <c r="O475" i="7"/>
  <c r="N475" i="7"/>
  <c r="M475" i="7"/>
  <c r="K475" i="7"/>
  <c r="E741" i="1" s="1"/>
  <c r="J475" i="7"/>
  <c r="L475" i="7" s="1"/>
  <c r="F741" i="1" s="1"/>
  <c r="P474" i="7"/>
  <c r="O474" i="7"/>
  <c r="N474" i="7"/>
  <c r="M474" i="7"/>
  <c r="K474" i="7"/>
  <c r="E740" i="1" s="1"/>
  <c r="J474" i="7"/>
  <c r="L474" i="7" s="1"/>
  <c r="F740" i="1" s="1"/>
  <c r="P473" i="7"/>
  <c r="O473" i="7"/>
  <c r="N473" i="7"/>
  <c r="M473" i="7"/>
  <c r="L473" i="7"/>
  <c r="K473" i="7"/>
  <c r="E739" i="1" s="1"/>
  <c r="J473" i="7"/>
  <c r="C739" i="1" s="1"/>
  <c r="P472" i="7"/>
  <c r="O472" i="7"/>
  <c r="N472" i="7"/>
  <c r="M472" i="7"/>
  <c r="L472" i="7"/>
  <c r="F738" i="1" s="1"/>
  <c r="K472" i="7"/>
  <c r="J472" i="7"/>
  <c r="C738" i="1" s="1"/>
  <c r="P471" i="7"/>
  <c r="O471" i="7"/>
  <c r="N471" i="7"/>
  <c r="M471" i="7"/>
  <c r="K471" i="7"/>
  <c r="E737" i="1" s="1"/>
  <c r="J471" i="7"/>
  <c r="P470" i="7"/>
  <c r="O470" i="7"/>
  <c r="N470" i="7"/>
  <c r="M470" i="7"/>
  <c r="K470" i="7"/>
  <c r="E736" i="1" s="1"/>
  <c r="J470" i="7"/>
  <c r="L470" i="7" s="1"/>
  <c r="F736" i="1" s="1"/>
  <c r="P469" i="7"/>
  <c r="O469" i="7"/>
  <c r="N469" i="7"/>
  <c r="M469" i="7"/>
  <c r="K469" i="7"/>
  <c r="E735" i="1" s="1"/>
  <c r="J469" i="7"/>
  <c r="C735" i="1" s="1"/>
  <c r="P468" i="7"/>
  <c r="O468" i="7"/>
  <c r="N468" i="7"/>
  <c r="M468" i="7"/>
  <c r="K468" i="7"/>
  <c r="J468" i="7"/>
  <c r="E67" i="2"/>
  <c r="C67" i="2"/>
  <c r="L733" i="1"/>
  <c r="E733" i="1"/>
  <c r="D733" i="1"/>
  <c r="B733" i="1"/>
  <c r="A733" i="1"/>
  <c r="L732" i="1"/>
  <c r="D732" i="1"/>
  <c r="B732" i="1"/>
  <c r="A732" i="1"/>
  <c r="L731" i="1"/>
  <c r="D731" i="1"/>
  <c r="C731" i="1"/>
  <c r="B731" i="1"/>
  <c r="A731" i="1"/>
  <c r="L730" i="1"/>
  <c r="E730" i="1"/>
  <c r="D730" i="1"/>
  <c r="B730" i="1"/>
  <c r="A730" i="1"/>
  <c r="L729" i="1"/>
  <c r="E729" i="1"/>
  <c r="D729" i="1"/>
  <c r="B729" i="1"/>
  <c r="A729" i="1"/>
  <c r="L728" i="1"/>
  <c r="D728" i="1"/>
  <c r="B728" i="1"/>
  <c r="A728" i="1"/>
  <c r="L727" i="1"/>
  <c r="D727" i="1"/>
  <c r="B727" i="1"/>
  <c r="A727" i="1"/>
  <c r="L726" i="1"/>
  <c r="E726" i="1"/>
  <c r="D726" i="1"/>
  <c r="B726" i="1"/>
  <c r="A726" i="1"/>
  <c r="L725" i="1"/>
  <c r="D725" i="1"/>
  <c r="C725" i="1"/>
  <c r="B725" i="1"/>
  <c r="A725" i="1"/>
  <c r="L724" i="1"/>
  <c r="D724" i="1"/>
  <c r="B724" i="1"/>
  <c r="A724" i="1"/>
  <c r="L723" i="1"/>
  <c r="D723" i="1"/>
  <c r="C723" i="1"/>
  <c r="B723" i="1"/>
  <c r="A723" i="1"/>
  <c r="L722" i="1"/>
  <c r="D722" i="1"/>
  <c r="B722" i="1"/>
  <c r="A722" i="1"/>
  <c r="L721" i="1"/>
  <c r="E721" i="1"/>
  <c r="D721" i="1"/>
  <c r="B721" i="1"/>
  <c r="A721" i="1"/>
  <c r="L720" i="1"/>
  <c r="D720" i="1"/>
  <c r="B720" i="1"/>
  <c r="A720" i="1"/>
  <c r="L719" i="1"/>
  <c r="E719" i="1"/>
  <c r="D719" i="1"/>
  <c r="C719" i="1"/>
  <c r="B719" i="1"/>
  <c r="A719" i="1"/>
  <c r="L718" i="1"/>
  <c r="D718" i="1"/>
  <c r="B718" i="1"/>
  <c r="A718" i="1"/>
  <c r="L717" i="1"/>
  <c r="D717" i="1"/>
  <c r="B717" i="1"/>
  <c r="A717" i="1"/>
  <c r="L716" i="1"/>
  <c r="D716" i="1"/>
  <c r="B716" i="1"/>
  <c r="A716" i="1"/>
  <c r="L715" i="1"/>
  <c r="D715" i="1"/>
  <c r="C715" i="1"/>
  <c r="B715" i="1"/>
  <c r="A715" i="1"/>
  <c r="L714" i="1"/>
  <c r="D714" i="1"/>
  <c r="B714" i="1"/>
  <c r="A714" i="1"/>
  <c r="L713" i="1"/>
  <c r="E713" i="1"/>
  <c r="D713" i="1"/>
  <c r="B713" i="1"/>
  <c r="A713" i="1"/>
  <c r="L712" i="1"/>
  <c r="D712" i="1"/>
  <c r="B712" i="1"/>
  <c r="A712" i="1"/>
  <c r="L711" i="1"/>
  <c r="D711" i="1"/>
  <c r="B711" i="1"/>
  <c r="A711" i="1"/>
  <c r="L710" i="1"/>
  <c r="D710" i="1"/>
  <c r="B710" i="1"/>
  <c r="A710" i="1"/>
  <c r="L709" i="1"/>
  <c r="D709" i="1"/>
  <c r="B709" i="1"/>
  <c r="A709" i="1"/>
  <c r="L708" i="1"/>
  <c r="D708" i="1"/>
  <c r="B708" i="1"/>
  <c r="A708" i="1"/>
  <c r="L707" i="1"/>
  <c r="D707" i="1"/>
  <c r="C707" i="1"/>
  <c r="B707" i="1"/>
  <c r="A707" i="1"/>
  <c r="L706" i="1"/>
  <c r="D706" i="1"/>
  <c r="B706" i="1"/>
  <c r="A706" i="1"/>
  <c r="L705" i="1"/>
  <c r="D705" i="1"/>
  <c r="B705" i="1"/>
  <c r="A705" i="1"/>
  <c r="L704" i="1"/>
  <c r="D704" i="1"/>
  <c r="B704" i="1"/>
  <c r="A704" i="1"/>
  <c r="L703" i="1"/>
  <c r="D703" i="1"/>
  <c r="B703" i="1"/>
  <c r="A703" i="1"/>
  <c r="L702" i="1"/>
  <c r="D702" i="1"/>
  <c r="B702" i="1"/>
  <c r="A702" i="1"/>
  <c r="L701" i="1"/>
  <c r="D701" i="1"/>
  <c r="B701" i="1"/>
  <c r="A701" i="1"/>
  <c r="L700" i="1"/>
  <c r="D700" i="1"/>
  <c r="B700" i="1"/>
  <c r="A700" i="1"/>
  <c r="L699" i="1"/>
  <c r="D699" i="1"/>
  <c r="B699" i="1"/>
  <c r="A699" i="1"/>
  <c r="L698" i="1"/>
  <c r="D698" i="1"/>
  <c r="B698" i="1"/>
  <c r="A698" i="1"/>
  <c r="L697" i="1"/>
  <c r="D697" i="1"/>
  <c r="B697" i="1"/>
  <c r="A697" i="1"/>
  <c r="L696" i="1"/>
  <c r="D696" i="1"/>
  <c r="B696" i="1"/>
  <c r="A696" i="1"/>
  <c r="L695" i="1"/>
  <c r="D695" i="1"/>
  <c r="B695" i="1"/>
  <c r="A695" i="1"/>
  <c r="L694" i="1"/>
  <c r="D694" i="1"/>
  <c r="B694" i="1"/>
  <c r="A694" i="1"/>
  <c r="L693" i="1"/>
  <c r="D693" i="1"/>
  <c r="B693" i="1"/>
  <c r="A693" i="1"/>
  <c r="L692" i="1"/>
  <c r="D692" i="1"/>
  <c r="B692" i="1"/>
  <c r="A692" i="1"/>
  <c r="L691" i="1"/>
  <c r="D691" i="1"/>
  <c r="B691" i="1"/>
  <c r="A691" i="1"/>
  <c r="L690" i="1"/>
  <c r="D690" i="1"/>
  <c r="B690" i="1"/>
  <c r="A690" i="1"/>
  <c r="L689" i="1"/>
  <c r="D689" i="1"/>
  <c r="B689" i="1"/>
  <c r="A689" i="1"/>
  <c r="L688" i="1"/>
  <c r="D688" i="1"/>
  <c r="B688" i="1"/>
  <c r="A688" i="1"/>
  <c r="L687" i="1"/>
  <c r="D687" i="1"/>
  <c r="B687" i="1"/>
  <c r="A687" i="1"/>
  <c r="L686" i="1"/>
  <c r="D686" i="1"/>
  <c r="B686" i="1"/>
  <c r="A686" i="1"/>
  <c r="D685" i="1"/>
  <c r="B685" i="1"/>
  <c r="L685" i="1"/>
  <c r="A685" i="1"/>
  <c r="P467" i="7"/>
  <c r="O467" i="7"/>
  <c r="N467" i="7"/>
  <c r="M467" i="7"/>
  <c r="K467" i="7"/>
  <c r="J467" i="7"/>
  <c r="L467" i="7" s="1"/>
  <c r="F733" i="1" s="1"/>
  <c r="P466" i="7"/>
  <c r="O466" i="7"/>
  <c r="N466" i="7"/>
  <c r="M466" i="7"/>
  <c r="K466" i="7"/>
  <c r="E732" i="1" s="1"/>
  <c r="J466" i="7"/>
  <c r="P465" i="7"/>
  <c r="O465" i="7"/>
  <c r="N465" i="7"/>
  <c r="M465" i="7"/>
  <c r="K465" i="7"/>
  <c r="E731" i="1" s="1"/>
  <c r="J465" i="7"/>
  <c r="L465" i="7" s="1"/>
  <c r="F731" i="1" s="1"/>
  <c r="P464" i="7"/>
  <c r="O464" i="7"/>
  <c r="N464" i="7"/>
  <c r="M464" i="7"/>
  <c r="K464" i="7"/>
  <c r="J464" i="7"/>
  <c r="P463" i="7"/>
  <c r="O463" i="7"/>
  <c r="N463" i="7"/>
  <c r="M463" i="7"/>
  <c r="K463" i="7"/>
  <c r="J463" i="7"/>
  <c r="P462" i="7"/>
  <c r="O462" i="7"/>
  <c r="N462" i="7"/>
  <c r="M462" i="7"/>
  <c r="K462" i="7"/>
  <c r="E728" i="1" s="1"/>
  <c r="J462" i="7"/>
  <c r="P461" i="7"/>
  <c r="O461" i="7"/>
  <c r="N461" i="7"/>
  <c r="M461" i="7"/>
  <c r="K461" i="7"/>
  <c r="E727" i="1" s="1"/>
  <c r="J461" i="7"/>
  <c r="L461" i="7" s="1"/>
  <c r="F727" i="1" s="1"/>
  <c r="P460" i="7"/>
  <c r="O460" i="7"/>
  <c r="N460" i="7"/>
  <c r="M460" i="7"/>
  <c r="K460" i="7"/>
  <c r="J460" i="7"/>
  <c r="C726" i="1" s="1"/>
  <c r="P459" i="7"/>
  <c r="O459" i="7"/>
  <c r="N459" i="7"/>
  <c r="M459" i="7"/>
  <c r="L459" i="7"/>
  <c r="F725" i="1" s="1"/>
  <c r="K459" i="7"/>
  <c r="E725" i="1" s="1"/>
  <c r="J459" i="7"/>
  <c r="P458" i="7"/>
  <c r="O458" i="7"/>
  <c r="N458" i="7"/>
  <c r="M458" i="7"/>
  <c r="K458" i="7"/>
  <c r="E724" i="1" s="1"/>
  <c r="J458" i="7"/>
  <c r="L458" i="7" s="1"/>
  <c r="F724" i="1" s="1"/>
  <c r="P457" i="7"/>
  <c r="O457" i="7"/>
  <c r="N457" i="7"/>
  <c r="M457" i="7"/>
  <c r="K457" i="7"/>
  <c r="E723" i="1" s="1"/>
  <c r="J457" i="7"/>
  <c r="L457" i="7" s="1"/>
  <c r="F723" i="1" s="1"/>
  <c r="P456" i="7"/>
  <c r="O456" i="7"/>
  <c r="N456" i="7"/>
  <c r="M456" i="7"/>
  <c r="K456" i="7"/>
  <c r="E722" i="1" s="1"/>
  <c r="J456" i="7"/>
  <c r="C722" i="1" s="1"/>
  <c r="P455" i="7"/>
  <c r="O455" i="7"/>
  <c r="N455" i="7"/>
  <c r="M455" i="7"/>
  <c r="K455" i="7"/>
  <c r="J455" i="7"/>
  <c r="P454" i="7"/>
  <c r="O454" i="7"/>
  <c r="N454" i="7"/>
  <c r="M454" i="7"/>
  <c r="K454" i="7"/>
  <c r="E720" i="1" s="1"/>
  <c r="J454" i="7"/>
  <c r="P453" i="7"/>
  <c r="O453" i="7"/>
  <c r="N453" i="7"/>
  <c r="M453" i="7"/>
  <c r="K453" i="7"/>
  <c r="J453" i="7"/>
  <c r="L453" i="7" s="1"/>
  <c r="F719" i="1" s="1"/>
  <c r="P452" i="7"/>
  <c r="O452" i="7"/>
  <c r="N452" i="7"/>
  <c r="M452" i="7"/>
  <c r="K452" i="7"/>
  <c r="E718" i="1" s="1"/>
  <c r="J452" i="7"/>
  <c r="C718" i="1" s="1"/>
  <c r="P451" i="7"/>
  <c r="O451" i="7"/>
  <c r="N451" i="7"/>
  <c r="M451" i="7"/>
  <c r="K451" i="7"/>
  <c r="E717" i="1" s="1"/>
  <c r="J451" i="7"/>
  <c r="P450" i="7"/>
  <c r="O450" i="7"/>
  <c r="N450" i="7"/>
  <c r="M450" i="7"/>
  <c r="K450" i="7"/>
  <c r="E716" i="1" s="1"/>
  <c r="J450" i="7"/>
  <c r="L450" i="7" s="1"/>
  <c r="F716" i="1" s="1"/>
  <c r="P449" i="7"/>
  <c r="O449" i="7"/>
  <c r="N449" i="7"/>
  <c r="M449" i="7"/>
  <c r="K449" i="7"/>
  <c r="E715" i="1" s="1"/>
  <c r="J449" i="7"/>
  <c r="L449" i="7" s="1"/>
  <c r="F715" i="1" s="1"/>
  <c r="P448" i="7"/>
  <c r="O448" i="7"/>
  <c r="N448" i="7"/>
  <c r="M448" i="7"/>
  <c r="K448" i="7"/>
  <c r="E714" i="1" s="1"/>
  <c r="J448" i="7"/>
  <c r="C714" i="1" s="1"/>
  <c r="P447" i="7"/>
  <c r="O447" i="7"/>
  <c r="N447" i="7"/>
  <c r="M447" i="7"/>
  <c r="K447" i="7"/>
  <c r="J447" i="7"/>
  <c r="P446" i="7"/>
  <c r="O446" i="7"/>
  <c r="N446" i="7"/>
  <c r="M446" i="7"/>
  <c r="K446" i="7"/>
  <c r="E712" i="1" s="1"/>
  <c r="J446" i="7"/>
  <c r="P445" i="7"/>
  <c r="O445" i="7"/>
  <c r="N445" i="7"/>
  <c r="M445" i="7"/>
  <c r="K445" i="7"/>
  <c r="E711" i="1" s="1"/>
  <c r="J445" i="7"/>
  <c r="L445" i="7" s="1"/>
  <c r="F711" i="1" s="1"/>
  <c r="P444" i="7"/>
  <c r="O444" i="7"/>
  <c r="N444" i="7"/>
  <c r="M444" i="7"/>
  <c r="K444" i="7"/>
  <c r="E710" i="1" s="1"/>
  <c r="J444" i="7"/>
  <c r="C710" i="1" s="1"/>
  <c r="P443" i="7"/>
  <c r="O443" i="7"/>
  <c r="N443" i="7"/>
  <c r="M443" i="7"/>
  <c r="L443" i="7"/>
  <c r="F709" i="1" s="1"/>
  <c r="K443" i="7"/>
  <c r="E709" i="1" s="1"/>
  <c r="J443" i="7"/>
  <c r="C709" i="1" s="1"/>
  <c r="P442" i="7"/>
  <c r="O442" i="7"/>
  <c r="N442" i="7"/>
  <c r="M442" i="7"/>
  <c r="K442" i="7"/>
  <c r="E708" i="1" s="1"/>
  <c r="J442" i="7"/>
  <c r="P441" i="7"/>
  <c r="O441" i="7"/>
  <c r="N441" i="7"/>
  <c r="M441" i="7"/>
  <c r="K441" i="7"/>
  <c r="E707" i="1" s="1"/>
  <c r="J441" i="7"/>
  <c r="L441" i="7" s="1"/>
  <c r="F707" i="1" s="1"/>
  <c r="P440" i="7"/>
  <c r="O440" i="7"/>
  <c r="N440" i="7"/>
  <c r="M440" i="7"/>
  <c r="L440" i="7"/>
  <c r="F706" i="1" s="1"/>
  <c r="K440" i="7"/>
  <c r="E706" i="1" s="1"/>
  <c r="J440" i="7"/>
  <c r="C706" i="1" s="1"/>
  <c r="P439" i="7"/>
  <c r="O439" i="7"/>
  <c r="N439" i="7"/>
  <c r="M439" i="7"/>
  <c r="K439" i="7"/>
  <c r="E705" i="1" s="1"/>
  <c r="J439" i="7"/>
  <c r="L439" i="7" s="1"/>
  <c r="F705" i="1" s="1"/>
  <c r="P438" i="7"/>
  <c r="O438" i="7"/>
  <c r="N438" i="7"/>
  <c r="M438" i="7"/>
  <c r="K438" i="7"/>
  <c r="E704" i="1" s="1"/>
  <c r="J438" i="7"/>
  <c r="L438" i="7" s="1"/>
  <c r="F704" i="1" s="1"/>
  <c r="P437" i="7"/>
  <c r="O437" i="7"/>
  <c r="N437" i="7"/>
  <c r="M437" i="7"/>
  <c r="K437" i="7"/>
  <c r="E703" i="1" s="1"/>
  <c r="J437" i="7"/>
  <c r="L437" i="7" s="1"/>
  <c r="F703" i="1" s="1"/>
  <c r="P436" i="7"/>
  <c r="O436" i="7"/>
  <c r="N436" i="7"/>
  <c r="M436" i="7"/>
  <c r="K436" i="7"/>
  <c r="E702" i="1" s="1"/>
  <c r="J436" i="7"/>
  <c r="C702" i="1" s="1"/>
  <c r="P435" i="7"/>
  <c r="O435" i="7"/>
  <c r="N435" i="7"/>
  <c r="M435" i="7"/>
  <c r="K435" i="7"/>
  <c r="E701" i="1" s="1"/>
  <c r="J435" i="7"/>
  <c r="L435" i="7" s="1"/>
  <c r="F701" i="1" s="1"/>
  <c r="P434" i="7"/>
  <c r="O434" i="7"/>
  <c r="N434" i="7"/>
  <c r="M434" i="7"/>
  <c r="K434" i="7"/>
  <c r="E700" i="1" s="1"/>
  <c r="J434" i="7"/>
  <c r="L434" i="7" s="1"/>
  <c r="F700" i="1" s="1"/>
  <c r="P433" i="7"/>
  <c r="O433" i="7"/>
  <c r="N433" i="7"/>
  <c r="M433" i="7"/>
  <c r="K433" i="7"/>
  <c r="E699" i="1" s="1"/>
  <c r="J433" i="7"/>
  <c r="P432" i="7"/>
  <c r="O432" i="7"/>
  <c r="N432" i="7"/>
  <c r="M432" i="7"/>
  <c r="K432" i="7"/>
  <c r="E698" i="1" s="1"/>
  <c r="J432" i="7"/>
  <c r="C698" i="1" s="1"/>
  <c r="P431" i="7"/>
  <c r="O431" i="7"/>
  <c r="N431" i="7"/>
  <c r="M431" i="7"/>
  <c r="K431" i="7"/>
  <c r="E697" i="1" s="1"/>
  <c r="J431" i="7"/>
  <c r="L431" i="7" s="1"/>
  <c r="F697" i="1" s="1"/>
  <c r="P430" i="7"/>
  <c r="O430" i="7"/>
  <c r="N430" i="7"/>
  <c r="M430" i="7"/>
  <c r="K430" i="7"/>
  <c r="E696" i="1" s="1"/>
  <c r="J430" i="7"/>
  <c r="L430" i="7" s="1"/>
  <c r="F696" i="1" s="1"/>
  <c r="P429" i="7"/>
  <c r="O429" i="7"/>
  <c r="N429" i="7"/>
  <c r="M429" i="7"/>
  <c r="K429" i="7"/>
  <c r="E695" i="1" s="1"/>
  <c r="J429" i="7"/>
  <c r="L429" i="7" s="1"/>
  <c r="F695" i="1" s="1"/>
  <c r="P428" i="7"/>
  <c r="O428" i="7"/>
  <c r="N428" i="7"/>
  <c r="M428" i="7"/>
  <c r="K428" i="7"/>
  <c r="E694" i="1" s="1"/>
  <c r="J428" i="7"/>
  <c r="C694" i="1" s="1"/>
  <c r="P427" i="7"/>
  <c r="O427" i="7"/>
  <c r="N427" i="7"/>
  <c r="M427" i="7"/>
  <c r="K427" i="7"/>
  <c r="E693" i="1" s="1"/>
  <c r="J427" i="7"/>
  <c r="L427" i="7" s="1"/>
  <c r="F693" i="1" s="1"/>
  <c r="P426" i="7"/>
  <c r="O426" i="7"/>
  <c r="N426" i="7"/>
  <c r="M426" i="7"/>
  <c r="K426" i="7"/>
  <c r="E692" i="1" s="1"/>
  <c r="J426" i="7"/>
  <c r="L426" i="7" s="1"/>
  <c r="F692" i="1" s="1"/>
  <c r="P425" i="7"/>
  <c r="O425" i="7"/>
  <c r="N425" i="7"/>
  <c r="M425" i="7"/>
  <c r="L425" i="7"/>
  <c r="F691" i="1" s="1"/>
  <c r="K425" i="7"/>
  <c r="E691" i="1" s="1"/>
  <c r="J425" i="7"/>
  <c r="C691" i="1" s="1"/>
  <c r="P424" i="7"/>
  <c r="O424" i="7"/>
  <c r="N424" i="7"/>
  <c r="M424" i="7"/>
  <c r="L424" i="7"/>
  <c r="F690" i="1" s="1"/>
  <c r="K424" i="7"/>
  <c r="E690" i="1" s="1"/>
  <c r="J424" i="7"/>
  <c r="C690" i="1" s="1"/>
  <c r="P423" i="7"/>
  <c r="O423" i="7"/>
  <c r="N423" i="7"/>
  <c r="M423" i="7"/>
  <c r="K423" i="7"/>
  <c r="E689" i="1" s="1"/>
  <c r="J423" i="7"/>
  <c r="L423" i="7" s="1"/>
  <c r="F689" i="1" s="1"/>
  <c r="P422" i="7"/>
  <c r="O422" i="7"/>
  <c r="N422" i="7"/>
  <c r="M422" i="7"/>
  <c r="K422" i="7"/>
  <c r="E688" i="1" s="1"/>
  <c r="J422" i="7"/>
  <c r="L422" i="7" s="1"/>
  <c r="F688" i="1" s="1"/>
  <c r="P421" i="7"/>
  <c r="O421" i="7"/>
  <c r="N421" i="7"/>
  <c r="M421" i="7"/>
  <c r="K421" i="7"/>
  <c r="E687" i="1" s="1"/>
  <c r="J421" i="7"/>
  <c r="L421" i="7" s="1"/>
  <c r="F687" i="1" s="1"/>
  <c r="P420" i="7"/>
  <c r="O420" i="7"/>
  <c r="N420" i="7"/>
  <c r="M420" i="7"/>
  <c r="K420" i="7"/>
  <c r="E686" i="1" s="1"/>
  <c r="J420" i="7"/>
  <c r="C686" i="1" s="1"/>
  <c r="P419" i="7"/>
  <c r="O419" i="7"/>
  <c r="N419" i="7"/>
  <c r="M419" i="7"/>
  <c r="K419" i="7"/>
  <c r="E685" i="1" s="1"/>
  <c r="J419" i="7"/>
  <c r="L419" i="7" s="1"/>
  <c r="F685" i="1" s="1"/>
  <c r="E66" i="2"/>
  <c r="C66" i="2"/>
  <c r="C699" i="1" l="1"/>
  <c r="L433" i="7"/>
  <c r="F699" i="1" s="1"/>
  <c r="L454" i="7"/>
  <c r="F720" i="1" s="1"/>
  <c r="C720" i="1"/>
  <c r="L447" i="7"/>
  <c r="F713" i="1" s="1"/>
  <c r="C713" i="1"/>
  <c r="L448" i="7"/>
  <c r="F714" i="1" s="1"/>
  <c r="C727" i="1"/>
  <c r="L471" i="7"/>
  <c r="F737" i="1" s="1"/>
  <c r="C737" i="1"/>
  <c r="C742" i="1"/>
  <c r="L476" i="7"/>
  <c r="F742" i="1" s="1"/>
  <c r="L487" i="7"/>
  <c r="F753" i="1" s="1"/>
  <c r="C753" i="1"/>
  <c r="C758" i="1"/>
  <c r="L492" i="7"/>
  <c r="F758" i="1" s="1"/>
  <c r="L503" i="7"/>
  <c r="F769" i="1" s="1"/>
  <c r="C769" i="1"/>
  <c r="C774" i="1"/>
  <c r="L508" i="7"/>
  <c r="F774" i="1" s="1"/>
  <c r="L519" i="7"/>
  <c r="F785" i="1" s="1"/>
  <c r="C785" i="1"/>
  <c r="C790" i="1"/>
  <c r="L524" i="7"/>
  <c r="F790" i="1" s="1"/>
  <c r="L535" i="7"/>
  <c r="F801" i="1" s="1"/>
  <c r="C801" i="1"/>
  <c r="L463" i="7"/>
  <c r="F729" i="1" s="1"/>
  <c r="C729" i="1"/>
  <c r="L432" i="7"/>
  <c r="F698" i="1" s="1"/>
  <c r="L442" i="7"/>
  <c r="F708" i="1" s="1"/>
  <c r="C708" i="1"/>
  <c r="C717" i="1"/>
  <c r="L451" i="7"/>
  <c r="F717" i="1" s="1"/>
  <c r="L455" i="7"/>
  <c r="F721" i="1" s="1"/>
  <c r="C721" i="1"/>
  <c r="L456" i="7"/>
  <c r="F722" i="1" s="1"/>
  <c r="L462" i="7"/>
  <c r="F728" i="1" s="1"/>
  <c r="C728" i="1"/>
  <c r="L464" i="7"/>
  <c r="F730" i="1" s="1"/>
  <c r="C730" i="1"/>
  <c r="L466" i="7"/>
  <c r="F732" i="1" s="1"/>
  <c r="C732" i="1"/>
  <c r="C711" i="1"/>
  <c r="C748" i="1"/>
  <c r="C764" i="1"/>
  <c r="C780" i="1"/>
  <c r="C796" i="1"/>
  <c r="L446" i="7"/>
  <c r="F712" i="1" s="1"/>
  <c r="C712" i="1"/>
  <c r="C734" i="1"/>
  <c r="L468" i="7"/>
  <c r="F734" i="1" s="1"/>
  <c r="L479" i="7"/>
  <c r="F745" i="1" s="1"/>
  <c r="C745" i="1"/>
  <c r="C750" i="1"/>
  <c r="L484" i="7"/>
  <c r="F750" i="1" s="1"/>
  <c r="L495" i="7"/>
  <c r="F761" i="1" s="1"/>
  <c r="C761" i="1"/>
  <c r="C766" i="1"/>
  <c r="L500" i="7"/>
  <c r="F766" i="1" s="1"/>
  <c r="L511" i="7"/>
  <c r="F777" i="1" s="1"/>
  <c r="C777" i="1"/>
  <c r="C782" i="1"/>
  <c r="L516" i="7"/>
  <c r="F782" i="1" s="1"/>
  <c r="L527" i="7"/>
  <c r="F793" i="1" s="1"/>
  <c r="C793" i="1"/>
  <c r="C798" i="1"/>
  <c r="L532" i="7"/>
  <c r="F798" i="1" s="1"/>
  <c r="L469" i="7"/>
  <c r="F735" i="1" s="1"/>
  <c r="L477" i="7"/>
  <c r="F743" i="1" s="1"/>
  <c r="L485" i="7"/>
  <c r="F751" i="1" s="1"/>
  <c r="L493" i="7"/>
  <c r="F759" i="1" s="1"/>
  <c r="L501" i="7"/>
  <c r="F767" i="1" s="1"/>
  <c r="L509" i="7"/>
  <c r="F775" i="1" s="1"/>
  <c r="L517" i="7"/>
  <c r="F783" i="1" s="1"/>
  <c r="L525" i="7"/>
  <c r="F791" i="1" s="1"/>
  <c r="L533" i="7"/>
  <c r="F799" i="1" s="1"/>
  <c r="C733" i="1"/>
  <c r="C716" i="1"/>
  <c r="C724" i="1"/>
  <c r="C741" i="1"/>
  <c r="C749" i="1"/>
  <c r="C757" i="1"/>
  <c r="C765" i="1"/>
  <c r="C773" i="1"/>
  <c r="C781" i="1"/>
  <c r="C789" i="1"/>
  <c r="C797" i="1"/>
  <c r="C687" i="1"/>
  <c r="C695" i="1"/>
  <c r="L420" i="7"/>
  <c r="F686" i="1" s="1"/>
  <c r="L428" i="7"/>
  <c r="F694" i="1" s="1"/>
  <c r="L436" i="7"/>
  <c r="F702" i="1" s="1"/>
  <c r="L444" i="7"/>
  <c r="F710" i="1" s="1"/>
  <c r="L452" i="7"/>
  <c r="F718" i="1" s="1"/>
  <c r="L460" i="7"/>
  <c r="F726" i="1" s="1"/>
  <c r="C685" i="1"/>
  <c r="C688" i="1"/>
  <c r="C692" i="1"/>
  <c r="C696" i="1"/>
  <c r="C700" i="1"/>
  <c r="C704" i="1"/>
  <c r="C703" i="1"/>
  <c r="C689" i="1"/>
  <c r="C693" i="1"/>
  <c r="C697" i="1"/>
  <c r="C701" i="1"/>
  <c r="C705" i="1"/>
  <c r="L684" i="1"/>
  <c r="D684" i="1"/>
  <c r="B684" i="1"/>
  <c r="A684" i="1"/>
  <c r="L683" i="1"/>
  <c r="D683" i="1"/>
  <c r="B683" i="1"/>
  <c r="A683" i="1"/>
  <c r="L682" i="1"/>
  <c r="D682" i="1"/>
  <c r="B682" i="1"/>
  <c r="A682" i="1"/>
  <c r="L681" i="1"/>
  <c r="D681" i="1"/>
  <c r="B681" i="1"/>
  <c r="A681" i="1"/>
  <c r="L680" i="1"/>
  <c r="D680" i="1"/>
  <c r="B680" i="1"/>
  <c r="A680" i="1"/>
  <c r="L679" i="1"/>
  <c r="D679" i="1"/>
  <c r="B679" i="1"/>
  <c r="A679" i="1"/>
  <c r="L678" i="1"/>
  <c r="D678" i="1"/>
  <c r="B678" i="1"/>
  <c r="A678" i="1"/>
  <c r="L677" i="1"/>
  <c r="F677" i="1"/>
  <c r="D677" i="1"/>
  <c r="B677" i="1"/>
  <c r="A677" i="1"/>
  <c r="L676" i="1"/>
  <c r="D676" i="1"/>
  <c r="B676" i="1"/>
  <c r="A676" i="1"/>
  <c r="L675" i="1"/>
  <c r="D675" i="1"/>
  <c r="B675" i="1"/>
  <c r="A675" i="1"/>
  <c r="L674" i="1"/>
  <c r="D674" i="1"/>
  <c r="B674" i="1"/>
  <c r="A674" i="1"/>
  <c r="L673" i="1"/>
  <c r="D673" i="1"/>
  <c r="B673" i="1"/>
  <c r="A673" i="1"/>
  <c r="L672" i="1"/>
  <c r="D672" i="1"/>
  <c r="B672" i="1"/>
  <c r="A672" i="1"/>
  <c r="L671" i="1"/>
  <c r="D671" i="1"/>
  <c r="B671" i="1"/>
  <c r="A671" i="1"/>
  <c r="L670" i="1"/>
  <c r="D670" i="1"/>
  <c r="B670" i="1"/>
  <c r="A670" i="1"/>
  <c r="L669" i="1"/>
  <c r="D669" i="1"/>
  <c r="B669" i="1"/>
  <c r="A669" i="1"/>
  <c r="L668" i="1"/>
  <c r="D668" i="1"/>
  <c r="B668" i="1"/>
  <c r="A668" i="1"/>
  <c r="L667" i="1"/>
  <c r="D667" i="1"/>
  <c r="B667" i="1"/>
  <c r="A667" i="1"/>
  <c r="L666" i="1"/>
  <c r="D666" i="1"/>
  <c r="B666" i="1"/>
  <c r="A666" i="1"/>
  <c r="L665" i="1"/>
  <c r="D665" i="1"/>
  <c r="B665" i="1"/>
  <c r="A665" i="1"/>
  <c r="L664" i="1"/>
  <c r="D664" i="1"/>
  <c r="B664" i="1"/>
  <c r="A664" i="1"/>
  <c r="L663" i="1"/>
  <c r="D663" i="1"/>
  <c r="B663" i="1"/>
  <c r="A663" i="1"/>
  <c r="L662" i="1"/>
  <c r="D662" i="1"/>
  <c r="B662" i="1"/>
  <c r="A662" i="1"/>
  <c r="L661" i="1"/>
  <c r="D661" i="1"/>
  <c r="B661" i="1"/>
  <c r="A661" i="1"/>
  <c r="L660" i="1"/>
  <c r="D660" i="1"/>
  <c r="B660" i="1"/>
  <c r="A660" i="1"/>
  <c r="L659" i="1"/>
  <c r="D659" i="1"/>
  <c r="B659" i="1"/>
  <c r="A659" i="1"/>
  <c r="L658" i="1"/>
  <c r="D658" i="1"/>
  <c r="B658" i="1"/>
  <c r="A658" i="1"/>
  <c r="L657" i="1"/>
  <c r="D657" i="1"/>
  <c r="B657" i="1"/>
  <c r="A657" i="1"/>
  <c r="L656" i="1"/>
  <c r="D656" i="1"/>
  <c r="B656" i="1"/>
  <c r="A656" i="1"/>
  <c r="L655" i="1"/>
  <c r="D655" i="1"/>
  <c r="B655" i="1"/>
  <c r="A655" i="1"/>
  <c r="L654" i="1"/>
  <c r="D654" i="1"/>
  <c r="B654" i="1"/>
  <c r="A654" i="1"/>
  <c r="L653" i="1"/>
  <c r="D653" i="1"/>
  <c r="B653" i="1"/>
  <c r="A653" i="1"/>
  <c r="L652" i="1"/>
  <c r="D652" i="1"/>
  <c r="B652" i="1"/>
  <c r="A652" i="1"/>
  <c r="L651" i="1"/>
  <c r="D651" i="1"/>
  <c r="B651" i="1"/>
  <c r="A651" i="1"/>
  <c r="L650" i="1"/>
  <c r="D650" i="1"/>
  <c r="B650" i="1"/>
  <c r="A650" i="1"/>
  <c r="L649" i="1"/>
  <c r="D649" i="1"/>
  <c r="B649" i="1"/>
  <c r="A649" i="1"/>
  <c r="L648" i="1"/>
  <c r="D648" i="1"/>
  <c r="B648" i="1"/>
  <c r="A648" i="1"/>
  <c r="L647" i="1"/>
  <c r="D647" i="1"/>
  <c r="B647" i="1"/>
  <c r="A647" i="1"/>
  <c r="L646" i="1"/>
  <c r="D646" i="1"/>
  <c r="A646" i="1"/>
  <c r="L645" i="1"/>
  <c r="D645" i="1"/>
  <c r="B645" i="1"/>
  <c r="A645" i="1"/>
  <c r="L644" i="1"/>
  <c r="D644" i="1"/>
  <c r="B644" i="1"/>
  <c r="A644" i="1"/>
  <c r="L643" i="1"/>
  <c r="D643" i="1"/>
  <c r="B643" i="1"/>
  <c r="A643" i="1"/>
  <c r="L642" i="1"/>
  <c r="D642" i="1"/>
  <c r="B642" i="1"/>
  <c r="A642" i="1"/>
  <c r="L641" i="1"/>
  <c r="D641" i="1"/>
  <c r="B641" i="1"/>
  <c r="A641" i="1"/>
  <c r="L640" i="1"/>
  <c r="D640" i="1"/>
  <c r="B640" i="1"/>
  <c r="A640" i="1"/>
  <c r="L639" i="1"/>
  <c r="D639" i="1"/>
  <c r="B639" i="1"/>
  <c r="A639" i="1"/>
  <c r="L638" i="1"/>
  <c r="D638" i="1"/>
  <c r="B638" i="1"/>
  <c r="A638" i="1"/>
  <c r="L637" i="1"/>
  <c r="D637" i="1"/>
  <c r="B637" i="1"/>
  <c r="A637" i="1"/>
  <c r="L636" i="1"/>
  <c r="D636" i="1"/>
  <c r="B636" i="1"/>
  <c r="A636" i="1"/>
  <c r="L635" i="1"/>
  <c r="D635" i="1"/>
  <c r="B635" i="1"/>
  <c r="A635" i="1"/>
  <c r="L634" i="1"/>
  <c r="D634" i="1"/>
  <c r="B634" i="1"/>
  <c r="A634" i="1"/>
  <c r="L633" i="1"/>
  <c r="D633" i="1"/>
  <c r="B633" i="1"/>
  <c r="A633" i="1"/>
  <c r="P418" i="7"/>
  <c r="O418" i="7"/>
  <c r="N418" i="7"/>
  <c r="M418" i="7"/>
  <c r="K418" i="7"/>
  <c r="E684" i="1" s="1"/>
  <c r="J418" i="7"/>
  <c r="L418" i="7" s="1"/>
  <c r="F684" i="1" s="1"/>
  <c r="P417" i="7"/>
  <c r="O417" i="7"/>
  <c r="N417" i="7"/>
  <c r="M417" i="7"/>
  <c r="K417" i="7"/>
  <c r="E683" i="1" s="1"/>
  <c r="J417" i="7"/>
  <c r="L417" i="7" s="1"/>
  <c r="F683" i="1" s="1"/>
  <c r="P416" i="7"/>
  <c r="O416" i="7"/>
  <c r="N416" i="7"/>
  <c r="M416" i="7"/>
  <c r="K416" i="7"/>
  <c r="E682" i="1" s="1"/>
  <c r="J416" i="7"/>
  <c r="L416" i="7" s="1"/>
  <c r="F682" i="1" s="1"/>
  <c r="P415" i="7"/>
  <c r="O415" i="7"/>
  <c r="N415" i="7"/>
  <c r="M415" i="7"/>
  <c r="K415" i="7"/>
  <c r="E681" i="1" s="1"/>
  <c r="J415" i="7"/>
  <c r="L415" i="7" s="1"/>
  <c r="F681" i="1" s="1"/>
  <c r="P414" i="7"/>
  <c r="O414" i="7"/>
  <c r="N414" i="7"/>
  <c r="M414" i="7"/>
  <c r="K414" i="7"/>
  <c r="E680" i="1" s="1"/>
  <c r="J414" i="7"/>
  <c r="L414" i="7" s="1"/>
  <c r="F680" i="1" s="1"/>
  <c r="P413" i="7"/>
  <c r="O413" i="7"/>
  <c r="N413" i="7"/>
  <c r="M413" i="7"/>
  <c r="K413" i="7"/>
  <c r="E679" i="1" s="1"/>
  <c r="J413" i="7"/>
  <c r="L413" i="7" s="1"/>
  <c r="F679" i="1" s="1"/>
  <c r="P412" i="7"/>
  <c r="O412" i="7"/>
  <c r="N412" i="7"/>
  <c r="M412" i="7"/>
  <c r="K412" i="7"/>
  <c r="E678" i="1" s="1"/>
  <c r="J412" i="7"/>
  <c r="L412" i="7" s="1"/>
  <c r="F678" i="1" s="1"/>
  <c r="P411" i="7"/>
  <c r="O411" i="7"/>
  <c r="N411" i="7"/>
  <c r="M411" i="7"/>
  <c r="K411" i="7"/>
  <c r="E677" i="1" s="1"/>
  <c r="J411" i="7"/>
  <c r="L411" i="7" s="1"/>
  <c r="P410" i="7"/>
  <c r="O410" i="7"/>
  <c r="N410" i="7"/>
  <c r="M410" i="7"/>
  <c r="K410" i="7"/>
  <c r="E676" i="1" s="1"/>
  <c r="J410" i="7"/>
  <c r="L410" i="7" s="1"/>
  <c r="F676" i="1" s="1"/>
  <c r="P409" i="7"/>
  <c r="O409" i="7"/>
  <c r="N409" i="7"/>
  <c r="M409" i="7"/>
  <c r="K409" i="7"/>
  <c r="E675" i="1" s="1"/>
  <c r="J409" i="7"/>
  <c r="L409" i="7" s="1"/>
  <c r="F675" i="1" s="1"/>
  <c r="P408" i="7"/>
  <c r="O408" i="7"/>
  <c r="N408" i="7"/>
  <c r="M408" i="7"/>
  <c r="L408" i="7"/>
  <c r="F674" i="1" s="1"/>
  <c r="K408" i="7"/>
  <c r="E674" i="1" s="1"/>
  <c r="J408" i="7"/>
  <c r="C674" i="1" s="1"/>
  <c r="P407" i="7"/>
  <c r="O407" i="7"/>
  <c r="N407" i="7"/>
  <c r="M407" i="7"/>
  <c r="K407" i="7"/>
  <c r="E673" i="1" s="1"/>
  <c r="J407" i="7"/>
  <c r="L407" i="7" s="1"/>
  <c r="F673" i="1" s="1"/>
  <c r="P406" i="7"/>
  <c r="O406" i="7"/>
  <c r="N406" i="7"/>
  <c r="M406" i="7"/>
  <c r="K406" i="7"/>
  <c r="E672" i="1" s="1"/>
  <c r="J406" i="7"/>
  <c r="L406" i="7" s="1"/>
  <c r="F672" i="1" s="1"/>
  <c r="P405" i="7"/>
  <c r="O405" i="7"/>
  <c r="N405" i="7"/>
  <c r="M405" i="7"/>
  <c r="K405" i="7"/>
  <c r="E671" i="1" s="1"/>
  <c r="J405" i="7"/>
  <c r="L405" i="7" s="1"/>
  <c r="F671" i="1" s="1"/>
  <c r="P404" i="7"/>
  <c r="O404" i="7"/>
  <c r="N404" i="7"/>
  <c r="M404" i="7"/>
  <c r="K404" i="7"/>
  <c r="E670" i="1" s="1"/>
  <c r="J404" i="7"/>
  <c r="L404" i="7" s="1"/>
  <c r="F670" i="1" s="1"/>
  <c r="P403" i="7"/>
  <c r="O403" i="7"/>
  <c r="N403" i="7"/>
  <c r="M403" i="7"/>
  <c r="K403" i="7"/>
  <c r="E669" i="1" s="1"/>
  <c r="J403" i="7"/>
  <c r="L403" i="7" s="1"/>
  <c r="F669" i="1" s="1"/>
  <c r="P402" i="7"/>
  <c r="O402" i="7"/>
  <c r="N402" i="7"/>
  <c r="M402" i="7"/>
  <c r="K402" i="7"/>
  <c r="E668" i="1" s="1"/>
  <c r="J402" i="7"/>
  <c r="L402" i="7" s="1"/>
  <c r="F668" i="1" s="1"/>
  <c r="P401" i="7"/>
  <c r="O401" i="7"/>
  <c r="N401" i="7"/>
  <c r="M401" i="7"/>
  <c r="K401" i="7"/>
  <c r="E667" i="1" s="1"/>
  <c r="J401" i="7"/>
  <c r="L401" i="7" s="1"/>
  <c r="F667" i="1" s="1"/>
  <c r="P400" i="7"/>
  <c r="O400" i="7"/>
  <c r="N400" i="7"/>
  <c r="M400" i="7"/>
  <c r="K400" i="7"/>
  <c r="E666" i="1" s="1"/>
  <c r="J400" i="7"/>
  <c r="C666" i="1" s="1"/>
  <c r="P399" i="7"/>
  <c r="O399" i="7"/>
  <c r="N399" i="7"/>
  <c r="M399" i="7"/>
  <c r="K399" i="7"/>
  <c r="E665" i="1" s="1"/>
  <c r="J399" i="7"/>
  <c r="L399" i="7" s="1"/>
  <c r="F665" i="1" s="1"/>
  <c r="P398" i="7"/>
  <c r="O398" i="7"/>
  <c r="N398" i="7"/>
  <c r="M398" i="7"/>
  <c r="K398" i="7"/>
  <c r="E664" i="1" s="1"/>
  <c r="J398" i="7"/>
  <c r="L398" i="7" s="1"/>
  <c r="F664" i="1" s="1"/>
  <c r="P397" i="7"/>
  <c r="O397" i="7"/>
  <c r="N397" i="7"/>
  <c r="M397" i="7"/>
  <c r="K397" i="7"/>
  <c r="E663" i="1" s="1"/>
  <c r="J397" i="7"/>
  <c r="L397" i="7" s="1"/>
  <c r="F663" i="1" s="1"/>
  <c r="P396" i="7"/>
  <c r="O396" i="7"/>
  <c r="N396" i="7"/>
  <c r="M396" i="7"/>
  <c r="K396" i="7"/>
  <c r="E662" i="1" s="1"/>
  <c r="J396" i="7"/>
  <c r="C662" i="1" s="1"/>
  <c r="P395" i="7"/>
  <c r="O395" i="7"/>
  <c r="N395" i="7"/>
  <c r="M395" i="7"/>
  <c r="K395" i="7"/>
  <c r="E661" i="1" s="1"/>
  <c r="J395" i="7"/>
  <c r="L395" i="7" s="1"/>
  <c r="F661" i="1" s="1"/>
  <c r="P394" i="7"/>
  <c r="O394" i="7"/>
  <c r="N394" i="7"/>
  <c r="M394" i="7"/>
  <c r="K394" i="7"/>
  <c r="E660" i="1" s="1"/>
  <c r="J394" i="7"/>
  <c r="L394" i="7" s="1"/>
  <c r="F660" i="1" s="1"/>
  <c r="P393" i="7"/>
  <c r="O393" i="7"/>
  <c r="N393" i="7"/>
  <c r="M393" i="7"/>
  <c r="K393" i="7"/>
  <c r="E659" i="1" s="1"/>
  <c r="J393" i="7"/>
  <c r="L393" i="7" s="1"/>
  <c r="F659" i="1" s="1"/>
  <c r="P392" i="7"/>
  <c r="O392" i="7"/>
  <c r="N392" i="7"/>
  <c r="M392" i="7"/>
  <c r="K392" i="7"/>
  <c r="E658" i="1" s="1"/>
  <c r="J392" i="7"/>
  <c r="C658" i="1" s="1"/>
  <c r="P391" i="7"/>
  <c r="O391" i="7"/>
  <c r="N391" i="7"/>
  <c r="M391" i="7"/>
  <c r="L391" i="7"/>
  <c r="F657" i="1" s="1"/>
  <c r="K391" i="7"/>
  <c r="E657" i="1" s="1"/>
  <c r="J391" i="7"/>
  <c r="C657" i="1" s="1"/>
  <c r="P390" i="7"/>
  <c r="O390" i="7"/>
  <c r="N390" i="7"/>
  <c r="M390" i="7"/>
  <c r="K390" i="7"/>
  <c r="E656" i="1" s="1"/>
  <c r="J390" i="7"/>
  <c r="L390" i="7" s="1"/>
  <c r="F656" i="1" s="1"/>
  <c r="P389" i="7"/>
  <c r="O389" i="7"/>
  <c r="N389" i="7"/>
  <c r="M389" i="7"/>
  <c r="K389" i="7"/>
  <c r="E655" i="1" s="1"/>
  <c r="J389" i="7"/>
  <c r="L389" i="7" s="1"/>
  <c r="F655" i="1" s="1"/>
  <c r="P388" i="7"/>
  <c r="O388" i="7"/>
  <c r="N388" i="7"/>
  <c r="M388" i="7"/>
  <c r="K388" i="7"/>
  <c r="E654" i="1" s="1"/>
  <c r="J388" i="7"/>
  <c r="C654" i="1" s="1"/>
  <c r="P387" i="7"/>
  <c r="O387" i="7"/>
  <c r="N387" i="7"/>
  <c r="M387" i="7"/>
  <c r="K387" i="7"/>
  <c r="E653" i="1" s="1"/>
  <c r="J387" i="7"/>
  <c r="L387" i="7" s="1"/>
  <c r="F653" i="1" s="1"/>
  <c r="P386" i="7"/>
  <c r="O386" i="7"/>
  <c r="N386" i="7"/>
  <c r="M386" i="7"/>
  <c r="K386" i="7"/>
  <c r="E652" i="1" s="1"/>
  <c r="J386" i="7"/>
  <c r="L386" i="7" s="1"/>
  <c r="F652" i="1" s="1"/>
  <c r="P385" i="7"/>
  <c r="O385" i="7"/>
  <c r="N385" i="7"/>
  <c r="M385" i="7"/>
  <c r="K385" i="7"/>
  <c r="E651" i="1" s="1"/>
  <c r="J385" i="7"/>
  <c r="L385" i="7" s="1"/>
  <c r="F651" i="1" s="1"/>
  <c r="P384" i="7"/>
  <c r="O384" i="7"/>
  <c r="N384" i="7"/>
  <c r="M384" i="7"/>
  <c r="L384" i="7"/>
  <c r="F650" i="1" s="1"/>
  <c r="K384" i="7"/>
  <c r="E650" i="1" s="1"/>
  <c r="J384" i="7"/>
  <c r="C650" i="1" s="1"/>
  <c r="P383" i="7"/>
  <c r="O383" i="7"/>
  <c r="N383" i="7"/>
  <c r="M383" i="7"/>
  <c r="K383" i="7"/>
  <c r="E649" i="1" s="1"/>
  <c r="J383" i="7"/>
  <c r="C649" i="1" s="1"/>
  <c r="P382" i="7"/>
  <c r="O382" i="7"/>
  <c r="N382" i="7"/>
  <c r="M382" i="7"/>
  <c r="K382" i="7"/>
  <c r="E648" i="1" s="1"/>
  <c r="J382" i="7"/>
  <c r="L382" i="7" s="1"/>
  <c r="F648" i="1" s="1"/>
  <c r="P381" i="7"/>
  <c r="O381" i="7"/>
  <c r="N381" i="7"/>
  <c r="M381" i="7"/>
  <c r="K381" i="7"/>
  <c r="E647" i="1" s="1"/>
  <c r="J381" i="7"/>
  <c r="L381" i="7" s="1"/>
  <c r="F647" i="1" s="1"/>
  <c r="P380" i="7"/>
  <c r="O380" i="7"/>
  <c r="N380" i="7"/>
  <c r="M380" i="7"/>
  <c r="K380" i="7"/>
  <c r="E646" i="1" s="1"/>
  <c r="J380" i="7"/>
  <c r="L380" i="7" s="1"/>
  <c r="F646" i="1" s="1"/>
  <c r="P379" i="7"/>
  <c r="O379" i="7"/>
  <c r="N379" i="7"/>
  <c r="M379" i="7"/>
  <c r="L379" i="7"/>
  <c r="F645" i="1" s="1"/>
  <c r="K379" i="7"/>
  <c r="E645" i="1" s="1"/>
  <c r="J379" i="7"/>
  <c r="C645" i="1" s="1"/>
  <c r="P378" i="7"/>
  <c r="O378" i="7"/>
  <c r="N378" i="7"/>
  <c r="M378" i="7"/>
  <c r="K378" i="7"/>
  <c r="E644" i="1" s="1"/>
  <c r="J378" i="7"/>
  <c r="L378" i="7" s="1"/>
  <c r="F644" i="1" s="1"/>
  <c r="P377" i="7"/>
  <c r="O377" i="7"/>
  <c r="N377" i="7"/>
  <c r="M377" i="7"/>
  <c r="K377" i="7"/>
  <c r="E643" i="1" s="1"/>
  <c r="J377" i="7"/>
  <c r="L377" i="7" s="1"/>
  <c r="F643" i="1" s="1"/>
  <c r="P376" i="7"/>
  <c r="O376" i="7"/>
  <c r="N376" i="7"/>
  <c r="M376" i="7"/>
  <c r="K376" i="7"/>
  <c r="E642" i="1" s="1"/>
  <c r="J376" i="7"/>
  <c r="C642" i="1" s="1"/>
  <c r="P375" i="7"/>
  <c r="O375" i="7"/>
  <c r="N375" i="7"/>
  <c r="M375" i="7"/>
  <c r="K375" i="7"/>
  <c r="E641" i="1" s="1"/>
  <c r="J375" i="7"/>
  <c r="C641" i="1" s="1"/>
  <c r="P374" i="7"/>
  <c r="O374" i="7"/>
  <c r="N374" i="7"/>
  <c r="M374" i="7"/>
  <c r="K374" i="7"/>
  <c r="E640" i="1" s="1"/>
  <c r="J374" i="7"/>
  <c r="L374" i="7" s="1"/>
  <c r="F640" i="1" s="1"/>
  <c r="P373" i="7"/>
  <c r="O373" i="7"/>
  <c r="N373" i="7"/>
  <c r="M373" i="7"/>
  <c r="K373" i="7"/>
  <c r="E639" i="1" s="1"/>
  <c r="J373" i="7"/>
  <c r="L373" i="7" s="1"/>
  <c r="F639" i="1" s="1"/>
  <c r="P372" i="7"/>
  <c r="O372" i="7"/>
  <c r="N372" i="7"/>
  <c r="M372" i="7"/>
  <c r="K372" i="7"/>
  <c r="E638" i="1" s="1"/>
  <c r="J372" i="7"/>
  <c r="L372" i="7" s="1"/>
  <c r="F638" i="1" s="1"/>
  <c r="P371" i="7"/>
  <c r="O371" i="7"/>
  <c r="N371" i="7"/>
  <c r="M371" i="7"/>
  <c r="K371" i="7"/>
  <c r="E637" i="1" s="1"/>
  <c r="J371" i="7"/>
  <c r="C637" i="1" s="1"/>
  <c r="P370" i="7"/>
  <c r="O370" i="7"/>
  <c r="N370" i="7"/>
  <c r="M370" i="7"/>
  <c r="K370" i="7"/>
  <c r="E636" i="1" s="1"/>
  <c r="J370" i="7"/>
  <c r="L370" i="7" s="1"/>
  <c r="F636" i="1" s="1"/>
  <c r="P369" i="7"/>
  <c r="O369" i="7"/>
  <c r="N369" i="7"/>
  <c r="M369" i="7"/>
  <c r="K369" i="7"/>
  <c r="E635" i="1" s="1"/>
  <c r="J369" i="7"/>
  <c r="L369" i="7" s="1"/>
  <c r="F635" i="1" s="1"/>
  <c r="P368" i="7"/>
  <c r="O368" i="7"/>
  <c r="N368" i="7"/>
  <c r="M368" i="7"/>
  <c r="L368" i="7"/>
  <c r="F634" i="1" s="1"/>
  <c r="K368" i="7"/>
  <c r="E634" i="1" s="1"/>
  <c r="J368" i="7"/>
  <c r="C634" i="1" s="1"/>
  <c r="P367" i="7"/>
  <c r="O367" i="7"/>
  <c r="N367" i="7"/>
  <c r="M367" i="7"/>
  <c r="K367" i="7"/>
  <c r="E633" i="1" s="1"/>
  <c r="J367" i="7"/>
  <c r="L367" i="7" s="1"/>
  <c r="F633" i="1" s="1"/>
  <c r="E65" i="2"/>
  <c r="C65" i="2"/>
  <c r="C656" i="1" l="1"/>
  <c r="C683" i="1"/>
  <c r="L376" i="7"/>
  <c r="F642" i="1" s="1"/>
  <c r="L383" i="7"/>
  <c r="F649" i="1" s="1"/>
  <c r="L371" i="7"/>
  <c r="F637" i="1" s="1"/>
  <c r="L392" i="7"/>
  <c r="F658" i="1" s="1"/>
  <c r="C659" i="1"/>
  <c r="C670" i="1"/>
  <c r="C646" i="1"/>
  <c r="C661" i="1"/>
  <c r="C639" i="1"/>
  <c r="C678" i="1"/>
  <c r="C633" i="1"/>
  <c r="C636" i="1"/>
  <c r="C638" i="1"/>
  <c r="C648" i="1"/>
  <c r="C651" i="1"/>
  <c r="C653" i="1"/>
  <c r="C663" i="1"/>
  <c r="C665" i="1"/>
  <c r="C667" i="1"/>
  <c r="C672" i="1"/>
  <c r="C675" i="1"/>
  <c r="C677" i="1"/>
  <c r="C680" i="1"/>
  <c r="C682" i="1"/>
  <c r="L375" i="7"/>
  <c r="F641" i="1" s="1"/>
  <c r="L388" i="7"/>
  <c r="F654" i="1" s="1"/>
  <c r="L396" i="7"/>
  <c r="F662" i="1" s="1"/>
  <c r="C640" i="1"/>
  <c r="C643" i="1"/>
  <c r="C655" i="1"/>
  <c r="C660" i="1"/>
  <c r="C669" i="1"/>
  <c r="C684" i="1"/>
  <c r="C644" i="1"/>
  <c r="L400" i="7"/>
  <c r="F666" i="1" s="1"/>
  <c r="C635" i="1"/>
  <c r="C647" i="1"/>
  <c r="C652" i="1"/>
  <c r="C664" i="1"/>
  <c r="C668" i="1"/>
  <c r="C671" i="1"/>
  <c r="C673" i="1"/>
  <c r="C676" i="1"/>
  <c r="C679" i="1"/>
  <c r="C681" i="1"/>
  <c r="L632" i="1"/>
  <c r="D632" i="1"/>
  <c r="B632" i="1"/>
  <c r="A632" i="1"/>
  <c r="L631" i="1"/>
  <c r="D631" i="1"/>
  <c r="B631" i="1"/>
  <c r="A631" i="1"/>
  <c r="L630" i="1"/>
  <c r="D630" i="1"/>
  <c r="B630" i="1"/>
  <c r="A630" i="1"/>
  <c r="L629" i="1"/>
  <c r="D629" i="1"/>
  <c r="B629" i="1"/>
  <c r="A629" i="1"/>
  <c r="L628" i="1"/>
  <c r="D628" i="1"/>
  <c r="B628" i="1"/>
  <c r="A628" i="1"/>
  <c r="L627" i="1"/>
  <c r="D627" i="1"/>
  <c r="B627" i="1"/>
  <c r="A627" i="1"/>
  <c r="L626" i="1"/>
  <c r="D626" i="1"/>
  <c r="C626" i="1"/>
  <c r="B626" i="1"/>
  <c r="A626" i="1"/>
  <c r="L625" i="1"/>
  <c r="D625" i="1"/>
  <c r="B625" i="1"/>
  <c r="A625" i="1"/>
  <c r="L624" i="1"/>
  <c r="E624" i="1"/>
  <c r="D624" i="1"/>
  <c r="B624" i="1"/>
  <c r="A624" i="1"/>
  <c r="L623" i="1"/>
  <c r="D623" i="1"/>
  <c r="B623" i="1"/>
  <c r="A623" i="1"/>
  <c r="L622" i="1"/>
  <c r="D622" i="1"/>
  <c r="B622" i="1"/>
  <c r="A622" i="1"/>
  <c r="L621" i="1"/>
  <c r="D621" i="1"/>
  <c r="B621" i="1"/>
  <c r="A621" i="1"/>
  <c r="L620" i="1"/>
  <c r="D620" i="1"/>
  <c r="B620" i="1"/>
  <c r="A620" i="1"/>
  <c r="L619" i="1"/>
  <c r="D619" i="1"/>
  <c r="B619" i="1"/>
  <c r="A619" i="1"/>
  <c r="L618" i="1"/>
  <c r="D618" i="1"/>
  <c r="C618" i="1"/>
  <c r="B618" i="1"/>
  <c r="A618" i="1"/>
  <c r="L617" i="1"/>
  <c r="D617" i="1"/>
  <c r="B617" i="1"/>
  <c r="A617" i="1"/>
  <c r="L616" i="1"/>
  <c r="D616" i="1"/>
  <c r="B616" i="1"/>
  <c r="A616" i="1"/>
  <c r="L615" i="1"/>
  <c r="D615" i="1"/>
  <c r="B615" i="1"/>
  <c r="A615" i="1"/>
  <c r="L614" i="1"/>
  <c r="D614" i="1"/>
  <c r="B614" i="1"/>
  <c r="A614" i="1"/>
  <c r="L613" i="1"/>
  <c r="D613" i="1"/>
  <c r="B613" i="1"/>
  <c r="A613" i="1"/>
  <c r="L612" i="1"/>
  <c r="D612" i="1"/>
  <c r="B612" i="1"/>
  <c r="A612" i="1"/>
  <c r="L611" i="1"/>
  <c r="D611" i="1"/>
  <c r="B611" i="1"/>
  <c r="A611" i="1"/>
  <c r="L610" i="1"/>
  <c r="D610" i="1"/>
  <c r="C610" i="1"/>
  <c r="B610" i="1"/>
  <c r="A610" i="1"/>
  <c r="L609" i="1"/>
  <c r="D609" i="1"/>
  <c r="B609" i="1"/>
  <c r="A609" i="1"/>
  <c r="L608" i="1"/>
  <c r="E608" i="1"/>
  <c r="D608" i="1"/>
  <c r="B608" i="1"/>
  <c r="A608" i="1"/>
  <c r="L607" i="1"/>
  <c r="D607" i="1"/>
  <c r="B607" i="1"/>
  <c r="A607" i="1"/>
  <c r="L606" i="1"/>
  <c r="D606" i="1"/>
  <c r="B606" i="1"/>
  <c r="A606" i="1"/>
  <c r="L605" i="1"/>
  <c r="D605" i="1"/>
  <c r="B605" i="1"/>
  <c r="A605" i="1"/>
  <c r="L604" i="1"/>
  <c r="D604" i="1"/>
  <c r="B604" i="1"/>
  <c r="A604" i="1"/>
  <c r="L603" i="1"/>
  <c r="D603" i="1"/>
  <c r="B603" i="1"/>
  <c r="A603" i="1"/>
  <c r="L602" i="1"/>
  <c r="D602" i="1"/>
  <c r="C602" i="1"/>
  <c r="B602" i="1"/>
  <c r="A602" i="1"/>
  <c r="L601" i="1"/>
  <c r="D601" i="1"/>
  <c r="B601" i="1"/>
  <c r="A601" i="1"/>
  <c r="L600" i="1"/>
  <c r="D600" i="1"/>
  <c r="B600" i="1"/>
  <c r="A600" i="1"/>
  <c r="L599" i="1"/>
  <c r="D599" i="1"/>
  <c r="B599" i="1"/>
  <c r="A599" i="1"/>
  <c r="L598" i="1"/>
  <c r="D598" i="1"/>
  <c r="B598" i="1"/>
  <c r="A598" i="1"/>
  <c r="L597" i="1"/>
  <c r="D597" i="1"/>
  <c r="B597" i="1"/>
  <c r="A597" i="1"/>
  <c r="L596" i="1"/>
  <c r="D596" i="1"/>
  <c r="B596" i="1"/>
  <c r="A596" i="1"/>
  <c r="L595" i="1"/>
  <c r="D595" i="1"/>
  <c r="B595" i="1"/>
  <c r="A595" i="1"/>
  <c r="L594" i="1"/>
  <c r="D594" i="1"/>
  <c r="C594" i="1"/>
  <c r="B594" i="1"/>
  <c r="A594" i="1"/>
  <c r="L593" i="1"/>
  <c r="D593" i="1"/>
  <c r="B593" i="1"/>
  <c r="A593" i="1"/>
  <c r="L592" i="1"/>
  <c r="E592" i="1"/>
  <c r="D592" i="1"/>
  <c r="B592" i="1"/>
  <c r="A592" i="1"/>
  <c r="L591" i="1"/>
  <c r="D591" i="1"/>
  <c r="B591" i="1"/>
  <c r="A591" i="1"/>
  <c r="L590" i="1"/>
  <c r="D590" i="1"/>
  <c r="B590" i="1"/>
  <c r="A590" i="1"/>
  <c r="L589" i="1"/>
  <c r="D589" i="1"/>
  <c r="B589" i="1"/>
  <c r="A589" i="1"/>
  <c r="L588" i="1"/>
  <c r="D588" i="1"/>
  <c r="B588" i="1"/>
  <c r="A588" i="1"/>
  <c r="L587" i="1"/>
  <c r="D587" i="1"/>
  <c r="B587" i="1"/>
  <c r="A587" i="1"/>
  <c r="L586" i="1"/>
  <c r="D586" i="1"/>
  <c r="C586" i="1"/>
  <c r="B586" i="1"/>
  <c r="A586" i="1"/>
  <c r="L585" i="1"/>
  <c r="D585" i="1"/>
  <c r="B585" i="1"/>
  <c r="A585" i="1"/>
  <c r="L584" i="1"/>
  <c r="D584" i="1"/>
  <c r="B584" i="1"/>
  <c r="A584" i="1"/>
  <c r="L583" i="1"/>
  <c r="D583" i="1"/>
  <c r="B583" i="1"/>
  <c r="A583" i="1"/>
  <c r="L582" i="1"/>
  <c r="D582" i="1"/>
  <c r="B582" i="1"/>
  <c r="A582" i="1"/>
  <c r="L581" i="1"/>
  <c r="D581" i="1"/>
  <c r="B581" i="1"/>
  <c r="A581" i="1"/>
  <c r="L580" i="1"/>
  <c r="D580" i="1"/>
  <c r="B580" i="1"/>
  <c r="A580" i="1"/>
  <c r="L579" i="1"/>
  <c r="D579" i="1"/>
  <c r="B579" i="1"/>
  <c r="A579" i="1"/>
  <c r="L578" i="1"/>
  <c r="D578" i="1"/>
  <c r="C578" i="1"/>
  <c r="B578" i="1"/>
  <c r="A578" i="1"/>
  <c r="L577" i="1"/>
  <c r="D577" i="1"/>
  <c r="B577" i="1"/>
  <c r="A577" i="1"/>
  <c r="L576" i="1"/>
  <c r="E576" i="1"/>
  <c r="D576" i="1"/>
  <c r="B576" i="1"/>
  <c r="A576" i="1"/>
  <c r="L575" i="1"/>
  <c r="D575" i="1"/>
  <c r="B575" i="1"/>
  <c r="A575" i="1"/>
  <c r="L574" i="1"/>
  <c r="D574" i="1"/>
  <c r="B574" i="1"/>
  <c r="A574" i="1"/>
  <c r="L573" i="1"/>
  <c r="D573" i="1"/>
  <c r="B573" i="1"/>
  <c r="A573" i="1"/>
  <c r="L572" i="1"/>
  <c r="D572" i="1"/>
  <c r="B572" i="1"/>
  <c r="A572" i="1"/>
  <c r="L571" i="1"/>
  <c r="D571" i="1"/>
  <c r="B571" i="1"/>
  <c r="A571" i="1"/>
  <c r="L570" i="1"/>
  <c r="D570" i="1"/>
  <c r="C570" i="1"/>
  <c r="B570" i="1"/>
  <c r="A570" i="1"/>
  <c r="L569" i="1"/>
  <c r="D569" i="1"/>
  <c r="B569" i="1"/>
  <c r="A569" i="1"/>
  <c r="L568" i="1"/>
  <c r="D568" i="1"/>
  <c r="B568" i="1"/>
  <c r="A568" i="1"/>
  <c r="L567" i="1"/>
  <c r="D567" i="1"/>
  <c r="B567" i="1"/>
  <c r="A567" i="1"/>
  <c r="L566" i="1"/>
  <c r="D566" i="1"/>
  <c r="B566" i="1"/>
  <c r="A566" i="1"/>
  <c r="L565" i="1"/>
  <c r="D565" i="1"/>
  <c r="B565" i="1"/>
  <c r="A565" i="1"/>
  <c r="L564" i="1"/>
  <c r="D564" i="1"/>
  <c r="B564" i="1"/>
  <c r="A564" i="1"/>
  <c r="L563" i="1"/>
  <c r="D563" i="1"/>
  <c r="B563" i="1"/>
  <c r="A563" i="1"/>
  <c r="L562" i="1"/>
  <c r="D562" i="1"/>
  <c r="B562" i="1"/>
  <c r="A562" i="1"/>
  <c r="L561" i="1"/>
  <c r="D561" i="1"/>
  <c r="B561" i="1"/>
  <c r="A561" i="1"/>
  <c r="L560" i="1"/>
  <c r="E560" i="1"/>
  <c r="D560" i="1"/>
  <c r="B560" i="1"/>
  <c r="A560" i="1"/>
  <c r="P366" i="7"/>
  <c r="O366" i="7"/>
  <c r="N366" i="7"/>
  <c r="M366" i="7"/>
  <c r="K366" i="7"/>
  <c r="E632" i="1" s="1"/>
  <c r="J366" i="7"/>
  <c r="L366" i="7" s="1"/>
  <c r="F632" i="1" s="1"/>
  <c r="P365" i="7"/>
  <c r="O365" i="7"/>
  <c r="N365" i="7"/>
  <c r="M365" i="7"/>
  <c r="K365" i="7"/>
  <c r="E631" i="1" s="1"/>
  <c r="J365" i="7"/>
  <c r="C631" i="1" s="1"/>
  <c r="P364" i="7"/>
  <c r="O364" i="7"/>
  <c r="N364" i="7"/>
  <c r="M364" i="7"/>
  <c r="K364" i="7"/>
  <c r="E630" i="1" s="1"/>
  <c r="J364" i="7"/>
  <c r="L364" i="7" s="1"/>
  <c r="F630" i="1" s="1"/>
  <c r="P363" i="7"/>
  <c r="O363" i="7"/>
  <c r="N363" i="7"/>
  <c r="M363" i="7"/>
  <c r="K363" i="7"/>
  <c r="E629" i="1" s="1"/>
  <c r="J363" i="7"/>
  <c r="L363" i="7" s="1"/>
  <c r="F629" i="1" s="1"/>
  <c r="P362" i="7"/>
  <c r="O362" i="7"/>
  <c r="N362" i="7"/>
  <c r="M362" i="7"/>
  <c r="K362" i="7"/>
  <c r="E628" i="1" s="1"/>
  <c r="J362" i="7"/>
  <c r="L362" i="7" s="1"/>
  <c r="F628" i="1" s="1"/>
  <c r="P361" i="7"/>
  <c r="O361" i="7"/>
  <c r="N361" i="7"/>
  <c r="M361" i="7"/>
  <c r="K361" i="7"/>
  <c r="E627" i="1" s="1"/>
  <c r="J361" i="7"/>
  <c r="C627" i="1" s="1"/>
  <c r="P360" i="7"/>
  <c r="O360" i="7"/>
  <c r="N360" i="7"/>
  <c r="M360" i="7"/>
  <c r="K360" i="7"/>
  <c r="E626" i="1" s="1"/>
  <c r="J360" i="7"/>
  <c r="L360" i="7" s="1"/>
  <c r="F626" i="1" s="1"/>
  <c r="P359" i="7"/>
  <c r="O359" i="7"/>
  <c r="N359" i="7"/>
  <c r="M359" i="7"/>
  <c r="K359" i="7"/>
  <c r="E625" i="1" s="1"/>
  <c r="J359" i="7"/>
  <c r="L359" i="7" s="1"/>
  <c r="F625" i="1" s="1"/>
  <c r="P358" i="7"/>
  <c r="O358" i="7"/>
  <c r="N358" i="7"/>
  <c r="M358" i="7"/>
  <c r="K358" i="7"/>
  <c r="J358" i="7"/>
  <c r="L358" i="7" s="1"/>
  <c r="F624" i="1" s="1"/>
  <c r="P357" i="7"/>
  <c r="O357" i="7"/>
  <c r="N357" i="7"/>
  <c r="M357" i="7"/>
  <c r="L357" i="7"/>
  <c r="F623" i="1" s="1"/>
  <c r="K357" i="7"/>
  <c r="E623" i="1" s="1"/>
  <c r="J357" i="7"/>
  <c r="C623" i="1" s="1"/>
  <c r="P356" i="7"/>
  <c r="O356" i="7"/>
  <c r="N356" i="7"/>
  <c r="M356" i="7"/>
  <c r="K356" i="7"/>
  <c r="E622" i="1" s="1"/>
  <c r="J356" i="7"/>
  <c r="L356" i="7" s="1"/>
  <c r="F622" i="1" s="1"/>
  <c r="P355" i="7"/>
  <c r="O355" i="7"/>
  <c r="N355" i="7"/>
  <c r="M355" i="7"/>
  <c r="K355" i="7"/>
  <c r="E621" i="1" s="1"/>
  <c r="J355" i="7"/>
  <c r="L355" i="7" s="1"/>
  <c r="F621" i="1" s="1"/>
  <c r="P354" i="7"/>
  <c r="O354" i="7"/>
  <c r="N354" i="7"/>
  <c r="M354" i="7"/>
  <c r="K354" i="7"/>
  <c r="E620" i="1" s="1"/>
  <c r="J354" i="7"/>
  <c r="L354" i="7" s="1"/>
  <c r="F620" i="1" s="1"/>
  <c r="P353" i="7"/>
  <c r="O353" i="7"/>
  <c r="N353" i="7"/>
  <c r="M353" i="7"/>
  <c r="K353" i="7"/>
  <c r="E619" i="1" s="1"/>
  <c r="J353" i="7"/>
  <c r="C619" i="1" s="1"/>
  <c r="P352" i="7"/>
  <c r="O352" i="7"/>
  <c r="N352" i="7"/>
  <c r="M352" i="7"/>
  <c r="L352" i="7"/>
  <c r="F618" i="1" s="1"/>
  <c r="K352" i="7"/>
  <c r="E618" i="1" s="1"/>
  <c r="J352" i="7"/>
  <c r="P351" i="7"/>
  <c r="O351" i="7"/>
  <c r="N351" i="7"/>
  <c r="M351" i="7"/>
  <c r="K351" i="7"/>
  <c r="E617" i="1" s="1"/>
  <c r="J351" i="7"/>
  <c r="L351" i="7" s="1"/>
  <c r="F617" i="1" s="1"/>
  <c r="P350" i="7"/>
  <c r="O350" i="7"/>
  <c r="N350" i="7"/>
  <c r="M350" i="7"/>
  <c r="K350" i="7"/>
  <c r="E616" i="1" s="1"/>
  <c r="J350" i="7"/>
  <c r="L350" i="7" s="1"/>
  <c r="F616" i="1" s="1"/>
  <c r="P349" i="7"/>
  <c r="O349" i="7"/>
  <c r="N349" i="7"/>
  <c r="M349" i="7"/>
  <c r="K349" i="7"/>
  <c r="E615" i="1" s="1"/>
  <c r="J349" i="7"/>
  <c r="C615" i="1" s="1"/>
  <c r="P348" i="7"/>
  <c r="O348" i="7"/>
  <c r="N348" i="7"/>
  <c r="M348" i="7"/>
  <c r="K348" i="7"/>
  <c r="E614" i="1" s="1"/>
  <c r="J348" i="7"/>
  <c r="L348" i="7" s="1"/>
  <c r="F614" i="1" s="1"/>
  <c r="P347" i="7"/>
  <c r="O347" i="7"/>
  <c r="N347" i="7"/>
  <c r="M347" i="7"/>
  <c r="K347" i="7"/>
  <c r="E613" i="1" s="1"/>
  <c r="J347" i="7"/>
  <c r="L347" i="7" s="1"/>
  <c r="F613" i="1" s="1"/>
  <c r="P346" i="7"/>
  <c r="O346" i="7"/>
  <c r="N346" i="7"/>
  <c r="M346" i="7"/>
  <c r="K346" i="7"/>
  <c r="E612" i="1" s="1"/>
  <c r="J346" i="7"/>
  <c r="L346" i="7" s="1"/>
  <c r="F612" i="1" s="1"/>
  <c r="P345" i="7"/>
  <c r="O345" i="7"/>
  <c r="N345" i="7"/>
  <c r="M345" i="7"/>
  <c r="K345" i="7"/>
  <c r="E611" i="1" s="1"/>
  <c r="J345" i="7"/>
  <c r="C611" i="1" s="1"/>
  <c r="P344" i="7"/>
  <c r="O344" i="7"/>
  <c r="N344" i="7"/>
  <c r="M344" i="7"/>
  <c r="K344" i="7"/>
  <c r="E610" i="1" s="1"/>
  <c r="J344" i="7"/>
  <c r="L344" i="7" s="1"/>
  <c r="F610" i="1" s="1"/>
  <c r="P343" i="7"/>
  <c r="O343" i="7"/>
  <c r="N343" i="7"/>
  <c r="M343" i="7"/>
  <c r="K343" i="7"/>
  <c r="E609" i="1" s="1"/>
  <c r="J343" i="7"/>
  <c r="L343" i="7" s="1"/>
  <c r="F609" i="1" s="1"/>
  <c r="P342" i="7"/>
  <c r="O342" i="7"/>
  <c r="N342" i="7"/>
  <c r="M342" i="7"/>
  <c r="K342" i="7"/>
  <c r="J342" i="7"/>
  <c r="L342" i="7" s="1"/>
  <c r="F608" i="1" s="1"/>
  <c r="P341" i="7"/>
  <c r="O341" i="7"/>
  <c r="N341" i="7"/>
  <c r="M341" i="7"/>
  <c r="L341" i="7"/>
  <c r="F607" i="1" s="1"/>
  <c r="K341" i="7"/>
  <c r="E607" i="1" s="1"/>
  <c r="J341" i="7"/>
  <c r="C607" i="1" s="1"/>
  <c r="P340" i="7"/>
  <c r="O340" i="7"/>
  <c r="N340" i="7"/>
  <c r="M340" i="7"/>
  <c r="K340" i="7"/>
  <c r="E606" i="1" s="1"/>
  <c r="J340" i="7"/>
  <c r="L340" i="7" s="1"/>
  <c r="F606" i="1" s="1"/>
  <c r="P339" i="7"/>
  <c r="O339" i="7"/>
  <c r="N339" i="7"/>
  <c r="M339" i="7"/>
  <c r="K339" i="7"/>
  <c r="E605" i="1" s="1"/>
  <c r="J339" i="7"/>
  <c r="L339" i="7" s="1"/>
  <c r="F605" i="1" s="1"/>
  <c r="P338" i="7"/>
  <c r="O338" i="7"/>
  <c r="N338" i="7"/>
  <c r="M338" i="7"/>
  <c r="K338" i="7"/>
  <c r="E604" i="1" s="1"/>
  <c r="J338" i="7"/>
  <c r="L338" i="7" s="1"/>
  <c r="F604" i="1" s="1"/>
  <c r="P337" i="7"/>
  <c r="O337" i="7"/>
  <c r="N337" i="7"/>
  <c r="M337" i="7"/>
  <c r="K337" i="7"/>
  <c r="E603" i="1" s="1"/>
  <c r="J337" i="7"/>
  <c r="C603" i="1" s="1"/>
  <c r="P336" i="7"/>
  <c r="O336" i="7"/>
  <c r="N336" i="7"/>
  <c r="M336" i="7"/>
  <c r="L336" i="7"/>
  <c r="F602" i="1" s="1"/>
  <c r="K336" i="7"/>
  <c r="E602" i="1" s="1"/>
  <c r="J336" i="7"/>
  <c r="P335" i="7"/>
  <c r="O335" i="7"/>
  <c r="N335" i="7"/>
  <c r="M335" i="7"/>
  <c r="K335" i="7"/>
  <c r="E601" i="1" s="1"/>
  <c r="J335" i="7"/>
  <c r="L335" i="7" s="1"/>
  <c r="F601" i="1" s="1"/>
  <c r="P334" i="7"/>
  <c r="O334" i="7"/>
  <c r="N334" i="7"/>
  <c r="M334" i="7"/>
  <c r="K334" i="7"/>
  <c r="E600" i="1" s="1"/>
  <c r="J334" i="7"/>
  <c r="L334" i="7" s="1"/>
  <c r="F600" i="1" s="1"/>
  <c r="P333" i="7"/>
  <c r="O333" i="7"/>
  <c r="N333" i="7"/>
  <c r="M333" i="7"/>
  <c r="K333" i="7"/>
  <c r="E599" i="1" s="1"/>
  <c r="J333" i="7"/>
  <c r="C599" i="1" s="1"/>
  <c r="P332" i="7"/>
  <c r="O332" i="7"/>
  <c r="N332" i="7"/>
  <c r="M332" i="7"/>
  <c r="K332" i="7"/>
  <c r="E598" i="1" s="1"/>
  <c r="J332" i="7"/>
  <c r="L332" i="7" s="1"/>
  <c r="F598" i="1" s="1"/>
  <c r="P331" i="7"/>
  <c r="O331" i="7"/>
  <c r="N331" i="7"/>
  <c r="M331" i="7"/>
  <c r="K331" i="7"/>
  <c r="E597" i="1" s="1"/>
  <c r="J331" i="7"/>
  <c r="L331" i="7" s="1"/>
  <c r="F597" i="1" s="1"/>
  <c r="P330" i="7"/>
  <c r="O330" i="7"/>
  <c r="N330" i="7"/>
  <c r="M330" i="7"/>
  <c r="K330" i="7"/>
  <c r="E596" i="1" s="1"/>
  <c r="J330" i="7"/>
  <c r="L330" i="7" s="1"/>
  <c r="F596" i="1" s="1"/>
  <c r="P329" i="7"/>
  <c r="O329" i="7"/>
  <c r="N329" i="7"/>
  <c r="M329" i="7"/>
  <c r="K329" i="7"/>
  <c r="E595" i="1" s="1"/>
  <c r="J329" i="7"/>
  <c r="C595" i="1" s="1"/>
  <c r="P328" i="7"/>
  <c r="O328" i="7"/>
  <c r="N328" i="7"/>
  <c r="M328" i="7"/>
  <c r="K328" i="7"/>
  <c r="E594" i="1" s="1"/>
  <c r="J328" i="7"/>
  <c r="L328" i="7" s="1"/>
  <c r="F594" i="1" s="1"/>
  <c r="P327" i="7"/>
  <c r="O327" i="7"/>
  <c r="N327" i="7"/>
  <c r="M327" i="7"/>
  <c r="K327" i="7"/>
  <c r="E593" i="1" s="1"/>
  <c r="J327" i="7"/>
  <c r="L327" i="7" s="1"/>
  <c r="F593" i="1" s="1"/>
  <c r="P326" i="7"/>
  <c r="O326" i="7"/>
  <c r="N326" i="7"/>
  <c r="M326" i="7"/>
  <c r="K326" i="7"/>
  <c r="J326" i="7"/>
  <c r="L326" i="7" s="1"/>
  <c r="F592" i="1" s="1"/>
  <c r="P325" i="7"/>
  <c r="O325" i="7"/>
  <c r="N325" i="7"/>
  <c r="M325" i="7"/>
  <c r="L325" i="7"/>
  <c r="F591" i="1" s="1"/>
  <c r="K325" i="7"/>
  <c r="E591" i="1" s="1"/>
  <c r="J325" i="7"/>
  <c r="C591" i="1" s="1"/>
  <c r="P324" i="7"/>
  <c r="O324" i="7"/>
  <c r="N324" i="7"/>
  <c r="M324" i="7"/>
  <c r="K324" i="7"/>
  <c r="E590" i="1" s="1"/>
  <c r="J324" i="7"/>
  <c r="L324" i="7" s="1"/>
  <c r="F590" i="1" s="1"/>
  <c r="P323" i="7"/>
  <c r="O323" i="7"/>
  <c r="N323" i="7"/>
  <c r="M323" i="7"/>
  <c r="K323" i="7"/>
  <c r="E589" i="1" s="1"/>
  <c r="J323" i="7"/>
  <c r="L323" i="7" s="1"/>
  <c r="F589" i="1" s="1"/>
  <c r="P322" i="7"/>
  <c r="O322" i="7"/>
  <c r="N322" i="7"/>
  <c r="M322" i="7"/>
  <c r="K322" i="7"/>
  <c r="E588" i="1" s="1"/>
  <c r="J322" i="7"/>
  <c r="L322" i="7" s="1"/>
  <c r="F588" i="1" s="1"/>
  <c r="P321" i="7"/>
  <c r="O321" i="7"/>
  <c r="N321" i="7"/>
  <c r="M321" i="7"/>
  <c r="K321" i="7"/>
  <c r="E587" i="1" s="1"/>
  <c r="J321" i="7"/>
  <c r="C587" i="1" s="1"/>
  <c r="P320" i="7"/>
  <c r="O320" i="7"/>
  <c r="N320" i="7"/>
  <c r="M320" i="7"/>
  <c r="L320" i="7"/>
  <c r="F586" i="1" s="1"/>
  <c r="K320" i="7"/>
  <c r="E586" i="1" s="1"/>
  <c r="J320" i="7"/>
  <c r="P319" i="7"/>
  <c r="O319" i="7"/>
  <c r="N319" i="7"/>
  <c r="M319" i="7"/>
  <c r="K319" i="7"/>
  <c r="E585" i="1" s="1"/>
  <c r="J319" i="7"/>
  <c r="L319" i="7" s="1"/>
  <c r="F585" i="1" s="1"/>
  <c r="P318" i="7"/>
  <c r="O318" i="7"/>
  <c r="N318" i="7"/>
  <c r="M318" i="7"/>
  <c r="K318" i="7"/>
  <c r="E584" i="1" s="1"/>
  <c r="J318" i="7"/>
  <c r="L318" i="7" s="1"/>
  <c r="F584" i="1" s="1"/>
  <c r="P317" i="7"/>
  <c r="O317" i="7"/>
  <c r="N317" i="7"/>
  <c r="M317" i="7"/>
  <c r="K317" i="7"/>
  <c r="E583" i="1" s="1"/>
  <c r="J317" i="7"/>
  <c r="C583" i="1" s="1"/>
  <c r="P316" i="7"/>
  <c r="O316" i="7"/>
  <c r="N316" i="7"/>
  <c r="M316" i="7"/>
  <c r="K316" i="7"/>
  <c r="E582" i="1" s="1"/>
  <c r="J316" i="7"/>
  <c r="L316" i="7" s="1"/>
  <c r="F582" i="1" s="1"/>
  <c r="P315" i="7"/>
  <c r="O315" i="7"/>
  <c r="N315" i="7"/>
  <c r="M315" i="7"/>
  <c r="K315" i="7"/>
  <c r="E581" i="1" s="1"/>
  <c r="J315" i="7"/>
  <c r="L315" i="7" s="1"/>
  <c r="F581" i="1" s="1"/>
  <c r="P314" i="7"/>
  <c r="O314" i="7"/>
  <c r="N314" i="7"/>
  <c r="M314" i="7"/>
  <c r="K314" i="7"/>
  <c r="E580" i="1" s="1"/>
  <c r="J314" i="7"/>
  <c r="L314" i="7" s="1"/>
  <c r="F580" i="1" s="1"/>
  <c r="P313" i="7"/>
  <c r="O313" i="7"/>
  <c r="N313" i="7"/>
  <c r="M313" i="7"/>
  <c r="K313" i="7"/>
  <c r="E579" i="1" s="1"/>
  <c r="J313" i="7"/>
  <c r="C579" i="1" s="1"/>
  <c r="P312" i="7"/>
  <c r="O312" i="7"/>
  <c r="N312" i="7"/>
  <c r="M312" i="7"/>
  <c r="K312" i="7"/>
  <c r="E578" i="1" s="1"/>
  <c r="J312" i="7"/>
  <c r="L312" i="7" s="1"/>
  <c r="F578" i="1" s="1"/>
  <c r="P311" i="7"/>
  <c r="O311" i="7"/>
  <c r="N311" i="7"/>
  <c r="M311" i="7"/>
  <c r="K311" i="7"/>
  <c r="E577" i="1" s="1"/>
  <c r="J311" i="7"/>
  <c r="L311" i="7" s="1"/>
  <c r="F577" i="1" s="1"/>
  <c r="P310" i="7"/>
  <c r="O310" i="7"/>
  <c r="N310" i="7"/>
  <c r="M310" i="7"/>
  <c r="K310" i="7"/>
  <c r="J310" i="7"/>
  <c r="L310" i="7" s="1"/>
  <c r="F576" i="1" s="1"/>
  <c r="P309" i="7"/>
  <c r="O309" i="7"/>
  <c r="N309" i="7"/>
  <c r="M309" i="7"/>
  <c r="L309" i="7"/>
  <c r="F575" i="1" s="1"/>
  <c r="K309" i="7"/>
  <c r="E575" i="1" s="1"/>
  <c r="J309" i="7"/>
  <c r="C575" i="1" s="1"/>
  <c r="P308" i="7"/>
  <c r="O308" i="7"/>
  <c r="N308" i="7"/>
  <c r="M308" i="7"/>
  <c r="K308" i="7"/>
  <c r="E574" i="1" s="1"/>
  <c r="J308" i="7"/>
  <c r="L308" i="7" s="1"/>
  <c r="F574" i="1" s="1"/>
  <c r="P307" i="7"/>
  <c r="O307" i="7"/>
  <c r="N307" i="7"/>
  <c r="M307" i="7"/>
  <c r="K307" i="7"/>
  <c r="E573" i="1" s="1"/>
  <c r="J307" i="7"/>
  <c r="L307" i="7" s="1"/>
  <c r="F573" i="1" s="1"/>
  <c r="P306" i="7"/>
  <c r="O306" i="7"/>
  <c r="N306" i="7"/>
  <c r="M306" i="7"/>
  <c r="K306" i="7"/>
  <c r="E572" i="1" s="1"/>
  <c r="J306" i="7"/>
  <c r="L306" i="7" s="1"/>
  <c r="F572" i="1" s="1"/>
  <c r="P305" i="7"/>
  <c r="O305" i="7"/>
  <c r="N305" i="7"/>
  <c r="M305" i="7"/>
  <c r="K305" i="7"/>
  <c r="E571" i="1" s="1"/>
  <c r="J305" i="7"/>
  <c r="C571" i="1" s="1"/>
  <c r="P304" i="7"/>
  <c r="O304" i="7"/>
  <c r="N304" i="7"/>
  <c r="M304" i="7"/>
  <c r="L304" i="7"/>
  <c r="F570" i="1" s="1"/>
  <c r="K304" i="7"/>
  <c r="E570" i="1" s="1"/>
  <c r="J304" i="7"/>
  <c r="P303" i="7"/>
  <c r="O303" i="7"/>
  <c r="N303" i="7"/>
  <c r="M303" i="7"/>
  <c r="K303" i="7"/>
  <c r="E569" i="1" s="1"/>
  <c r="J303" i="7"/>
  <c r="L303" i="7" s="1"/>
  <c r="F569" i="1" s="1"/>
  <c r="P302" i="7"/>
  <c r="O302" i="7"/>
  <c r="N302" i="7"/>
  <c r="M302" i="7"/>
  <c r="K302" i="7"/>
  <c r="E568" i="1" s="1"/>
  <c r="J302" i="7"/>
  <c r="L302" i="7" s="1"/>
  <c r="F568" i="1" s="1"/>
  <c r="P301" i="7"/>
  <c r="O301" i="7"/>
  <c r="N301" i="7"/>
  <c r="M301" i="7"/>
  <c r="K301" i="7"/>
  <c r="E567" i="1" s="1"/>
  <c r="J301" i="7"/>
  <c r="C567" i="1" s="1"/>
  <c r="P300" i="7"/>
  <c r="O300" i="7"/>
  <c r="N300" i="7"/>
  <c r="M300" i="7"/>
  <c r="K300" i="7"/>
  <c r="E566" i="1" s="1"/>
  <c r="J300" i="7"/>
  <c r="L300" i="7" s="1"/>
  <c r="F566" i="1" s="1"/>
  <c r="P299" i="7"/>
  <c r="O299" i="7"/>
  <c r="N299" i="7"/>
  <c r="M299" i="7"/>
  <c r="K299" i="7"/>
  <c r="E565" i="1" s="1"/>
  <c r="J299" i="7"/>
  <c r="L299" i="7" s="1"/>
  <c r="F565" i="1" s="1"/>
  <c r="P298" i="7"/>
  <c r="O298" i="7"/>
  <c r="N298" i="7"/>
  <c r="M298" i="7"/>
  <c r="K298" i="7"/>
  <c r="E564" i="1" s="1"/>
  <c r="J298" i="7"/>
  <c r="L298" i="7" s="1"/>
  <c r="F564" i="1" s="1"/>
  <c r="P297" i="7"/>
  <c r="O297" i="7"/>
  <c r="N297" i="7"/>
  <c r="M297" i="7"/>
  <c r="K297" i="7"/>
  <c r="E563" i="1" s="1"/>
  <c r="J297" i="7"/>
  <c r="C563" i="1" s="1"/>
  <c r="P296" i="7"/>
  <c r="O296" i="7"/>
  <c r="N296" i="7"/>
  <c r="M296" i="7"/>
  <c r="K296" i="7"/>
  <c r="E562" i="1" s="1"/>
  <c r="J296" i="7"/>
  <c r="C562" i="1" s="1"/>
  <c r="P295" i="7"/>
  <c r="O295" i="7"/>
  <c r="N295" i="7"/>
  <c r="M295" i="7"/>
  <c r="K295" i="7"/>
  <c r="E561" i="1" s="1"/>
  <c r="J295" i="7"/>
  <c r="L295" i="7" s="1"/>
  <c r="F561" i="1" s="1"/>
  <c r="P294" i="7"/>
  <c r="O294" i="7"/>
  <c r="N294" i="7"/>
  <c r="M294" i="7"/>
  <c r="K294" i="7"/>
  <c r="J294" i="7"/>
  <c r="L294" i="7" s="1"/>
  <c r="F560" i="1" s="1"/>
  <c r="C64" i="2"/>
  <c r="E64" i="2"/>
  <c r="L301" i="7" l="1"/>
  <c r="F567" i="1" s="1"/>
  <c r="L317" i="7"/>
  <c r="F583" i="1" s="1"/>
  <c r="L333" i="7"/>
  <c r="F599" i="1" s="1"/>
  <c r="L349" i="7"/>
  <c r="F615" i="1" s="1"/>
  <c r="L365" i="7"/>
  <c r="F631" i="1" s="1"/>
  <c r="L296" i="7"/>
  <c r="F562" i="1" s="1"/>
  <c r="C574" i="1"/>
  <c r="C582" i="1"/>
  <c r="C630" i="1"/>
  <c r="C561" i="1"/>
  <c r="C565" i="1"/>
  <c r="C569" i="1"/>
  <c r="C573" i="1"/>
  <c r="C577" i="1"/>
  <c r="C581" i="1"/>
  <c r="C585" i="1"/>
  <c r="C589" i="1"/>
  <c r="C593" i="1"/>
  <c r="C597" i="1"/>
  <c r="C601" i="1"/>
  <c r="C605" i="1"/>
  <c r="C609" i="1"/>
  <c r="C613" i="1"/>
  <c r="C617" i="1"/>
  <c r="C621" i="1"/>
  <c r="C625" i="1"/>
  <c r="C629" i="1"/>
  <c r="C598" i="1"/>
  <c r="C606" i="1"/>
  <c r="C614" i="1"/>
  <c r="C622" i="1"/>
  <c r="C560" i="1"/>
  <c r="C564" i="1"/>
  <c r="C568" i="1"/>
  <c r="C572" i="1"/>
  <c r="C576" i="1"/>
  <c r="C580" i="1"/>
  <c r="C584" i="1"/>
  <c r="C588" i="1"/>
  <c r="C592" i="1"/>
  <c r="C596" i="1"/>
  <c r="C600" i="1"/>
  <c r="C604" i="1"/>
  <c r="C608" i="1"/>
  <c r="C612" i="1"/>
  <c r="C616" i="1"/>
  <c r="C620" i="1"/>
  <c r="C624" i="1"/>
  <c r="C628" i="1"/>
  <c r="C632" i="1"/>
  <c r="C566" i="1"/>
  <c r="C590" i="1"/>
  <c r="L297" i="7"/>
  <c r="F563" i="1" s="1"/>
  <c r="L305" i="7"/>
  <c r="F571" i="1" s="1"/>
  <c r="L313" i="7"/>
  <c r="F579" i="1" s="1"/>
  <c r="L321" i="7"/>
  <c r="F587" i="1" s="1"/>
  <c r="L329" i="7"/>
  <c r="F595" i="1" s="1"/>
  <c r="L337" i="7"/>
  <c r="F603" i="1" s="1"/>
  <c r="L345" i="7"/>
  <c r="F611" i="1" s="1"/>
  <c r="L353" i="7"/>
  <c r="F619" i="1" s="1"/>
  <c r="L361" i="7"/>
  <c r="F627" i="1" s="1"/>
  <c r="E63" i="2"/>
  <c r="C63" i="2"/>
  <c r="L559" i="1"/>
  <c r="D559" i="1"/>
  <c r="B559" i="1"/>
  <c r="A559" i="1"/>
  <c r="L558" i="1"/>
  <c r="D558" i="1"/>
  <c r="B558" i="1"/>
  <c r="A558" i="1"/>
  <c r="L557" i="1"/>
  <c r="D557" i="1"/>
  <c r="B557" i="1"/>
  <c r="A557" i="1"/>
  <c r="L556" i="1"/>
  <c r="D556" i="1"/>
  <c r="B556" i="1"/>
  <c r="A556" i="1"/>
  <c r="L555" i="1"/>
  <c r="D555" i="1"/>
  <c r="B555" i="1"/>
  <c r="A555" i="1"/>
  <c r="L554" i="1"/>
  <c r="D554" i="1"/>
  <c r="B554" i="1"/>
  <c r="A554" i="1"/>
  <c r="L553" i="1"/>
  <c r="D553" i="1"/>
  <c r="B553" i="1"/>
  <c r="A553" i="1"/>
  <c r="L552" i="1"/>
  <c r="D552" i="1"/>
  <c r="B552" i="1"/>
  <c r="A552" i="1"/>
  <c r="L551" i="1"/>
  <c r="D551" i="1"/>
  <c r="B551" i="1"/>
  <c r="A551" i="1"/>
  <c r="L550" i="1"/>
  <c r="D550" i="1"/>
  <c r="B550" i="1"/>
  <c r="A550" i="1"/>
  <c r="L549" i="1"/>
  <c r="D549" i="1"/>
  <c r="B549" i="1"/>
  <c r="A549" i="1"/>
  <c r="L548" i="1"/>
  <c r="D548" i="1"/>
  <c r="B548" i="1"/>
  <c r="A548" i="1"/>
  <c r="L547" i="1"/>
  <c r="D547" i="1"/>
  <c r="B547" i="1"/>
  <c r="A547" i="1"/>
  <c r="L546" i="1"/>
  <c r="D546" i="1"/>
  <c r="B546" i="1"/>
  <c r="A546" i="1"/>
  <c r="L545" i="1"/>
  <c r="D545" i="1"/>
  <c r="B545" i="1"/>
  <c r="A545" i="1"/>
  <c r="L544" i="1"/>
  <c r="D544" i="1"/>
  <c r="B544" i="1"/>
  <c r="A544" i="1"/>
  <c r="L543" i="1"/>
  <c r="D543" i="1"/>
  <c r="B543" i="1"/>
  <c r="A543" i="1"/>
  <c r="L542" i="1"/>
  <c r="D542" i="1"/>
  <c r="B542" i="1"/>
  <c r="A542" i="1"/>
  <c r="L541" i="1"/>
  <c r="D541" i="1"/>
  <c r="B541" i="1"/>
  <c r="A541" i="1"/>
  <c r="L540" i="1"/>
  <c r="D540" i="1"/>
  <c r="B540" i="1"/>
  <c r="A540" i="1"/>
  <c r="L539" i="1"/>
  <c r="D539" i="1"/>
  <c r="B539" i="1"/>
  <c r="A539" i="1"/>
  <c r="L538" i="1"/>
  <c r="D538" i="1"/>
  <c r="B538" i="1"/>
  <c r="A538" i="1"/>
  <c r="L537" i="1"/>
  <c r="D537" i="1"/>
  <c r="B537" i="1"/>
  <c r="A537" i="1"/>
  <c r="L536" i="1"/>
  <c r="D536" i="1"/>
  <c r="B536" i="1"/>
  <c r="A536" i="1"/>
  <c r="L535" i="1"/>
  <c r="D535" i="1"/>
  <c r="B535" i="1"/>
  <c r="A535" i="1"/>
  <c r="L534" i="1"/>
  <c r="D534" i="1"/>
  <c r="B534" i="1"/>
  <c r="A534" i="1"/>
  <c r="L533" i="1"/>
  <c r="D533" i="1"/>
  <c r="B533" i="1"/>
  <c r="A533" i="1"/>
  <c r="L532" i="1"/>
  <c r="D532" i="1"/>
  <c r="B532" i="1"/>
  <c r="A532" i="1"/>
  <c r="L531" i="1"/>
  <c r="D531" i="1"/>
  <c r="B531" i="1"/>
  <c r="A531" i="1"/>
  <c r="L530" i="1"/>
  <c r="D530" i="1"/>
  <c r="B530" i="1"/>
  <c r="A530" i="1"/>
  <c r="L529" i="1"/>
  <c r="D529" i="1"/>
  <c r="B529" i="1"/>
  <c r="A529" i="1"/>
  <c r="L528" i="1"/>
  <c r="D528" i="1"/>
  <c r="B528" i="1"/>
  <c r="A528" i="1"/>
  <c r="L527" i="1"/>
  <c r="D527" i="1"/>
  <c r="B527" i="1"/>
  <c r="A527" i="1"/>
  <c r="L526" i="1"/>
  <c r="D526" i="1"/>
  <c r="B526" i="1"/>
  <c r="A526" i="1"/>
  <c r="L525" i="1"/>
  <c r="D525" i="1"/>
  <c r="B525" i="1"/>
  <c r="A525" i="1"/>
  <c r="L524" i="1"/>
  <c r="D524" i="1"/>
  <c r="B524" i="1"/>
  <c r="A524" i="1"/>
  <c r="L523" i="1"/>
  <c r="D523" i="1"/>
  <c r="B523" i="1"/>
  <c r="A523" i="1"/>
  <c r="L522" i="1"/>
  <c r="D522" i="1"/>
  <c r="B522" i="1"/>
  <c r="A522" i="1"/>
  <c r="D521" i="1"/>
  <c r="B521" i="1"/>
  <c r="A521" i="1"/>
  <c r="L520" i="1"/>
  <c r="D520" i="1"/>
  <c r="B520" i="1"/>
  <c r="A520" i="1"/>
  <c r="L519" i="1"/>
  <c r="D519" i="1"/>
  <c r="B519" i="1"/>
  <c r="A519" i="1"/>
  <c r="L518" i="1"/>
  <c r="D518" i="1"/>
  <c r="B518" i="1"/>
  <c r="A518" i="1"/>
  <c r="L517" i="1"/>
  <c r="D517" i="1"/>
  <c r="B517" i="1"/>
  <c r="A517" i="1"/>
  <c r="L516" i="1"/>
  <c r="D516" i="1"/>
  <c r="B516" i="1"/>
  <c r="A516" i="1"/>
  <c r="L515" i="1"/>
  <c r="D515" i="1"/>
  <c r="B515" i="1"/>
  <c r="A515" i="1"/>
  <c r="L514" i="1"/>
  <c r="D514" i="1"/>
  <c r="B514" i="1"/>
  <c r="A514" i="1"/>
  <c r="L513" i="1"/>
  <c r="D513" i="1"/>
  <c r="B513" i="1"/>
  <c r="A513" i="1"/>
  <c r="L512" i="1"/>
  <c r="D512" i="1"/>
  <c r="B512" i="1"/>
  <c r="A512" i="1"/>
  <c r="L511" i="1"/>
  <c r="D511" i="1"/>
  <c r="B511" i="1"/>
  <c r="A511" i="1"/>
  <c r="P293" i="7"/>
  <c r="O293" i="7"/>
  <c r="N293" i="7"/>
  <c r="M293" i="7"/>
  <c r="K293" i="7"/>
  <c r="E559" i="1" s="1"/>
  <c r="J293" i="7"/>
  <c r="L293" i="7" s="1"/>
  <c r="F559" i="1" s="1"/>
  <c r="P292" i="7"/>
  <c r="O292" i="7"/>
  <c r="N292" i="7"/>
  <c r="M292" i="7"/>
  <c r="K292" i="7"/>
  <c r="E558" i="1" s="1"/>
  <c r="J292" i="7"/>
  <c r="L292" i="7" s="1"/>
  <c r="F558" i="1" s="1"/>
  <c r="P291" i="7"/>
  <c r="O291" i="7"/>
  <c r="N291" i="7"/>
  <c r="M291" i="7"/>
  <c r="K291" i="7"/>
  <c r="E557" i="1" s="1"/>
  <c r="J291" i="7"/>
  <c r="C557" i="1" s="1"/>
  <c r="P290" i="7"/>
  <c r="O290" i="7"/>
  <c r="N290" i="7"/>
  <c r="M290" i="7"/>
  <c r="K290" i="7"/>
  <c r="E556" i="1" s="1"/>
  <c r="J290" i="7"/>
  <c r="L290" i="7" s="1"/>
  <c r="F556" i="1" s="1"/>
  <c r="P289" i="7"/>
  <c r="O289" i="7"/>
  <c r="N289" i="7"/>
  <c r="M289" i="7"/>
  <c r="K289" i="7"/>
  <c r="E555" i="1" s="1"/>
  <c r="J289" i="7"/>
  <c r="L289" i="7" s="1"/>
  <c r="F555" i="1" s="1"/>
  <c r="P288" i="7"/>
  <c r="O288" i="7"/>
  <c r="N288" i="7"/>
  <c r="M288" i="7"/>
  <c r="K288" i="7"/>
  <c r="E554" i="1" s="1"/>
  <c r="J288" i="7"/>
  <c r="L288" i="7" s="1"/>
  <c r="F554" i="1" s="1"/>
  <c r="P287" i="7"/>
  <c r="O287" i="7"/>
  <c r="N287" i="7"/>
  <c r="M287" i="7"/>
  <c r="K287" i="7"/>
  <c r="E553" i="1" s="1"/>
  <c r="J287" i="7"/>
  <c r="C553" i="1" s="1"/>
  <c r="P286" i="7"/>
  <c r="O286" i="7"/>
  <c r="N286" i="7"/>
  <c r="M286" i="7"/>
  <c r="K286" i="7"/>
  <c r="E552" i="1" s="1"/>
  <c r="J286" i="7"/>
  <c r="C552" i="1" s="1"/>
  <c r="P285" i="7"/>
  <c r="O285" i="7"/>
  <c r="N285" i="7"/>
  <c r="M285" i="7"/>
  <c r="K285" i="7"/>
  <c r="E551" i="1" s="1"/>
  <c r="J285" i="7"/>
  <c r="L285" i="7" s="1"/>
  <c r="F551" i="1" s="1"/>
  <c r="P284" i="7"/>
  <c r="O284" i="7"/>
  <c r="N284" i="7"/>
  <c r="M284" i="7"/>
  <c r="K284" i="7"/>
  <c r="E550" i="1" s="1"/>
  <c r="J284" i="7"/>
  <c r="L284" i="7" s="1"/>
  <c r="F550" i="1" s="1"/>
  <c r="P283" i="7"/>
  <c r="O283" i="7"/>
  <c r="N283" i="7"/>
  <c r="M283" i="7"/>
  <c r="K283" i="7"/>
  <c r="E549" i="1" s="1"/>
  <c r="J283" i="7"/>
  <c r="C549" i="1" s="1"/>
  <c r="P282" i="7"/>
  <c r="O282" i="7"/>
  <c r="N282" i="7"/>
  <c r="M282" i="7"/>
  <c r="K282" i="7"/>
  <c r="E548" i="1" s="1"/>
  <c r="J282" i="7"/>
  <c r="C548" i="1" s="1"/>
  <c r="P281" i="7"/>
  <c r="O281" i="7"/>
  <c r="N281" i="7"/>
  <c r="M281" i="7"/>
  <c r="K281" i="7"/>
  <c r="E547" i="1" s="1"/>
  <c r="J281" i="7"/>
  <c r="L281" i="7" s="1"/>
  <c r="F547" i="1" s="1"/>
  <c r="P280" i="7"/>
  <c r="O280" i="7"/>
  <c r="N280" i="7"/>
  <c r="M280" i="7"/>
  <c r="K280" i="7"/>
  <c r="E546" i="1" s="1"/>
  <c r="J280" i="7"/>
  <c r="L280" i="7" s="1"/>
  <c r="F546" i="1" s="1"/>
  <c r="P279" i="7"/>
  <c r="O279" i="7"/>
  <c r="N279" i="7"/>
  <c r="M279" i="7"/>
  <c r="K279" i="7"/>
  <c r="E545" i="1" s="1"/>
  <c r="J279" i="7"/>
  <c r="C545" i="1" s="1"/>
  <c r="P278" i="7"/>
  <c r="O278" i="7"/>
  <c r="N278" i="7"/>
  <c r="M278" i="7"/>
  <c r="K278" i="7"/>
  <c r="E544" i="1" s="1"/>
  <c r="J278" i="7"/>
  <c r="L278" i="7" s="1"/>
  <c r="F544" i="1" s="1"/>
  <c r="P277" i="7"/>
  <c r="O277" i="7"/>
  <c r="N277" i="7"/>
  <c r="M277" i="7"/>
  <c r="K277" i="7"/>
  <c r="E543" i="1" s="1"/>
  <c r="J277" i="7"/>
  <c r="L277" i="7" s="1"/>
  <c r="F543" i="1" s="1"/>
  <c r="P276" i="7"/>
  <c r="O276" i="7"/>
  <c r="N276" i="7"/>
  <c r="M276" i="7"/>
  <c r="K276" i="7"/>
  <c r="E542" i="1" s="1"/>
  <c r="J276" i="7"/>
  <c r="L276" i="7" s="1"/>
  <c r="F542" i="1" s="1"/>
  <c r="P275" i="7"/>
  <c r="O275" i="7"/>
  <c r="N275" i="7"/>
  <c r="M275" i="7"/>
  <c r="K275" i="7"/>
  <c r="E541" i="1" s="1"/>
  <c r="J275" i="7"/>
  <c r="C541" i="1" s="1"/>
  <c r="P274" i="7"/>
  <c r="O274" i="7"/>
  <c r="N274" i="7"/>
  <c r="M274" i="7"/>
  <c r="K274" i="7"/>
  <c r="E540" i="1" s="1"/>
  <c r="J274" i="7"/>
  <c r="L274" i="7" s="1"/>
  <c r="F540" i="1" s="1"/>
  <c r="P273" i="7"/>
  <c r="O273" i="7"/>
  <c r="N273" i="7"/>
  <c r="M273" i="7"/>
  <c r="K273" i="7"/>
  <c r="E539" i="1" s="1"/>
  <c r="J273" i="7"/>
  <c r="L273" i="7" s="1"/>
  <c r="F539" i="1" s="1"/>
  <c r="P272" i="7"/>
  <c r="O272" i="7"/>
  <c r="N272" i="7"/>
  <c r="M272" i="7"/>
  <c r="K272" i="7"/>
  <c r="E538" i="1" s="1"/>
  <c r="J272" i="7"/>
  <c r="L272" i="7" s="1"/>
  <c r="F538" i="1" s="1"/>
  <c r="P271" i="7"/>
  <c r="O271" i="7"/>
  <c r="N271" i="7"/>
  <c r="M271" i="7"/>
  <c r="K271" i="7"/>
  <c r="E537" i="1" s="1"/>
  <c r="J271" i="7"/>
  <c r="C537" i="1" s="1"/>
  <c r="P270" i="7"/>
  <c r="O270" i="7"/>
  <c r="N270" i="7"/>
  <c r="M270" i="7"/>
  <c r="K270" i="7"/>
  <c r="E536" i="1" s="1"/>
  <c r="J270" i="7"/>
  <c r="L270" i="7" s="1"/>
  <c r="F536" i="1" s="1"/>
  <c r="P269" i="7"/>
  <c r="O269" i="7"/>
  <c r="N269" i="7"/>
  <c r="M269" i="7"/>
  <c r="K269" i="7"/>
  <c r="E535" i="1" s="1"/>
  <c r="J269" i="7"/>
  <c r="L269" i="7" s="1"/>
  <c r="F535" i="1" s="1"/>
  <c r="P268" i="7"/>
  <c r="O268" i="7"/>
  <c r="N268" i="7"/>
  <c r="M268" i="7"/>
  <c r="K268" i="7"/>
  <c r="E534" i="1" s="1"/>
  <c r="J268" i="7"/>
  <c r="L268" i="7" s="1"/>
  <c r="F534" i="1" s="1"/>
  <c r="P267" i="7"/>
  <c r="O267" i="7"/>
  <c r="N267" i="7"/>
  <c r="M267" i="7"/>
  <c r="K267" i="7"/>
  <c r="E533" i="1" s="1"/>
  <c r="J267" i="7"/>
  <c r="C533" i="1" s="1"/>
  <c r="P266" i="7"/>
  <c r="O266" i="7"/>
  <c r="N266" i="7"/>
  <c r="M266" i="7"/>
  <c r="K266" i="7"/>
  <c r="E532" i="1" s="1"/>
  <c r="J266" i="7"/>
  <c r="C532" i="1" s="1"/>
  <c r="P265" i="7"/>
  <c r="O265" i="7"/>
  <c r="N265" i="7"/>
  <c r="M265" i="7"/>
  <c r="K265" i="7"/>
  <c r="E531" i="1" s="1"/>
  <c r="J265" i="7"/>
  <c r="L265" i="7" s="1"/>
  <c r="F531" i="1" s="1"/>
  <c r="P264" i="7"/>
  <c r="O264" i="7"/>
  <c r="N264" i="7"/>
  <c r="M264" i="7"/>
  <c r="K264" i="7"/>
  <c r="E530" i="1" s="1"/>
  <c r="J264" i="7"/>
  <c r="L264" i="7" s="1"/>
  <c r="F530" i="1" s="1"/>
  <c r="P263" i="7"/>
  <c r="O263" i="7"/>
  <c r="N263" i="7"/>
  <c r="M263" i="7"/>
  <c r="K263" i="7"/>
  <c r="E529" i="1" s="1"/>
  <c r="J263" i="7"/>
  <c r="C529" i="1" s="1"/>
  <c r="P262" i="7"/>
  <c r="O262" i="7"/>
  <c r="N262" i="7"/>
  <c r="M262" i="7"/>
  <c r="K262" i="7"/>
  <c r="E528" i="1" s="1"/>
  <c r="J262" i="7"/>
  <c r="L262" i="7" s="1"/>
  <c r="F528" i="1" s="1"/>
  <c r="P261" i="7"/>
  <c r="O261" i="7"/>
  <c r="N261" i="7"/>
  <c r="M261" i="7"/>
  <c r="K261" i="7"/>
  <c r="E527" i="1" s="1"/>
  <c r="J261" i="7"/>
  <c r="L261" i="7" s="1"/>
  <c r="F527" i="1" s="1"/>
  <c r="P260" i="7"/>
  <c r="O260" i="7"/>
  <c r="N260" i="7"/>
  <c r="M260" i="7"/>
  <c r="K260" i="7"/>
  <c r="E526" i="1" s="1"/>
  <c r="J260" i="7"/>
  <c r="L260" i="7" s="1"/>
  <c r="F526" i="1" s="1"/>
  <c r="P259" i="7"/>
  <c r="O259" i="7"/>
  <c r="N259" i="7"/>
  <c r="M259" i="7"/>
  <c r="K259" i="7"/>
  <c r="E525" i="1" s="1"/>
  <c r="J259" i="7"/>
  <c r="C525" i="1" s="1"/>
  <c r="P258" i="7"/>
  <c r="O258" i="7"/>
  <c r="N258" i="7"/>
  <c r="M258" i="7"/>
  <c r="K258" i="7"/>
  <c r="E524" i="1" s="1"/>
  <c r="J258" i="7"/>
  <c r="L258" i="7" s="1"/>
  <c r="F524" i="1" s="1"/>
  <c r="P257" i="7"/>
  <c r="O257" i="7"/>
  <c r="N257" i="7"/>
  <c r="M257" i="7"/>
  <c r="K257" i="7"/>
  <c r="E523" i="1" s="1"/>
  <c r="J257" i="7"/>
  <c r="L257" i="7" s="1"/>
  <c r="F523" i="1" s="1"/>
  <c r="P256" i="7"/>
  <c r="O256" i="7"/>
  <c r="N256" i="7"/>
  <c r="M256" i="7"/>
  <c r="K256" i="7"/>
  <c r="E522" i="1" s="1"/>
  <c r="J256" i="7"/>
  <c r="C522" i="1" s="1"/>
  <c r="P255" i="7"/>
  <c r="O255" i="7"/>
  <c r="N255" i="7"/>
  <c r="M255" i="7"/>
  <c r="L255" i="7"/>
  <c r="F521" i="1" s="1"/>
  <c r="K255" i="7"/>
  <c r="E521" i="1" s="1"/>
  <c r="J255" i="7"/>
  <c r="C521" i="1" s="1"/>
  <c r="P254" i="7"/>
  <c r="O254" i="7"/>
  <c r="N254" i="7"/>
  <c r="M254" i="7"/>
  <c r="K254" i="7"/>
  <c r="E520" i="1" s="1"/>
  <c r="J254" i="7"/>
  <c r="L254" i="7" s="1"/>
  <c r="F520" i="1" s="1"/>
  <c r="P253" i="7"/>
  <c r="O253" i="7"/>
  <c r="N253" i="7"/>
  <c r="M253" i="7"/>
  <c r="K253" i="7"/>
  <c r="E519" i="1" s="1"/>
  <c r="J253" i="7"/>
  <c r="L253" i="7" s="1"/>
  <c r="F519" i="1" s="1"/>
  <c r="P252" i="7"/>
  <c r="O252" i="7"/>
  <c r="N252" i="7"/>
  <c r="M252" i="7"/>
  <c r="K252" i="7"/>
  <c r="E518" i="1" s="1"/>
  <c r="J252" i="7"/>
  <c r="C518" i="1" s="1"/>
  <c r="P251" i="7"/>
  <c r="O251" i="7"/>
  <c r="N251" i="7"/>
  <c r="M251" i="7"/>
  <c r="K251" i="7"/>
  <c r="E517" i="1" s="1"/>
  <c r="J251" i="7"/>
  <c r="L251" i="7" s="1"/>
  <c r="F517" i="1" s="1"/>
  <c r="P250" i="7"/>
  <c r="O250" i="7"/>
  <c r="N250" i="7"/>
  <c r="M250" i="7"/>
  <c r="K250" i="7"/>
  <c r="E516" i="1" s="1"/>
  <c r="J250" i="7"/>
  <c r="L250" i="7" s="1"/>
  <c r="F516" i="1" s="1"/>
  <c r="P249" i="7"/>
  <c r="O249" i="7"/>
  <c r="N249" i="7"/>
  <c r="M249" i="7"/>
  <c r="K249" i="7"/>
  <c r="E515" i="1" s="1"/>
  <c r="J249" i="7"/>
  <c r="L249" i="7" s="1"/>
  <c r="F515" i="1" s="1"/>
  <c r="P248" i="7"/>
  <c r="O248" i="7"/>
  <c r="N248" i="7"/>
  <c r="M248" i="7"/>
  <c r="K248" i="7"/>
  <c r="E514" i="1" s="1"/>
  <c r="J248" i="7"/>
  <c r="C514" i="1" s="1"/>
  <c r="P247" i="7"/>
  <c r="O247" i="7"/>
  <c r="N247" i="7"/>
  <c r="M247" i="7"/>
  <c r="K247" i="7"/>
  <c r="E513" i="1" s="1"/>
  <c r="J247" i="7"/>
  <c r="L247" i="7" s="1"/>
  <c r="F513" i="1" s="1"/>
  <c r="P246" i="7"/>
  <c r="O246" i="7"/>
  <c r="N246" i="7"/>
  <c r="M246" i="7"/>
  <c r="K246" i="7"/>
  <c r="E512" i="1" s="1"/>
  <c r="J246" i="7"/>
  <c r="L246" i="7" s="1"/>
  <c r="F512" i="1" s="1"/>
  <c r="P245" i="7"/>
  <c r="O245" i="7"/>
  <c r="N245" i="7"/>
  <c r="M245" i="7"/>
  <c r="K245" i="7"/>
  <c r="E511" i="1" s="1"/>
  <c r="J245" i="7"/>
  <c r="L245" i="7" s="1"/>
  <c r="F511" i="1" s="1"/>
  <c r="L266" i="7" l="1"/>
  <c r="F532" i="1" s="1"/>
  <c r="L248" i="7"/>
  <c r="F514" i="1" s="1"/>
  <c r="L271" i="7"/>
  <c r="F537" i="1" s="1"/>
  <c r="C517" i="1"/>
  <c r="C524" i="1"/>
  <c r="L287" i="7"/>
  <c r="F553" i="1" s="1"/>
  <c r="L282" i="7"/>
  <c r="F548" i="1" s="1"/>
  <c r="C513" i="1"/>
  <c r="C540" i="1"/>
  <c r="C556" i="1"/>
  <c r="L263" i="7"/>
  <c r="F529" i="1" s="1"/>
  <c r="L279" i="7"/>
  <c r="F545" i="1" s="1"/>
  <c r="L256" i="7"/>
  <c r="F522" i="1" s="1"/>
  <c r="C528" i="1"/>
  <c r="C512" i="1"/>
  <c r="C516" i="1"/>
  <c r="C520" i="1"/>
  <c r="C523" i="1"/>
  <c r="C527" i="1"/>
  <c r="C531" i="1"/>
  <c r="C535" i="1"/>
  <c r="C539" i="1"/>
  <c r="C543" i="1"/>
  <c r="C547" i="1"/>
  <c r="C551" i="1"/>
  <c r="C555" i="1"/>
  <c r="C559" i="1"/>
  <c r="C536" i="1"/>
  <c r="C544" i="1"/>
  <c r="L252" i="7"/>
  <c r="F518" i="1" s="1"/>
  <c r="L286" i="7"/>
  <c r="F552" i="1" s="1"/>
  <c r="C511" i="1"/>
  <c r="C515" i="1"/>
  <c r="C519" i="1"/>
  <c r="C526" i="1"/>
  <c r="C530" i="1"/>
  <c r="C534" i="1"/>
  <c r="C538" i="1"/>
  <c r="C542" i="1"/>
  <c r="C546" i="1"/>
  <c r="C550" i="1"/>
  <c r="C554" i="1"/>
  <c r="C558" i="1"/>
  <c r="L259" i="7"/>
  <c r="F525" i="1" s="1"/>
  <c r="L267" i="7"/>
  <c r="F533" i="1" s="1"/>
  <c r="L275" i="7"/>
  <c r="F541" i="1" s="1"/>
  <c r="L283" i="7"/>
  <c r="F549" i="1" s="1"/>
  <c r="L291" i="7"/>
  <c r="F557" i="1" s="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7" i="1"/>
  <c r="B348" i="1"/>
  <c r="B349" i="1"/>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D510" i="1"/>
  <c r="A510" i="1"/>
  <c r="D509" i="1"/>
  <c r="A509" i="1"/>
  <c r="D508" i="1"/>
  <c r="A508" i="1"/>
  <c r="D507" i="1"/>
  <c r="A507" i="1"/>
  <c r="D506" i="1"/>
  <c r="A506" i="1"/>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F468" i="1"/>
  <c r="D468" i="1"/>
  <c r="A468" i="1"/>
  <c r="D467" i="1"/>
  <c r="A467" i="1"/>
  <c r="D466" i="1"/>
  <c r="A466" i="1"/>
  <c r="D465" i="1"/>
  <c r="A465" i="1"/>
  <c r="D464" i="1"/>
  <c r="A464" i="1"/>
  <c r="D463" i="1"/>
  <c r="A463" i="1"/>
  <c r="D462" i="1"/>
  <c r="A462" i="1"/>
  <c r="D461" i="1"/>
  <c r="A461" i="1"/>
  <c r="D460" i="1"/>
  <c r="A460" i="1"/>
  <c r="D459" i="1"/>
  <c r="A459" i="1"/>
  <c r="D458" i="1"/>
  <c r="A458" i="1"/>
  <c r="D457"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E510" i="1" s="1"/>
  <c r="J244" i="7"/>
  <c r="L244" i="7" s="1"/>
  <c r="F510" i="1" s="1"/>
  <c r="N243" i="7"/>
  <c r="M243" i="7"/>
  <c r="K243" i="7"/>
  <c r="E509" i="1" s="1"/>
  <c r="J243" i="7"/>
  <c r="L243" i="7" s="1"/>
  <c r="F509" i="1" s="1"/>
  <c r="N242" i="7"/>
  <c r="M242" i="7"/>
  <c r="K242" i="7"/>
  <c r="E508" i="1" s="1"/>
  <c r="J242" i="7"/>
  <c r="C508" i="1" s="1"/>
  <c r="N241" i="7"/>
  <c r="M241" i="7"/>
  <c r="K241" i="7"/>
  <c r="E507" i="1" s="1"/>
  <c r="J241" i="7"/>
  <c r="L241" i="7" s="1"/>
  <c r="F507" i="1" s="1"/>
  <c r="N240" i="7"/>
  <c r="M240" i="7"/>
  <c r="K240" i="7"/>
  <c r="E506" i="1" s="1"/>
  <c r="J240" i="7"/>
  <c r="L240" i="7" s="1"/>
  <c r="F506" i="1" s="1"/>
  <c r="N239" i="7"/>
  <c r="M239" i="7"/>
  <c r="K239" i="7"/>
  <c r="E505" i="1" s="1"/>
  <c r="J239" i="7"/>
  <c r="L239" i="7" s="1"/>
  <c r="F505" i="1" s="1"/>
  <c r="N238" i="7"/>
  <c r="M238" i="7"/>
  <c r="L238" i="7"/>
  <c r="F504" i="1" s="1"/>
  <c r="K238" i="7"/>
  <c r="E504" i="1" s="1"/>
  <c r="J238" i="7"/>
  <c r="C504" i="1" s="1"/>
  <c r="N237" i="7"/>
  <c r="M237" i="7"/>
  <c r="K237" i="7"/>
  <c r="E503" i="1" s="1"/>
  <c r="J237" i="7"/>
  <c r="L237" i="7" s="1"/>
  <c r="F503" i="1" s="1"/>
  <c r="N236" i="7"/>
  <c r="M236" i="7"/>
  <c r="K236" i="7"/>
  <c r="E502" i="1" s="1"/>
  <c r="J236" i="7"/>
  <c r="L236" i="7" s="1"/>
  <c r="F502" i="1" s="1"/>
  <c r="N235" i="7"/>
  <c r="M235" i="7"/>
  <c r="K235" i="7"/>
  <c r="E501" i="1" s="1"/>
  <c r="J235" i="7"/>
  <c r="L235" i="7" s="1"/>
  <c r="F501" i="1" s="1"/>
  <c r="N234" i="7"/>
  <c r="M234" i="7"/>
  <c r="K234" i="7"/>
  <c r="E500" i="1" s="1"/>
  <c r="J234" i="7"/>
  <c r="L234" i="7" s="1"/>
  <c r="F500" i="1" s="1"/>
  <c r="N233" i="7"/>
  <c r="M233" i="7"/>
  <c r="K233" i="7"/>
  <c r="E499" i="1" s="1"/>
  <c r="J233" i="7"/>
  <c r="L233" i="7" s="1"/>
  <c r="F499" i="1" s="1"/>
  <c r="N232" i="7"/>
  <c r="M232" i="7"/>
  <c r="K232" i="7"/>
  <c r="E498" i="1" s="1"/>
  <c r="J232" i="7"/>
  <c r="L232" i="7" s="1"/>
  <c r="F498" i="1" s="1"/>
  <c r="N231" i="7"/>
  <c r="M231" i="7"/>
  <c r="K231" i="7"/>
  <c r="E497" i="1" s="1"/>
  <c r="J231" i="7"/>
  <c r="L231" i="7" s="1"/>
  <c r="F497" i="1" s="1"/>
  <c r="N230" i="7"/>
  <c r="M230" i="7"/>
  <c r="K230" i="7"/>
  <c r="E496" i="1" s="1"/>
  <c r="J230" i="7"/>
  <c r="C496" i="1" s="1"/>
  <c r="N229" i="7"/>
  <c r="M229" i="7"/>
  <c r="K229" i="7"/>
  <c r="E495" i="1" s="1"/>
  <c r="J229" i="7"/>
  <c r="L229" i="7" s="1"/>
  <c r="F495" i="1" s="1"/>
  <c r="N228" i="7"/>
  <c r="M228" i="7"/>
  <c r="K228" i="7"/>
  <c r="E494" i="1" s="1"/>
  <c r="J228" i="7"/>
  <c r="L228" i="7" s="1"/>
  <c r="F494" i="1" s="1"/>
  <c r="N227" i="7"/>
  <c r="M227" i="7"/>
  <c r="K227" i="7"/>
  <c r="E493" i="1" s="1"/>
  <c r="J227" i="7"/>
  <c r="L227" i="7" s="1"/>
  <c r="F493" i="1" s="1"/>
  <c r="N226" i="7"/>
  <c r="M226" i="7"/>
  <c r="K226" i="7"/>
  <c r="E492" i="1" s="1"/>
  <c r="J226" i="7"/>
  <c r="L226" i="7" s="1"/>
  <c r="F492" i="1" s="1"/>
  <c r="N225" i="7"/>
  <c r="M225" i="7"/>
  <c r="K225" i="7"/>
  <c r="E491" i="1" s="1"/>
  <c r="J225" i="7"/>
  <c r="C491" i="1" s="1"/>
  <c r="N224" i="7"/>
  <c r="M224" i="7"/>
  <c r="K224" i="7"/>
  <c r="E490" i="1" s="1"/>
  <c r="J224" i="7"/>
  <c r="L224" i="7" s="1"/>
  <c r="F490" i="1" s="1"/>
  <c r="N223" i="7"/>
  <c r="M223" i="7"/>
  <c r="K223" i="7"/>
  <c r="E489" i="1" s="1"/>
  <c r="J223" i="7"/>
  <c r="L223" i="7" s="1"/>
  <c r="F489" i="1" s="1"/>
  <c r="N222" i="7"/>
  <c r="M222" i="7"/>
  <c r="K222" i="7"/>
  <c r="E488" i="1" s="1"/>
  <c r="J222" i="7"/>
  <c r="C488" i="1" s="1"/>
  <c r="N221" i="7"/>
  <c r="M221" i="7"/>
  <c r="K221" i="7"/>
  <c r="E487" i="1" s="1"/>
  <c r="J221" i="7"/>
  <c r="L221" i="7" s="1"/>
  <c r="F487" i="1" s="1"/>
  <c r="N220" i="7"/>
  <c r="M220" i="7"/>
  <c r="K220" i="7"/>
  <c r="E486" i="1" s="1"/>
  <c r="J220" i="7"/>
  <c r="L220" i="7" s="1"/>
  <c r="F486" i="1" s="1"/>
  <c r="N219" i="7"/>
  <c r="M219" i="7"/>
  <c r="K219" i="7"/>
  <c r="E485" i="1" s="1"/>
  <c r="J219" i="7"/>
  <c r="L219" i="7" s="1"/>
  <c r="F485" i="1" s="1"/>
  <c r="N218" i="7"/>
  <c r="M218" i="7"/>
  <c r="K218" i="7"/>
  <c r="E484" i="1" s="1"/>
  <c r="J218" i="7"/>
  <c r="L218" i="7" s="1"/>
  <c r="F484" i="1" s="1"/>
  <c r="N217" i="7"/>
  <c r="M217" i="7"/>
  <c r="K217" i="7"/>
  <c r="E483" i="1" s="1"/>
  <c r="J217" i="7"/>
  <c r="L217" i="7" s="1"/>
  <c r="F483" i="1" s="1"/>
  <c r="N216" i="7"/>
  <c r="M216" i="7"/>
  <c r="K216" i="7"/>
  <c r="E482" i="1" s="1"/>
  <c r="J216" i="7"/>
  <c r="L216" i="7" s="1"/>
  <c r="F482" i="1" s="1"/>
  <c r="N215" i="7"/>
  <c r="M215" i="7"/>
  <c r="K215" i="7"/>
  <c r="E481" i="1" s="1"/>
  <c r="J215" i="7"/>
  <c r="L215" i="7" s="1"/>
  <c r="F481" i="1" s="1"/>
  <c r="N214" i="7"/>
  <c r="M214" i="7"/>
  <c r="K214" i="7"/>
  <c r="E480" i="1" s="1"/>
  <c r="J214" i="7"/>
  <c r="C480" i="1" s="1"/>
  <c r="N213" i="7"/>
  <c r="M213" i="7"/>
  <c r="K213" i="7"/>
  <c r="E479" i="1" s="1"/>
  <c r="J213" i="7"/>
  <c r="L213" i="7" s="1"/>
  <c r="F479" i="1" s="1"/>
  <c r="N212" i="7"/>
  <c r="M212" i="7"/>
  <c r="K212" i="7"/>
  <c r="E478" i="1" s="1"/>
  <c r="J212" i="7"/>
  <c r="L212" i="7" s="1"/>
  <c r="F478" i="1" s="1"/>
  <c r="N211" i="7"/>
  <c r="M211" i="7"/>
  <c r="K211" i="7"/>
  <c r="E477" i="1" s="1"/>
  <c r="J211" i="7"/>
  <c r="L211" i="7" s="1"/>
  <c r="F477" i="1" s="1"/>
  <c r="N210" i="7"/>
  <c r="M210" i="7"/>
  <c r="K210" i="7"/>
  <c r="E476" i="1" s="1"/>
  <c r="J210" i="7"/>
  <c r="L210" i="7" s="1"/>
  <c r="F476" i="1" s="1"/>
  <c r="N209" i="7"/>
  <c r="M209" i="7"/>
  <c r="K209" i="7"/>
  <c r="E475" i="1" s="1"/>
  <c r="J209" i="7"/>
  <c r="C475" i="1" s="1"/>
  <c r="N208" i="7"/>
  <c r="M208" i="7"/>
  <c r="K208" i="7"/>
  <c r="E474" i="1" s="1"/>
  <c r="J208" i="7"/>
  <c r="L208" i="7" s="1"/>
  <c r="F474" i="1" s="1"/>
  <c r="N207" i="7"/>
  <c r="M207" i="7"/>
  <c r="K207" i="7"/>
  <c r="E473" i="1" s="1"/>
  <c r="J207" i="7"/>
  <c r="L207" i="7" s="1"/>
  <c r="F473" i="1" s="1"/>
  <c r="N206" i="7"/>
  <c r="M206" i="7"/>
  <c r="L206" i="7"/>
  <c r="F472" i="1" s="1"/>
  <c r="K206" i="7"/>
  <c r="E472" i="1" s="1"/>
  <c r="J206" i="7"/>
  <c r="C472" i="1" s="1"/>
  <c r="N205" i="7"/>
  <c r="M205" i="7"/>
  <c r="K205" i="7"/>
  <c r="E471" i="1" s="1"/>
  <c r="J205" i="7"/>
  <c r="L205" i="7" s="1"/>
  <c r="F471" i="1" s="1"/>
  <c r="N204" i="7"/>
  <c r="M204" i="7"/>
  <c r="K204" i="7"/>
  <c r="E470" i="1" s="1"/>
  <c r="J204" i="7"/>
  <c r="L204" i="7" s="1"/>
  <c r="F470" i="1" s="1"/>
  <c r="N203" i="7"/>
  <c r="M203" i="7"/>
  <c r="K203" i="7"/>
  <c r="E469" i="1" s="1"/>
  <c r="J203" i="7"/>
  <c r="L203" i="7" s="1"/>
  <c r="F469" i="1" s="1"/>
  <c r="N202" i="7"/>
  <c r="M202" i="7"/>
  <c r="K202" i="7"/>
  <c r="E468" i="1" s="1"/>
  <c r="J202" i="7"/>
  <c r="L202" i="7" s="1"/>
  <c r="N201" i="7"/>
  <c r="M201" i="7"/>
  <c r="K201" i="7"/>
  <c r="E467" i="1" s="1"/>
  <c r="J201" i="7"/>
  <c r="L201" i="7" s="1"/>
  <c r="F467" i="1" s="1"/>
  <c r="N200" i="7"/>
  <c r="M200" i="7"/>
  <c r="K200" i="7"/>
  <c r="E466" i="1" s="1"/>
  <c r="J200" i="7"/>
  <c r="L200" i="7" s="1"/>
  <c r="F466" i="1" s="1"/>
  <c r="N199" i="7"/>
  <c r="M199" i="7"/>
  <c r="K199" i="7"/>
  <c r="E465" i="1" s="1"/>
  <c r="J199" i="7"/>
  <c r="L199" i="7" s="1"/>
  <c r="F465" i="1" s="1"/>
  <c r="N198" i="7"/>
  <c r="M198" i="7"/>
  <c r="K198" i="7"/>
  <c r="E464" i="1" s="1"/>
  <c r="J198" i="7"/>
  <c r="C464" i="1" s="1"/>
  <c r="N197" i="7"/>
  <c r="M197" i="7"/>
  <c r="K197" i="7"/>
  <c r="E463" i="1" s="1"/>
  <c r="J197" i="7"/>
  <c r="L197" i="7" s="1"/>
  <c r="F463" i="1" s="1"/>
  <c r="N196" i="7"/>
  <c r="M196" i="7"/>
  <c r="K196" i="7"/>
  <c r="E462" i="1" s="1"/>
  <c r="J196" i="7"/>
  <c r="L196" i="7" s="1"/>
  <c r="F462" i="1" s="1"/>
  <c r="N195" i="7"/>
  <c r="M195" i="7"/>
  <c r="K195" i="7"/>
  <c r="E461" i="1" s="1"/>
  <c r="J195" i="7"/>
  <c r="L195" i="7" s="1"/>
  <c r="F461" i="1" s="1"/>
  <c r="N194" i="7"/>
  <c r="M194" i="7"/>
  <c r="K194" i="7"/>
  <c r="E460" i="1" s="1"/>
  <c r="J194" i="7"/>
  <c r="L194" i="7" s="1"/>
  <c r="F460" i="1" s="1"/>
  <c r="N193" i="7"/>
  <c r="M193" i="7"/>
  <c r="K193" i="7"/>
  <c r="E459" i="1" s="1"/>
  <c r="J193" i="7"/>
  <c r="L193" i="7" s="1"/>
  <c r="F459" i="1" s="1"/>
  <c r="N192" i="7"/>
  <c r="M192" i="7"/>
  <c r="K192" i="7"/>
  <c r="E458" i="1" s="1"/>
  <c r="J192" i="7"/>
  <c r="L192" i="7" s="1"/>
  <c r="F458" i="1" s="1"/>
  <c r="N191" i="7"/>
  <c r="M191" i="7"/>
  <c r="K191" i="7"/>
  <c r="E457" i="1" s="1"/>
  <c r="J191" i="7"/>
  <c r="L191" i="7" s="1"/>
  <c r="F457" i="1" s="1"/>
  <c r="N190" i="7"/>
  <c r="M190" i="7"/>
  <c r="K190" i="7"/>
  <c r="J190" i="7"/>
  <c r="L190" i="7" s="1"/>
  <c r="E62" i="2"/>
  <c r="C62" i="2"/>
  <c r="L209" i="7" l="1"/>
  <c r="F475" i="1" s="1"/>
  <c r="L225" i="7"/>
  <c r="F491" i="1" s="1"/>
  <c r="L230" i="7"/>
  <c r="F496" i="1" s="1"/>
  <c r="C479" i="1"/>
  <c r="L214" i="7"/>
  <c r="F480" i="1" s="1"/>
  <c r="C459" i="1"/>
  <c r="C487" i="1"/>
  <c r="L222" i="7"/>
  <c r="F488" i="1" s="1"/>
  <c r="L242" i="7"/>
  <c r="F508" i="1" s="1"/>
  <c r="C495" i="1"/>
  <c r="C507" i="1"/>
  <c r="C463" i="1"/>
  <c r="C471" i="1"/>
  <c r="C503" i="1"/>
  <c r="C467" i="1"/>
  <c r="L198" i="7"/>
  <c r="F464" i="1" s="1"/>
  <c r="C460" i="1"/>
  <c r="C468" i="1"/>
  <c r="C476" i="1"/>
  <c r="C484" i="1"/>
  <c r="C492" i="1"/>
  <c r="C500" i="1"/>
  <c r="C483" i="1"/>
  <c r="C499" i="1"/>
  <c r="C457" i="1"/>
  <c r="C461" i="1"/>
  <c r="C465" i="1"/>
  <c r="C469" i="1"/>
  <c r="C473" i="1"/>
  <c r="C477" i="1"/>
  <c r="C481" i="1"/>
  <c r="C485" i="1"/>
  <c r="C489" i="1"/>
  <c r="C493" i="1"/>
  <c r="C497" i="1"/>
  <c r="C501" i="1"/>
  <c r="C505" i="1"/>
  <c r="C509" i="1"/>
  <c r="C458" i="1"/>
  <c r="C462" i="1"/>
  <c r="C466" i="1"/>
  <c r="C470" i="1"/>
  <c r="C474" i="1"/>
  <c r="C478" i="1"/>
  <c r="C482" i="1"/>
  <c r="C486" i="1"/>
  <c r="C490" i="1"/>
  <c r="C494" i="1"/>
  <c r="C498" i="1"/>
  <c r="C502" i="1"/>
  <c r="C506" i="1"/>
  <c r="C510" i="1"/>
  <c r="E61" i="2"/>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E456"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N189" i="7"/>
  <c r="M189" i="7"/>
  <c r="N188" i="7"/>
  <c r="M188" i="7"/>
  <c r="N187" i="7"/>
  <c r="M187" i="7"/>
  <c r="N186" i="7"/>
  <c r="M186" i="7"/>
  <c r="N185" i="7"/>
  <c r="M185" i="7"/>
  <c r="N184" i="7"/>
  <c r="M184" i="7"/>
  <c r="N183" i="7"/>
  <c r="M183" i="7"/>
  <c r="N182" i="7"/>
  <c r="M182" i="7"/>
  <c r="N181" i="7"/>
  <c r="M181" i="7"/>
  <c r="N180" i="7"/>
  <c r="M180" i="7"/>
  <c r="N179" i="7"/>
  <c r="M179" i="7"/>
  <c r="N178" i="7"/>
  <c r="M178" i="7"/>
  <c r="N177" i="7"/>
  <c r="M177" i="7"/>
  <c r="N176" i="7"/>
  <c r="M176" i="7"/>
  <c r="N175" i="7"/>
  <c r="M175" i="7"/>
  <c r="N174" i="7"/>
  <c r="M174" i="7"/>
  <c r="N173" i="7"/>
  <c r="M173" i="7"/>
  <c r="N172" i="7"/>
  <c r="M172" i="7"/>
  <c r="N171" i="7"/>
  <c r="M171" i="7"/>
  <c r="N170" i="7"/>
  <c r="M170" i="7"/>
  <c r="N169" i="7"/>
  <c r="M169" i="7"/>
  <c r="N168" i="7"/>
  <c r="M168" i="7"/>
  <c r="N167" i="7"/>
  <c r="M167" i="7"/>
  <c r="N166" i="7"/>
  <c r="M166" i="7"/>
  <c r="N165" i="7"/>
  <c r="M165" i="7"/>
  <c r="N164" i="7"/>
  <c r="M164" i="7"/>
  <c r="N163" i="7"/>
  <c r="M163" i="7"/>
  <c r="N162" i="7"/>
  <c r="M162" i="7"/>
  <c r="N161" i="7"/>
  <c r="M161" i="7"/>
  <c r="N160" i="7"/>
  <c r="M160" i="7"/>
  <c r="N159" i="7"/>
  <c r="M159" i="7"/>
  <c r="N158" i="7"/>
  <c r="M158" i="7"/>
  <c r="N157" i="7"/>
  <c r="M157" i="7"/>
  <c r="N156" i="7"/>
  <c r="M156" i="7"/>
  <c r="N155" i="7"/>
  <c r="M155" i="7"/>
  <c r="N154" i="7"/>
  <c r="M154" i="7"/>
  <c r="N153" i="7"/>
  <c r="M153" i="7"/>
  <c r="N152" i="7"/>
  <c r="M152" i="7"/>
  <c r="N151" i="7"/>
  <c r="M151" i="7"/>
  <c r="N150" i="7"/>
  <c r="M150" i="7"/>
  <c r="N149" i="7"/>
  <c r="M149" i="7"/>
  <c r="N148" i="7"/>
  <c r="M148" i="7"/>
  <c r="N147" i="7"/>
  <c r="M147" i="7"/>
  <c r="N146" i="7"/>
  <c r="M146" i="7"/>
  <c r="N145" i="7"/>
  <c r="M145" i="7"/>
  <c r="N144" i="7"/>
  <c r="M144" i="7"/>
  <c r="N143" i="7"/>
  <c r="M143" i="7"/>
  <c r="N142" i="7"/>
  <c r="M142" i="7"/>
  <c r="N141" i="7"/>
  <c r="M141" i="7"/>
  <c r="N140" i="7"/>
  <c r="M140" i="7"/>
  <c r="N139" i="7"/>
  <c r="M139" i="7"/>
  <c r="N138" i="7"/>
  <c r="M138" i="7"/>
  <c r="N137" i="7"/>
  <c r="M137" i="7"/>
  <c r="N136" i="7"/>
  <c r="M136" i="7"/>
  <c r="N135" i="7"/>
  <c r="M135" i="7"/>
  <c r="N134" i="7"/>
  <c r="M134" i="7"/>
  <c r="N133" i="7"/>
  <c r="M133" i="7"/>
  <c r="N132" i="7"/>
  <c r="M132" i="7"/>
  <c r="N131" i="7"/>
  <c r="M131" i="7"/>
  <c r="N130" i="7"/>
  <c r="M130" i="7"/>
  <c r="N129" i="7"/>
  <c r="M129" i="7"/>
  <c r="N128" i="7"/>
  <c r="M128" i="7"/>
  <c r="N127" i="7"/>
  <c r="M127" i="7"/>
  <c r="N126" i="7"/>
  <c r="M126" i="7"/>
  <c r="N125" i="7"/>
  <c r="M125" i="7"/>
  <c r="N124" i="7"/>
  <c r="M124" i="7"/>
  <c r="N123" i="7"/>
  <c r="M123" i="7"/>
  <c r="N122" i="7"/>
  <c r="M122" i="7"/>
  <c r="N121" i="7"/>
  <c r="M121" i="7"/>
  <c r="N120" i="7"/>
  <c r="M120" i="7"/>
  <c r="N119" i="7"/>
  <c r="M119" i="7"/>
  <c r="N118" i="7"/>
  <c r="M118" i="7"/>
  <c r="N117" i="7"/>
  <c r="M117" i="7"/>
  <c r="N116" i="7"/>
  <c r="M116" i="7"/>
  <c r="N115" i="7"/>
  <c r="M115" i="7"/>
  <c r="N114" i="7"/>
  <c r="M114" i="7"/>
  <c r="N113" i="7"/>
  <c r="M113" i="7"/>
  <c r="N112" i="7"/>
  <c r="M112" i="7"/>
  <c r="N111" i="7"/>
  <c r="M111" i="7"/>
  <c r="N110" i="7"/>
  <c r="M110" i="7"/>
  <c r="N109" i="7"/>
  <c r="M109" i="7"/>
  <c r="N108" i="7"/>
  <c r="M108" i="7"/>
  <c r="N107" i="7"/>
  <c r="M107" i="7"/>
  <c r="N106" i="7"/>
  <c r="M106" i="7"/>
  <c r="N105" i="7"/>
  <c r="M105" i="7"/>
  <c r="N104" i="7"/>
  <c r="M104" i="7"/>
  <c r="N103" i="7"/>
  <c r="M103" i="7"/>
  <c r="N102" i="7"/>
  <c r="M102" i="7"/>
  <c r="N101" i="7"/>
  <c r="M101" i="7"/>
  <c r="N100" i="7"/>
  <c r="M100" i="7"/>
  <c r="N99" i="7"/>
  <c r="M99" i="7"/>
  <c r="N98" i="7"/>
  <c r="M98" i="7"/>
  <c r="N97" i="7"/>
  <c r="M97" i="7"/>
  <c r="N96" i="7"/>
  <c r="M96" i="7"/>
  <c r="N95" i="7"/>
  <c r="M95" i="7"/>
  <c r="N94" i="7"/>
  <c r="M94" i="7"/>
  <c r="N93" i="7"/>
  <c r="M93" i="7"/>
  <c r="N92" i="7"/>
  <c r="M92" i="7"/>
  <c r="N91" i="7"/>
  <c r="M91" i="7"/>
  <c r="N90" i="7"/>
  <c r="M90" i="7"/>
  <c r="N89" i="7"/>
  <c r="M89" i="7"/>
  <c r="N88" i="7"/>
  <c r="M88" i="7"/>
  <c r="N87" i="7"/>
  <c r="M87" i="7"/>
  <c r="N86" i="7"/>
  <c r="M86" i="7"/>
  <c r="N85" i="7"/>
  <c r="M85" i="7"/>
  <c r="N84" i="7"/>
  <c r="M84" i="7"/>
  <c r="N83" i="7"/>
  <c r="M83" i="7"/>
  <c r="N82" i="7"/>
  <c r="M82" i="7"/>
  <c r="N81" i="7"/>
  <c r="M81" i="7"/>
  <c r="K189" i="7"/>
  <c r="E455" i="1" s="1"/>
  <c r="K188" i="7"/>
  <c r="E454" i="1" s="1"/>
  <c r="K187" i="7"/>
  <c r="E453" i="1" s="1"/>
  <c r="K186" i="7"/>
  <c r="E452" i="1" s="1"/>
  <c r="K185" i="7"/>
  <c r="E451" i="1" s="1"/>
  <c r="K184" i="7"/>
  <c r="E450" i="1" s="1"/>
  <c r="K183" i="7"/>
  <c r="E449" i="1" s="1"/>
  <c r="K182" i="7"/>
  <c r="E448" i="1" s="1"/>
  <c r="K181" i="7"/>
  <c r="E447" i="1" s="1"/>
  <c r="K180" i="7"/>
  <c r="E446" i="1" s="1"/>
  <c r="K179" i="7"/>
  <c r="E445" i="1" s="1"/>
  <c r="K178" i="7"/>
  <c r="E444" i="1" s="1"/>
  <c r="K177" i="7"/>
  <c r="E443" i="1" s="1"/>
  <c r="K176" i="7"/>
  <c r="E442" i="1" s="1"/>
  <c r="K175" i="7"/>
  <c r="E441" i="1" s="1"/>
  <c r="K174" i="7"/>
  <c r="E440" i="1" s="1"/>
  <c r="K173" i="7"/>
  <c r="E439" i="1" s="1"/>
  <c r="K172" i="7"/>
  <c r="E438" i="1" s="1"/>
  <c r="K171" i="7"/>
  <c r="E437" i="1" s="1"/>
  <c r="K170" i="7"/>
  <c r="E436" i="1" s="1"/>
  <c r="K169" i="7"/>
  <c r="E435" i="1" s="1"/>
  <c r="K168" i="7"/>
  <c r="E434" i="1" s="1"/>
  <c r="K167" i="7"/>
  <c r="E433" i="1" s="1"/>
  <c r="K166" i="7"/>
  <c r="E432" i="1" s="1"/>
  <c r="K165" i="7"/>
  <c r="E431" i="1" s="1"/>
  <c r="K164" i="7"/>
  <c r="E430" i="1" s="1"/>
  <c r="K163" i="7"/>
  <c r="E429" i="1" s="1"/>
  <c r="K162" i="7"/>
  <c r="E428" i="1" s="1"/>
  <c r="K161" i="7"/>
  <c r="E427" i="1" s="1"/>
  <c r="K160" i="7"/>
  <c r="E426" i="1" s="1"/>
  <c r="K159" i="7"/>
  <c r="E425" i="1" s="1"/>
  <c r="K158" i="7"/>
  <c r="E424" i="1" s="1"/>
  <c r="K157" i="7"/>
  <c r="E423" i="1" s="1"/>
  <c r="K156" i="7"/>
  <c r="E422" i="1" s="1"/>
  <c r="K155" i="7"/>
  <c r="E421" i="1" s="1"/>
  <c r="K154" i="7"/>
  <c r="E420" i="1" s="1"/>
  <c r="K153" i="7"/>
  <c r="E419" i="1" s="1"/>
  <c r="K152" i="7"/>
  <c r="E418" i="1" s="1"/>
  <c r="K151" i="7"/>
  <c r="E417" i="1" s="1"/>
  <c r="K150" i="7"/>
  <c r="E416" i="1" s="1"/>
  <c r="K149" i="7"/>
  <c r="E415" i="1" s="1"/>
  <c r="K148" i="7"/>
  <c r="E414" i="1" s="1"/>
  <c r="K147" i="7"/>
  <c r="E413" i="1" s="1"/>
  <c r="K146" i="7"/>
  <c r="E412" i="1" s="1"/>
  <c r="K145" i="7"/>
  <c r="E411" i="1" s="1"/>
  <c r="K144" i="7"/>
  <c r="E410" i="1" s="1"/>
  <c r="K143" i="7"/>
  <c r="E409" i="1" s="1"/>
  <c r="K142" i="7"/>
  <c r="E408" i="1" s="1"/>
  <c r="K141" i="7"/>
  <c r="E407" i="1" s="1"/>
  <c r="K140" i="7"/>
  <c r="E406" i="1" s="1"/>
  <c r="K139" i="7"/>
  <c r="E405" i="1" s="1"/>
  <c r="K138" i="7"/>
  <c r="E404" i="1" s="1"/>
  <c r="K137" i="7"/>
  <c r="E403" i="1" s="1"/>
  <c r="K136" i="7"/>
  <c r="E402" i="1" s="1"/>
  <c r="K135" i="7"/>
  <c r="E401" i="1" s="1"/>
  <c r="K134" i="7"/>
  <c r="E400" i="1" s="1"/>
  <c r="K133" i="7"/>
  <c r="E399" i="1" s="1"/>
  <c r="K132" i="7"/>
  <c r="E398" i="1" s="1"/>
  <c r="K131" i="7"/>
  <c r="E397" i="1" s="1"/>
  <c r="K130" i="7"/>
  <c r="E396" i="1" s="1"/>
  <c r="K129" i="7"/>
  <c r="E395" i="1" s="1"/>
  <c r="K128" i="7"/>
  <c r="E394" i="1" s="1"/>
  <c r="K127" i="7"/>
  <c r="E393" i="1" s="1"/>
  <c r="K126" i="7"/>
  <c r="E392" i="1" s="1"/>
  <c r="K125" i="7"/>
  <c r="E391" i="1" s="1"/>
  <c r="K124" i="7"/>
  <c r="E390" i="1" s="1"/>
  <c r="K123" i="7"/>
  <c r="E389" i="1" s="1"/>
  <c r="K122" i="7"/>
  <c r="E388" i="1" s="1"/>
  <c r="K121" i="7"/>
  <c r="E387" i="1" s="1"/>
  <c r="K120" i="7"/>
  <c r="E386" i="1" s="1"/>
  <c r="K119" i="7"/>
  <c r="E385" i="1" s="1"/>
  <c r="K118" i="7"/>
  <c r="E384" i="1" s="1"/>
  <c r="K117" i="7"/>
  <c r="E383" i="1" s="1"/>
  <c r="K116" i="7"/>
  <c r="E382" i="1" s="1"/>
  <c r="K115" i="7"/>
  <c r="E381" i="1" s="1"/>
  <c r="K114" i="7"/>
  <c r="E380" i="1" s="1"/>
  <c r="K113" i="7"/>
  <c r="E379" i="1" s="1"/>
  <c r="K112" i="7"/>
  <c r="E378" i="1" s="1"/>
  <c r="K111" i="7"/>
  <c r="E377" i="1" s="1"/>
  <c r="K110" i="7"/>
  <c r="E376" i="1" s="1"/>
  <c r="K109" i="7"/>
  <c r="E375" i="1" s="1"/>
  <c r="K108" i="7"/>
  <c r="E374" i="1" s="1"/>
  <c r="K107" i="7"/>
  <c r="E373" i="1" s="1"/>
  <c r="K106" i="7"/>
  <c r="E372" i="1" s="1"/>
  <c r="K105" i="7"/>
  <c r="E371" i="1" s="1"/>
  <c r="K104" i="7"/>
  <c r="E370" i="1" s="1"/>
  <c r="K103" i="7"/>
  <c r="E369" i="1" s="1"/>
  <c r="K102" i="7"/>
  <c r="E368" i="1" s="1"/>
  <c r="K101" i="7"/>
  <c r="E367" i="1" s="1"/>
  <c r="K100" i="7"/>
  <c r="E366" i="1" s="1"/>
  <c r="K99" i="7"/>
  <c r="E365" i="1" s="1"/>
  <c r="K98" i="7"/>
  <c r="E364" i="1" s="1"/>
  <c r="K97" i="7"/>
  <c r="E363" i="1" s="1"/>
  <c r="K96" i="7"/>
  <c r="E362" i="1" s="1"/>
  <c r="K95" i="7"/>
  <c r="E361" i="1" s="1"/>
  <c r="K94" i="7"/>
  <c r="E360" i="1" s="1"/>
  <c r="K93" i="7"/>
  <c r="E359" i="1" s="1"/>
  <c r="K92" i="7"/>
  <c r="E358" i="1" s="1"/>
  <c r="J189" i="7"/>
  <c r="L189" i="7" s="1"/>
  <c r="F455" i="1"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C423" i="1" s="1"/>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L125" i="7" s="1"/>
  <c r="F391" i="1" s="1"/>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C359" i="1" s="1"/>
  <c r="J92" i="7"/>
  <c r="C358" i="1" s="1"/>
  <c r="K91" i="7"/>
  <c r="E357" i="1" s="1"/>
  <c r="J91" i="7"/>
  <c r="K90" i="7"/>
  <c r="E356" i="1" s="1"/>
  <c r="J90" i="7"/>
  <c r="K89" i="7"/>
  <c r="E355" i="1" s="1"/>
  <c r="J89" i="7"/>
  <c r="L89" i="7" s="1"/>
  <c r="F355" i="1" s="1"/>
  <c r="K88" i="7"/>
  <c r="E354" i="1" s="1"/>
  <c r="J88" i="7"/>
  <c r="C354" i="1" s="1"/>
  <c r="K87" i="7"/>
  <c r="E353" i="1" s="1"/>
  <c r="J87" i="7"/>
  <c r="K86" i="7"/>
  <c r="E352" i="1" s="1"/>
  <c r="J86" i="7"/>
  <c r="K85" i="7"/>
  <c r="E351" i="1" s="1"/>
  <c r="J85" i="7"/>
  <c r="C351" i="1" s="1"/>
  <c r="K84" i="7"/>
  <c r="E350" i="1" s="1"/>
  <c r="J84" i="7"/>
  <c r="C350" i="1" s="1"/>
  <c r="K83" i="7"/>
  <c r="E349" i="1" s="1"/>
  <c r="J83" i="7"/>
  <c r="C349" i="1" s="1"/>
  <c r="K82" i="7"/>
  <c r="E348" i="1" s="1"/>
  <c r="J82" i="7"/>
  <c r="K81" i="7"/>
  <c r="E347" i="1" s="1"/>
  <c r="J81" i="7"/>
  <c r="C347" i="1" s="1"/>
  <c r="C60" i="2"/>
  <c r="E60" i="2"/>
  <c r="E59" i="2"/>
  <c r="C59" i="2"/>
  <c r="L83" i="7" l="1"/>
  <c r="F349" i="1" s="1"/>
  <c r="C391" i="1"/>
  <c r="L93" i="7"/>
  <c r="F359" i="1" s="1"/>
  <c r="L182" i="7"/>
  <c r="F448" i="1" s="1"/>
  <c r="L81" i="7"/>
  <c r="F347" i="1" s="1"/>
  <c r="L157" i="7"/>
  <c r="F423" i="1" s="1"/>
  <c r="C355" i="1"/>
  <c r="L101" i="7"/>
  <c r="F367" i="1" s="1"/>
  <c r="L133" i="7"/>
  <c r="F399" i="1" s="1"/>
  <c r="L165" i="7"/>
  <c r="F431" i="1" s="1"/>
  <c r="C398" i="1"/>
  <c r="C451" i="1"/>
  <c r="C430" i="1"/>
  <c r="L85" i="7"/>
  <c r="F351" i="1" s="1"/>
  <c r="L109" i="7"/>
  <c r="F375" i="1" s="1"/>
  <c r="L141" i="7"/>
  <c r="F407" i="1" s="1"/>
  <c r="L173" i="7"/>
  <c r="F439" i="1" s="1"/>
  <c r="L186" i="7"/>
  <c r="F452" i="1" s="1"/>
  <c r="C366" i="1"/>
  <c r="C419" i="1"/>
  <c r="C455" i="1"/>
  <c r="L117" i="7"/>
  <c r="F383" i="1" s="1"/>
  <c r="L149" i="7"/>
  <c r="F415" i="1" s="1"/>
  <c r="C387" i="1"/>
  <c r="C369" i="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<sst xmlns="http://schemas.openxmlformats.org/spreadsheetml/2006/main" count="9535" uniqueCount="1369">
  <si>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</si>
  <si>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</si>
  <si>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</si>
  <si>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</si>
  <si>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</si>
  <si>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</si>
  <si>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</si>
  <si>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</si>
  <si>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</si>
  <si>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</si>
  <si>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</si>
  <si>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</si>
  <si>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</si>
  <si>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</si>
  <si>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</si>
  <si>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</si>
  <si>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</si>
  <si>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</si>
  <si>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</si>
  <si>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</si>
  <si>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</si>
  <si>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</si>
  <si>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</si>
  <si>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</si>
  <si>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</si>
  <si>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</si>
  <si>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</si>
  <si>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</si>
  <si>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</si>
  <si>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</si>
  <si>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</si>
  <si>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</si>
  <si>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</si>
  <si>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</si>
  <si>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</si>
  <si>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</si>
  <si>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</si>
  <si>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</si>
  <si>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</si>
  <si>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</si>
  <si>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</si>
  <si>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</si>
  <si>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</si>
  <si>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</si>
  <si>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</si>
  <si>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</si>
  <si>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</si>
  <si>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</si>
  <si>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</si>
  <si>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</si>
  <si>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</si>
  <si>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</si>
  <si>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</si>
  <si>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</si>
  <si>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</si>
  <si>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</si>
  <si>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</si>
  <si>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</si>
  <si>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</si>
  <si>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</si>
  <si>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</si>
  <si>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</si>
  <si>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</si>
  <si>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</si>
  <si>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</si>
  <si>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</si>
  <si>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</si>
  <si>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</si>
  <si>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</si>
  <si>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</si>
  <si>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</si>
  <si>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</si>
  <si>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</si>
  <si>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</si>
  <si>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</si>
  <si>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</si>
  <si>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</si>
  <si>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</si>
  <si>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</si>
  <si>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</si>
  <si>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</si>
  <si>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</si>
  <si>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</si>
  <si>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</si>
  <si>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</si>
  <si>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</si>
  <si>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</si>
  <si>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</si>
  <si>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</si>
  <si>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</si>
  <si>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</si>
  <si>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</si>
  <si>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</si>
  <si>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</si>
  <si>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</si>
  <si>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</si>
  <si>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</si>
  <si>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</si>
  <si>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</si>
  <si>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</si>
  <si>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</si>
  <si>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</si>
  <si>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</si>
  <si>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</si>
  <si>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</si>
  <si>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</si>
  <si>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</si>
  <si>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</si>
  <si>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</si>
  <si>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</si>
  <si>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</si>
  <si>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</si>
  <si>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</si>
  <si>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</si>
  <si>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</si>
  <si>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</si>
  <si>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</si>
  <si>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</si>
  <si>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</si>
  <si>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</si>
  <si>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</si>
  <si>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</si>
  <si>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</si>
  <si>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</si>
  <si>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</si>
  <si>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</si>
  <si>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</si>
  <si>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</si>
  <si>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</si>
  <si>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</si>
  <si>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</si>
  <si>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</si>
  <si>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</si>
  <si>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</si>
  <si>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</si>
  <si>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</si>
  <si>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</si>
  <si>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</si>
  <si>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</si>
  <si>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</si>
  <si>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</si>
  <si>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</si>
  <si>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</si>
  <si>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</si>
  <si>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</si>
  <si>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</si>
  <si>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</si>
  <si>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</si>
  <si>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</si>
  <si>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</si>
  <si>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</si>
  <si>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</si>
  <si>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</si>
  <si>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</si>
  <si>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</si>
  <si>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</si>
  <si>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</si>
  <si>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</si>
  <si>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</si>
  <si>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</si>
  <si>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</si>
  <si>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</si>
  <si>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</si>
  <si>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</si>
  <si>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</si>
  <si>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</si>
  <si>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</si>
  <si>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</si>
  <si>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</si>
  <si>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</si>
  <si>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</si>
  <si>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</si>
  <si>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</si>
  <si>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</si>
  <si>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</si>
  <si>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</si>
  <si>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</si>
  <si>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</si>
  <si>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</si>
  <si>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</si>
  <si>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</si>
  <si>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</si>
  <si>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</si>
  <si>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</si>
  <si>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</si>
  <si>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</si>
  <si>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</si>
  <si>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</si>
  <si>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</si>
  <si>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</si>
  <si>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</si>
  <si>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</si>
  <si>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</si>
  <si>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</si>
  <si>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</si>
  <si>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</si>
  <si>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</si>
  <si>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</si>
  <si>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</si>
  <si>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</si>
  <si>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</si>
  <si>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</si>
  <si>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</si>
  <si>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</si>
  <si>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</si>
  <si>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</si>
  <si>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</si>
  <si>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</si>
  <si>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</si>
  <si>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</si>
  <si>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</si>
  <si>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</si>
  <si>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</si>
  <si>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</si>
  <si>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</si>
  <si>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</si>
  <si>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</si>
  <si>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</si>
  <si>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</si>
  <si>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</si>
  <si>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</si>
  <si>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</si>
  <si>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</si>
  <si>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</si>
  <si>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</si>
  <si>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</si>
  <si>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</si>
  <si>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</si>
  <si>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</si>
  <si>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</si>
  <si>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</si>
  <si>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</si>
  <si>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</si>
  <si>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</si>
  <si>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</si>
  <si>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</si>
  <si>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</si>
  <si>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</si>
  <si>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</si>
  <si>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</si>
  <si>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</si>
  <si>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</si>
  <si>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</si>
  <si>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</si>
  <si>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</si>
  <si>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</si>
  <si>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</si>
  <si>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</si>
  <si>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</si>
  <si>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</si>
  <si>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</si>
  <si>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</si>
  <si>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</si>
  <si>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</si>
  <si>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</si>
  <si>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</si>
  <si>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</si>
  <si>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</si>
  <si>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</si>
  <si>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</si>
  <si>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</si>
  <si>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</si>
  <si>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</si>
  <si>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</si>
  <si>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</si>
  <si>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</si>
  <si>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</si>
  <si>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</si>
  <si>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</si>
  <si>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</si>
  <si>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</si>
  <si>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</si>
  <si>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</si>
  <si>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</si>
  <si>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</si>
  <si>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</si>
  <si>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</si>
  <si>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</si>
  <si>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</si>
  <si>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</si>
  <si>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</si>
  <si>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</si>
  <si>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</si>
  <si>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</si>
  <si>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</si>
  <si>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</si>
  <si>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</si>
  <si>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</si>
  <si>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</si>
  <si>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</si>
  <si>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</si>
  <si>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</si>
  <si>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</si>
  <si>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</si>
  <si>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</si>
  <si>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</si>
  <si>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</si>
  <si>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</si>
  <si>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</si>
  <si>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</si>
  <si>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</si>
  <si>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</si>
  <si>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</si>
  <si>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</si>
  <si>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</si>
  <si>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</si>
  <si>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</si>
  <si>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</si>
  <si>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</si>
  <si>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</si>
  <si>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</si>
  <si>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</si>
  <si>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</si>
  <si>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</si>
  <si>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</si>
  <si>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</si>
  <si>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</si>
  <si>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</si>
  <si>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</si>
  <si>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</si>
  <si>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</si>
  <si>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</si>
  <si>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</si>
  <si>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</si>
  <si>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</si>
  <si>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</si>
  <si>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</si>
  <si>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</si>
  <si>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</si>
  <si>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</si>
  <si>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</si>
  <si>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</si>
  <si>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</si>
  <si>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</si>
  <si>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</si>
  <si>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</si>
  <si>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</si>
  <si>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</si>
  <si>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</si>
  <si>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</si>
  <si>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</si>
  <si>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</si>
  <si>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</si>
  <si>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</si>
  <si>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</si>
  <si>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</si>
  <si>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</si>
  <si>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</si>
  <si>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</si>
  <si>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</si>
  <si>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</si>
  <si>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</si>
  <si>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</si>
  <si>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</si>
  <si>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</si>
  <si>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</si>
  <si>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</si>
  <si>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</si>
  <si>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</si>
  <si>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</si>
  <si>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</si>
  <si>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</si>
  <si>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</si>
  <si>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</si>
  <si>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</si>
  <si>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</si>
  <si>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</si>
  <si>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</si>
  <si>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</si>
  <si>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</si>
  <si>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</si>
  <si>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</si>
  <si>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</si>
  <si>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</si>
  <si>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</si>
  <si>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</si>
  <si>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</si>
  <si>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</si>
  <si>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</si>
  <si>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</si>
  <si>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</si>
  <si>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</si>
  <si>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</si>
  <si>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</si>
  <si>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</si>
  <si>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</si>
  <si>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</si>
  <si>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</si>
  <si>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</si>
  <si>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</si>
  <si>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</si>
  <si>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</si>
  <si>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</si>
  <si>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</si>
  <si>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</si>
  <si>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</si>
  <si>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</si>
  <si>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</si>
  <si>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</si>
  <si>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</si>
  <si>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</si>
  <si>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</si>
  <si>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</si>
  <si>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</si>
  <si>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</si>
  <si>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</si>
  <si>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</si>
  <si>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</si>
  <si>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</si>
  <si>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</si>
  <si>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</si>
  <si>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</si>
  <si>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</si>
  <si>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</si>
  <si>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</si>
  <si>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</si>
  <si>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</si>
  <si>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</si>
  <si>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</si>
  <si>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</si>
  <si>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</si>
  <si>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</si>
  <si>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</si>
  <si>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</si>
  <si>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</si>
  <si>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</si>
  <si>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</si>
  <si>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</si>
  <si>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</si>
  <si>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</si>
  <si>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</si>
  <si>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</si>
  <si>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</si>
  <si>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</si>
  <si>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</si>
  <si>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</si>
  <si>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</si>
  <si>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</si>
  <si>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</si>
  <si>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</si>
  <si>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</si>
  <si>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</si>
  <si>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</si>
  <si>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</si>
  <si>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</si>
  <si>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</si>
  <si>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</si>
  <si>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</si>
  <si>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</si>
  <si>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</si>
  <si>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</si>
  <si>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</si>
  <si>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</si>
  <si>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</si>
  <si>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</si>
  <si>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</si>
  <si>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</si>
  <si>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</si>
  <si>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</si>
  <si>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</si>
  <si>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</si>
  <si>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</si>
  <si>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</si>
  <si>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</si>
  <si>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</si>
  <si>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</si>
  <si>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</si>
  <si>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</si>
  <si>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</si>
  <si>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</si>
  <si>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</si>
  <si>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</si>
  <si>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</si>
  <si>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</si>
  <si>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</si>
  <si>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</si>
  <si>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</si>
  <si>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</si>
  <si>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</si>
  <si>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</si>
  <si>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</si>
  <si>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</si>
  <si>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</si>
  <si>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</si>
  <si>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</si>
  <si>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</si>
  <si>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</si>
  <si>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</si>
  <si>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</si>
  <si>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</si>
  <si>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</si>
  <si>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</si>
  <si>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</si>
  <si>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</si>
  <si>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</si>
  <si>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</si>
  <si>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</si>
  <si>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</si>
  <si>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</si>
  <si>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</si>
  <si>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</si>
  <si>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</si>
  <si>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</si>
  <si>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</si>
  <si>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</si>
  <si>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</si>
  <si>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</si>
  <si>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</si>
  <si>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</si>
  <si>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</si>
  <si>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</si>
  <si>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</si>
  <si>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</si>
  <si>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</si>
  <si>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</si>
  <si>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</si>
  <si>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</si>
  <si>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</si>
  <si>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</si>
  <si>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</si>
  <si>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</si>
  <si>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</si>
  <si>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</si>
  <si>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</si>
  <si>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</si>
  <si>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</si>
  <si>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</si>
  <si>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</si>
  <si>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</si>
  <si>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</si>
  <si>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</si>
  <si>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</si>
  <si>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</si>
  <si>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</si>
  <si>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</si>
  <si>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</si>
  <si>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</si>
  <si>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</si>
  <si>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</si>
  <si>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</si>
  <si>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</si>
  <si>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</si>
  <si>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</si>
  <si>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</si>
  <si>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</si>
  <si>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</si>
  <si>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</si>
  <si>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</si>
  <si>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</si>
  <si>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</si>
  <si>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</si>
  <si>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</si>
  <si>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</si>
  <si>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</si>
  <si>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</si>
  <si>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</si>
  <si>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</si>
  <si>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</si>
  <si>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</si>
  <si>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</si>
  <si>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</si>
  <si>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</si>
  <si>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</si>
  <si>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</si>
  <si>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</si>
  <si>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</si>
  <si>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</si>
  <si>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</si>
  <si>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</si>
  <si>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</si>
  <si>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</si>
  <si>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</si>
  <si>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</si>
  <si>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</si>
  <si>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</si>
  <si>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</si>
  <si>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</si>
  <si>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</si>
  <si>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</si>
  <si>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</si>
  <si>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</si>
  <si>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</si>
  <si>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</si>
  <si>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</si>
  <si>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</si>
  <si>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</si>
  <si>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</si>
  <si>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</si>
  <si>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</si>
  <si>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</si>
  <si>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</si>
  <si>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</si>
  <si>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</si>
  <si>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</si>
  <si>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</si>
  <si>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</si>
  <si>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</si>
  <si>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</si>
  <si>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</si>
  <si>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</si>
  <si>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</si>
  <si>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</si>
  <si>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</si>
  <si>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</si>
  <si>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</si>
  <si>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</si>
  <si>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</si>
  <si>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</si>
  <si>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</si>
  <si>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</si>
  <si>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</si>
  <si>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</si>
  <si>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</si>
  <si>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</si>
  <si>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</si>
  <si>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</si>
  <si>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</si>
  <si>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</si>
  <si>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</si>
  <si>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</si>
  <si>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</si>
  <si>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</si>
  <si>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</si>
  <si>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</si>
  <si>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</si>
  <si>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</si>
  <si>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</si>
  <si>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</si>
  <si>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</si>
  <si>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</si>
  <si>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</si>
  <si>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</si>
  <si>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</si>
  <si>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</si>
  <si>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</si>
  <si>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</si>
  <si>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</si>
  <si>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</si>
  <si>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</si>
  <si>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</si>
  <si>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</si>
  <si>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</si>
  <si>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</si>
  <si>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</si>
  <si>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</si>
  <si>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</si>
  <si>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</si>
  <si>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</si>
  <si>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</si>
  <si>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</si>
  <si>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</si>
  <si>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</si>
  <si>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</si>
  <si>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</si>
  <si>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</si>
  <si>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</si>
  <si>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</si>
  <si>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</si>
  <si>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</si>
  <si>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</si>
  <si>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</si>
  <si>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</si>
  <si>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</si>
  <si>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</si>
  <si>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</si>
  <si>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</si>
  <si>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</si>
  <si>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</si>
  <si>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</si>
  <si>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</si>
  <si>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</si>
  <si>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</si>
  <si>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</si>
  <si>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</si>
  <si>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</si>
  <si>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</si>
  <si>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</si>
  <si>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</si>
  <si>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</si>
  <si>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</si>
  <si>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</si>
  <si>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</si>
  <si>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</si>
  <si>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</si>
  <si>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</si>
  <si>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</si>
  <si>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</si>
  <si>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</si>
  <si>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</si>
  <si>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</si>
  <si>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</si>
  <si>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</si>
  <si>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</si>
  <si>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</si>
  <si>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</si>
  <si>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</si>
  <si>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</si>
  <si>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</si>
  <si>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</si>
  <si>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</si>
  <si>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</si>
  <si>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</si>
  <si>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</si>
  <si>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</si>
  <si>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</si>
  <si>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</si>
  <si>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</si>
  <si>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</si>
  <si>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</si>
  <si>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</si>
  <si>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</si>
  <si>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</si>
  <si>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</si>
  <si>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</si>
  <si>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</si>
  <si>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</si>
  <si>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</si>
  <si>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</si>
  <si>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</si>
  <si>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</si>
  <si>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</si>
  <si>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</si>
  <si>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</si>
  <si>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</si>
  <si>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</si>
  <si>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</si>
  <si>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</si>
  <si>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</si>
  <si>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</si>
  <si>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</si>
  <si>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</si>
  <si>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</si>
  <si>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</si>
  <si>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</si>
  <si>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</si>
  <si>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</si>
  <si>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</si>
  <si>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</si>
  <si>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</si>
  <si>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</si>
  <si>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</si>
  <si>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</si>
  <si>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</si>
  <si>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</si>
  <si>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</si>
  <si>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</si>
  <si>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</si>
  <si>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</si>
  <si>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</si>
  <si>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</si>
  <si>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</si>
  <si>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</si>
  <si>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</si>
  <si>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</si>
  <si>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</si>
  <si>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</si>
  <si>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</si>
  <si>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</si>
  <si>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</si>
  <si>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</si>
  <si>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</si>
  <si>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</si>
  <si>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</si>
  <si>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</si>
  <si>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</si>
  <si>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</si>
  <si>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</si>
  <si>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</si>
  <si>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</si>
  <si>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</si>
  <si>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</si>
  <si>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</si>
  <si>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</si>
  <si>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</si>
  <si>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</si>
  <si>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</si>
  <si>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</si>
  <si>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</si>
  <si>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</si>
  <si>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</si>
  <si>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</si>
  <si>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</si>
  <si>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</si>
  <si>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</si>
  <si>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</si>
  <si>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</si>
  <si>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</si>
  <si>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</si>
  <si>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</si>
  <si>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</si>
  <si>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</si>
  <si>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</si>
  <si>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</si>
  <si>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</si>
  <si>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</si>
  <si>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</si>
  <si>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</si>
  <si>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</si>
  <si>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</si>
  <si>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</si>
  <si>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</si>
  <si>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</si>
  <si>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</si>
  <si>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</si>
  <si>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</si>
  <si>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</si>
  <si>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</si>
  <si>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</si>
  <si>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</si>
  <si>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</si>
  <si>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</si>
  <si>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</si>
  <si>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</si>
  <si>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</si>
  <si>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</si>
  <si>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</si>
  <si>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</si>
  <si>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</si>
  <si>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</si>
  <si>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</si>
  <si>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</si>
  <si>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</si>
  <si>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</si>
  <si>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</si>
  <si>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</si>
  <si>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</si>
  <si>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</si>
  <si>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</si>
  <si>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</si>
  <si>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</si>
  <si>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</si>
  <si>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</si>
  <si>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</si>
  <si>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</si>
  <si>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</si>
  <si>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</si>
  <si>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</si>
  <si>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</si>
  <si>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</si>
  <si>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</si>
  <si>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</si>
  <si>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</si>
  <si>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</si>
  <si>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</si>
  <si>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</si>
  <si>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</si>
  <si>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</si>
  <si>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</si>
  <si>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</si>
  <si>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</si>
  <si>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</si>
  <si>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</si>
  <si>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</si>
  <si>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</si>
  <si>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</si>
  <si>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</si>
  <si>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</si>
  <si>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</si>
  <si>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</si>
  <si>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</si>
  <si>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</si>
  <si>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</si>
  <si>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</si>
  <si>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</si>
  <si>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</si>
  <si>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</si>
  <si>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</si>
  <si>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</si>
  <si>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</si>
  <si>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</si>
  <si>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</si>
  <si>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</si>
  <si>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</si>
  <si>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</si>
  <si>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</si>
  <si>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</si>
  <si>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</si>
  <si>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</si>
  <si>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</si>
  <si>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</si>
  <si>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</si>
  <si>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</si>
  <si>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</si>
  <si>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</si>
  <si>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</si>
  <si>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</si>
  <si>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</si>
  <si>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</si>
  <si>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</si>
  <si>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</si>
  <si>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</si>
  <si>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</si>
  <si>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</si>
  <si>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</si>
  <si>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</si>
  <si>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</si>
  <si>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</si>
  <si>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</si>
  <si>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</si>
  <si>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</si>
  <si>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</si>
  <si>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</si>
  <si>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</si>
  <si>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</si>
  <si>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</si>
  <si>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</si>
  <si>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</si>
  <si>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</si>
  <si>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</si>
  <si>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</si>
  <si>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</si>
  <si>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</si>
  <si>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</si>
  <si>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</si>
  <si>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</si>
  <si>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</si>
  <si>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</si>
  <si>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</si>
  <si>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</si>
  <si>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</si>
  <si>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</si>
  <si>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</si>
  <si>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</si>
  <si>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</si>
  <si>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</si>
  <si>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</si>
  <si>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</si>
  <si>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</si>
  <si>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</si>
  <si>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</si>
  <si>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</si>
  <si>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</si>
  <si>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</si>
  <si>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</si>
  <si>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</si>
  <si>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</si>
  <si>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</si>
  <si>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</si>
  <si>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</si>
  <si>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</si>
  <si>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</si>
  <si>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</si>
  <si>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</si>
  <si>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</si>
  <si>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</si>
  <si>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</si>
  <si>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</si>
  <si>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</si>
  <si>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</si>
  <si>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</si>
  <si>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</si>
  <si>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</si>
  <si>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</si>
  <si>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</si>
  <si>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</si>
  <si>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</si>
  <si>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</si>
  <si>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</si>
  <si>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</si>
  <si>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</si>
  <si>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</si>
  <si>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</si>
  <si>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</si>
  <si>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</si>
  <si>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</si>
  <si>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</si>
  <si>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</si>
  <si>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</si>
  <si>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</si>
  <si>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</si>
  <si>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</si>
  <si>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</si>
  <si>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</si>
  <si>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</si>
  <si>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</si>
  <si>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</si>
  <si>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</si>
  <si>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</si>
  <si>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</si>
  <si>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</si>
  <si>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</si>
  <si>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</si>
  <si>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</si>
  <si>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</si>
  <si>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</si>
  <si>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</si>
  <si>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</si>
  <si>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</si>
  <si>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</si>
  <si>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</si>
  <si>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</si>
  <si>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</si>
  <si>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</si>
  <si>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</si>
  <si>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</si>
  <si>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</si>
  <si>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</si>
  <si>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</si>
  <si>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</si>
  <si>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</si>
  <si>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</si>
  <si>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</si>
  <si>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</si>
  <si>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</si>
  <si>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</si>
  <si>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</si>
  <si>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</si>
  <si>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</si>
  <si>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</si>
  <si>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</si>
  <si>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</si>
  <si>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</si>
  <si>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</si>
  <si>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</si>
  <si>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</si>
  <si>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</si>
  <si>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</si>
  <si>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</si>
  <si>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</si>
  <si>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</si>
  <si>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</si>
  <si>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</si>
  <si>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</si>
  <si>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</si>
  <si>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</si>
  <si>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</si>
  <si>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</si>
  <si>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</si>
  <si>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</si>
  <si>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</si>
  <si>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</si>
  <si>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</si>
  <si>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</si>
  <si>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</si>
  <si>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</si>
  <si>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</si>
  <si>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</si>
  <si>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</si>
  <si>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</si>
  <si>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</si>
  <si>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</si>
  <si>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</si>
  <si>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</si>
  <si>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</si>
  <si>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</si>
  <si>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</si>
  <si>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</si>
  <si>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</si>
  <si>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</si>
  <si>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</si>
  <si>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</si>
  <si>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</si>
  <si>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</si>
  <si>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</si>
  <si>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</si>
  <si>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</si>
  <si>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</si>
  <si>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</si>
  <si>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</si>
  <si>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</si>
  <si>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</si>
  <si>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</si>
  <si>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</si>
  <si>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</si>
  <si>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</si>
  <si>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</si>
  <si>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</si>
  <si>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</si>
  <si>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</si>
  <si>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</si>
  <si>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</si>
  <si>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</si>
  <si>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</si>
  <si>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</si>
  <si>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</si>
  <si>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</si>
  <si>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</si>
  <si>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</si>
  <si>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</si>
  <si>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</si>
  <si>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</si>
  <si>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</si>
  <si>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</si>
  <si>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</si>
  <si>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</si>
  <si>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</si>
  <si>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</si>
  <si>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</si>
  <si>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</si>
  <si>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</si>
  <si>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</si>
  <si>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</si>
  <si>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</si>
  <si>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</si>
  <si>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</si>
  <si>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</si>
  <si>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</si>
  <si>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</si>
  <si>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</si>
  <si>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</si>
  <si>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</si>
  <si>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</si>
  <si>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</si>
  <si>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</si>
  <si>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</si>
  <si>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</si>
  <si>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</si>
  <si>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</si>
  <si>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</si>
  <si>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</si>
  <si>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</si>
  <si>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</si>
  <si>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</si>
  <si>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</si>
  <si>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</si>
  <si>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</si>
  <si>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</si>
  <si>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</si>
  <si>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</si>
  <si>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</si>
  <si>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</si>
  <si>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</si>
  <si>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</si>
  <si>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</si>
  <si>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</si>
  <si>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</si>
  <si>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</si>
  <si>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</si>
  <si>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</si>
  <si>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</si>
  <si>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</si>
  <si>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</si>
  <si>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</si>
  <si>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</si>
  <si>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</si>
  <si>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</si>
  <si>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</si>
  <si>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</si>
  <si>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</si>
  <si>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</si>
  <si>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</si>
  <si>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</si>
  <si>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</si>
  <si>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</si>
  <si>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</si>
  <si>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</si>
  <si>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</si>
  <si>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</si>
  <si>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</si>
  <si>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</si>
  <si>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</si>
  <si>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</si>
  <si>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</si>
  <si>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</si>
  <si>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</si>
  <si>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</si>
  <si>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</si>
  <si>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</si>
  <si>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</si>
  <si>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</si>
  <si>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</si>
  <si>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</si>
  <si>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</si>
  <si>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</si>
  <si>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</si>
  <si>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</si>
  <si>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</si>
  <si>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</si>
  <si>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</si>
  <si>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</si>
  <si>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</si>
  <si>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</si>
  <si>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</si>
  <si>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</si>
  <si>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</si>
  <si>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</si>
  <si>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</si>
  <si>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</si>
  <si>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</si>
  <si>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</si>
  <si>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</si>
  <si>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</si>
  <si>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</si>
  <si>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</si>
  <si>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</si>
  <si>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</si>
  <si>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</si>
  <si>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</si>
  <si>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</si>
  <si>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</si>
  <si>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</si>
  <si>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</si>
  <si>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</si>
  <si>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</si>
  <si>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</si>
  <si>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</si>
  <si>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</si>
  <si>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</si>
  <si>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</si>
  <si>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</si>
  <si>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</si>
  <si>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</si>
  <si>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</si>
  <si>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</si>
  <si>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</si>
  <si>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</si>
  <si>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</si>
  <si>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</si>
  <si>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</si>
  <si>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</si>
  <si>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</si>
  <si>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</si>
  <si>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</si>
  <si>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</si>
  <si>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</si>
  <si>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</si>
  <si>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</si>
  <si>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</si>
  <si>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</si>
  <si>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</si>
  <si>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</si>
  <si>
    <t>Family member of Case 459; Contact of Case 490</t>
  </si>
  <si>
    <t>Contact of Case 94</t>
  </si>
  <si>
    <t>Family member of Case 394</t>
  </si>
  <si>
    <t xml:space="preserve">India (Singapore Work Pass holder)  </t>
  </si>
  <si>
    <t xml:space="preserve">ASEAN </t>
  </si>
  <si>
    <t xml:space="preserve">MAH </t>
  </si>
  <si>
    <t>Contact of Cases 338 and 367</t>
  </si>
  <si>
    <t>Family member of Case 403</t>
  </si>
  <si>
    <t>Family member of Case 451</t>
  </si>
  <si>
    <t>Contact of Case 384</t>
  </si>
  <si>
    <t xml:space="preserve">Malaysia (Long Term Pass holder) </t>
  </si>
  <si>
    <t xml:space="preserve">Turkey, United Arab Emirates </t>
  </si>
  <si>
    <t xml:space="preserve">Pakistan </t>
  </si>
  <si>
    <t>https://www.moh.gov.sg/news-highlights/details/three-more-cases-discharged-49-new-cases-of-covid-19-infection-confirmed</t>
  </si>
  <si>
    <t xml:space="preserve">United Arab Emirates </t>
  </si>
  <si>
    <t>Dover Court International School</t>
  </si>
  <si>
    <t>PCF Sparkletots Preschool @ Fengshan Blk 126</t>
  </si>
  <si>
    <t xml:space="preserve">France (Singapore Work Pass holder) </t>
  </si>
  <si>
    <t>Family member of Cases 521, 567, 572 and 601 PCF Fengshan</t>
  </si>
  <si>
    <t>Family member of Cases 521, 566, 572 and 601 PCF Fengshan</t>
  </si>
  <si>
    <t>Family member of Case 597</t>
  </si>
  <si>
    <t>Family member of Cases 521, 566, 567 and 601 PCF Fengshan</t>
  </si>
  <si>
    <t>Contact of Case 527</t>
  </si>
  <si>
    <t>Contact of Case 532</t>
  </si>
  <si>
    <t xml:space="preserve">US (Singapore Work Pass holder) </t>
  </si>
  <si>
    <t>Contact of Case 518</t>
  </si>
  <si>
    <t>Contact of Case 418</t>
  </si>
  <si>
    <t>Contact of Cases 516 and 584 PCF Fengshan</t>
  </si>
  <si>
    <t>Contact of Cases 516 and 583 PCF Fengshan</t>
  </si>
  <si>
    <t xml:space="preserve">Philippines (Singapore Work Pass holder) </t>
  </si>
  <si>
    <t>Contact of Case 523</t>
  </si>
  <si>
    <t>UK (Singapore Work Pass holder)</t>
  </si>
  <si>
    <t xml:space="preserve">China (Long Term Pass holder) </t>
  </si>
  <si>
    <t>Family member of Case 570</t>
  </si>
  <si>
    <t xml:space="preserve">India (Singapore Work Pass holder) </t>
  </si>
  <si>
    <t>Contact of Case 385</t>
  </si>
  <si>
    <t>Family member of Cases 521, 566, 567 and 572 PCF Fengshan</t>
  </si>
  <si>
    <t>Contact of Case 516 PCF Fengshan</t>
  </si>
  <si>
    <t>PCF Fengshan</t>
  </si>
  <si>
    <t>Contact of Case 556 Dover Court International School</t>
  </si>
  <si>
    <t>Family member of Case 557</t>
  </si>
  <si>
    <t>Contact of Case 557</t>
  </si>
  <si>
    <t>Contact of Case 453</t>
  </si>
  <si>
    <t>https://www.moh.gov.sg/news-highlights/details/five-more-cases-discharged-73-new-cases-of-covid-19-infection-confirmed</t>
  </si>
  <si>
    <t>Contact of Case 644</t>
  </si>
  <si>
    <t xml:space="preserve">Taiwan, Philippines </t>
  </si>
  <si>
    <t>Contact of Case 222</t>
  </si>
  <si>
    <t>Contact of Case 233</t>
  </si>
  <si>
    <t xml:space="preserve">UAE, UK, Germany </t>
  </si>
  <si>
    <t>Family member of Case 641</t>
  </si>
  <si>
    <t>Family member of Case 640</t>
  </si>
  <si>
    <t>Contact of Case 632</t>
  </si>
  <si>
    <t xml:space="preserve">Thailand, Malaysia </t>
  </si>
  <si>
    <t>Contact of Cases 418 and 582</t>
  </si>
  <si>
    <t xml:space="preserve">Sri Lanka </t>
  </si>
  <si>
    <t xml:space="preserve">Italy, Switzerland </t>
  </si>
  <si>
    <t>Family member of Cases 459 and 517</t>
  </si>
  <si>
    <t xml:space="preserve">Bangladesh (Long Term Pass holder) </t>
  </si>
  <si>
    <t>Contact of Case 600</t>
  </si>
  <si>
    <t>Family member of Case 528, 645 and 676</t>
  </si>
  <si>
    <t>Family member of Case 528, 645 and 675</t>
  </si>
  <si>
    <t xml:space="preserve">New Zealand (Singapore Work Pass holder) </t>
  </si>
  <si>
    <t>Contact of Case 477</t>
  </si>
  <si>
    <t>https://www.moh.gov.sg/news-highlights/details/12-more-cases-discharged-52-new-cases-of-covid-19-infection-confirmed</t>
  </si>
  <si>
    <t>Taiwan</t>
  </si>
  <si>
    <t>UAE</t>
  </si>
  <si>
    <t>SingPost Centre</t>
  </si>
  <si>
    <t xml:space="preserve">New Zealand (Long Term Pass holder) </t>
  </si>
  <si>
    <t>Contact of Case 588</t>
  </si>
  <si>
    <t>Family member of Case 196</t>
  </si>
  <si>
    <t>Family member of Case 698</t>
  </si>
  <si>
    <t>Family member of Case 697</t>
  </si>
  <si>
    <t>Family member of Cases 682 and 703</t>
  </si>
  <si>
    <t>Family member of Cases 682 and 702</t>
  </si>
  <si>
    <t>Contact of Cases 404 and 456</t>
  </si>
  <si>
    <t xml:space="preserve">South Korea (Singapore Work Pass holder) </t>
  </si>
  <si>
    <t>Contact of Case 670</t>
  </si>
  <si>
    <t xml:space="preserve">India(Long Term Pass holder) </t>
  </si>
  <si>
    <t>Contact of Case 658</t>
  </si>
  <si>
    <t>Contact of Cases 557 and 629</t>
  </si>
  <si>
    <t>https://www.moh.gov.sg/news-highlights/details/11-more-cases-discharged-49-new-cases-of-covid-19-infection-confirmed</t>
  </si>
  <si>
    <t>https://www.moh.gov.sg/news-highlights/details/15-more-cases-discharged-70-new-cases-of-covid-19-infection-confirmed</t>
  </si>
  <si>
    <t xml:space="preserve">US, UK </t>
  </si>
  <si>
    <t>Contact of Cases 533 and 659</t>
  </si>
  <si>
    <t xml:space="preserve">Vietnam </t>
  </si>
  <si>
    <t xml:space="preserve">China (Singapore Work Pass holder) </t>
  </si>
  <si>
    <t xml:space="preserve">Laos </t>
  </si>
  <si>
    <t xml:space="preserve">UK, France </t>
  </si>
  <si>
    <t>Contact of Case 683, 700, 702, 703 and 798</t>
  </si>
  <si>
    <t xml:space="preserve">South Africa (Singapore Work Pass holder) </t>
  </si>
  <si>
    <t xml:space="preserve">Spain (Singapore Work Pass holder) </t>
  </si>
  <si>
    <t xml:space="preserve">M  </t>
  </si>
  <si>
    <t xml:space="preserve">Bangladesh(Singapore Work Pass holder) </t>
  </si>
  <si>
    <t>Contact of Cases 577, 629 and 726</t>
  </si>
  <si>
    <t xml:space="preserve">UK, Portugal </t>
  </si>
  <si>
    <t xml:space="preserve">USA </t>
  </si>
  <si>
    <t>Family member of Case 667</t>
  </si>
  <si>
    <t>Contact of Case 596</t>
  </si>
  <si>
    <t>imported</t>
  </si>
  <si>
    <t>Family member of Case 653</t>
  </si>
  <si>
    <t>Contact of Case 652</t>
  </si>
  <si>
    <t>Contact of Case 722</t>
  </si>
  <si>
    <t>Contact of Cases 418 and 512</t>
  </si>
  <si>
    <t>Family member of Case 728</t>
  </si>
  <si>
    <t>Contact of Case 678</t>
  </si>
  <si>
    <t>Contact of Cases 533, 659, 734 and 797</t>
  </si>
  <si>
    <t>Contact of Cases 533, 659, 734 and 795</t>
  </si>
  <si>
    <t>Contact of Cases 683, 700, 702, 703 and 760</t>
  </si>
  <si>
    <t>Contact of Case 683</t>
  </si>
  <si>
    <t>Family member of Case 742</t>
  </si>
  <si>
    <t>Contact of Cases 745 and 802 The Wedding Brocade</t>
  </si>
  <si>
    <t>Family member of Case 506</t>
  </si>
  <si>
    <t xml:space="preserve">Local unlinked </t>
  </si>
  <si>
    <t>Family member of Case 787</t>
  </si>
  <si>
    <t xml:space="preserve">Japan (Singapore Work Pass holder) </t>
  </si>
  <si>
    <t>Family member of Cases 695 and 834</t>
  </si>
  <si>
    <t xml:space="preserve">Bangladeshi (Long Term Pass holder) </t>
  </si>
  <si>
    <t>Contact of Case 829</t>
  </si>
  <si>
    <t>Contact of Case 826</t>
  </si>
  <si>
    <t>Family member of Case 760</t>
  </si>
  <si>
    <t xml:space="preserve">UAE </t>
  </si>
  <si>
    <t>Family member of Cases 695 and 819</t>
  </si>
  <si>
    <t>Contact of Case 747</t>
  </si>
  <si>
    <t>Family member of Case 533</t>
  </si>
  <si>
    <t>https://www.moh.gov.sg/news-highlights/details/14-more-cases-discharged-42-new-cases-of-covid-19-infection-confirmed</t>
  </si>
  <si>
    <t>The Wedding Brocade (1 Yishun Industrial Street 1)</t>
  </si>
  <si>
    <t>SingPost Centre (10 Eunos Road 8)</t>
  </si>
  <si>
    <t>Dover Court International School (301 Dover Road)</t>
  </si>
  <si>
    <t>S11 Dormitory @ Punggol (2 Seletar North Link)</t>
  </si>
  <si>
    <t>Wilby Residences (25 Wilby Road)</t>
  </si>
  <si>
    <t>Hero’s (69 Circular Road)</t>
  </si>
  <si>
    <t>Family member of Cases 809 and 742</t>
  </si>
  <si>
    <t xml:space="preserve">UAE (Long Term Pass holder) </t>
  </si>
  <si>
    <t>Family member of Case 781</t>
  </si>
  <si>
    <t xml:space="preserve">Taiwan (Long Term Pass holder) </t>
  </si>
  <si>
    <t>Wilby Residences</t>
  </si>
  <si>
    <t xml:space="preserve">Brazil (Long Term Pass holder) </t>
  </si>
  <si>
    <t xml:space="preserve">Brazil </t>
  </si>
  <si>
    <t>S11 Dormitory</t>
  </si>
  <si>
    <t xml:space="preserve">Bangladesh (Singapore Work Pass holder) </t>
  </si>
  <si>
    <t>Contact of Case 767</t>
  </si>
  <si>
    <t>Family member of Case 727</t>
  </si>
  <si>
    <t xml:space="preserve">UK, US </t>
  </si>
  <si>
    <t>Contact of Case 488</t>
  </si>
  <si>
    <t>Family member of Case 434</t>
  </si>
  <si>
    <t>Family member of Case 393</t>
  </si>
  <si>
    <t>Contact of Case 832</t>
  </si>
  <si>
    <t>https://www.moh.gov.sg/news-highlights/details/16-more-cases-discharged-35-new-cases-of-covid-19-infection-confirmed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</si>
</sst>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10">
    <fill>
      <patternFill patternType="none"/>
    </fill>
    <fill>
      <patternFill patternType="gray125"/>
    </fill>
    <fill>
      <patternFill patternType="solid">
        <fgColor rgb="FFFF0000"/>
        <bgColor indexed="64"/>
      </patternFill>
    </fill>
    <fill>
      <patternFill patternType="solid">
        <fgColor rgb="FFFFE599"/>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54">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xf numFmtId="0" fontId="0" fillId="4" borderId="0" xfId="0" applyFill="1"/>
    <xf numFmtId="0" fontId="0" fillId="5" borderId="0" xfId="0" applyFill="1"/>
    <xf numFmtId="0" fontId="0" fillId="6" borderId="0" xfId="0" applyFill="1"/>
    <xf numFmtId="0" fontId="0" fillId="6" borderId="1" xfId="0" applyFill="1" applyBorder="1"/>
    <xf numFmtId="15" fontId="0" fillId="6" borderId="1" xfId="0" applyNumberFormat="1" applyFill="1" applyBorder="1"/>
    <xf numFmtId="0" fontId="1" fillId="6" borderId="1" xfId="1" applyFill="1" applyBorder="1"/>
    <xf numFmtId="16" fontId="0" fillId="6" borderId="0" xfId="0" applyNumberFormat="1" applyFill="1"/>
    <xf numFmtId="15" fontId="0" fillId="7" borderId="1" xfId="0" applyNumberFormat="1" applyFill="1" applyBorder="1"/>
    <xf numFmtId="0" fontId="0" fillId="7" borderId="0" xfId="0" applyFill="1"/>
    <xf numFmtId="16" fontId="0" fillId="7" borderId="0" xfId="0" applyNumberFormat="1" applyFill="1"/>
    <xf numFmtId="0" fontId="0" fillId="7" borderId="1" xfId="0" applyFill="1" applyBorder="1"/>
    <xf numFmtId="0" fontId="1" fillId="7" borderId="1" xfId="1" applyFill="1" applyBorder="1"/>
    <xf numFmtId="15" fontId="0" fillId="8" borderId="1" xfId="0" applyNumberFormat="1" applyFill="1" applyBorder="1"/>
    <xf numFmtId="0" fontId="0" fillId="8" borderId="0" xfId="0" applyFill="1"/>
    <xf numFmtId="16" fontId="0" fillId="8" borderId="0" xfId="0" applyNumberFormat="1" applyFill="1"/>
    <xf numFmtId="0" fontId="0" fillId="8" borderId="1" xfId="0" applyFill="1" applyBorder="1"/>
    <xf numFmtId="0" fontId="1" fillId="8" borderId="1" xfId="1" applyFill="1" applyBorder="1"/>
    <xf numFmtId="15" fontId="0" fillId="9" borderId="1" xfId="0" applyNumberFormat="1" applyFill="1" applyBorder="1"/>
    <xf numFmtId="0" fontId="0" fillId="9" borderId="0" xfId="0" applyFill="1"/>
    <xf numFmtId="16" fontId="0" fillId="9" borderId="0" xfId="0" applyNumberFormat="1" applyFill="1"/>
    <xf numFmtId="0" fontId="0" fillId="9" borderId="1" xfId="0" applyFill="1" applyBorder="1"/>
    <xf numFmtId="0" fontId="1" fillId="9" borderId="1" xfId="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880"/>
  <sheetViews>
    <sheetView topLeftCell="A108" workbookViewId="0">
      <selection activeCell="I110" sqref="I110"/>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9">
        <v>43915</v>
      </c>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9">
        <v>43914</v>
      </c>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9">
        <v>43919</v>
      </c>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39">
        <v>43918</v>
      </c>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9">
        <v>43916</v>
      </c>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9">
        <v>43914</v>
      </c>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9">
        <v>43915</v>
      </c>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9">
        <v>43917</v>
      </c>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9">
        <v>43915</v>
      </c>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9">
        <v>43916</v>
      </c>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9">
        <v>43917</v>
      </c>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39">
        <v>43918</v>
      </c>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39">
        <v>43918</v>
      </c>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9">
        <v>43916</v>
      </c>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9">
        <v>43916</v>
      </c>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49">
        <v>43920</v>
      </c>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44">
        <v>43919</v>
      </c>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49">
        <v>43920</v>
      </c>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39">
        <v>43918</v>
      </c>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9">
        <v>43917</v>
      </c>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39">
        <v>43918</v>
      </c>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9">
        <v>43917</v>
      </c>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9">
        <v>43916</v>
      </c>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49">
        <v>43920</v>
      </c>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9">
        <v>43916</v>
      </c>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9">
        <v>43917</v>
      </c>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39">
        <v>43918</v>
      </c>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9">
        <v>43916</v>
      </c>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49">
        <v>43920</v>
      </c>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39">
        <v>43918</v>
      </c>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9">
        <v>43916</v>
      </c>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49">
        <v>43920</v>
      </c>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9">
        <v>43917</v>
      </c>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44">
        <v>43919</v>
      </c>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49">
        <v>43920</v>
      </c>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39">
        <v>43918</v>
      </c>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9">
        <v>43917</v>
      </c>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49">
        <v>43920</v>
      </c>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39">
        <v>43918</v>
      </c>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44">
        <v>43919</v>
      </c>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9">
        <v>43916</v>
      </c>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49">
        <v>43920</v>
      </c>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39">
        <v>43918</v>
      </c>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39">
        <v>43918</v>
      </c>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39">
        <v>43918</v>
      </c>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9">
        <v>43917</v>
      </c>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44">
        <v>43919</v>
      </c>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49">
        <v>43920</v>
      </c>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44">
        <v>43919</v>
      </c>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9">
        <v>43917</v>
      </c>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49">
        <v>43920</v>
      </c>
      <c r="I346" s="1"/>
      <c r="J346" s="1"/>
      <c r="K346" s="1"/>
      <c r="L346" s="1" t="s">
        <v>1071</v>
      </c>
      <c r="M346" s="5" t="s">
        <v>1128</v>
      </c>
    </row>
    <row r="347" spans="1:13" ht="13.8" customHeight="1" x14ac:dyDescent="0.3">
      <c r="A347" s="1">
        <f>Annex!A81</f>
        <v>346</v>
      </c>
      <c r="B347" s="1" t="str">
        <f>IF(LEFT(Annex!H81,5)="Local","Local Transmission",Annex!H81)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44">
        <v>43919</v>
      </c>
      <c r="I347" s="1"/>
      <c r="J347" s="1"/>
      <c r="K347" s="1"/>
      <c r="L347" s="1" t="str">
        <f>Annex!C81</f>
        <v xml:space="preserve">KTPH </v>
      </c>
      <c r="M347" s="5" t="s">
        <v>1130</v>
      </c>
    </row>
    <row r="348" spans="1:13" ht="13.8" customHeight="1" x14ac:dyDescent="0.3">
      <c r="A348" s="1">
        <f>Annex!A82</f>
        <v>347</v>
      </c>
      <c r="B348" s="1" t="str">
        <f>IF(LEFT(Annex!H82,5)="Local","Local Transmission",Annex!H82)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IF(LEFT(Annex!H83,5)="Local","Local Transmission",Annex!H83)</f>
        <v>Local Transmission</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IF(LEFT(Annex!H84,5)="Local","Local Transmission",Annex!H84)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IF(LEFT(Annex!H85,5)="Local","Local Transmission",Annex!H85)</f>
        <v>Local Transmission</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IF(LEFT(Annex!H86,5)="Local","Local Transmission",Annex!H86)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39">
        <v>43918</v>
      </c>
      <c r="I352" s="1"/>
      <c r="J352" s="1"/>
      <c r="K352" s="1"/>
      <c r="L352" s="1" t="str">
        <f>Annex!C86</f>
        <v>SKH</v>
      </c>
      <c r="M352" s="5" t="s">
        <v>1130</v>
      </c>
    </row>
    <row r="353" spans="1:13" ht="13.8" customHeight="1" x14ac:dyDescent="0.3">
      <c r="A353" s="1">
        <f>Annex!A87</f>
        <v>352</v>
      </c>
      <c r="B353" s="1" t="str">
        <f>IF(LEFT(Annex!H87,5)="Local","Local Transmission",Annex!H87)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IF(LEFT(Annex!H88,5)="Local","Local Transmission",Annex!H88)</f>
        <v>Local Transmission</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9">
        <v>43916</v>
      </c>
      <c r="I354" s="1"/>
      <c r="J354" s="1"/>
      <c r="K354" s="1"/>
      <c r="L354" s="1" t="str">
        <f>Annex!C88</f>
        <v>NCID</v>
      </c>
      <c r="M354" s="5" t="s">
        <v>1130</v>
      </c>
    </row>
    <row r="355" spans="1:13" ht="13.8" customHeight="1" x14ac:dyDescent="0.3">
      <c r="A355" s="1">
        <f>Annex!A89</f>
        <v>354</v>
      </c>
      <c r="B355" s="1" t="str">
        <f>IF(LEFT(Annex!H89,5)="Local","Local Transmission",Annex!H89)</f>
        <v xml:space="preserve">Imported </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IF(LEFT(Annex!H90,5)="Local","Local Transmission",Annex!H90)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IF(LEFT(Annex!H91,5)="Local","Local Transmission",Annex!H91)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IF(LEFT(Annex!H92,5)="Local","Local Transmission",Annex!H92)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49">
        <v>43920</v>
      </c>
      <c r="I358" s="1"/>
      <c r="J358" s="1"/>
      <c r="K358" s="1"/>
      <c r="L358" s="1" t="str">
        <f>Annex!C92</f>
        <v>MEH</v>
      </c>
      <c r="M358" s="5" t="s">
        <v>1130</v>
      </c>
    </row>
    <row r="359" spans="1:13" ht="13.8" customHeight="1" x14ac:dyDescent="0.3">
      <c r="A359" s="1">
        <f>Annex!A93</f>
        <v>358</v>
      </c>
      <c r="B359" s="1" t="str">
        <f>IF(LEFT(Annex!H93,5)="Local","Local Transmission",Annex!H93)</f>
        <v>Local Transmission</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IF(LEFT(Annex!H94,5)="Local","Local Transmission",Annex!H94)</f>
        <v>Local Transmission</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IF(LEFT(Annex!H95,5)="Local","Local Transmission",Annex!H95)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IF(LEFT(Annex!H96,5)="Local","Local Transmission",Annex!H96)</f>
        <v>Local Transmission</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1"/>
      <c r="I362" s="1"/>
      <c r="J362" s="1"/>
      <c r="K362" s="1"/>
      <c r="L362" s="1" t="str">
        <f>Annex!C96</f>
        <v xml:space="preserve">NCID </v>
      </c>
      <c r="M362" s="5" t="s">
        <v>1130</v>
      </c>
    </row>
    <row r="363" spans="1:13" ht="13.8" customHeight="1" x14ac:dyDescent="0.3">
      <c r="A363" s="1">
        <f>Annex!A97</f>
        <v>362</v>
      </c>
      <c r="B363" s="1" t="str">
        <f>IF(LEFT(Annex!H97,5)="Local","Local Transmission",Annex!H97)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IF(LEFT(Annex!H98,5)="Local","Local Transmission",Annex!H98)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IF(LEFT(Annex!H99,5)="Local","Local Transmission",Annex!H99)</f>
        <v>Local Transmission</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IF(LEFT(Annex!H100,5)="Local","Local Transmission",Annex!H100)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IF(LEFT(Annex!H101,5)="Local","Local Transmission",Annex!H101)</f>
        <v xml:space="preserve">Imported </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IF(LEFT(Annex!H102,5)="Local","Local Transmission",Annex!H102)</f>
        <v>Local Transmission</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IF(LEFT(Annex!H103,5)="Local","Local Transmission",Annex!H103)</f>
        <v>Local Transmission</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IF(LEFT(Annex!H104,5)="Local","Local Transmission",Annex!H104)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IF(LEFT(Annex!H105,5)="Local","Local Transmission",Annex!H105)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IF(LEFT(Annex!H106,5)="Local","Local Transmission",Annex!H106)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IF(LEFT(Annex!H107,5)="Local","Local Transmission",Annex!H107)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IF(LEFT(Annex!H108,5)="Local","Local Transmission",Annex!H108)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1"/>
      <c r="I374" s="1"/>
      <c r="J374" s="1"/>
      <c r="K374" s="1"/>
      <c r="L374" s="1" t="str">
        <f>Annex!C108</f>
        <v xml:space="preserve">NCID </v>
      </c>
      <c r="M374" s="5" t="s">
        <v>1130</v>
      </c>
    </row>
    <row r="375" spans="1:13" ht="13.8" customHeight="1" x14ac:dyDescent="0.3">
      <c r="A375" s="1">
        <f>Annex!A109</f>
        <v>374</v>
      </c>
      <c r="B375" s="1" t="str">
        <f>IF(LEFT(Annex!H109,5)="Local","Local Transmission",Annex!H109)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44">
        <v>43919</v>
      </c>
      <c r="I375" s="1"/>
      <c r="J375" s="1"/>
      <c r="K375" s="1"/>
      <c r="L375" s="1" t="str">
        <f>Annex!C109</f>
        <v xml:space="preserve">NCID </v>
      </c>
      <c r="M375" s="5" t="s">
        <v>1130</v>
      </c>
    </row>
    <row r="376" spans="1:13" ht="13.8" customHeight="1" x14ac:dyDescent="0.3">
      <c r="A376" s="1">
        <f>Annex!A110</f>
        <v>375</v>
      </c>
      <c r="B376" s="1" t="str">
        <f>IF(LEFT(Annex!H110,5)="Local","Local Transmission",Annex!H110)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IF(LEFT(Annex!H111,5)="Local","Local Transmission",Annex!H111)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49">
        <v>43920</v>
      </c>
      <c r="I377" s="1"/>
      <c r="J377" s="1"/>
      <c r="K377" s="1"/>
      <c r="L377" s="1" t="str">
        <f>Annex!C111</f>
        <v xml:space="preserve">NCID </v>
      </c>
      <c r="M377" s="5" t="s">
        <v>1130</v>
      </c>
    </row>
    <row r="378" spans="1:13" ht="13.8" customHeight="1" x14ac:dyDescent="0.3">
      <c r="A378" s="1">
        <f>Annex!A112</f>
        <v>377</v>
      </c>
      <c r="B378" s="1" t="str">
        <f>IF(LEFT(Annex!H112,5)="Local","Local Transmission",Annex!H112)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9">
        <v>43916</v>
      </c>
      <c r="I378" s="1"/>
      <c r="J378" s="1"/>
      <c r="K378" s="1"/>
      <c r="L378" s="1" t="str">
        <f>Annex!C112</f>
        <v xml:space="preserve">NUH </v>
      </c>
      <c r="M378" s="5" t="s">
        <v>1130</v>
      </c>
    </row>
    <row r="379" spans="1:13" ht="13.8" customHeight="1" x14ac:dyDescent="0.3">
      <c r="A379" s="1">
        <f>Annex!A113</f>
        <v>378</v>
      </c>
      <c r="B379" s="1" t="str">
        <f>IF(LEFT(Annex!H113,5)="Local","Local Transmission",Annex!H113)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IF(LEFT(Annex!H114,5)="Local","Local Transmission",Annex!H114)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1"/>
      <c r="I380" s="1"/>
      <c r="J380" s="1"/>
      <c r="K380" s="1"/>
      <c r="L380" s="1" t="str">
        <f>Annex!C114</f>
        <v xml:space="preserve">NCID </v>
      </c>
      <c r="M380" s="5" t="s">
        <v>1130</v>
      </c>
    </row>
    <row r="381" spans="1:13" ht="13.8" customHeight="1" x14ac:dyDescent="0.3">
      <c r="A381" s="1">
        <f>Annex!A115</f>
        <v>380</v>
      </c>
      <c r="B381" s="1" t="str">
        <f>IF(LEFT(Annex!H115,5)="Local","Local Transmission",Annex!H115)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IF(LEFT(Annex!H116,5)="Local","Local Transmission",Annex!H116)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1"/>
      <c r="I382" s="1"/>
      <c r="J382" s="1"/>
      <c r="K382" s="1"/>
      <c r="L382" s="1" t="str">
        <f>Annex!C116</f>
        <v xml:space="preserve">SGH </v>
      </c>
      <c r="M382" s="5" t="s">
        <v>1130</v>
      </c>
    </row>
    <row r="383" spans="1:13" ht="13.8" customHeight="1" x14ac:dyDescent="0.3">
      <c r="A383" s="1">
        <f>Annex!A117</f>
        <v>382</v>
      </c>
      <c r="B383" s="1" t="str">
        <f>IF(LEFT(Annex!H117,5)="Local","Local Transmission",Annex!H117)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44">
        <v>43919</v>
      </c>
      <c r="I383" s="1"/>
      <c r="J383" s="1"/>
      <c r="K383" s="1"/>
      <c r="L383" s="1" t="str">
        <f>Annex!C117</f>
        <v xml:space="preserve">SGH </v>
      </c>
      <c r="M383" s="5" t="s">
        <v>1130</v>
      </c>
    </row>
    <row r="384" spans="1:13" ht="13.8" customHeight="1" x14ac:dyDescent="0.3">
      <c r="A384" s="1">
        <f>Annex!A118</f>
        <v>383</v>
      </c>
      <c r="B384" s="1" t="str">
        <f>IF(LEFT(Annex!H118,5)="Local","Local Transmission",Annex!H118)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IF(LEFT(Annex!H119,5)="Local","Local Transmission",Annex!H119)</f>
        <v>Local Transmission</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IF(LEFT(Annex!H120,5)="Local","Local Transmission",Annex!H120)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1"/>
      <c r="I386" s="1"/>
      <c r="J386" s="1"/>
      <c r="K386" s="1"/>
      <c r="L386" s="1" t="str">
        <f>Annex!C120</f>
        <v xml:space="preserve">CGH </v>
      </c>
      <c r="M386" s="5" t="s">
        <v>1130</v>
      </c>
    </row>
    <row r="387" spans="1:13" ht="13.8" customHeight="1" x14ac:dyDescent="0.3">
      <c r="A387" s="1">
        <f>Annex!A121</f>
        <v>386</v>
      </c>
      <c r="B387" s="1" t="str">
        <f>IF(LEFT(Annex!H121,5)="Local","Local Transmission",Annex!H121)</f>
        <v>Local Transmission</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IF(LEFT(Annex!H122,5)="Local","Local Transmission",Annex!H122)</f>
        <v xml:space="preserve">Imported </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IF(LEFT(Annex!H123,5)="Local","Local Transmission",Annex!H123)</f>
        <v>Local Transmission</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IF(LEFT(Annex!H124,5)="Local","Local Transmission",Annex!H124)</f>
        <v xml:space="preserve">Imported </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IF(LEFT(Annex!H125,5)="Local","Local Transmission",Annex!H125)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IF(LEFT(Annex!H126,5)="Local","Local Transmission",Annex!H126)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IF(LEFT(Annex!H127,5)="Local","Local Transmission",Annex!H127)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IF(LEFT(Annex!H128,5)="Local","Local Transmission",Annex!H128)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IF(LEFT(Annex!H129,5)="Local","Local Transmission",Annex!H129)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IF(LEFT(Annex!H130,5)="Local","Local Transmission",Annex!H130)</f>
        <v>Local Transmission</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1"/>
      <c r="I396" s="1"/>
      <c r="J396" s="1"/>
      <c r="K396" s="1"/>
      <c r="L396" s="1" t="str">
        <f>Annex!C130</f>
        <v xml:space="preserve">NCID </v>
      </c>
      <c r="M396" s="5" t="s">
        <v>1131</v>
      </c>
    </row>
    <row r="397" spans="1:13" ht="13.8" customHeight="1" x14ac:dyDescent="0.3">
      <c r="A397" s="1">
        <f>Annex!A131</f>
        <v>396</v>
      </c>
      <c r="B397" s="1" t="str">
        <f>IF(LEFT(Annex!H131,5)="Local","Local Transmission",Annex!H131)</f>
        <v>Local Transmission</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9">
        <v>43917</v>
      </c>
      <c r="I397" s="1"/>
      <c r="J397" s="1"/>
      <c r="K397" s="1"/>
      <c r="L397" s="1" t="str">
        <f>Annex!C131</f>
        <v xml:space="preserve">SKH </v>
      </c>
      <c r="M397" s="5" t="s">
        <v>1131</v>
      </c>
    </row>
    <row r="398" spans="1:13" ht="13.8" customHeight="1" x14ac:dyDescent="0.3">
      <c r="A398" s="1">
        <f>Annex!A132</f>
        <v>397</v>
      </c>
      <c r="B398" s="1" t="str">
        <f>IF(LEFT(Annex!H132,5)="Local","Local Transmission",Annex!H132)</f>
        <v xml:space="preserve">Imported </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IF(LEFT(Annex!H133,5)="Local","Local Transmission",Annex!H133)</f>
        <v>Local Transmission</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49">
        <v>43920</v>
      </c>
      <c r="I399" s="1"/>
      <c r="J399" s="1"/>
      <c r="K399" s="1"/>
      <c r="L399" s="1" t="str">
        <f>Annex!C133</f>
        <v xml:space="preserve">KTPH7 </v>
      </c>
      <c r="M399" s="5" t="s">
        <v>1131</v>
      </c>
    </row>
    <row r="400" spans="1:13" ht="13.8" customHeight="1" x14ac:dyDescent="0.3">
      <c r="A400" s="1">
        <f>Annex!A134</f>
        <v>399</v>
      </c>
      <c r="B400" s="1" t="str">
        <f>IF(LEFT(Annex!H134,5)="Local","Local Transmission",Annex!H134)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IF(LEFT(Annex!H135,5)="Local","Local Transmission",Annex!H135)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IF(LEFT(Annex!H136,5)="Local","Local Transmission",Annex!H136)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1"/>
      <c r="I402" s="1"/>
      <c r="J402" s="1"/>
      <c r="K402" s="1"/>
      <c r="L402" s="1" t="str">
        <f>Annex!C136</f>
        <v xml:space="preserve">NCID </v>
      </c>
      <c r="M402" s="5" t="s">
        <v>1131</v>
      </c>
    </row>
    <row r="403" spans="1:13" ht="13.8" customHeight="1" x14ac:dyDescent="0.3">
      <c r="A403" s="1">
        <f>Annex!A137</f>
        <v>402</v>
      </c>
      <c r="B403" s="1" t="str">
        <f>IF(LEFT(Annex!H137,5)="Local","Local Transmission",Annex!H137)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IF(LEFT(Annex!H138,5)="Local","Local Transmission",Annex!H138)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IF(LEFT(Annex!H139,5)="Local","Local Transmission",Annex!H139)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IF(LEFT(Annex!H140,5)="Local","Local Transmission",Annex!H140)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IF(LEFT(Annex!H141,5)="Local","Local Transmission",Annex!H141)</f>
        <v>Local Transmission</v>
      </c>
      <c r="C407" s="1" t="str">
        <f>Annex!J141</f>
        <v>Female</v>
      </c>
      <c r="D407" s="1">
        <f>Annex!D141</f>
        <v>61</v>
      </c>
      <c r="E407" s="1" t="str">
        <f>Annex!K141</f>
        <v>Singaporean</v>
      </c>
      <c r="F407" s="1" t="str">
        <f>Annex!L141</f>
        <v xml:space="preserve">Case 406 is a Local unlinked case, 61 years old female Singapore Citizen  and has not been overseas. She is currently admitted at KTPH . </v>
      </c>
      <c r="G407" s="2">
        <v>43911</v>
      </c>
      <c r="H407" s="39">
        <v>43918</v>
      </c>
      <c r="I407" s="1"/>
      <c r="J407" s="1"/>
      <c r="K407" s="1"/>
      <c r="L407" s="1" t="str">
        <f>Annex!C141</f>
        <v xml:space="preserve">KTPH </v>
      </c>
      <c r="M407" s="5" t="s">
        <v>1131</v>
      </c>
    </row>
    <row r="408" spans="1:13" ht="13.8" customHeight="1" x14ac:dyDescent="0.3">
      <c r="A408" s="1">
        <f>Annex!A142</f>
        <v>407</v>
      </c>
      <c r="B408" s="1" t="str">
        <f>IF(LEFT(Annex!H142,5)="Local","Local Transmission",Annex!H142)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IF(LEFT(Annex!H143,5)="Local","Local Transmission",Annex!H143)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IF(LEFT(Annex!H144,5)="Local","Local Transmission",Annex!H144)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IF(LEFT(Annex!H145,5)="Local","Local Transmission",Annex!H145)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IF(LEFT(Annex!H146,5)="Local","Local Transmission",Annex!H146)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IF(LEFT(Annex!H147,5)="Local","Local Transmission",Annex!H147)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IF(LEFT(Annex!H148,5)="Local","Local Transmission",Annex!H148)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IF(LEFT(Annex!H149,5)="Local","Local Transmission",Annex!H149)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1"/>
      <c r="I415" s="1"/>
      <c r="J415" s="1"/>
      <c r="K415" s="1"/>
      <c r="L415" s="1" t="str">
        <f>Annex!C149</f>
        <v xml:space="preserve">NCID </v>
      </c>
      <c r="M415" s="5" t="s">
        <v>1131</v>
      </c>
    </row>
    <row r="416" spans="1:13" ht="13.8" customHeight="1" x14ac:dyDescent="0.3">
      <c r="A416" s="1">
        <f>Annex!A150</f>
        <v>415</v>
      </c>
      <c r="B416" s="1" t="str">
        <f>IF(LEFT(Annex!H150,5)="Local","Local Transmission",Annex!H150)</f>
        <v xml:space="preserve">Imported </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1"/>
      <c r="I416" s="1"/>
      <c r="J416" s="1"/>
      <c r="K416" s="1"/>
      <c r="L416" s="1" t="str">
        <f>Annex!C150</f>
        <v xml:space="preserve">NCID </v>
      </c>
      <c r="M416" s="5" t="s">
        <v>1131</v>
      </c>
    </row>
    <row r="417" spans="1:13" ht="13.8" customHeight="1" x14ac:dyDescent="0.3">
      <c r="A417" s="1">
        <f>Annex!A151</f>
        <v>416</v>
      </c>
      <c r="B417" s="1" t="str">
        <f>IF(LEFT(Annex!H151,5)="Local","Local Transmission",Annex!H151)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IF(LEFT(Annex!H152,5)="Local","Local Transmission",Annex!H152)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IF(LEFT(Annex!H153,5)="Local","Local Transmission",Annex!H153)</f>
        <v xml:space="preserve">Imported </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IF(LEFT(Annex!H154,5)="Local","Local Transmission",Annex!H154)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IF(LEFT(Annex!H155,5)="Local","Local Transmission",Annex!H155)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IF(LEFT(Annex!H156,5)="Local","Local Transmission",Annex!H156)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IF(LEFT(Annex!H157,5)="Local","Local Transmission",Annex!H157)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IF(LEFT(Annex!H158,5)="Local","Local Transmission",Annex!H158)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44">
        <v>43919</v>
      </c>
      <c r="I424" s="1"/>
      <c r="J424" s="1"/>
      <c r="K424" s="1"/>
      <c r="L424" s="1" t="str">
        <f>Annex!C158</f>
        <v xml:space="preserve">NCID </v>
      </c>
      <c r="M424" s="5" t="s">
        <v>1131</v>
      </c>
    </row>
    <row r="425" spans="1:13" ht="13.8" customHeight="1" x14ac:dyDescent="0.3">
      <c r="A425" s="1">
        <f>Annex!A159</f>
        <v>424</v>
      </c>
      <c r="B425" s="1" t="str">
        <f>IF(LEFT(Annex!H159,5)="Local","Local Transmission",Annex!H159)</f>
        <v xml:space="preserve">Imported </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IF(LEFT(Annex!H160,5)="Local","Local Transmission",Annex!H160)</f>
        <v xml:space="preserve">Imported </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IF(LEFT(Annex!H161,5)="Local","Local Transmission",Annex!H161)</f>
        <v>Local Transmission</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44">
        <v>43919</v>
      </c>
      <c r="I427" s="1"/>
      <c r="J427" s="1"/>
      <c r="K427" s="1"/>
      <c r="L427" s="1" t="str">
        <f>Annex!C161</f>
        <v xml:space="preserve">NCID </v>
      </c>
      <c r="M427" s="5" t="s">
        <v>1131</v>
      </c>
    </row>
    <row r="428" spans="1:13" ht="13.8" customHeight="1" x14ac:dyDescent="0.3">
      <c r="A428" s="1">
        <f>Annex!A162</f>
        <v>427</v>
      </c>
      <c r="B428" s="1" t="str">
        <f>IF(LEFT(Annex!H162,5)="Local","Local Transmission",Annex!H162)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IF(LEFT(Annex!H163,5)="Local","Local Transmission",Annex!H163)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IF(LEFT(Annex!H164,5)="Local","Local Transmission",Annex!H164)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IF(LEFT(Annex!H165,5)="Local","Local Transmission",Annex!H165)</f>
        <v>Local Transmission</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1"/>
      <c r="I431" s="1"/>
      <c r="J431" s="1"/>
      <c r="K431" s="1"/>
      <c r="L431" s="1" t="str">
        <f>Annex!C165</f>
        <v xml:space="preserve">NCID </v>
      </c>
      <c r="M431" s="5" t="s">
        <v>1131</v>
      </c>
    </row>
    <row r="432" spans="1:13" ht="13.8" customHeight="1" x14ac:dyDescent="0.3">
      <c r="A432" s="1">
        <f>Annex!A166</f>
        <v>431</v>
      </c>
      <c r="B432" s="1" t="str">
        <f>IF(LEFT(Annex!H166,5)="Local","Local Transmission",Annex!H166)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1"/>
      <c r="I432" s="1"/>
      <c r="J432" s="1"/>
      <c r="K432" s="1"/>
      <c r="L432" s="1" t="str">
        <f>Annex!C166</f>
        <v xml:space="preserve">NCID </v>
      </c>
      <c r="M432" s="5" t="s">
        <v>1131</v>
      </c>
    </row>
    <row r="433" spans="1:13" ht="13.8" customHeight="1" x14ac:dyDescent="0.3">
      <c r="A433" s="1">
        <f>Annex!A167</f>
        <v>432</v>
      </c>
      <c r="B433" s="1" t="str">
        <f>IF(LEFT(Annex!H167,5)="Local","Local Transmission",Annex!H167)</f>
        <v xml:space="preserve">Imported </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IF(LEFT(Annex!H168,5)="Local","Local Transmission",Annex!H168)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IF(LEFT(Annex!H169,5)="Local","Local Transmission",Annex!H169)</f>
        <v>Local Transmission</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44">
        <v>43919</v>
      </c>
      <c r="I435" s="1"/>
      <c r="J435" s="1"/>
      <c r="K435" s="1"/>
      <c r="L435" s="1" t="str">
        <f>Annex!C169</f>
        <v xml:space="preserve">NCID </v>
      </c>
      <c r="M435" s="5" t="s">
        <v>1134</v>
      </c>
    </row>
    <row r="436" spans="1:13" ht="13.8" customHeight="1" x14ac:dyDescent="0.3">
      <c r="A436" s="1">
        <f>Annex!A170</f>
        <v>435</v>
      </c>
      <c r="B436" s="1" t="str">
        <f>IF(LEFT(Annex!H170,5)="Local","Local Transmission",Annex!H170)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9">
        <v>43915</v>
      </c>
      <c r="I436" s="1"/>
      <c r="J436" s="1"/>
      <c r="K436" s="1"/>
      <c r="L436" s="1" t="str">
        <f>Annex!C170</f>
        <v xml:space="preserve">NCID </v>
      </c>
      <c r="M436" s="5" t="s">
        <v>1134</v>
      </c>
    </row>
    <row r="437" spans="1:13" ht="13.8" customHeight="1" x14ac:dyDescent="0.3">
      <c r="A437" s="1">
        <f>Annex!A171</f>
        <v>436</v>
      </c>
      <c r="B437" s="1" t="str">
        <f>IF(LEFT(Annex!H171,5)="Local","Local Transmission",Annex!H171)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IF(LEFT(Annex!H172,5)="Local","Local Transmission",Annex!H172)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1"/>
      <c r="I438" s="1"/>
      <c r="J438" s="1"/>
      <c r="K438" s="1"/>
      <c r="L438" s="1" t="str">
        <f>Annex!C172</f>
        <v xml:space="preserve">SGH </v>
      </c>
      <c r="M438" s="5" t="s">
        <v>1134</v>
      </c>
    </row>
    <row r="439" spans="1:13" ht="13.8" customHeight="1" x14ac:dyDescent="0.3">
      <c r="A439" s="1">
        <f>Annex!A173</f>
        <v>438</v>
      </c>
      <c r="B439" s="1" t="str">
        <f>IF(LEFT(Annex!H173,5)="Local","Local Transmission",Annex!H173)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IF(LEFT(Annex!H174,5)="Local","Local Transmission",Annex!H174)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IF(LEFT(Annex!H175,5)="Local","Local Transmission",Annex!H175)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IF(LEFT(Annex!H176,5)="Local","Local Transmission",Annex!H176)</f>
        <v xml:space="preserve">Imported </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IF(LEFT(Annex!H177,5)="Local","Local Transmission",Annex!H177)</f>
        <v>Local Transmission</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IF(LEFT(Annex!H178,5)="Local","Local Transmission",Annex!H178)</f>
        <v>Local Transmission</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1"/>
      <c r="I444" s="1"/>
      <c r="J444" s="1"/>
      <c r="K444" s="1"/>
      <c r="L444" s="1" t="str">
        <f>Annex!C178</f>
        <v xml:space="preserve">NUH </v>
      </c>
      <c r="M444" s="5" t="s">
        <v>1134</v>
      </c>
    </row>
    <row r="445" spans="1:13" ht="13.8" customHeight="1" x14ac:dyDescent="0.3">
      <c r="A445" s="1">
        <f>Annex!A179</f>
        <v>444</v>
      </c>
      <c r="B445" s="1" t="str">
        <f>IF(LEFT(Annex!H179,5)="Local","Local Transmission",Annex!H179)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IF(LEFT(Annex!H180,5)="Local","Local Transmission",Annex!H180)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1"/>
      <c r="I446" s="1"/>
      <c r="J446" s="1"/>
      <c r="K446" s="1"/>
      <c r="L446" s="1" t="str">
        <f>Annex!C180</f>
        <v xml:space="preserve">NCID </v>
      </c>
      <c r="M446" s="5" t="s">
        <v>1134</v>
      </c>
    </row>
    <row r="447" spans="1:13" ht="13.8" customHeight="1" x14ac:dyDescent="0.3">
      <c r="A447" s="1">
        <f>Annex!A181</f>
        <v>446</v>
      </c>
      <c r="B447" s="1" t="str">
        <f>IF(LEFT(Annex!H181,5)="Local","Local Transmission",Annex!H181)</f>
        <v xml:space="preserve">Imported </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IF(LEFT(Annex!H182,5)="Local","Local Transmission",Annex!H182)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IF(LEFT(Annex!H183,5)="Local","Local Transmission",Annex!H183)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1"/>
      <c r="I449" s="1"/>
      <c r="J449" s="1"/>
      <c r="K449" s="1"/>
      <c r="L449" s="1" t="str">
        <f>Annex!C183</f>
        <v xml:space="preserve">NCID </v>
      </c>
      <c r="M449" s="5" t="s">
        <v>1134</v>
      </c>
    </row>
    <row r="450" spans="1:13" ht="13.8" customHeight="1" x14ac:dyDescent="0.3">
      <c r="A450" s="1">
        <f>Annex!A184</f>
        <v>449</v>
      </c>
      <c r="B450" s="1" t="str">
        <f>IF(LEFT(Annex!H184,5)="Local","Local Transmission",Annex!H184)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IF(LEFT(Annex!H185,5)="Local","Local Transmission",Annex!H185)</f>
        <v>Local Transmission</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9">
        <v>43915</v>
      </c>
      <c r="I451" s="1"/>
      <c r="J451" s="1"/>
      <c r="K451" s="1"/>
      <c r="L451" s="1" t="str">
        <f>Annex!C185</f>
        <v xml:space="preserve">NCID </v>
      </c>
      <c r="M451" s="5" t="s">
        <v>1134</v>
      </c>
    </row>
    <row r="452" spans="1:13" ht="13.8" customHeight="1" x14ac:dyDescent="0.3">
      <c r="A452" s="1">
        <f>Annex!A186</f>
        <v>451</v>
      </c>
      <c r="B452" s="1" t="str">
        <f>IF(LEFT(Annex!H186,5)="Local","Local Transmission",Annex!H186)</f>
        <v>Local Transmission</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IF(LEFT(Annex!H187,5)="Local","Local Transmission",Annex!H187)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IF(LEFT(Annex!H188,5)="Local","Local Transmission",Annex!H188)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IF(LEFT(Annex!H189,5)="Local","Local Transmission",Annex!H189)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IF(LEFT(Annex!H190,5)="Local","Local Transmission",Annex!H190)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IF(LEFT(Annex!H191,5)="Local","Local Transmission",Annex!H191)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1219</v>
      </c>
    </row>
    <row r="458" spans="1:13" ht="13.8" customHeight="1" x14ac:dyDescent="0.3">
      <c r="A458" s="1">
        <f>Annex!A192</f>
        <v>457</v>
      </c>
      <c r="B458" s="1" t="str">
        <f>IF(LEFT(Annex!H192,5)="Local","Local Transmission",Annex!H192)</f>
        <v>Local Transmission</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1"/>
      <c r="I458" s="1"/>
      <c r="J458" s="1"/>
      <c r="K458" s="1"/>
      <c r="L458" s="1" t="str">
        <f>Annex!C192</f>
        <v xml:space="preserve">CGH </v>
      </c>
      <c r="M458" s="5" t="s">
        <v>1219</v>
      </c>
    </row>
    <row r="459" spans="1:13" ht="13.8" customHeight="1" x14ac:dyDescent="0.3">
      <c r="A459" s="1">
        <f>Annex!A193</f>
        <v>458</v>
      </c>
      <c r="B459" s="1" t="str">
        <f>IF(LEFT(Annex!H193,5)="Local","Local Transmission",Annex!H193)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1219</v>
      </c>
    </row>
    <row r="460" spans="1:13" ht="13.8" customHeight="1" x14ac:dyDescent="0.3">
      <c r="A460" s="1">
        <f>Annex!A194</f>
        <v>459</v>
      </c>
      <c r="B460" s="1" t="str">
        <f>IF(LEFT(Annex!H194,5)="Local","Local Transmission",Annex!H194)</f>
        <v>Local Transmission</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1219</v>
      </c>
    </row>
    <row r="461" spans="1:13" ht="13.8" customHeight="1" x14ac:dyDescent="0.3">
      <c r="A461" s="1">
        <f>Annex!A195</f>
        <v>460</v>
      </c>
      <c r="B461" s="1" t="str">
        <f>IF(LEFT(Annex!H195,5)="Local","Local Transmission",Annex!H195)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1219</v>
      </c>
    </row>
    <row r="462" spans="1:13" ht="13.8" customHeight="1" x14ac:dyDescent="0.3">
      <c r="A462" s="1">
        <f>Annex!A196</f>
        <v>461</v>
      </c>
      <c r="B462" s="1" t="str">
        <f>IF(LEFT(Annex!H196,5)="Local","Local Transmission",Annex!H196)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39">
        <v>43918</v>
      </c>
      <c r="I462" s="1"/>
      <c r="J462" s="1"/>
      <c r="K462" s="1"/>
      <c r="L462" s="1" t="str">
        <f>Annex!C196</f>
        <v xml:space="preserve">NUH </v>
      </c>
      <c r="M462" s="5" t="s">
        <v>1219</v>
      </c>
    </row>
    <row r="463" spans="1:13" ht="13.8" customHeight="1" x14ac:dyDescent="0.3">
      <c r="A463" s="1">
        <f>Annex!A197</f>
        <v>462</v>
      </c>
      <c r="B463" s="1" t="str">
        <f>IF(LEFT(Annex!H197,5)="Local","Local Transmission",Annex!H197)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1"/>
      <c r="I463" s="1"/>
      <c r="J463" s="1"/>
      <c r="K463" s="1"/>
      <c r="L463" s="1" t="str">
        <f>Annex!C197</f>
        <v xml:space="preserve">CGH </v>
      </c>
      <c r="M463" s="5" t="s">
        <v>1219</v>
      </c>
    </row>
    <row r="464" spans="1:13" ht="13.8" customHeight="1" x14ac:dyDescent="0.3">
      <c r="A464" s="1">
        <f>Annex!A198</f>
        <v>463</v>
      </c>
      <c r="B464" s="1" t="str">
        <f>IF(LEFT(Annex!H198,5)="Local","Local Transmission",Annex!H198)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1219</v>
      </c>
    </row>
    <row r="465" spans="1:13" ht="13.8" customHeight="1" x14ac:dyDescent="0.3">
      <c r="A465" s="1">
        <f>Annex!A199</f>
        <v>464</v>
      </c>
      <c r="B465" s="1" t="str">
        <f>IF(LEFT(Annex!H199,5)="Local","Local Transmission",Annex!H199)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1219</v>
      </c>
    </row>
    <row r="466" spans="1:13" ht="13.8" customHeight="1" x14ac:dyDescent="0.3">
      <c r="A466" s="1">
        <f>Annex!A200</f>
        <v>465</v>
      </c>
      <c r="B466" s="1" t="str">
        <f>IF(LEFT(Annex!H200,5)="Local","Local Transmission",Annex!H200)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1"/>
      <c r="I466" s="1"/>
      <c r="J466" s="1"/>
      <c r="K466" s="1"/>
      <c r="L466" s="1" t="str">
        <f>Annex!C200</f>
        <v xml:space="preserve">NCID </v>
      </c>
      <c r="M466" s="5" t="s">
        <v>1219</v>
      </c>
    </row>
    <row r="467" spans="1:13" ht="13.8" customHeight="1" x14ac:dyDescent="0.3">
      <c r="A467" s="1">
        <f>Annex!A201</f>
        <v>466</v>
      </c>
      <c r="B467" s="1" t="str">
        <f>IF(LEFT(Annex!H201,5)="Local","Local Transmission",Annex!H201)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49">
        <v>43920</v>
      </c>
      <c r="I467" s="1"/>
      <c r="J467" s="1"/>
      <c r="K467" s="1"/>
      <c r="L467" s="1" t="str">
        <f>Annex!C201</f>
        <v xml:space="preserve">NCID </v>
      </c>
      <c r="M467" s="5" t="s">
        <v>1219</v>
      </c>
    </row>
    <row r="468" spans="1:13" ht="13.8" customHeight="1" x14ac:dyDescent="0.3">
      <c r="A468" s="1">
        <f>Annex!A202</f>
        <v>467</v>
      </c>
      <c r="B468" s="1" t="str">
        <f>IF(LEFT(Annex!H202,5)="Local","Local Transmission",Annex!H202)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1219</v>
      </c>
    </row>
    <row r="469" spans="1:13" ht="13.8" customHeight="1" x14ac:dyDescent="0.3">
      <c r="A469" s="1">
        <f>Annex!A203</f>
        <v>468</v>
      </c>
      <c r="B469" s="1" t="str">
        <f>IF(LEFT(Annex!H203,5)="Local","Local Transmission",Annex!H203)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1"/>
      <c r="I469" s="1"/>
      <c r="J469" s="1"/>
      <c r="K469" s="1"/>
      <c r="L469" s="1" t="str">
        <f>Annex!C203</f>
        <v xml:space="preserve">NCID </v>
      </c>
      <c r="M469" s="5" t="s">
        <v>1219</v>
      </c>
    </row>
    <row r="470" spans="1:13" ht="13.8" customHeight="1" x14ac:dyDescent="0.3">
      <c r="A470" s="1">
        <f>Annex!A204</f>
        <v>469</v>
      </c>
      <c r="B470" s="1" t="str">
        <f>IF(LEFT(Annex!H204,5)="Local","Local Transmission",Annex!H204)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1"/>
      <c r="I470" s="1"/>
      <c r="J470" s="1"/>
      <c r="K470" s="1"/>
      <c r="L470" s="1" t="str">
        <f>Annex!C204</f>
        <v xml:space="preserve">NCID </v>
      </c>
      <c r="M470" s="5" t="s">
        <v>1219</v>
      </c>
    </row>
    <row r="471" spans="1:13" ht="13.8" customHeight="1" x14ac:dyDescent="0.3">
      <c r="A471" s="1">
        <f>Annex!A205</f>
        <v>470</v>
      </c>
      <c r="B471" s="1" t="str">
        <f>IF(LEFT(Annex!H205,5)="Local","Local Transmission",Annex!H205)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1219</v>
      </c>
    </row>
    <row r="472" spans="1:13" ht="13.8" customHeight="1" x14ac:dyDescent="0.3">
      <c r="A472" s="1">
        <f>Annex!A206</f>
        <v>471</v>
      </c>
      <c r="B472" s="1" t="str">
        <f>IF(LEFT(Annex!H206,5)="Local","Local Transmission",Annex!H206)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1219</v>
      </c>
    </row>
    <row r="473" spans="1:13" ht="13.8" customHeight="1" x14ac:dyDescent="0.3">
      <c r="A473" s="1">
        <f>Annex!A207</f>
        <v>472</v>
      </c>
      <c r="B473" s="1" t="str">
        <f>IF(LEFT(Annex!H207,5)="Local","Local Transmission",Annex!H207)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1219</v>
      </c>
    </row>
    <row r="474" spans="1:13" ht="13.8" customHeight="1" x14ac:dyDescent="0.3">
      <c r="A474" s="1">
        <f>Annex!A208</f>
        <v>473</v>
      </c>
      <c r="B474" s="1" t="str">
        <f>IF(LEFT(Annex!H208,5)="Local","Local Transmission",Annex!H208)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1219</v>
      </c>
    </row>
    <row r="475" spans="1:13" ht="13.8" customHeight="1" x14ac:dyDescent="0.3">
      <c r="A475" s="1">
        <f>Annex!A209</f>
        <v>474</v>
      </c>
      <c r="B475" s="1" t="str">
        <f>IF(LEFT(Annex!H209,5)="Local","Local Transmission",Annex!H209)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1219</v>
      </c>
    </row>
    <row r="476" spans="1:13" ht="13.8" customHeight="1" x14ac:dyDescent="0.3">
      <c r="A476" s="1">
        <f>Annex!A210</f>
        <v>475</v>
      </c>
      <c r="B476" s="1" t="str">
        <f>IF(LEFT(Annex!H210,5)="Local","Local Transmission",Annex!H210)</f>
        <v xml:space="preserve">Imported </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1219</v>
      </c>
    </row>
    <row r="477" spans="1:13" ht="13.8" customHeight="1" x14ac:dyDescent="0.3">
      <c r="A477" s="1">
        <f>Annex!A211</f>
        <v>476</v>
      </c>
      <c r="B477" s="1" t="str">
        <f>IF(LEFT(Annex!H211,5)="Local","Local Transmission",Annex!H211)</f>
        <v xml:space="preserve">Imported </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1"/>
      <c r="J477" s="1"/>
      <c r="K477" s="1"/>
      <c r="L477" s="1" t="str">
        <f>Annex!C211</f>
        <v xml:space="preserve">NCID </v>
      </c>
      <c r="M477" s="5" t="s">
        <v>1219</v>
      </c>
    </row>
    <row r="478" spans="1:13" ht="13.8" customHeight="1" x14ac:dyDescent="0.3">
      <c r="A478" s="1">
        <f>Annex!A212</f>
        <v>477</v>
      </c>
      <c r="B478" s="1" t="str">
        <f>IF(LEFT(Annex!H212,5)="Local","Local Transmission",Annex!H212)</f>
        <v>Local Transmission</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1219</v>
      </c>
    </row>
    <row r="479" spans="1:13" ht="13.8" customHeight="1" x14ac:dyDescent="0.3">
      <c r="A479" s="1">
        <f>Annex!A213</f>
        <v>478</v>
      </c>
      <c r="B479" s="1" t="str">
        <f>IF(LEFT(Annex!H213,5)="Local","Local Transmission",Annex!H213)</f>
        <v>Local Transmission</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1"/>
      <c r="I479" s="1"/>
      <c r="J479" s="1"/>
      <c r="K479" s="1"/>
      <c r="L479" s="1" t="str">
        <f>Annex!C213</f>
        <v xml:space="preserve">NCID </v>
      </c>
      <c r="M479" s="5" t="s">
        <v>1219</v>
      </c>
    </row>
    <row r="480" spans="1:13" ht="13.8" customHeight="1" x14ac:dyDescent="0.3">
      <c r="A480" s="1">
        <f>Annex!A214</f>
        <v>479</v>
      </c>
      <c r="B480" s="1" t="str">
        <f>IF(LEFT(Annex!H214,5)="Local","Local Transmission",Annex!H214)</f>
        <v>Local Transmission</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1219</v>
      </c>
    </row>
    <row r="481" spans="1:13" ht="13.8" customHeight="1" x14ac:dyDescent="0.3">
      <c r="A481" s="1">
        <f>Annex!A215</f>
        <v>480</v>
      </c>
      <c r="B481" s="1" t="str">
        <f>IF(LEFT(Annex!H215,5)="Local","Local Transmission",Annex!H215)</f>
        <v>Local Transmission</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1"/>
      <c r="I481" s="1"/>
      <c r="J481" s="1"/>
      <c r="K481" s="1"/>
      <c r="L481" s="1" t="str">
        <f>Annex!C215</f>
        <v xml:space="preserve">KTPH </v>
      </c>
      <c r="M481" s="5" t="s">
        <v>1219</v>
      </c>
    </row>
    <row r="482" spans="1:13" ht="13.8" customHeight="1" x14ac:dyDescent="0.3">
      <c r="A482" s="1">
        <f>Annex!A216</f>
        <v>481</v>
      </c>
      <c r="B482" s="1" t="str">
        <f>IF(LEFT(Annex!H216,5)="Local","Local Transmission",Annex!H216)</f>
        <v xml:space="preserve">Imported </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1219</v>
      </c>
    </row>
    <row r="483" spans="1:13" ht="13.8" customHeight="1" x14ac:dyDescent="0.3">
      <c r="A483" s="1">
        <f>Annex!A217</f>
        <v>482</v>
      </c>
      <c r="B483" s="1" t="str">
        <f>IF(LEFT(Annex!H217,5)="Local","Local Transmission",Annex!H217)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1219</v>
      </c>
    </row>
    <row r="484" spans="1:13" ht="13.8" customHeight="1" x14ac:dyDescent="0.3">
      <c r="A484" s="1">
        <f>Annex!A218</f>
        <v>483</v>
      </c>
      <c r="B484" s="1" t="str">
        <f>IF(LEFT(Annex!H218,5)="Local","Local Transmission",Annex!H218)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1219</v>
      </c>
    </row>
    <row r="485" spans="1:13" ht="13.8" customHeight="1" x14ac:dyDescent="0.3">
      <c r="A485" s="1">
        <f>Annex!A219</f>
        <v>484</v>
      </c>
      <c r="B485" s="1" t="str">
        <f>IF(LEFT(Annex!H219,5)="Local","Local Transmission",Annex!H219)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1219</v>
      </c>
    </row>
    <row r="486" spans="1:13" ht="13.8" customHeight="1" x14ac:dyDescent="0.3">
      <c r="A486" s="1">
        <f>Annex!A220</f>
        <v>485</v>
      </c>
      <c r="B486" s="1" t="str">
        <f>IF(LEFT(Annex!H220,5)="Local","Local Transmission",Annex!H220)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1219</v>
      </c>
    </row>
    <row r="487" spans="1:13" ht="13.8" customHeight="1" x14ac:dyDescent="0.3">
      <c r="A487" s="1">
        <f>Annex!A221</f>
        <v>486</v>
      </c>
      <c r="B487" s="1" t="str">
        <f>IF(LEFT(Annex!H221,5)="Local","Local Transmission",Annex!H221)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49">
        <v>43920</v>
      </c>
      <c r="I487" s="1"/>
      <c r="J487" s="1"/>
      <c r="K487" s="1"/>
      <c r="L487" s="1" t="str">
        <f>Annex!C221</f>
        <v xml:space="preserve">NCID </v>
      </c>
      <c r="M487" s="5" t="s">
        <v>1219</v>
      </c>
    </row>
    <row r="488" spans="1:13" ht="13.8" customHeight="1" x14ac:dyDescent="0.3">
      <c r="A488" s="1">
        <f>Annex!A222</f>
        <v>487</v>
      </c>
      <c r="B488" s="1" t="str">
        <f>IF(LEFT(Annex!H222,5)="Local","Local Transmission",Annex!H222)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1219</v>
      </c>
    </row>
    <row r="489" spans="1:13" ht="13.8" customHeight="1" x14ac:dyDescent="0.3">
      <c r="A489" s="1">
        <f>Annex!A223</f>
        <v>488</v>
      </c>
      <c r="B489" s="1" t="str">
        <f>IF(LEFT(Annex!H223,5)="Local","Local Transmission",Annex!H223)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1"/>
      <c r="I489" s="1"/>
      <c r="J489" s="1"/>
      <c r="K489" s="1"/>
      <c r="L489" s="1" t="str">
        <f>Annex!C223</f>
        <v xml:space="preserve">SKH </v>
      </c>
      <c r="M489" s="5" t="s">
        <v>1219</v>
      </c>
    </row>
    <row r="490" spans="1:13" ht="13.8" customHeight="1" x14ac:dyDescent="0.3">
      <c r="A490" s="1">
        <f>Annex!A224</f>
        <v>489</v>
      </c>
      <c r="B490" s="1" t="str">
        <f>IF(LEFT(Annex!H224,5)="Local","Local Transmission",Annex!H224)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1219</v>
      </c>
    </row>
    <row r="491" spans="1:13" ht="13.8" customHeight="1" x14ac:dyDescent="0.3">
      <c r="A491" s="1">
        <f>Annex!A225</f>
        <v>490</v>
      </c>
      <c r="B491" s="1" t="str">
        <f>IF(LEFT(Annex!H225,5)="Local","Local Transmission",Annex!H225)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1219</v>
      </c>
    </row>
    <row r="492" spans="1:13" ht="13.8" customHeight="1" x14ac:dyDescent="0.3">
      <c r="A492" s="1">
        <f>Annex!A226</f>
        <v>491</v>
      </c>
      <c r="B492" s="1" t="str">
        <f>IF(LEFT(Annex!H226,5)="Local","Local Transmission",Annex!H226)</f>
        <v xml:space="preserve">Imported </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1219</v>
      </c>
    </row>
    <row r="493" spans="1:13" ht="13.8" customHeight="1" x14ac:dyDescent="0.3">
      <c r="A493" s="1">
        <f>Annex!A227</f>
        <v>492</v>
      </c>
      <c r="B493" s="1" t="str">
        <f>IF(LEFT(Annex!H227,5)="Local","Local Transmission",Annex!H227)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1219</v>
      </c>
    </row>
    <row r="494" spans="1:13" ht="13.8" customHeight="1" x14ac:dyDescent="0.3">
      <c r="A494" s="1">
        <f>Annex!A228</f>
        <v>493</v>
      </c>
      <c r="B494" s="1" t="str">
        <f>IF(LEFT(Annex!H228,5)="Local","Local Transmission",Annex!H228)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1219</v>
      </c>
    </row>
    <row r="495" spans="1:13" ht="13.8" customHeight="1" x14ac:dyDescent="0.3">
      <c r="A495" s="1">
        <f>Annex!A229</f>
        <v>494</v>
      </c>
      <c r="B495" s="1" t="str">
        <f>IF(LEFT(Annex!H229,5)="Local","Local Transmission",Annex!H229)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1219</v>
      </c>
    </row>
    <row r="496" spans="1:13" ht="13.8" customHeight="1" x14ac:dyDescent="0.3">
      <c r="A496" s="1">
        <f>Annex!A230</f>
        <v>495</v>
      </c>
      <c r="B496" s="1" t="str">
        <f>IF(LEFT(Annex!H230,5)="Local","Local Transmission",Annex!H230)</f>
        <v xml:space="preserve">Imported </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1"/>
      <c r="I496" s="1"/>
      <c r="J496" s="1"/>
      <c r="K496" s="1"/>
      <c r="L496" s="1" t="str">
        <f>Annex!C230</f>
        <v xml:space="preserve">NCID </v>
      </c>
      <c r="M496" s="5" t="s">
        <v>1219</v>
      </c>
    </row>
    <row r="497" spans="1:13" ht="13.8" customHeight="1" x14ac:dyDescent="0.3">
      <c r="A497" s="1">
        <f>Annex!A231</f>
        <v>496</v>
      </c>
      <c r="B497" s="1" t="str">
        <f>IF(LEFT(Annex!H231,5)="Local","Local Transmission",Annex!H231)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1219</v>
      </c>
    </row>
    <row r="498" spans="1:13" ht="13.8" customHeight="1" x14ac:dyDescent="0.3">
      <c r="A498" s="1">
        <f>Annex!A232</f>
        <v>497</v>
      </c>
      <c r="B498" s="1" t="str">
        <f>IF(LEFT(Annex!H232,5)="Local","Local Transmission",Annex!H232)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1219</v>
      </c>
    </row>
    <row r="499" spans="1:13" ht="13.8" customHeight="1" x14ac:dyDescent="0.3">
      <c r="A499" s="1">
        <f>Annex!A233</f>
        <v>498</v>
      </c>
      <c r="B499" s="1" t="str">
        <f>IF(LEFT(Annex!H233,5)="Local","Local Transmission",Annex!H233)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1219</v>
      </c>
    </row>
    <row r="500" spans="1:13" ht="13.8" customHeight="1" x14ac:dyDescent="0.3">
      <c r="A500" s="1">
        <f>Annex!A234</f>
        <v>499</v>
      </c>
      <c r="B500" s="1" t="str">
        <f>IF(LEFT(Annex!H234,5)="Local","Local Transmission",Annex!H234)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1219</v>
      </c>
    </row>
    <row r="501" spans="1:13" ht="13.8" customHeight="1" x14ac:dyDescent="0.3">
      <c r="A501" s="1">
        <f>Annex!A235</f>
        <v>500</v>
      </c>
      <c r="B501" s="1" t="str">
        <f>IF(LEFT(Annex!H235,5)="Local","Local Transmission",Annex!H235)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1219</v>
      </c>
    </row>
    <row r="502" spans="1:13" ht="13.8" customHeight="1" x14ac:dyDescent="0.3">
      <c r="A502" s="1">
        <f>Annex!A236</f>
        <v>501</v>
      </c>
      <c r="B502" s="1" t="str">
        <f>IF(LEFT(Annex!H236,5)="Local","Local Transmission",Annex!H236)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1219</v>
      </c>
    </row>
    <row r="503" spans="1:13" ht="13.8" customHeight="1" x14ac:dyDescent="0.3">
      <c r="A503" s="1">
        <f>Annex!A237</f>
        <v>502</v>
      </c>
      <c r="B503" s="1" t="str">
        <f>IF(LEFT(Annex!H237,5)="Local","Local Transmission",Annex!H237)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44">
        <v>43919</v>
      </c>
      <c r="I503" s="1"/>
      <c r="J503" s="1"/>
      <c r="K503" s="1"/>
      <c r="L503" s="1" t="str">
        <f>Annex!C237</f>
        <v xml:space="preserve">NCID </v>
      </c>
      <c r="M503" s="5" t="s">
        <v>1219</v>
      </c>
    </row>
    <row r="504" spans="1:13" ht="13.8" customHeight="1" x14ac:dyDescent="0.3">
      <c r="A504" s="1">
        <f>Annex!A238</f>
        <v>503</v>
      </c>
      <c r="B504" s="1" t="str">
        <f>IF(LEFT(Annex!H238,5)="Local","Local Transmission",Annex!H238)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1219</v>
      </c>
    </row>
    <row r="505" spans="1:13" ht="13.8" customHeight="1" x14ac:dyDescent="0.3">
      <c r="A505" s="1">
        <f>Annex!A239</f>
        <v>504</v>
      </c>
      <c r="B505" s="1" t="str">
        <f>IF(LEFT(Annex!H239,5)="Local","Local Transmission",Annex!H239)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9">
        <v>43916</v>
      </c>
      <c r="I505" s="1"/>
      <c r="J505" s="1"/>
      <c r="K505" s="1"/>
      <c r="L505" s="1" t="str">
        <f>Annex!C239</f>
        <v xml:space="preserve">NCID </v>
      </c>
      <c r="M505" s="5" t="s">
        <v>1219</v>
      </c>
    </row>
    <row r="506" spans="1:13" ht="13.8" customHeight="1" x14ac:dyDescent="0.3">
      <c r="A506" s="1">
        <f>Annex!A240</f>
        <v>505</v>
      </c>
      <c r="B506" s="1" t="str">
        <f>IF(LEFT(Annex!H240,5)="Local","Local Transmission",Annex!H240)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1219</v>
      </c>
    </row>
    <row r="507" spans="1:13" ht="13.8" customHeight="1" x14ac:dyDescent="0.3">
      <c r="A507" s="1">
        <f>Annex!A241</f>
        <v>506</v>
      </c>
      <c r="B507" s="1" t="str">
        <f>IF(LEFT(Annex!H241,5)="Local","Local Transmission",Annex!H241)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1219</v>
      </c>
    </row>
    <row r="508" spans="1:13" ht="13.8" customHeight="1" x14ac:dyDescent="0.3">
      <c r="A508" s="1">
        <f>Annex!A242</f>
        <v>507</v>
      </c>
      <c r="B508" s="1" t="str">
        <f>IF(LEFT(Annex!H242,5)="Local","Local Transmission",Annex!H242)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1219</v>
      </c>
    </row>
    <row r="509" spans="1:13" ht="13.8" customHeight="1" x14ac:dyDescent="0.3">
      <c r="A509" s="1">
        <f>Annex!A243</f>
        <v>508</v>
      </c>
      <c r="B509" s="1" t="str">
        <f>IF(LEFT(Annex!H243,5)="Local","Local Transmission",Annex!H243)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1219</v>
      </c>
    </row>
    <row r="510" spans="1:13" ht="13.8" customHeight="1" x14ac:dyDescent="0.3">
      <c r="A510" s="1">
        <f>Annex!A244</f>
        <v>509</v>
      </c>
      <c r="B510" s="1" t="str">
        <f>IF(LEFT(Annex!H244,5)="Local","Local Transmission",Annex!H244)</f>
        <v xml:space="preserve">Imported </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1"/>
      <c r="I510" s="1"/>
      <c r="J510" s="1"/>
      <c r="K510" s="1"/>
      <c r="L510" s="1" t="str">
        <f>Annex!C244</f>
        <v xml:space="preserve">NCID </v>
      </c>
      <c r="M510" s="5" t="s">
        <v>1219</v>
      </c>
    </row>
    <row r="511" spans="1:13" ht="13.8" customHeight="1" x14ac:dyDescent="0.3">
      <c r="A511" s="1">
        <f>Annex!A245</f>
        <v>510</v>
      </c>
      <c r="B511" s="1" t="str">
        <f>IF(LEFT(Annex!H245,5)="Local","Local Transmission",Annex!H245)</f>
        <v>Local Transmission</v>
      </c>
      <c r="C511" s="1" t="str">
        <f>Annex!J245</f>
        <v>Female</v>
      </c>
      <c r="D511" s="1">
        <f>Annex!D245</f>
        <v>52</v>
      </c>
      <c r="E511" s="1" t="str">
        <f>Annex!K245</f>
        <v>Singaporean</v>
      </c>
      <c r="F511" s="1" t="str">
        <f>Annex!L245</f>
        <v xml:space="preserve">Case 510 is a Local unlinked case, 52 years old female Singapore Citizen  and has been to Malaysia . She is currently admitted at KTPH . </v>
      </c>
      <c r="G511" s="2">
        <v>43914</v>
      </c>
      <c r="H511" s="1"/>
      <c r="I511" s="1"/>
      <c r="J511" s="1"/>
      <c r="K511" s="1"/>
      <c r="L511" s="1" t="str">
        <f>Annex!C245</f>
        <v xml:space="preserve">KTPH </v>
      </c>
      <c r="M511" s="5" t="s">
        <v>1234</v>
      </c>
    </row>
    <row r="512" spans="1:13" ht="13.8" customHeight="1" x14ac:dyDescent="0.3">
      <c r="A512" s="1">
        <f>Annex!A246</f>
        <v>511</v>
      </c>
      <c r="B512" s="1" t="str">
        <f>IF(LEFT(Annex!H246,5)="Local","Local Transmission",Annex!H246)</f>
        <v>Local Transmission</v>
      </c>
      <c r="C512" s="1" t="str">
        <f>Annex!J246</f>
        <v>Male</v>
      </c>
      <c r="D512" s="1">
        <f>Annex!D246</f>
        <v>53</v>
      </c>
      <c r="E512" s="1" t="str">
        <f>Annex!K246</f>
        <v>Singaporean</v>
      </c>
      <c r="F512" s="1" t="str">
        <f>Annex!L246</f>
        <v xml:space="preserve">Case 511 is a Local unlinked case, 53 years old male Singapore Citizen  and has been to Malaysia . He is currently admitted at KTPH . </v>
      </c>
      <c r="G512" s="2">
        <v>43914</v>
      </c>
      <c r="H512" s="1"/>
      <c r="I512" s="1"/>
      <c r="J512" s="1"/>
      <c r="K512" s="1"/>
      <c r="L512" s="1" t="str">
        <f>Annex!C246</f>
        <v xml:space="preserve">KTPH </v>
      </c>
      <c r="M512" s="5" t="s">
        <v>1234</v>
      </c>
    </row>
    <row r="513" spans="1:13" ht="13.8" customHeight="1" x14ac:dyDescent="0.3">
      <c r="A513" s="1">
        <f>Annex!A247</f>
        <v>512</v>
      </c>
      <c r="B513" s="1" t="str">
        <f>IF(LEFT(Annex!H247,5)="Local","Local Transmission",Annex!H247)</f>
        <v>Imported</v>
      </c>
      <c r="C513" s="1" t="str">
        <f>Annex!J247</f>
        <v>Female</v>
      </c>
      <c r="D513" s="1">
        <f>Annex!D247</f>
        <v>21</v>
      </c>
      <c r="E513" s="1" t="str">
        <f>Annex!K247</f>
        <v>Singaporean</v>
      </c>
      <c r="F513" s="1" t="str">
        <f>Annex!L247</f>
        <v xml:space="preserve">Case 512 is a Imported case, 21 years old female Singapore Citizen  and has been to UK . She is currently admitted at NCID . </v>
      </c>
      <c r="G513" s="2">
        <v>43914</v>
      </c>
      <c r="H513" s="1"/>
      <c r="I513" s="1"/>
      <c r="J513" s="1"/>
      <c r="K513" s="1"/>
      <c r="L513" s="1" t="str">
        <f>Annex!C247</f>
        <v xml:space="preserve">NCID </v>
      </c>
      <c r="M513" s="5" t="s">
        <v>1234</v>
      </c>
    </row>
    <row r="514" spans="1:13" ht="13.8" customHeight="1" x14ac:dyDescent="0.3">
      <c r="A514" s="1">
        <f>Annex!A248</f>
        <v>513</v>
      </c>
      <c r="B514" s="1" t="str">
        <f>IF(LEFT(Annex!H248,5)="Local","Local Transmission",Annex!H248)</f>
        <v>Imported</v>
      </c>
      <c r="C514" s="1" t="str">
        <f>Annex!J248</f>
        <v>Male</v>
      </c>
      <c r="D514" s="1">
        <f>Annex!D248</f>
        <v>21</v>
      </c>
      <c r="E514" s="1" t="str">
        <f>Annex!K248</f>
        <v>Singaporean</v>
      </c>
      <c r="F514" s="1" t="str">
        <f>Annex!L248</f>
        <v xml:space="preserve">Case 513 is a Imported case, 21 years old male Singapore Citizen  and has been to Pending . He is currently admitted at NCID . </v>
      </c>
      <c r="G514" s="2">
        <v>43914</v>
      </c>
      <c r="H514" s="1"/>
      <c r="I514" s="1"/>
      <c r="J514" s="1"/>
      <c r="K514" s="1"/>
      <c r="L514" s="1" t="str">
        <f>Annex!C248</f>
        <v xml:space="preserve">NCID </v>
      </c>
      <c r="M514" s="5" t="s">
        <v>1234</v>
      </c>
    </row>
    <row r="515" spans="1:13" ht="13.8" customHeight="1" x14ac:dyDescent="0.3">
      <c r="A515" s="1">
        <f>Annex!A249</f>
        <v>514</v>
      </c>
      <c r="B515" s="1" t="str">
        <f>IF(LEFT(Annex!H249,5)="Local","Local Transmission",Annex!H249)</f>
        <v>Imported</v>
      </c>
      <c r="C515" s="1" t="str">
        <f>Annex!J249</f>
        <v>Female</v>
      </c>
      <c r="D515" s="1">
        <f>Annex!D249</f>
        <v>18</v>
      </c>
      <c r="E515" s="1" t="str">
        <f>Annex!K249</f>
        <v xml:space="preserve">India </v>
      </c>
      <c r="F515" s="1" t="str">
        <f>Annex!L249</f>
        <v xml:space="preserve">Case 514 is a Imported case, 18 years old female India  and has been to Pending . She is currently admitted at NCID . </v>
      </c>
      <c r="G515" s="2">
        <v>43914</v>
      </c>
      <c r="H515" s="1"/>
      <c r="I515" s="1"/>
      <c r="J515" s="1"/>
      <c r="K515" s="1"/>
      <c r="L515" s="1" t="str">
        <f>Annex!C249</f>
        <v xml:space="preserve">NCID </v>
      </c>
      <c r="M515" s="5" t="s">
        <v>1234</v>
      </c>
    </row>
    <row r="516" spans="1:13" ht="13.8" customHeight="1" x14ac:dyDescent="0.3">
      <c r="A516" s="1">
        <f>Annex!A250</f>
        <v>515</v>
      </c>
      <c r="B516" s="1" t="str">
        <f>IF(LEFT(Annex!H250,5)="Local","Local Transmission",Annex!H250)</f>
        <v>Imported</v>
      </c>
      <c r="C516" s="1" t="str">
        <f>Annex!J250</f>
        <v>Male</v>
      </c>
      <c r="D516" s="1">
        <f>Annex!D250</f>
        <v>24</v>
      </c>
      <c r="E516" s="1" t="str">
        <f>Annex!K250</f>
        <v>Singaporean</v>
      </c>
      <c r="F516" s="1" t="str">
        <f>Annex!L250</f>
        <v xml:space="preserve">Case 515 is a Imported case, 24 years old male Singapore Citizen  and has been to US . He is currently admitted at NTFGH . </v>
      </c>
      <c r="G516" s="2">
        <v>43914</v>
      </c>
      <c r="H516" s="1"/>
      <c r="I516" s="1"/>
      <c r="J516" s="1"/>
      <c r="K516" s="1"/>
      <c r="L516" s="1" t="str">
        <f>Annex!C250</f>
        <v xml:space="preserve">NTFGH </v>
      </c>
      <c r="M516" s="5" t="s">
        <v>1234</v>
      </c>
    </row>
    <row r="517" spans="1:13" ht="13.8" customHeight="1" x14ac:dyDescent="0.3">
      <c r="A517" s="1">
        <f>Annex!A251</f>
        <v>516</v>
      </c>
      <c r="B517" s="1" t="str">
        <f>IF(LEFT(Annex!H251,5)="Local","Local Transmission",Annex!H251)</f>
        <v>Local Transmission</v>
      </c>
      <c r="C517" s="1" t="str">
        <f>Annex!J251</f>
        <v>Female</v>
      </c>
      <c r="D517" s="1">
        <f>Annex!D251</f>
        <v>42</v>
      </c>
      <c r="E517" s="1" t="str">
        <f>Annex!K251</f>
        <v>Singaporean</v>
      </c>
      <c r="F517" s="1" t="str">
        <f>Annex!L251</f>
        <v xml:space="preserve">Case 516 is a Local unlinked case, 42 years old female Singapore Citizen  and has not been overseas. She is currently admitted at CGH . </v>
      </c>
      <c r="G517" s="2">
        <v>43914</v>
      </c>
      <c r="H517" s="1"/>
      <c r="I517" s="1"/>
      <c r="J517" s="1"/>
      <c r="K517" s="1"/>
      <c r="L517" s="1" t="str">
        <f>Annex!C251</f>
        <v xml:space="preserve">CGH </v>
      </c>
      <c r="M517" s="5" t="s">
        <v>1234</v>
      </c>
    </row>
    <row r="518" spans="1:13" ht="13.8" customHeight="1" x14ac:dyDescent="0.3">
      <c r="A518" s="1">
        <f>Annex!A252</f>
        <v>517</v>
      </c>
      <c r="B518" s="1" t="str">
        <f>IF(LEFT(Annex!H252,5)="Local","Local Transmission",Annex!H252)</f>
        <v xml:space="preserve">Imported </v>
      </c>
      <c r="C518" s="1" t="str">
        <f>Annex!J252</f>
        <v>Male</v>
      </c>
      <c r="D518" s="1">
        <f>Annex!D252</f>
        <v>37</v>
      </c>
      <c r="E518" s="1" t="str">
        <f>Annex!K252</f>
        <v>Singaporean</v>
      </c>
      <c r="F518" s="1" t="str">
        <f>Annex!L252</f>
        <v>Case 517 is a Imported  case, 37 years old male Singapore Citizen  and has been to France, UK . He is currently admitted at NCID . Family member of Case 459; Contact of Case 490</v>
      </c>
      <c r="G518" s="2">
        <v>43914</v>
      </c>
      <c r="H518" s="1"/>
      <c r="I518" s="1"/>
      <c r="J518" s="1"/>
      <c r="K518" s="1"/>
      <c r="L518" s="1" t="str">
        <f>Annex!C252</f>
        <v xml:space="preserve">NCID </v>
      </c>
      <c r="M518" s="5" t="s">
        <v>1234</v>
      </c>
    </row>
    <row r="519" spans="1:13" ht="13.8" customHeight="1" x14ac:dyDescent="0.3">
      <c r="A519" s="1">
        <f>Annex!A253</f>
        <v>518</v>
      </c>
      <c r="B519" s="1" t="str">
        <f>IF(LEFT(Annex!H253,5)="Local","Local Transmission",Annex!H253)</f>
        <v>Imported</v>
      </c>
      <c r="C519" s="1" t="str">
        <f>Annex!J253</f>
        <v>Male</v>
      </c>
      <c r="D519" s="1">
        <f>Annex!D253</f>
        <v>46</v>
      </c>
      <c r="E519" s="1" t="str">
        <f>Annex!K253</f>
        <v>Australia</v>
      </c>
      <c r="F519" s="1" t="str">
        <f>Annex!L253</f>
        <v xml:space="preserve">Case 518 is a Imported case, 46 years old male Australia (Long Term Pass holder)  and has been to US . He is currently admitted at SGH . </v>
      </c>
      <c r="G519" s="2">
        <v>43914</v>
      </c>
      <c r="H519" s="1"/>
      <c r="I519" s="1"/>
      <c r="J519" s="1"/>
      <c r="K519" s="1"/>
      <c r="L519" s="1" t="str">
        <f>Annex!C253</f>
        <v xml:space="preserve">SGH </v>
      </c>
      <c r="M519" s="5" t="s">
        <v>1234</v>
      </c>
    </row>
    <row r="520" spans="1:13" ht="13.8" customHeight="1" x14ac:dyDescent="0.3">
      <c r="A520" s="1">
        <f>Annex!A254</f>
        <v>519</v>
      </c>
      <c r="B520" s="1" t="str">
        <f>IF(LEFT(Annex!H254,5)="Local","Local Transmission",Annex!H254)</f>
        <v>Imported</v>
      </c>
      <c r="C520" s="1" t="str">
        <f>Annex!J254</f>
        <v>Male</v>
      </c>
      <c r="D520" s="1">
        <f>Annex!D254</f>
        <v>44</v>
      </c>
      <c r="E520" s="1" t="str">
        <f>Annex!K254</f>
        <v xml:space="preserve">Germany </v>
      </c>
      <c r="F520" s="1" t="str">
        <f>Annex!L254</f>
        <v xml:space="preserve">Case 519 is a Imported case, 44 years old male Germany  and has been to Germany . He is currently admitted at SGH . </v>
      </c>
      <c r="G520" s="2">
        <v>43914</v>
      </c>
      <c r="H520" s="1"/>
      <c r="I520" s="1"/>
      <c r="J520" s="1"/>
      <c r="K520" s="1"/>
      <c r="L520" s="1" t="str">
        <f>Annex!C254</f>
        <v xml:space="preserve">SGH </v>
      </c>
      <c r="M520" s="5" t="s">
        <v>1234</v>
      </c>
    </row>
    <row r="521" spans="1:13" ht="13.8" customHeight="1" x14ac:dyDescent="0.3">
      <c r="A521" s="1">
        <f>Annex!A255</f>
        <v>520</v>
      </c>
      <c r="B521" s="1" t="str">
        <f>IF(LEFT(Annex!H255,5)="Local","Local Transmission",Annex!H255)</f>
        <v>Local Transmission</v>
      </c>
      <c r="C521" s="1" t="str">
        <f>Annex!J255</f>
        <v>Male</v>
      </c>
      <c r="D521" s="1">
        <f>Annex!D255</f>
        <v>71</v>
      </c>
      <c r="E521" s="1" t="str">
        <f>Annex!K255</f>
        <v>Singaporean</v>
      </c>
      <c r="F521" s="1" t="str">
        <f>Annex!L255</f>
        <v>Case 520 is a Local linked  case, 71 years old male Singapore Citizen  and has not been overseas. He is currently admitted at . Contact of Case 94</v>
      </c>
      <c r="G521" s="2">
        <v>43914</v>
      </c>
      <c r="H521" s="2">
        <v>43914</v>
      </c>
      <c r="I521" s="1"/>
      <c r="J521" s="1"/>
      <c r="K521" s="1"/>
      <c r="L521" s="1"/>
      <c r="M521" s="5" t="s">
        <v>1234</v>
      </c>
    </row>
    <row r="522" spans="1:13" ht="13.8" customHeight="1" x14ac:dyDescent="0.3">
      <c r="A522" s="1">
        <f>Annex!A256</f>
        <v>521</v>
      </c>
      <c r="B522" s="1" t="str">
        <f>IF(LEFT(Annex!H256,5)="Local","Local Transmission",Annex!H256)</f>
        <v>Local Transmission</v>
      </c>
      <c r="C522" s="1" t="str">
        <f>Annex!J256</f>
        <v>Female</v>
      </c>
      <c r="D522" s="1">
        <f>Annex!D256</f>
        <v>37</v>
      </c>
      <c r="E522" s="1" t="str">
        <f>Annex!K256</f>
        <v>Singaporean</v>
      </c>
      <c r="F522" s="1" t="str">
        <f>Annex!L256</f>
        <v xml:space="preserve">Case 521 is a Local unlinked case, 37 years old female Singapore Citizen  and has been to Malaysia . She is currently admitted at CGH . </v>
      </c>
      <c r="G522" s="2">
        <v>43914</v>
      </c>
      <c r="H522" s="1"/>
      <c r="I522" s="1"/>
      <c r="J522" s="1"/>
      <c r="K522" s="1"/>
      <c r="L522" s="1" t="str">
        <f>Annex!C256</f>
        <v xml:space="preserve">CGH </v>
      </c>
      <c r="M522" s="5" t="s">
        <v>1234</v>
      </c>
    </row>
    <row r="523" spans="1:13" ht="13.8" customHeight="1" x14ac:dyDescent="0.3">
      <c r="A523" s="1">
        <f>Annex!A257</f>
        <v>522</v>
      </c>
      <c r="B523" s="1" t="str">
        <f>IF(LEFT(Annex!H257,5)="Local","Local Transmission",Annex!H257)</f>
        <v>Imported</v>
      </c>
      <c r="C523" s="1" t="str">
        <f>Annex!J257</f>
        <v>Female</v>
      </c>
      <c r="D523" s="1">
        <f>Annex!D257</f>
        <v>45</v>
      </c>
      <c r="E523" s="1" t="str">
        <f>Annex!K257</f>
        <v>Singaporean</v>
      </c>
      <c r="F523" s="1" t="str">
        <f>Annex!L257</f>
        <v xml:space="preserve">Case 522 is a Imported case, 45 years old female Singapore Permanent Resident  and has been to US . She is currently admitted at NCID . </v>
      </c>
      <c r="G523" s="2">
        <v>43914</v>
      </c>
      <c r="H523" s="1"/>
      <c r="I523" s="1"/>
      <c r="J523" s="1"/>
      <c r="K523" s="1"/>
      <c r="L523" s="1" t="str">
        <f>Annex!C257</f>
        <v xml:space="preserve">NCID </v>
      </c>
      <c r="M523" s="5" t="s">
        <v>1234</v>
      </c>
    </row>
    <row r="524" spans="1:13" ht="13.8" customHeight="1" x14ac:dyDescent="0.3">
      <c r="A524" s="1">
        <f>Annex!A258</f>
        <v>523</v>
      </c>
      <c r="B524" s="1" t="str">
        <f>IF(LEFT(Annex!H258,5)="Local","Local Transmission",Annex!H258)</f>
        <v xml:space="preserve">Imported </v>
      </c>
      <c r="C524" s="1" t="str">
        <f>Annex!J258</f>
        <v>Male</v>
      </c>
      <c r="D524" s="1">
        <f>Annex!D258</f>
        <v>9</v>
      </c>
      <c r="E524" s="1" t="str">
        <f>Annex!K258</f>
        <v>Philippines</v>
      </c>
      <c r="F524" s="1" t="str">
        <f>Annex!L258</f>
        <v>Case 523 is a Imported  case, 9 years old male Philippines (Long Term Pass holder)  and has been to Philippines . He is currently admitted at KKH . Family member of Case 394</v>
      </c>
      <c r="G524" s="2">
        <v>43914</v>
      </c>
      <c r="H524" s="1"/>
      <c r="I524" s="1"/>
      <c r="J524" s="1"/>
      <c r="K524" s="1"/>
      <c r="L524" s="1" t="str">
        <f>Annex!C258</f>
        <v xml:space="preserve">KKH </v>
      </c>
      <c r="M524" s="5" t="s">
        <v>1234</v>
      </c>
    </row>
    <row r="525" spans="1:13" ht="13.8" customHeight="1" x14ac:dyDescent="0.3">
      <c r="A525" s="1">
        <f>Annex!A259</f>
        <v>524</v>
      </c>
      <c r="B525" s="1" t="str">
        <f>IF(LEFT(Annex!H259,5)="Local","Local Transmission",Annex!H259)</f>
        <v>Local Transmission</v>
      </c>
      <c r="C525" s="1" t="str">
        <f>Annex!J259</f>
        <v>Male</v>
      </c>
      <c r="D525" s="1">
        <f>Annex!D259</f>
        <v>61</v>
      </c>
      <c r="E525" s="1" t="str">
        <f>Annex!K259</f>
        <v>Singaporean</v>
      </c>
      <c r="F525" s="1" t="str">
        <f>Annex!L259</f>
        <v xml:space="preserve">Case 524 is a Local unlinked case, 61 years old male Singapore Citizen  and has not been overseas. He is currently admitted at NCID . </v>
      </c>
      <c r="G525" s="2">
        <v>43914</v>
      </c>
      <c r="H525" s="1"/>
      <c r="I525" s="1"/>
      <c r="J525" s="1"/>
      <c r="K525" s="1"/>
      <c r="L525" s="1" t="str">
        <f>Annex!C259</f>
        <v xml:space="preserve">NCID </v>
      </c>
      <c r="M525" s="5" t="s">
        <v>1234</v>
      </c>
    </row>
    <row r="526" spans="1:13" ht="13.8" customHeight="1" x14ac:dyDescent="0.3">
      <c r="A526" s="1">
        <f>Annex!A260</f>
        <v>525</v>
      </c>
      <c r="B526" s="1" t="str">
        <f>IF(LEFT(Annex!H260,5)="Local","Local Transmission",Annex!H260)</f>
        <v>Local Transmission</v>
      </c>
      <c r="C526" s="1" t="str">
        <f>Annex!J260</f>
        <v>Female</v>
      </c>
      <c r="D526" s="1">
        <f>Annex!D260</f>
        <v>64</v>
      </c>
      <c r="E526" s="1" t="str">
        <f>Annex!K260</f>
        <v>Singaporean</v>
      </c>
      <c r="F526" s="1" t="str">
        <f>Annex!L260</f>
        <v xml:space="preserve">Case 525 is a Local unlinked case, 64 years old female Singapore Citizen  and has not been overseas. She is currently admitted at NCID . </v>
      </c>
      <c r="G526" s="2">
        <v>43914</v>
      </c>
      <c r="H526" s="1"/>
      <c r="I526" s="1"/>
      <c r="J526" s="1"/>
      <c r="K526" s="1"/>
      <c r="L526" s="1" t="str">
        <f>Annex!C260</f>
        <v xml:space="preserve">NCID </v>
      </c>
      <c r="M526" s="5" t="s">
        <v>1234</v>
      </c>
    </row>
    <row r="527" spans="1:13" ht="13.8" customHeight="1" x14ac:dyDescent="0.3">
      <c r="A527" s="1">
        <f>Annex!A261</f>
        <v>526</v>
      </c>
      <c r="B527" s="1" t="str">
        <f>IF(LEFT(Annex!H261,5)="Local","Local Transmission",Annex!H261)</f>
        <v>Imported</v>
      </c>
      <c r="C527" s="1" t="str">
        <f>Annex!J261</f>
        <v>Female</v>
      </c>
      <c r="D527" s="1">
        <f>Annex!D261</f>
        <v>22</v>
      </c>
      <c r="E527" s="1" t="str">
        <f>Annex!K261</f>
        <v>Singaporean</v>
      </c>
      <c r="F527" s="1" t="str">
        <f>Annex!L261</f>
        <v xml:space="preserve">Case 526 is a Imported case, 22 years old female Singapore Citizen  and has been to US . She is currently admitted at NCID . </v>
      </c>
      <c r="G527" s="2">
        <v>43914</v>
      </c>
      <c r="H527" s="1"/>
      <c r="I527" s="1"/>
      <c r="J527" s="1"/>
      <c r="K527" s="1"/>
      <c r="L527" s="1" t="str">
        <f>Annex!C261</f>
        <v xml:space="preserve">NCID </v>
      </c>
      <c r="M527" s="5" t="s">
        <v>1234</v>
      </c>
    </row>
    <row r="528" spans="1:13" ht="13.8" customHeight="1" x14ac:dyDescent="0.3">
      <c r="A528" s="1">
        <f>Annex!A262</f>
        <v>527</v>
      </c>
      <c r="B528" s="1" t="str">
        <f>IF(LEFT(Annex!H262,5)="Local","Local Transmission",Annex!H262)</f>
        <v>Local Transmission</v>
      </c>
      <c r="C528" s="1" t="str">
        <f>Annex!J262</f>
        <v>Male</v>
      </c>
      <c r="D528" s="1">
        <f>Annex!D262</f>
        <v>44</v>
      </c>
      <c r="E528" s="1" t="str">
        <f>Annex!K262</f>
        <v>Singaporean</v>
      </c>
      <c r="F528" s="1" t="str">
        <f>Annex!L262</f>
        <v xml:space="preserve">Case 527 is a Local unlinked case, 44 years old male Singapore Citizen  and has not been overseas. He is currently admitted at KTPH . </v>
      </c>
      <c r="G528" s="2">
        <v>43914</v>
      </c>
      <c r="H528" s="1"/>
      <c r="I528" s="1"/>
      <c r="J528" s="1"/>
      <c r="K528" s="1"/>
      <c r="L528" s="1" t="str">
        <f>Annex!C262</f>
        <v xml:space="preserve">KTPH </v>
      </c>
      <c r="M528" s="5" t="s">
        <v>1234</v>
      </c>
    </row>
    <row r="529" spans="1:13" ht="13.8" customHeight="1" x14ac:dyDescent="0.3">
      <c r="A529" s="1">
        <f>Annex!A263</f>
        <v>528</v>
      </c>
      <c r="B529" s="1" t="str">
        <f>IF(LEFT(Annex!H263,5)="Local","Local Transmission",Annex!H263)</f>
        <v>Local Transmission</v>
      </c>
      <c r="C529" s="1" t="str">
        <f>Annex!J263</f>
        <v>Male</v>
      </c>
      <c r="D529" s="1">
        <f>Annex!D263</f>
        <v>50</v>
      </c>
      <c r="E529" s="1" t="str">
        <f>Annex!K263</f>
        <v>Singaporean</v>
      </c>
      <c r="F529" s="1" t="str">
        <f>Annex!L263</f>
        <v xml:space="preserve">Case 528 is a Local unlinked case, 50 years old male Singapore Citizen  and has not been overseas. He is currently admitted at KTPH . </v>
      </c>
      <c r="G529" s="2">
        <v>43914</v>
      </c>
      <c r="H529" s="1"/>
      <c r="I529" s="1"/>
      <c r="J529" s="1"/>
      <c r="K529" s="1"/>
      <c r="L529" s="1" t="str">
        <f>Annex!C263</f>
        <v xml:space="preserve">KTPH </v>
      </c>
      <c r="M529" s="5" t="s">
        <v>1234</v>
      </c>
    </row>
    <row r="530" spans="1:13" ht="13.8" customHeight="1" x14ac:dyDescent="0.3">
      <c r="A530" s="1">
        <f>Annex!A264</f>
        <v>529</v>
      </c>
      <c r="B530" s="1" t="str">
        <f>IF(LEFT(Annex!H264,5)="Local","Local Transmission",Annex!H264)</f>
        <v>Imported</v>
      </c>
      <c r="C530" s="1" t="str">
        <f>Annex!J264</f>
        <v>Female</v>
      </c>
      <c r="D530" s="1">
        <f>Annex!D264</f>
        <v>19</v>
      </c>
      <c r="E530" s="1" t="str">
        <f>Annex!K264</f>
        <v>Singaporean</v>
      </c>
      <c r="F530" s="1" t="str">
        <f>Annex!L264</f>
        <v xml:space="preserve">Case 529 is a Imported case, 19 years old female Singapore Citizen  and has been to Europe . She is currently admitted at NTFGH . </v>
      </c>
      <c r="G530" s="2">
        <v>43914</v>
      </c>
      <c r="H530" s="1"/>
      <c r="I530" s="1"/>
      <c r="J530" s="1"/>
      <c r="K530" s="1"/>
      <c r="L530" s="1" t="str">
        <f>Annex!C264</f>
        <v xml:space="preserve">NTFGH </v>
      </c>
      <c r="M530" s="5" t="s">
        <v>1234</v>
      </c>
    </row>
    <row r="531" spans="1:13" ht="13.8" customHeight="1" x14ac:dyDescent="0.3">
      <c r="A531" s="1">
        <f>Annex!A265</f>
        <v>530</v>
      </c>
      <c r="B531" s="1" t="str">
        <f>IF(LEFT(Annex!H265,5)="Local","Local Transmission",Annex!H265)</f>
        <v>Imported</v>
      </c>
      <c r="C531" s="1" t="str">
        <f>Annex!J265</f>
        <v>Male</v>
      </c>
      <c r="D531" s="1">
        <f>Annex!D265</f>
        <v>35</v>
      </c>
      <c r="E531" s="1" t="str">
        <f>Annex!K265</f>
        <v>Singaporean</v>
      </c>
      <c r="F531" s="1" t="str">
        <f>Annex!L265</f>
        <v xml:space="preserve">Case 530 is a Imported case, 35 years old male Singapore Citizen  and has been to US . He is currently admitted at NUH . </v>
      </c>
      <c r="G531" s="2">
        <v>43914</v>
      </c>
      <c r="H531" s="1"/>
      <c r="I531" s="1"/>
      <c r="J531" s="1"/>
      <c r="K531" s="1"/>
      <c r="L531" s="1" t="str">
        <f>Annex!C265</f>
        <v xml:space="preserve">NUH </v>
      </c>
      <c r="M531" s="5" t="s">
        <v>1234</v>
      </c>
    </row>
    <row r="532" spans="1:13" ht="13.8" customHeight="1" x14ac:dyDescent="0.3">
      <c r="A532" s="1">
        <f>Annex!A266</f>
        <v>531</v>
      </c>
      <c r="B532" s="1" t="str">
        <f>IF(LEFT(Annex!H266,5)="Local","Local Transmission",Annex!H266)</f>
        <v>Local Transmission</v>
      </c>
      <c r="C532" s="1" t="str">
        <f>Annex!J266</f>
        <v>Male</v>
      </c>
      <c r="D532" s="1">
        <f>Annex!D266</f>
        <v>43</v>
      </c>
      <c r="E532" s="1" t="str">
        <f>Annex!K266</f>
        <v>India</v>
      </c>
      <c r="F532" s="1" t="str">
        <f>Annex!L266</f>
        <v xml:space="preserve">Case 531 is a Local unlinked case, 43 years old male India (Singapore Work Pass holder)   and has not been overseas. He is currently admitted at SKH . </v>
      </c>
      <c r="G532" s="2">
        <v>43914</v>
      </c>
      <c r="H532" s="1"/>
      <c r="I532" s="1"/>
      <c r="J532" s="1"/>
      <c r="K532" s="1"/>
      <c r="L532" s="1" t="str">
        <f>Annex!C266</f>
        <v xml:space="preserve">SKH </v>
      </c>
      <c r="M532" s="5" t="s">
        <v>1234</v>
      </c>
    </row>
    <row r="533" spans="1:13" ht="13.8" customHeight="1" x14ac:dyDescent="0.3">
      <c r="A533" s="1">
        <f>Annex!A267</f>
        <v>532</v>
      </c>
      <c r="B533" s="1" t="str">
        <f>IF(LEFT(Annex!H267,5)="Local","Local Transmission",Annex!H267)</f>
        <v>Imported</v>
      </c>
      <c r="C533" s="1" t="str">
        <f>Annex!J267</f>
        <v>Male</v>
      </c>
      <c r="D533" s="1">
        <f>Annex!D267</f>
        <v>44</v>
      </c>
      <c r="E533" s="1" t="str">
        <f>Annex!K267</f>
        <v>Singaporean</v>
      </c>
      <c r="F533" s="1" t="str">
        <f>Annex!L267</f>
        <v xml:space="preserve">Case 532 is a Imported case, 44 years old male Singapore Citizen  and has been to ASEAN . He is currently admitted at SKH . </v>
      </c>
      <c r="G533" s="2">
        <v>43914</v>
      </c>
      <c r="H533" s="1"/>
      <c r="I533" s="1"/>
      <c r="J533" s="1"/>
      <c r="K533" s="1"/>
      <c r="L533" s="1" t="str">
        <f>Annex!C267</f>
        <v xml:space="preserve">SKH </v>
      </c>
      <c r="M533" s="5" t="s">
        <v>1234</v>
      </c>
    </row>
    <row r="534" spans="1:13" ht="13.8" customHeight="1" x14ac:dyDescent="0.3">
      <c r="A534" s="1">
        <f>Annex!A268</f>
        <v>533</v>
      </c>
      <c r="B534" s="1" t="str">
        <f>IF(LEFT(Annex!H268,5)="Local","Local Transmission",Annex!H268)</f>
        <v>Local Transmission</v>
      </c>
      <c r="C534" s="1" t="str">
        <f>Annex!J268</f>
        <v>Male</v>
      </c>
      <c r="D534" s="1">
        <f>Annex!D268</f>
        <v>61</v>
      </c>
      <c r="E534" s="1" t="str">
        <f>Annex!K268</f>
        <v>Singaporean</v>
      </c>
      <c r="F534" s="1" t="str">
        <f>Annex!L268</f>
        <v xml:space="preserve">Case 533 is a Local unlinked case, 61 years old male Singapore Citizen  and has not been overseas. He is currently admitted at SKH . </v>
      </c>
      <c r="G534" s="2">
        <v>43914</v>
      </c>
      <c r="H534" s="1"/>
      <c r="I534" s="1"/>
      <c r="J534" s="1"/>
      <c r="K534" s="1"/>
      <c r="L534" s="1" t="str">
        <f>Annex!C268</f>
        <v xml:space="preserve">SKH </v>
      </c>
      <c r="M534" s="5" t="s">
        <v>1234</v>
      </c>
    </row>
    <row r="535" spans="1:13" ht="13.8" customHeight="1" x14ac:dyDescent="0.3">
      <c r="A535" s="1">
        <f>Annex!A269</f>
        <v>534</v>
      </c>
      <c r="B535" s="1" t="str">
        <f>IF(LEFT(Annex!H269,5)="Local","Local Transmission",Annex!H269)</f>
        <v xml:space="preserve">Imported </v>
      </c>
      <c r="C535" s="1" t="str">
        <f>Annex!J269</f>
        <v>Male</v>
      </c>
      <c r="D535" s="1">
        <f>Annex!D269</f>
        <v>34</v>
      </c>
      <c r="E535" s="1" t="str">
        <f>Annex!K269</f>
        <v>UK</v>
      </c>
      <c r="F535" s="1" t="str">
        <f>Annex!L269</f>
        <v xml:space="preserve">Case 534 is a Imported  case, 34 years old male UK (Singapore Work Pass holder)  and has been to Europe . He is currently admitted at NCID . </v>
      </c>
      <c r="G535" s="2">
        <v>43914</v>
      </c>
      <c r="H535" s="1"/>
      <c r="I535" s="1"/>
      <c r="J535" s="1"/>
      <c r="K535" s="1"/>
      <c r="L535" s="1" t="str">
        <f>Annex!C269</f>
        <v xml:space="preserve">NCID </v>
      </c>
      <c r="M535" s="5" t="s">
        <v>1234</v>
      </c>
    </row>
    <row r="536" spans="1:13" ht="13.8" customHeight="1" x14ac:dyDescent="0.3">
      <c r="A536" s="1">
        <f>Annex!A270</f>
        <v>535</v>
      </c>
      <c r="B536" s="1" t="str">
        <f>IF(LEFT(Annex!H270,5)="Local","Local Transmission",Annex!H270)</f>
        <v>Local Transmission</v>
      </c>
      <c r="C536" s="1" t="str">
        <f>Annex!J270</f>
        <v>Male</v>
      </c>
      <c r="D536" s="1">
        <f>Annex!D270</f>
        <v>61</v>
      </c>
      <c r="E536" s="1" t="str">
        <f>Annex!K270</f>
        <v>Singaporean</v>
      </c>
      <c r="F536" s="1" t="str">
        <f>Annex!L270</f>
        <v xml:space="preserve">Case 535 is a Local Unlinked case, 61 years old male Singapore Citizen  and has not been overseas. He is currently admitted at NTFGH . </v>
      </c>
      <c r="G536" s="2">
        <v>43914</v>
      </c>
      <c r="H536" s="1"/>
      <c r="I536" s="1"/>
      <c r="J536" s="1"/>
      <c r="K536" s="1"/>
      <c r="L536" s="1" t="str">
        <f>Annex!C270</f>
        <v xml:space="preserve">NTFGH </v>
      </c>
      <c r="M536" s="5" t="s">
        <v>1234</v>
      </c>
    </row>
    <row r="537" spans="1:13" ht="13.8" customHeight="1" x14ac:dyDescent="0.3">
      <c r="A537" s="1">
        <f>Annex!A271</f>
        <v>536</v>
      </c>
      <c r="B537" s="1" t="str">
        <f>IF(LEFT(Annex!H271,5)="Local","Local Transmission",Annex!H271)</f>
        <v>Local Transmission</v>
      </c>
      <c r="C537" s="1" t="str">
        <f>Annex!J271</f>
        <v>Female</v>
      </c>
      <c r="D537" s="1">
        <f>Annex!D271</f>
        <v>86</v>
      </c>
      <c r="E537" s="1" t="str">
        <f>Annex!K271</f>
        <v>Singaporean</v>
      </c>
      <c r="F537" s="1" t="str">
        <f>Annex!L271</f>
        <v xml:space="preserve">Case 536 is a Local unlinked case, 86 years old female Singapore Citizen  and has not been overseas. She is currently admitted at MAH . </v>
      </c>
      <c r="G537" s="2">
        <v>43914</v>
      </c>
      <c r="H537" s="1"/>
      <c r="I537" s="1"/>
      <c r="J537" s="1"/>
      <c r="K537" s="1"/>
      <c r="L537" s="1" t="str">
        <f>Annex!C271</f>
        <v xml:space="preserve">MAH </v>
      </c>
      <c r="M537" s="5" t="s">
        <v>1234</v>
      </c>
    </row>
    <row r="538" spans="1:13" ht="13.8" customHeight="1" x14ac:dyDescent="0.3">
      <c r="A538" s="1">
        <f>Annex!A272</f>
        <v>537</v>
      </c>
      <c r="B538" s="1" t="str">
        <f>IF(LEFT(Annex!H272,5)="Local","Local Transmission",Annex!H272)</f>
        <v>Imported</v>
      </c>
      <c r="C538" s="1" t="str">
        <f>Annex!J272</f>
        <v>Female</v>
      </c>
      <c r="D538" s="1">
        <f>Annex!D272</f>
        <v>22</v>
      </c>
      <c r="E538" s="1" t="str">
        <f>Annex!K272</f>
        <v>Singaporean</v>
      </c>
      <c r="F538" s="1" t="str">
        <f>Annex!L272</f>
        <v xml:space="preserve">Case 537 is a Imported case, 22 years old female Singapore Citizen  and has been to Europe . She is currently admitted at NCID . </v>
      </c>
      <c r="G538" s="2">
        <v>43914</v>
      </c>
      <c r="H538" s="1"/>
      <c r="I538" s="1"/>
      <c r="J538" s="1"/>
      <c r="K538" s="1"/>
      <c r="L538" s="1" t="str">
        <f>Annex!C272</f>
        <v xml:space="preserve">NCID </v>
      </c>
      <c r="M538" s="5" t="s">
        <v>1234</v>
      </c>
    </row>
    <row r="539" spans="1:13" ht="13.8" customHeight="1" x14ac:dyDescent="0.3">
      <c r="A539" s="1">
        <f>Annex!A273</f>
        <v>538</v>
      </c>
      <c r="B539" s="1" t="str">
        <f>IF(LEFT(Annex!H273,5)="Local","Local Transmission",Annex!H273)</f>
        <v>Imported</v>
      </c>
      <c r="C539" s="1" t="str">
        <f>Annex!J273</f>
        <v>Male</v>
      </c>
      <c r="D539" s="1">
        <f>Annex!D273</f>
        <v>50</v>
      </c>
      <c r="E539" s="1" t="str">
        <f>Annex!K273</f>
        <v>Singaporean</v>
      </c>
      <c r="F539" s="1" t="str">
        <f>Annex!L273</f>
        <v xml:space="preserve">Case 538 is a Imported case, 50 years old male Singapore Citizen  and has been to ASEAN . He is currently admitted at NCID . </v>
      </c>
      <c r="G539" s="2">
        <v>43914</v>
      </c>
      <c r="H539" s="1"/>
      <c r="I539" s="1"/>
      <c r="J539" s="1"/>
      <c r="K539" s="1"/>
      <c r="L539" s="1" t="str">
        <f>Annex!C273</f>
        <v xml:space="preserve">NCID </v>
      </c>
      <c r="M539" s="5" t="s">
        <v>1234</v>
      </c>
    </row>
    <row r="540" spans="1:13" ht="13.8" customHeight="1" x14ac:dyDescent="0.3">
      <c r="A540" s="1">
        <f>Annex!A274</f>
        <v>539</v>
      </c>
      <c r="B540" s="1" t="str">
        <f>IF(LEFT(Annex!H274,5)="Local","Local Transmission",Annex!H274)</f>
        <v>Local Transmission</v>
      </c>
      <c r="C540" s="1" t="str">
        <f>Annex!J274</f>
        <v>Female</v>
      </c>
      <c r="D540" s="1">
        <f>Annex!D274</f>
        <v>74</v>
      </c>
      <c r="E540" s="1" t="str">
        <f>Annex!K274</f>
        <v>Singaporean</v>
      </c>
      <c r="F540" s="1" t="str">
        <f>Annex!L274</f>
        <v>Case 539 is a Local linked  case, 74 years old female Singapore Citizen  and has not been overseas. She is currently admitted at SGH . Contact of Cases 338 and 367</v>
      </c>
      <c r="G540" s="2">
        <v>43914</v>
      </c>
      <c r="H540" s="1"/>
      <c r="I540" s="1"/>
      <c r="J540" s="1"/>
      <c r="K540" s="1"/>
      <c r="L540" s="1" t="str">
        <f>Annex!C274</f>
        <v xml:space="preserve">SGH </v>
      </c>
      <c r="M540" s="5" t="s">
        <v>1234</v>
      </c>
    </row>
    <row r="541" spans="1:13" ht="13.8" customHeight="1" x14ac:dyDescent="0.3">
      <c r="A541" s="1">
        <f>Annex!A275</f>
        <v>540</v>
      </c>
      <c r="B541" s="1" t="str">
        <f>IF(LEFT(Annex!H275,5)="Local","Local Transmission",Annex!H275)</f>
        <v>Imported</v>
      </c>
      <c r="C541" s="1" t="str">
        <f>Annex!J275</f>
        <v>Male</v>
      </c>
      <c r="D541" s="1">
        <f>Annex!D275</f>
        <v>23</v>
      </c>
      <c r="E541" s="1" t="str">
        <f>Annex!K275</f>
        <v>Singaporean</v>
      </c>
      <c r="F541" s="1" t="str">
        <f>Annex!L275</f>
        <v xml:space="preserve">Case 540 is a Imported case, 23 years old male Singapore Citizen  and has been to US . He is currently admitted at NUH . </v>
      </c>
      <c r="G541" s="2">
        <v>43914</v>
      </c>
      <c r="H541" s="1"/>
      <c r="I541" s="1"/>
      <c r="J541" s="1"/>
      <c r="K541" s="1"/>
      <c r="L541" s="1" t="str">
        <f>Annex!C275</f>
        <v xml:space="preserve">NUH </v>
      </c>
      <c r="M541" s="5" t="s">
        <v>1234</v>
      </c>
    </row>
    <row r="542" spans="1:13" ht="13.8" customHeight="1" x14ac:dyDescent="0.3">
      <c r="A542" s="1">
        <f>Annex!A276</f>
        <v>541</v>
      </c>
      <c r="B542" s="1" t="str">
        <f>IF(LEFT(Annex!H276,5)="Local","Local Transmission",Annex!H276)</f>
        <v>Imported</v>
      </c>
      <c r="C542" s="1" t="str">
        <f>Annex!J276</f>
        <v>Female</v>
      </c>
      <c r="D542" s="1">
        <f>Annex!D276</f>
        <v>20</v>
      </c>
      <c r="E542" s="1" t="str">
        <f>Annex!K276</f>
        <v>Singaporean</v>
      </c>
      <c r="F542" s="1" t="str">
        <f>Annex!L276</f>
        <v xml:space="preserve">Case 541 is a Imported case, 20 years old female Singapore Citizen  and has been to Europe . She is currently admitted at NCID . </v>
      </c>
      <c r="G542" s="2">
        <v>43914</v>
      </c>
      <c r="H542" s="19">
        <v>43917</v>
      </c>
      <c r="I542" s="1"/>
      <c r="J542" s="1"/>
      <c r="K542" s="1"/>
      <c r="L542" s="1" t="str">
        <f>Annex!C276</f>
        <v xml:space="preserve">NCID </v>
      </c>
      <c r="M542" s="5" t="s">
        <v>1234</v>
      </c>
    </row>
    <row r="543" spans="1:13" ht="13.8" customHeight="1" x14ac:dyDescent="0.3">
      <c r="A543" s="1">
        <f>Annex!A277</f>
        <v>542</v>
      </c>
      <c r="B543" s="1" t="str">
        <f>IF(LEFT(Annex!H277,5)="Local","Local Transmission",Annex!H277)</f>
        <v>Imported</v>
      </c>
      <c r="C543" s="1" t="str">
        <f>Annex!J277</f>
        <v>Male</v>
      </c>
      <c r="D543" s="1">
        <f>Annex!D277</f>
        <v>23</v>
      </c>
      <c r="E543" s="1" t="str">
        <f>Annex!K277</f>
        <v>Singaporean</v>
      </c>
      <c r="F543" s="1" t="str">
        <f>Annex!L277</f>
        <v xml:space="preserve">Case 542 is a Imported case, 23 years old male Singapore Citizen  and has been to Europe . He is currently admitted at NCID . </v>
      </c>
      <c r="G543" s="2">
        <v>43914</v>
      </c>
      <c r="H543" s="1"/>
      <c r="I543" s="1"/>
      <c r="J543" s="1"/>
      <c r="K543" s="1"/>
      <c r="L543" s="1" t="str">
        <f>Annex!C277</f>
        <v xml:space="preserve">NCID </v>
      </c>
      <c r="M543" s="5" t="s">
        <v>1234</v>
      </c>
    </row>
    <row r="544" spans="1:13" ht="13.8" customHeight="1" x14ac:dyDescent="0.3">
      <c r="A544" s="1">
        <f>Annex!A278</f>
        <v>543</v>
      </c>
      <c r="B544" s="1" t="str">
        <f>IF(LEFT(Annex!H278,5)="Local","Local Transmission",Annex!H278)</f>
        <v>Imported</v>
      </c>
      <c r="C544" s="1" t="str">
        <f>Annex!J278</f>
        <v>Female</v>
      </c>
      <c r="D544" s="1">
        <f>Annex!D278</f>
        <v>19</v>
      </c>
      <c r="E544" s="1" t="str">
        <f>Annex!K278</f>
        <v>Singaporean</v>
      </c>
      <c r="F544" s="1" t="str">
        <f>Annex!L278</f>
        <v xml:space="preserve">Case 543 is a Imported case, 19 years old female Singapore Citizen  and has been to Europe . She is currently admitted at NCID . </v>
      </c>
      <c r="G544" s="2">
        <v>43914</v>
      </c>
      <c r="H544" s="1"/>
      <c r="I544" s="1"/>
      <c r="J544" s="1"/>
      <c r="K544" s="1"/>
      <c r="L544" s="1" t="str">
        <f>Annex!C278</f>
        <v xml:space="preserve">NCID </v>
      </c>
      <c r="M544" s="5" t="s">
        <v>1234</v>
      </c>
    </row>
    <row r="545" spans="1:13" ht="13.8" customHeight="1" x14ac:dyDescent="0.3">
      <c r="A545" s="1">
        <f>Annex!A279</f>
        <v>544</v>
      </c>
      <c r="B545" s="1" t="str">
        <f>IF(LEFT(Annex!H279,5)="Local","Local Transmission",Annex!H279)</f>
        <v>Imported</v>
      </c>
      <c r="C545" s="1" t="str">
        <f>Annex!J279</f>
        <v>Male</v>
      </c>
      <c r="D545" s="1">
        <f>Annex!D279</f>
        <v>55</v>
      </c>
      <c r="E545" s="1" t="str">
        <f>Annex!K279</f>
        <v>Singaporean</v>
      </c>
      <c r="F545" s="1" t="str">
        <f>Annex!L279</f>
        <v xml:space="preserve">Case 544 is a Imported case, 55 years old male Singapore Citizen  and has been to Europe . He is currently admitted at NCID . </v>
      </c>
      <c r="G545" s="2">
        <v>43914</v>
      </c>
      <c r="H545" s="1"/>
      <c r="I545" s="1"/>
      <c r="J545" s="1"/>
      <c r="K545" s="1"/>
      <c r="L545" s="1" t="str">
        <f>Annex!C279</f>
        <v xml:space="preserve">NCID </v>
      </c>
      <c r="M545" s="5" t="s">
        <v>1234</v>
      </c>
    </row>
    <row r="546" spans="1:13" ht="13.8" customHeight="1" x14ac:dyDescent="0.3">
      <c r="A546" s="1">
        <f>Annex!A280</f>
        <v>545</v>
      </c>
      <c r="B546" s="1" t="str">
        <f>IF(LEFT(Annex!H280,5)="Local","Local Transmission",Annex!H280)</f>
        <v xml:space="preserve">Imported </v>
      </c>
      <c r="C546" s="1" t="str">
        <f>Annex!J280</f>
        <v>Female</v>
      </c>
      <c r="D546" s="1">
        <f>Annex!D280</f>
        <v>75</v>
      </c>
      <c r="E546" s="1" t="str">
        <f>Annex!K280</f>
        <v>Indonesia</v>
      </c>
      <c r="F546" s="1" t="str">
        <f>Annex!L280</f>
        <v>Case 545 is a Imported  case, 75 years old female Indonesia (Long Term Pass holder)  and has been to ASEAN . She is currently admitted at NCID . Family member of Case 403</v>
      </c>
      <c r="G546" s="2">
        <v>43914</v>
      </c>
      <c r="H546" s="1"/>
      <c r="I546" s="1"/>
      <c r="J546" s="1"/>
      <c r="K546" s="1"/>
      <c r="L546" s="1" t="str">
        <f>Annex!C280</f>
        <v xml:space="preserve">NCID </v>
      </c>
      <c r="M546" s="5" t="s">
        <v>1234</v>
      </c>
    </row>
    <row r="547" spans="1:13" ht="13.8" customHeight="1" x14ac:dyDescent="0.3">
      <c r="A547" s="1">
        <f>Annex!A281</f>
        <v>546</v>
      </c>
      <c r="B547" s="1" t="str">
        <f>IF(LEFT(Annex!H281,5)="Local","Local Transmission",Annex!H281)</f>
        <v>Imported</v>
      </c>
      <c r="C547" s="1" t="str">
        <f>Annex!J281</f>
        <v>Male</v>
      </c>
      <c r="D547" s="1">
        <f>Annex!D281</f>
        <v>27</v>
      </c>
      <c r="E547" s="1" t="str">
        <f>Annex!K281</f>
        <v>Singaporean</v>
      </c>
      <c r="F547" s="1" t="str">
        <f>Annex!L281</f>
        <v xml:space="preserve">Case 546 is a Imported case, 27 years old male Singapore Citizen  and has been to UK . He is currently admitted at NCID . </v>
      </c>
      <c r="G547" s="2">
        <v>43914</v>
      </c>
      <c r="H547" s="1"/>
      <c r="I547" s="1"/>
      <c r="J547" s="1"/>
      <c r="K547" s="1"/>
      <c r="L547" s="1" t="str">
        <f>Annex!C281</f>
        <v xml:space="preserve">NCID </v>
      </c>
      <c r="M547" s="5" t="s">
        <v>1234</v>
      </c>
    </row>
    <row r="548" spans="1:13" ht="13.8" customHeight="1" x14ac:dyDescent="0.3">
      <c r="A548" s="1">
        <f>Annex!A282</f>
        <v>547</v>
      </c>
      <c r="B548" s="1" t="str">
        <f>IF(LEFT(Annex!H282,5)="Local","Local Transmission",Annex!H282)</f>
        <v>Imported</v>
      </c>
      <c r="C548" s="1" t="str">
        <f>Annex!J282</f>
        <v>Female</v>
      </c>
      <c r="D548" s="1">
        <f>Annex!D282</f>
        <v>25</v>
      </c>
      <c r="E548" s="1" t="str">
        <f>Annex!K282</f>
        <v>Singaporean</v>
      </c>
      <c r="F548" s="1" t="str">
        <f>Annex!L282</f>
        <v xml:space="preserve">Case 547 is a Imported case, 25 years old female Singapore Citizen  and has been to UK . She is currently admitted at NCID . </v>
      </c>
      <c r="G548" s="2">
        <v>43914</v>
      </c>
      <c r="H548" s="1"/>
      <c r="I548" s="1"/>
      <c r="J548" s="1"/>
      <c r="K548" s="1"/>
      <c r="L548" s="1" t="str">
        <f>Annex!C282</f>
        <v xml:space="preserve">NCID </v>
      </c>
      <c r="M548" s="5" t="s">
        <v>1234</v>
      </c>
    </row>
    <row r="549" spans="1:13" ht="13.8" customHeight="1" x14ac:dyDescent="0.3">
      <c r="A549" s="1">
        <f>Annex!A283</f>
        <v>548</v>
      </c>
      <c r="B549" s="1" t="str">
        <f>IF(LEFT(Annex!H283,5)="Local","Local Transmission",Annex!H283)</f>
        <v>Imported</v>
      </c>
      <c r="C549" s="1" t="str">
        <f>Annex!J283</f>
        <v>Female</v>
      </c>
      <c r="D549" s="1">
        <f>Annex!D283</f>
        <v>44</v>
      </c>
      <c r="E549" s="1" t="str">
        <f>Annex!K283</f>
        <v>Singaporean</v>
      </c>
      <c r="F549" s="1" t="str">
        <f>Annex!L283</f>
        <v xml:space="preserve">Case 548 is a Imported case, 44 years old female Singapore Citizen  and has been to Spain . She is currently admitted at NCID . </v>
      </c>
      <c r="G549" s="2">
        <v>43914</v>
      </c>
      <c r="H549" s="1"/>
      <c r="I549" s="1"/>
      <c r="J549" s="1"/>
      <c r="K549" s="1"/>
      <c r="L549" s="1" t="str">
        <f>Annex!C283</f>
        <v xml:space="preserve">NCID </v>
      </c>
      <c r="M549" s="5" t="s">
        <v>1234</v>
      </c>
    </row>
    <row r="550" spans="1:13" ht="13.8" customHeight="1" x14ac:dyDescent="0.3">
      <c r="A550" s="1">
        <f>Annex!A284</f>
        <v>549</v>
      </c>
      <c r="B550" s="1" t="str">
        <f>IF(LEFT(Annex!H284,5)="Local","Local Transmission",Annex!H284)</f>
        <v>Imported</v>
      </c>
      <c r="C550" s="1" t="str">
        <f>Annex!J284</f>
        <v>Female</v>
      </c>
      <c r="D550" s="1">
        <f>Annex!D284</f>
        <v>21</v>
      </c>
      <c r="E550" s="1" t="str">
        <f>Annex!K284</f>
        <v>Singaporean</v>
      </c>
      <c r="F550" s="1" t="str">
        <f>Annex!L284</f>
        <v xml:space="preserve">Case 549 is a Imported case, 21 years old female Singapore Citizen  and has been to UK . She is currently admitted at NCID . </v>
      </c>
      <c r="G550" s="2">
        <v>43914</v>
      </c>
      <c r="H550" s="1"/>
      <c r="I550" s="1"/>
      <c r="J550" s="1"/>
      <c r="K550" s="1"/>
      <c r="L550" s="1" t="str">
        <f>Annex!C284</f>
        <v xml:space="preserve">NCID </v>
      </c>
      <c r="M550" s="5" t="s">
        <v>1234</v>
      </c>
    </row>
    <row r="551" spans="1:13" ht="13.8" customHeight="1" x14ac:dyDescent="0.3">
      <c r="A551" s="1">
        <f>Annex!A285</f>
        <v>550</v>
      </c>
      <c r="B551" s="1" t="str">
        <f>IF(LEFT(Annex!H285,5)="Local","Local Transmission",Annex!H285)</f>
        <v>Local Transmission</v>
      </c>
      <c r="C551" s="1" t="str">
        <f>Annex!J285</f>
        <v>Female</v>
      </c>
      <c r="D551" s="1">
        <f>Annex!D285</f>
        <v>24</v>
      </c>
      <c r="E551" s="1" t="str">
        <f>Annex!K285</f>
        <v>Singaporean</v>
      </c>
      <c r="F551" s="1" t="str">
        <f>Annex!L285</f>
        <v>Case 550 is a Local linked  case, 24 years old female Singapore Citizen  and has not been overseas. She is currently admitted at NCID . Family member of Case 451</v>
      </c>
      <c r="G551" s="2">
        <v>43914</v>
      </c>
      <c r="H551" s="1"/>
      <c r="I551" s="1"/>
      <c r="J551" s="1"/>
      <c r="K551" s="1"/>
      <c r="L551" s="1" t="str">
        <f>Annex!C285</f>
        <v xml:space="preserve">NCID </v>
      </c>
      <c r="M551" s="5" t="s">
        <v>1234</v>
      </c>
    </row>
    <row r="552" spans="1:13" ht="13.8" customHeight="1" x14ac:dyDescent="0.3">
      <c r="A552" s="1">
        <f>Annex!A286</f>
        <v>551</v>
      </c>
      <c r="B552" s="1" t="str">
        <f>IF(LEFT(Annex!H286,5)="Local","Local Transmission",Annex!H286)</f>
        <v>Imported</v>
      </c>
      <c r="C552" s="1" t="str">
        <f>Annex!J286</f>
        <v>Female</v>
      </c>
      <c r="D552" s="1">
        <f>Annex!D286</f>
        <v>22</v>
      </c>
      <c r="E552" s="1" t="str">
        <f>Annex!K286</f>
        <v>Singaporean</v>
      </c>
      <c r="F552" s="1" t="str">
        <f>Annex!L286</f>
        <v xml:space="preserve">Case 551 is a Imported case, 22 years old female Singapore Citizen  and has been to UK . She is currently admitted at NCID . </v>
      </c>
      <c r="G552" s="2">
        <v>43914</v>
      </c>
      <c r="H552" s="1"/>
      <c r="I552" s="1"/>
      <c r="J552" s="1"/>
      <c r="K552" s="1"/>
      <c r="L552" s="1" t="str">
        <f>Annex!C286</f>
        <v xml:space="preserve">NCID </v>
      </c>
      <c r="M552" s="5" t="s">
        <v>1234</v>
      </c>
    </row>
    <row r="553" spans="1:13" ht="13.8" customHeight="1" x14ac:dyDescent="0.3">
      <c r="A553" s="1">
        <f>Annex!A287</f>
        <v>552</v>
      </c>
      <c r="B553" s="1" t="str">
        <f>IF(LEFT(Annex!H287,5)="Local","Local Transmission",Annex!H287)</f>
        <v>Imported</v>
      </c>
      <c r="C553" s="1" t="str">
        <f>Annex!J287</f>
        <v>Female</v>
      </c>
      <c r="D553" s="1">
        <f>Annex!D287</f>
        <v>21</v>
      </c>
      <c r="E553" s="1" t="str">
        <f>Annex!K287</f>
        <v>Singaporean</v>
      </c>
      <c r="F553" s="1" t="str">
        <f>Annex!L287</f>
        <v xml:space="preserve">Case 552 is a Imported case, 21 years old female Singapore Permanent Resident  and has been to UK . She is currently admitted at NCID . </v>
      </c>
      <c r="G553" s="2">
        <v>43914</v>
      </c>
      <c r="H553" s="1"/>
      <c r="I553" s="1"/>
      <c r="J553" s="1"/>
      <c r="K553" s="1"/>
      <c r="L553" s="1" t="str">
        <f>Annex!C287</f>
        <v xml:space="preserve">NCID </v>
      </c>
      <c r="M553" s="5" t="s">
        <v>1234</v>
      </c>
    </row>
    <row r="554" spans="1:13" ht="13.8" customHeight="1" x14ac:dyDescent="0.3">
      <c r="A554" s="1">
        <f>Annex!A288</f>
        <v>553</v>
      </c>
      <c r="B554" s="1" t="str">
        <f>IF(LEFT(Annex!H288,5)="Local","Local Transmission",Annex!H288)</f>
        <v>Local Transmission</v>
      </c>
      <c r="C554" s="1" t="str">
        <f>Annex!J288</f>
        <v>Female</v>
      </c>
      <c r="D554" s="1">
        <f>Annex!D288</f>
        <v>57</v>
      </c>
      <c r="E554" s="1" t="str">
        <f>Annex!K288</f>
        <v>Singaporean</v>
      </c>
      <c r="F554" s="1" t="str">
        <f>Annex!L288</f>
        <v>Case 553 is a Local linked  case, 57 years old female Singapore Citizen  and has not been overseas. She is currently admitted at NCID . Contact of Case 384</v>
      </c>
      <c r="G554" s="2">
        <v>43914</v>
      </c>
      <c r="H554" s="1"/>
      <c r="I554" s="1"/>
      <c r="J554" s="1"/>
      <c r="K554" s="1"/>
      <c r="L554" s="1" t="str">
        <f>Annex!C288</f>
        <v xml:space="preserve">NCID </v>
      </c>
      <c r="M554" s="5" t="s">
        <v>1234</v>
      </c>
    </row>
    <row r="555" spans="1:13" ht="13.8" customHeight="1" x14ac:dyDescent="0.3">
      <c r="A555" s="1">
        <f>Annex!A289</f>
        <v>554</v>
      </c>
      <c r="B555" s="1" t="str">
        <f>IF(LEFT(Annex!H289,5)="Local","Local Transmission",Annex!H289)</f>
        <v>Imported</v>
      </c>
      <c r="C555" s="1" t="str">
        <f>Annex!J289</f>
        <v>Female</v>
      </c>
      <c r="D555" s="1">
        <f>Annex!D289</f>
        <v>24</v>
      </c>
      <c r="E555" s="1" t="str">
        <f>Annex!K289</f>
        <v>Malaysia</v>
      </c>
      <c r="F555" s="1" t="str">
        <f>Annex!L289</f>
        <v xml:space="preserve">Case 554 is a Imported case, 24 years old female Malaysia (Long Term Pass holder)  and has been to Turkey, United Arab Emirates . She is currently admitted at KTPH . </v>
      </c>
      <c r="G555" s="2">
        <v>43914</v>
      </c>
      <c r="H555" s="1"/>
      <c r="I555" s="1"/>
      <c r="J555" s="1"/>
      <c r="K555" s="1"/>
      <c r="L555" s="1" t="str">
        <f>Annex!C289</f>
        <v xml:space="preserve">KTPH </v>
      </c>
      <c r="M555" s="5" t="s">
        <v>1234</v>
      </c>
    </row>
    <row r="556" spans="1:13" ht="13.8" customHeight="1" x14ac:dyDescent="0.3">
      <c r="A556" s="1">
        <f>Annex!A290</f>
        <v>555</v>
      </c>
      <c r="B556" s="1" t="str">
        <f>IF(LEFT(Annex!H290,5)="Local","Local Transmission",Annex!H290)</f>
        <v>Imported</v>
      </c>
      <c r="C556" s="1" t="str">
        <f>Annex!J290</f>
        <v>Male</v>
      </c>
      <c r="D556" s="1">
        <f>Annex!D290</f>
        <v>24</v>
      </c>
      <c r="E556" s="1" t="str">
        <f>Annex!K290</f>
        <v>Singaporean</v>
      </c>
      <c r="F556" s="1" t="str">
        <f>Annex!L290</f>
        <v xml:space="preserve">Case 555 is a Imported case, 24 years old male Singapore Citizen  and has been to UK . He is currently admitted at NCID . </v>
      </c>
      <c r="G556" s="2">
        <v>43914</v>
      </c>
      <c r="H556" s="1"/>
      <c r="I556" s="1"/>
      <c r="J556" s="1"/>
      <c r="K556" s="1"/>
      <c r="L556" s="1" t="str">
        <f>Annex!C290</f>
        <v xml:space="preserve">NCID </v>
      </c>
      <c r="M556" s="5" t="s">
        <v>1234</v>
      </c>
    </row>
    <row r="557" spans="1:13" ht="13.8" customHeight="1" x14ac:dyDescent="0.3">
      <c r="A557" s="1">
        <f>Annex!A291</f>
        <v>556</v>
      </c>
      <c r="B557" s="1" t="str">
        <f>IF(LEFT(Annex!H291,5)="Local","Local Transmission",Annex!H291)</f>
        <v>Local Transmission</v>
      </c>
      <c r="C557" s="1" t="str">
        <f>Annex!J291</f>
        <v>Female</v>
      </c>
      <c r="D557" s="1">
        <f>Annex!D291</f>
        <v>27</v>
      </c>
      <c r="E557" s="1" t="str">
        <f>Annex!K291</f>
        <v>UK</v>
      </c>
      <c r="F557" s="1" t="str">
        <f>Annex!L291</f>
        <v xml:space="preserve">Case 556 is a Local unlinked case, 27 years old female UK (Singapore Work Pass holder)  and has been to Australia . She is currently admitted at NCID . </v>
      </c>
      <c r="G557" s="2">
        <v>43914</v>
      </c>
      <c r="H557" s="1"/>
      <c r="I557" s="1"/>
      <c r="J557" s="1"/>
      <c r="K557" s="1"/>
      <c r="L557" s="1" t="str">
        <f>Annex!C291</f>
        <v xml:space="preserve">NCID </v>
      </c>
      <c r="M557" s="5" t="s">
        <v>1234</v>
      </c>
    </row>
    <row r="558" spans="1:13" ht="13.8" customHeight="1" x14ac:dyDescent="0.3">
      <c r="A558" s="1">
        <f>Annex!A292</f>
        <v>557</v>
      </c>
      <c r="B558" s="1" t="str">
        <f>IF(LEFT(Annex!H292,5)="Local","Local Transmission",Annex!H292)</f>
        <v>Imported</v>
      </c>
      <c r="C558" s="1" t="str">
        <f>Annex!J292</f>
        <v>Male</v>
      </c>
      <c r="D558" s="1">
        <f>Annex!D292</f>
        <v>68</v>
      </c>
      <c r="E558" s="1" t="str">
        <f>Annex!K292</f>
        <v>Singaporean</v>
      </c>
      <c r="F558" s="1" t="str">
        <f>Annex!L292</f>
        <v xml:space="preserve">Case 557 is a Imported case, 68 years old male Singapore Citizen  and has been to Pakistan . He is currently admitted at NCID . </v>
      </c>
      <c r="G558" s="2">
        <v>43914</v>
      </c>
      <c r="H558" s="1"/>
      <c r="I558" s="1"/>
      <c r="J558" s="1"/>
      <c r="K558" s="1"/>
      <c r="L558" s="1" t="str">
        <f>Annex!C292</f>
        <v xml:space="preserve">NCID </v>
      </c>
      <c r="M558" s="5" t="s">
        <v>1234</v>
      </c>
    </row>
    <row r="559" spans="1:13" ht="13.8" customHeight="1" x14ac:dyDescent="0.3">
      <c r="A559" s="1">
        <f>Annex!A293</f>
        <v>558</v>
      </c>
      <c r="B559" s="1" t="str">
        <f>IF(LEFT(Annex!H293,5)="Local","Local Transmission",Annex!H293)</f>
        <v xml:space="preserve">Imported </v>
      </c>
      <c r="C559" s="1" t="str">
        <f>Annex!J293</f>
        <v>Male</v>
      </c>
      <c r="D559" s="1">
        <f>Annex!D293</f>
        <v>17</v>
      </c>
      <c r="E559" s="1" t="str">
        <f>Annex!K293</f>
        <v>Singaporean</v>
      </c>
      <c r="F559" s="1" t="str">
        <f>Annex!L293</f>
        <v xml:space="preserve">Case 558 is a Imported  case, 17 years old male Singapore Citizen  and has been to Malaysia . He is currently admitted at SGH . </v>
      </c>
      <c r="G559" s="2">
        <v>43914</v>
      </c>
      <c r="H559" s="1"/>
      <c r="I559" s="1"/>
      <c r="J559" s="1"/>
      <c r="K559" s="1"/>
      <c r="L559" s="1" t="str">
        <f>Annex!C293</f>
        <v xml:space="preserve">SGH </v>
      </c>
      <c r="M559" s="5" t="s">
        <v>1234</v>
      </c>
    </row>
    <row r="560" spans="1:13" ht="13.8" customHeight="1" x14ac:dyDescent="0.3">
      <c r="A560" s="1">
        <f>Annex!A294</f>
        <v>559</v>
      </c>
      <c r="B560" s="1" t="str">
        <f>IF(LEFT(Annex!H294,5)="Local","Local Transmission",Annex!H294)</f>
        <v>Imported</v>
      </c>
      <c r="C560" s="1" t="str">
        <f>Annex!J294</f>
        <v>Male</v>
      </c>
      <c r="D560" s="1">
        <f>Annex!D294</f>
        <v>22</v>
      </c>
      <c r="E560" s="1" t="str">
        <f>Annex!K294</f>
        <v>Singaporean</v>
      </c>
      <c r="F560" s="1" t="str">
        <f>Annex!L294</f>
        <v xml:space="preserve">Case 559 is a Imported case, 22 years old male Singapore Citizen  and has been to UK . He is currently admitted at NCID . </v>
      </c>
      <c r="G560" s="2">
        <v>43915</v>
      </c>
      <c r="H560" s="1"/>
      <c r="I560" s="1"/>
      <c r="J560" s="1"/>
      <c r="K560" s="1"/>
      <c r="L560" s="1" t="str">
        <f>Annex!C294</f>
        <v xml:space="preserve">NCID </v>
      </c>
      <c r="M560" s="13" t="s">
        <v>1264</v>
      </c>
    </row>
    <row r="561" spans="1:13" ht="13.8" customHeight="1" x14ac:dyDescent="0.3">
      <c r="A561" s="1">
        <f>Annex!A295</f>
        <v>560</v>
      </c>
      <c r="B561" s="1" t="str">
        <f>IF(LEFT(Annex!H295,5)="Local","Local Transmission",Annex!H295)</f>
        <v>Imported</v>
      </c>
      <c r="C561" s="1" t="str">
        <f>Annex!J295</f>
        <v>Male</v>
      </c>
      <c r="D561" s="1">
        <f>Annex!D295</f>
        <v>24</v>
      </c>
      <c r="E561" s="1" t="str">
        <f>Annex!K295</f>
        <v>Singaporean</v>
      </c>
      <c r="F561" s="1" t="str">
        <f>Annex!L295</f>
        <v xml:space="preserve">Case 560 is a Imported case, 24 years old male Singapore Citizen  and has been to US . He is currently admitted at NCID . </v>
      </c>
      <c r="G561" s="2">
        <v>43915</v>
      </c>
      <c r="H561" s="1"/>
      <c r="I561" s="1"/>
      <c r="J561" s="1"/>
      <c r="K561" s="1"/>
      <c r="L561" s="1" t="str">
        <f>Annex!C295</f>
        <v xml:space="preserve">NCID </v>
      </c>
      <c r="M561" s="13" t="s">
        <v>1264</v>
      </c>
    </row>
    <row r="562" spans="1:13" ht="13.8" customHeight="1" x14ac:dyDescent="0.3">
      <c r="A562" s="1">
        <f>Annex!A296</f>
        <v>561</v>
      </c>
      <c r="B562" s="1" t="str">
        <f>IF(LEFT(Annex!H296,5)="Local","Local Transmission",Annex!H296)</f>
        <v>Imported</v>
      </c>
      <c r="C562" s="1" t="str">
        <f>Annex!J296</f>
        <v>Male</v>
      </c>
      <c r="D562" s="1">
        <f>Annex!D296</f>
        <v>30</v>
      </c>
      <c r="E562" s="1" t="str">
        <f>Annex!K296</f>
        <v>Singaporean</v>
      </c>
      <c r="F562" s="1" t="str">
        <f>Annex!L296</f>
        <v xml:space="preserve">Case 561 is a Imported case, 30 years old male Singapore Citizen  and has been to France . He is currently admitted at NCID . </v>
      </c>
      <c r="G562" s="2">
        <v>43915</v>
      </c>
      <c r="H562" s="1"/>
      <c r="I562" s="1"/>
      <c r="J562" s="1"/>
      <c r="K562" s="1"/>
      <c r="L562" s="1" t="str">
        <f>Annex!C296</f>
        <v xml:space="preserve">NCID </v>
      </c>
      <c r="M562" s="13" t="s">
        <v>1264</v>
      </c>
    </row>
    <row r="563" spans="1:13" ht="13.8" customHeight="1" x14ac:dyDescent="0.3">
      <c r="A563" s="1">
        <f>Annex!A297</f>
        <v>562</v>
      </c>
      <c r="B563" s="1" t="str">
        <f>IF(LEFT(Annex!H297,5)="Local","Local Transmission",Annex!H297)</f>
        <v>Imported</v>
      </c>
      <c r="C563" s="1" t="str">
        <f>Annex!J297</f>
        <v>Female</v>
      </c>
      <c r="D563" s="1">
        <f>Annex!D297</f>
        <v>28</v>
      </c>
      <c r="E563" s="1" t="str">
        <f>Annex!K297</f>
        <v>Singaporean</v>
      </c>
      <c r="F563" s="1" t="str">
        <f>Annex!L297</f>
        <v xml:space="preserve">Case 562 is a Imported case, 28 years old female Singapore Permanent Resident  and has been to Indonesia . She is currently admitted at NTFGH . </v>
      </c>
      <c r="G563" s="2">
        <v>43915</v>
      </c>
      <c r="H563" s="1"/>
      <c r="I563" s="1"/>
      <c r="J563" s="1"/>
      <c r="K563" s="1"/>
      <c r="L563" s="1" t="str">
        <f>Annex!C297</f>
        <v xml:space="preserve">NTFGH </v>
      </c>
      <c r="M563" s="13" t="s">
        <v>1264</v>
      </c>
    </row>
    <row r="564" spans="1:13" ht="13.8" customHeight="1" x14ac:dyDescent="0.3">
      <c r="A564" s="1">
        <f>Annex!A298</f>
        <v>563</v>
      </c>
      <c r="B564" s="1" t="str">
        <f>IF(LEFT(Annex!H298,5)="Local","Local Transmission",Annex!H298)</f>
        <v>Imported</v>
      </c>
      <c r="C564" s="1" t="str">
        <f>Annex!J298</f>
        <v>Male</v>
      </c>
      <c r="D564" s="1">
        <f>Annex!D298</f>
        <v>25</v>
      </c>
      <c r="E564" s="1" t="str">
        <f>Annex!K298</f>
        <v>Singaporean</v>
      </c>
      <c r="F564" s="1" t="str">
        <f>Annex!L298</f>
        <v xml:space="preserve">Case 563 is a Imported case, 25 years old male Singapore Citizen  and has been to UK . He is currently admitted at NCID . </v>
      </c>
      <c r="G564" s="2">
        <v>43915</v>
      </c>
      <c r="H564" s="1"/>
      <c r="I564" s="1"/>
      <c r="J564" s="1"/>
      <c r="K564" s="1"/>
      <c r="L564" s="1" t="str">
        <f>Annex!C298</f>
        <v xml:space="preserve">NCID </v>
      </c>
      <c r="M564" s="13" t="s">
        <v>1264</v>
      </c>
    </row>
    <row r="565" spans="1:13" ht="13.8" customHeight="1" x14ac:dyDescent="0.3">
      <c r="A565" s="1">
        <f>Annex!A299</f>
        <v>564</v>
      </c>
      <c r="B565" s="1" t="str">
        <f>IF(LEFT(Annex!H299,5)="Local","Local Transmission",Annex!H299)</f>
        <v>Imported</v>
      </c>
      <c r="C565" s="1" t="str">
        <f>Annex!J299</f>
        <v>Male</v>
      </c>
      <c r="D565" s="1">
        <f>Annex!D299</f>
        <v>29</v>
      </c>
      <c r="E565" s="1" t="str">
        <f>Annex!K299</f>
        <v>France</v>
      </c>
      <c r="F565" s="1" t="str">
        <f>Annex!L299</f>
        <v xml:space="preserve">Case 564 is a Imported case, 29 years old male France (Singapore Work Pass holder)  and has been to Pending . He is currently admitted at NCID . </v>
      </c>
      <c r="G565" s="2">
        <v>43915</v>
      </c>
      <c r="H565" s="1"/>
      <c r="I565" s="1"/>
      <c r="J565" s="1"/>
      <c r="K565" s="1"/>
      <c r="L565" s="1" t="str">
        <f>Annex!C299</f>
        <v xml:space="preserve">NCID </v>
      </c>
      <c r="M565" s="13" t="s">
        <v>1264</v>
      </c>
    </row>
    <row r="566" spans="1:13" ht="13.8" customHeight="1" x14ac:dyDescent="0.3">
      <c r="A566" s="1">
        <f>Annex!A300</f>
        <v>565</v>
      </c>
      <c r="B566" s="1" t="str">
        <f>IF(LEFT(Annex!H300,5)="Local","Local Transmission",Annex!H300)</f>
        <v>Imported</v>
      </c>
      <c r="C566" s="1" t="str">
        <f>Annex!J300</f>
        <v>Female</v>
      </c>
      <c r="D566" s="1">
        <f>Annex!D300</f>
        <v>46</v>
      </c>
      <c r="E566" s="1" t="str">
        <f>Annex!K300</f>
        <v>Singaporean</v>
      </c>
      <c r="F566" s="1" t="str">
        <f>Annex!L300</f>
        <v xml:space="preserve">Case 565 is a Imported case, 46 years old female Singapore Permanent Resident  and has been to UK . She is currently admitted at NCID . </v>
      </c>
      <c r="G566" s="2">
        <v>43915</v>
      </c>
      <c r="H566" s="1"/>
      <c r="I566" s="1"/>
      <c r="J566" s="1"/>
      <c r="K566" s="1"/>
      <c r="L566" s="1" t="str">
        <f>Annex!C300</f>
        <v xml:space="preserve">NCID </v>
      </c>
      <c r="M566" s="13" t="s">
        <v>1264</v>
      </c>
    </row>
    <row r="567" spans="1:13" ht="13.8" customHeight="1" x14ac:dyDescent="0.3">
      <c r="A567" s="1">
        <f>Annex!A301</f>
        <v>566</v>
      </c>
      <c r="B567" s="1" t="str">
        <f>IF(LEFT(Annex!H301,5)="Local","Local Transmission",Annex!H301)</f>
        <v>Local Transmission</v>
      </c>
      <c r="C567" s="1" t="str">
        <f>Annex!J301</f>
        <v>Female</v>
      </c>
      <c r="D567" s="1">
        <f>Annex!D301</f>
        <v>67</v>
      </c>
      <c r="E567" s="1" t="str">
        <f>Annex!K301</f>
        <v>Singaporean</v>
      </c>
      <c r="F567" s="1" t="str">
        <f>Annex!L301</f>
        <v>Case 566 is a Local linked  case, 67 years old female Singapore Citizen  and has been to Malaysia . She is currently admitted at CGH. Family member of Cases 521, 567, 572 and 601 PCF Fengshan</v>
      </c>
      <c r="G567" s="2">
        <v>43915</v>
      </c>
      <c r="H567" s="1"/>
      <c r="I567" s="1"/>
      <c r="J567" s="1"/>
      <c r="K567" s="1"/>
      <c r="L567" s="1" t="str">
        <f>Annex!C301</f>
        <v>CGH</v>
      </c>
      <c r="M567" s="13" t="s">
        <v>1264</v>
      </c>
    </row>
    <row r="568" spans="1:13" ht="13.8" customHeight="1" x14ac:dyDescent="0.3">
      <c r="A568" s="1">
        <f>Annex!A302</f>
        <v>567</v>
      </c>
      <c r="B568" s="1" t="str">
        <f>IF(LEFT(Annex!H302,5)="Local","Local Transmission",Annex!H302)</f>
        <v>Local Transmission</v>
      </c>
      <c r="C568" s="1" t="str">
        <f>Annex!J302</f>
        <v>Male</v>
      </c>
      <c r="D568" s="1">
        <f>Annex!D302</f>
        <v>70</v>
      </c>
      <c r="E568" s="1" t="str">
        <f>Annex!K302</f>
        <v>Singaporean</v>
      </c>
      <c r="F568" s="1" t="str">
        <f>Annex!L302</f>
        <v>Case 567 is a Local linked  case, 70 years old male Singapore Citizen  and has been to Malaysia . He is currently admitted at CGH . Family member of Cases 521, 566, 572 and 601 PCF Fengshan</v>
      </c>
      <c r="G568" s="2">
        <v>43915</v>
      </c>
      <c r="H568" s="1"/>
      <c r="I568" s="1"/>
      <c r="J568" s="1"/>
      <c r="K568" s="1"/>
      <c r="L568" s="1" t="str">
        <f>Annex!C302</f>
        <v xml:space="preserve">CGH </v>
      </c>
      <c r="M568" s="13" t="s">
        <v>1264</v>
      </c>
    </row>
    <row r="569" spans="1:13" ht="13.8" customHeight="1" x14ac:dyDescent="0.3">
      <c r="A569" s="1">
        <f>Annex!A303</f>
        <v>568</v>
      </c>
      <c r="B569" s="1" t="str">
        <f>IF(LEFT(Annex!H303,5)="Local","Local Transmission",Annex!H303)</f>
        <v>Imported</v>
      </c>
      <c r="C569" s="1" t="str">
        <f>Annex!J303</f>
        <v>Male</v>
      </c>
      <c r="D569" s="1">
        <f>Annex!D303</f>
        <v>30</v>
      </c>
      <c r="E569" s="1" t="str">
        <f>Annex!K303</f>
        <v>Malaysia</v>
      </c>
      <c r="F569" s="1" t="str">
        <f>Annex!L303</f>
        <v xml:space="preserve">Case 568 is a Imported case, 30 years old male Malaysia (Singapore Work Pass holder)  and has been to Malaysia . He is currently admitted at NCID . </v>
      </c>
      <c r="G569" s="2">
        <v>43915</v>
      </c>
      <c r="H569" s="1"/>
      <c r="I569" s="1"/>
      <c r="J569" s="1"/>
      <c r="K569" s="1"/>
      <c r="L569" s="1" t="str">
        <f>Annex!C303</f>
        <v xml:space="preserve">NCID </v>
      </c>
      <c r="M569" s="13" t="s">
        <v>1264</v>
      </c>
    </row>
    <row r="570" spans="1:13" ht="13.8" customHeight="1" x14ac:dyDescent="0.3">
      <c r="A570" s="1">
        <f>Annex!A304</f>
        <v>569</v>
      </c>
      <c r="B570" s="1" t="str">
        <f>IF(LEFT(Annex!H304,5)="Local","Local Transmission",Annex!H304)</f>
        <v>Imported</v>
      </c>
      <c r="C570" s="1" t="str">
        <f>Annex!J304</f>
        <v>Female</v>
      </c>
      <c r="D570" s="1">
        <f>Annex!D304</f>
        <v>22</v>
      </c>
      <c r="E570" s="1" t="str">
        <f>Annex!K304</f>
        <v>Singaporean</v>
      </c>
      <c r="F570" s="1" t="str">
        <f>Annex!L304</f>
        <v xml:space="preserve">Case 569 is a Imported case, 22 years old female Singapore Citizen  and has been to UK . She is currently admitted at NCID . </v>
      </c>
      <c r="G570" s="2">
        <v>43915</v>
      </c>
      <c r="H570" s="1"/>
      <c r="I570" s="1"/>
      <c r="J570" s="1"/>
      <c r="K570" s="1"/>
      <c r="L570" s="1" t="str">
        <f>Annex!C304</f>
        <v xml:space="preserve">NCID </v>
      </c>
      <c r="M570" s="13" t="s">
        <v>1264</v>
      </c>
    </row>
    <row r="571" spans="1:13" ht="13.8" customHeight="1" x14ac:dyDescent="0.3">
      <c r="A571" s="1">
        <f>Annex!A305</f>
        <v>570</v>
      </c>
      <c r="B571" s="1" t="str">
        <f>IF(LEFT(Annex!H305,5)="Local","Local Transmission",Annex!H305)</f>
        <v>Local Transmission</v>
      </c>
      <c r="C571" s="1" t="str">
        <f>Annex!J305</f>
        <v>Male</v>
      </c>
      <c r="D571" s="1">
        <f>Annex!D305</f>
        <v>50</v>
      </c>
      <c r="E571" s="1" t="str">
        <f>Annex!K305</f>
        <v>Singaporean</v>
      </c>
      <c r="F571" s="1" t="str">
        <f>Annex!L305</f>
        <v>Case 570 is a Local linked  case, 50 years old male Singapore Citizen  and has not been overseas. He is currently admitted at SKH . Family member of Case 597</v>
      </c>
      <c r="G571" s="2">
        <v>43915</v>
      </c>
      <c r="H571" s="1"/>
      <c r="I571" s="1"/>
      <c r="J571" s="1"/>
      <c r="K571" s="1"/>
      <c r="L571" s="1" t="str">
        <f>Annex!C305</f>
        <v xml:space="preserve">SKH </v>
      </c>
      <c r="M571" s="13" t="s">
        <v>1264</v>
      </c>
    </row>
    <row r="572" spans="1:13" ht="13.8" customHeight="1" x14ac:dyDescent="0.3">
      <c r="A572" s="1">
        <f>Annex!A306</f>
        <v>571</v>
      </c>
      <c r="B572" s="1" t="str">
        <f>IF(LEFT(Annex!H306,5)="Local","Local Transmission",Annex!H306)</f>
        <v>Imported</v>
      </c>
      <c r="C572" s="1" t="str">
        <f>Annex!J306</f>
        <v>Male</v>
      </c>
      <c r="D572" s="1">
        <f>Annex!D306</f>
        <v>52</v>
      </c>
      <c r="E572" s="1" t="str">
        <f>Annex!K306</f>
        <v xml:space="preserve">UK </v>
      </c>
      <c r="F572" s="1" t="str">
        <f>Annex!L306</f>
        <v xml:space="preserve">Case 571 is a Imported case, 52 years old male UK  and has been to UK . He is currently admitted at MEH . </v>
      </c>
      <c r="G572" s="2">
        <v>43915</v>
      </c>
      <c r="H572" s="1"/>
      <c r="I572" s="1"/>
      <c r="J572" s="1"/>
      <c r="K572" s="1"/>
      <c r="L572" s="1" t="str">
        <f>Annex!C306</f>
        <v xml:space="preserve">MEH </v>
      </c>
      <c r="M572" s="13" t="s">
        <v>1264</v>
      </c>
    </row>
    <row r="573" spans="1:13" ht="13.8" customHeight="1" x14ac:dyDescent="0.3">
      <c r="A573" s="1">
        <f>Annex!A307</f>
        <v>572</v>
      </c>
      <c r="B573" s="1" t="str">
        <f>IF(LEFT(Annex!H307,5)="Local","Local Transmission",Annex!H307)</f>
        <v>Local Transmission</v>
      </c>
      <c r="C573" s="1" t="str">
        <f>Annex!J307</f>
        <v>Female</v>
      </c>
      <c r="D573" s="1">
        <f>Annex!D307</f>
        <v>26</v>
      </c>
      <c r="E573" s="1" t="str">
        <f>Annex!K307</f>
        <v>Singaporean</v>
      </c>
      <c r="F573" s="1" t="str">
        <f>Annex!L307</f>
        <v>Case 572 is a Local linked  case, 26 years old female Singapore Citizen  and has not been overseas. She is currently admitted at CGH . Family member of Cases 521, 566, 567 and 601 PCF Fengshan</v>
      </c>
      <c r="G573" s="2">
        <v>43915</v>
      </c>
      <c r="H573" s="1"/>
      <c r="I573" s="1"/>
      <c r="J573" s="1"/>
      <c r="K573" s="1"/>
      <c r="L573" s="1" t="str">
        <f>Annex!C307</f>
        <v xml:space="preserve">CGH </v>
      </c>
      <c r="M573" s="13" t="s">
        <v>1264</v>
      </c>
    </row>
    <row r="574" spans="1:13" ht="13.8" customHeight="1" x14ac:dyDescent="0.3">
      <c r="A574" s="1">
        <f>Annex!A308</f>
        <v>573</v>
      </c>
      <c r="B574" s="1" t="str">
        <f>IF(LEFT(Annex!H308,5)="Local","Local Transmission",Annex!H308)</f>
        <v>Local Transmission</v>
      </c>
      <c r="C574" s="1" t="str">
        <f>Annex!J308</f>
        <v>Male</v>
      </c>
      <c r="D574" s="1">
        <f>Annex!D308</f>
        <v>45</v>
      </c>
      <c r="E574" s="1" t="str">
        <f>Annex!K308</f>
        <v>Singaporean</v>
      </c>
      <c r="F574" s="1" t="str">
        <f>Annex!L308</f>
        <v xml:space="preserve">Case 573 is a Local unlinked case, 45 years old male Singapore Citizen  and has not been overseas. He is currently admitted at CGH . </v>
      </c>
      <c r="G574" s="2">
        <v>43915</v>
      </c>
      <c r="H574" s="1"/>
      <c r="I574" s="1"/>
      <c r="J574" s="1"/>
      <c r="K574" s="1"/>
      <c r="L574" s="1" t="str">
        <f>Annex!C308</f>
        <v xml:space="preserve">CGH </v>
      </c>
      <c r="M574" s="13" t="s">
        <v>1264</v>
      </c>
    </row>
    <row r="575" spans="1:13" ht="13.8" customHeight="1" x14ac:dyDescent="0.3">
      <c r="A575" s="1">
        <f>Annex!A309</f>
        <v>574</v>
      </c>
      <c r="B575" s="1" t="str">
        <f>IF(LEFT(Annex!H309,5)="Local","Local Transmission",Annex!H309)</f>
        <v>Imported</v>
      </c>
      <c r="C575" s="1" t="str">
        <f>Annex!J309</f>
        <v>Male</v>
      </c>
      <c r="D575" s="1">
        <f>Annex!D309</f>
        <v>24</v>
      </c>
      <c r="E575" s="1" t="str">
        <f>Annex!K309</f>
        <v>Singaporean</v>
      </c>
      <c r="F575" s="1" t="str">
        <f>Annex!L309</f>
        <v xml:space="preserve">Case 574 is a Imported case, 24 years old male Singapore Citizen  and has been to Pending . He is currently admitted at NCID . </v>
      </c>
      <c r="G575" s="2">
        <v>43915</v>
      </c>
      <c r="H575" s="1"/>
      <c r="I575" s="1"/>
      <c r="J575" s="1"/>
      <c r="K575" s="1"/>
      <c r="L575" s="1" t="str">
        <f>Annex!C309</f>
        <v xml:space="preserve">NCID </v>
      </c>
      <c r="M575" s="13" t="s">
        <v>1264</v>
      </c>
    </row>
    <row r="576" spans="1:13" ht="13.8" customHeight="1" x14ac:dyDescent="0.3">
      <c r="A576" s="1">
        <f>Annex!A310</f>
        <v>575</v>
      </c>
      <c r="B576" s="1" t="str">
        <f>IF(LEFT(Annex!H310,5)="Local","Local Transmission",Annex!H310)</f>
        <v xml:space="preserve">Imported </v>
      </c>
      <c r="C576" s="1" t="str">
        <f>Annex!J310</f>
        <v>Male</v>
      </c>
      <c r="D576" s="1">
        <f>Annex!D310</f>
        <v>28</v>
      </c>
      <c r="E576" s="1" t="str">
        <f>Annex!K310</f>
        <v>Singaporean</v>
      </c>
      <c r="F576" s="1" t="str">
        <f>Annex!L310</f>
        <v xml:space="preserve">Case 575 is a Imported  case, 28 years old male Singapore Permanent Resident  and has been to Pending . He is currently admitted at NTFGH . </v>
      </c>
      <c r="G576" s="2">
        <v>43915</v>
      </c>
      <c r="H576" s="1"/>
      <c r="I576" s="1"/>
      <c r="J576" s="1"/>
      <c r="K576" s="1"/>
      <c r="L576" s="1" t="str">
        <f>Annex!C310</f>
        <v xml:space="preserve">NTFGH </v>
      </c>
      <c r="M576" s="13" t="s">
        <v>1264</v>
      </c>
    </row>
    <row r="577" spans="1:13" ht="13.8" customHeight="1" x14ac:dyDescent="0.3">
      <c r="A577" s="1">
        <f>Annex!A311</f>
        <v>576</v>
      </c>
      <c r="B577" s="1" t="str">
        <f>IF(LEFT(Annex!H311,5)="Local","Local Transmission",Annex!H311)</f>
        <v>Imported</v>
      </c>
      <c r="C577" s="1" t="str">
        <f>Annex!J311</f>
        <v>Female</v>
      </c>
      <c r="D577" s="1">
        <f>Annex!D311</f>
        <v>21</v>
      </c>
      <c r="E577" s="1" t="str">
        <f>Annex!K311</f>
        <v>Singaporean</v>
      </c>
      <c r="F577" s="1" t="str">
        <f>Annex!L311</f>
        <v xml:space="preserve">Case 576 is a Imported case, 21 years old female Singapore Permanent Resident  and has been to US . She is currently admitted at NUH . </v>
      </c>
      <c r="G577" s="2">
        <v>43915</v>
      </c>
      <c r="H577" s="1"/>
      <c r="I577" s="1"/>
      <c r="J577" s="1"/>
      <c r="K577" s="1"/>
      <c r="L577" s="1" t="str">
        <f>Annex!C311</f>
        <v xml:space="preserve">NUH </v>
      </c>
      <c r="M577" s="13" t="s">
        <v>1264</v>
      </c>
    </row>
    <row r="578" spans="1:13" ht="13.8" customHeight="1" x14ac:dyDescent="0.3">
      <c r="A578" s="1">
        <f>Annex!A312</f>
        <v>577</v>
      </c>
      <c r="B578" s="1" t="str">
        <f>IF(LEFT(Annex!H312,5)="Local","Local Transmission",Annex!H312)</f>
        <v>Local Transmission</v>
      </c>
      <c r="C578" s="1" t="str">
        <f>Annex!J312</f>
        <v>Female</v>
      </c>
      <c r="D578" s="1">
        <f>Annex!D312</f>
        <v>37</v>
      </c>
      <c r="E578" s="1" t="str">
        <f>Annex!K312</f>
        <v xml:space="preserve">Pending </v>
      </c>
      <c r="F578" s="1" t="str">
        <f>Annex!L312</f>
        <v>Case 577 is a Local linked  case, 37 years old female Pending  and has not been overseas. She is currently admitted at KTPH . Contact of Case 527</v>
      </c>
      <c r="G578" s="2">
        <v>43915</v>
      </c>
      <c r="H578" s="1"/>
      <c r="I578" s="1"/>
      <c r="J578" s="1"/>
      <c r="K578" s="1"/>
      <c r="L578" s="1" t="str">
        <f>Annex!C312</f>
        <v xml:space="preserve">KTPH </v>
      </c>
      <c r="M578" s="13" t="s">
        <v>1264</v>
      </c>
    </row>
    <row r="579" spans="1:13" ht="13.8" customHeight="1" x14ac:dyDescent="0.3">
      <c r="A579" s="1">
        <f>Annex!A313</f>
        <v>578</v>
      </c>
      <c r="B579" s="1" t="str">
        <f>IF(LEFT(Annex!H313,5)="Local","Local Transmission",Annex!H313)</f>
        <v>Local Transmission</v>
      </c>
      <c r="C579" s="1" t="str">
        <f>Annex!J313</f>
        <v>Male</v>
      </c>
      <c r="D579" s="1">
        <f>Annex!D313</f>
        <v>11</v>
      </c>
      <c r="E579" s="1" t="str">
        <f>Annex!K313</f>
        <v>Singaporean</v>
      </c>
      <c r="F579" s="1" t="str">
        <f>Annex!L313</f>
        <v>Case 578 is a Local linked  case, 11 years old male Singapore Citizen  and has not been overseas. He is currently admitted at KKH . Contact of Case 532</v>
      </c>
      <c r="G579" s="2">
        <v>43915</v>
      </c>
      <c r="H579" s="1"/>
      <c r="I579" s="1"/>
      <c r="J579" s="1"/>
      <c r="K579" s="1"/>
      <c r="L579" s="1" t="str">
        <f>Annex!C313</f>
        <v xml:space="preserve">KKH </v>
      </c>
      <c r="M579" s="13" t="s">
        <v>1264</v>
      </c>
    </row>
    <row r="580" spans="1:13" ht="13.8" customHeight="1" x14ac:dyDescent="0.3">
      <c r="A580" s="1">
        <f>Annex!A314</f>
        <v>579</v>
      </c>
      <c r="B580" s="1" t="str">
        <f>IF(LEFT(Annex!H314,5)="Local","Local Transmission",Annex!H314)</f>
        <v>Imported</v>
      </c>
      <c r="C580" s="1" t="str">
        <f>Annex!J314</f>
        <v>Male</v>
      </c>
      <c r="D580" s="1">
        <f>Annex!D314</f>
        <v>25</v>
      </c>
      <c r="E580" s="1" t="str">
        <f>Annex!K314</f>
        <v>Singaporean</v>
      </c>
      <c r="F580" s="1" t="str">
        <f>Annex!L314</f>
        <v xml:space="preserve">Case 579 is a Imported case, 25 years old male Singapore Citizen  and has been to UK . He is currently admitted at SGH . </v>
      </c>
      <c r="G580" s="2">
        <v>43915</v>
      </c>
      <c r="H580" s="1"/>
      <c r="I580" s="1"/>
      <c r="J580" s="1"/>
      <c r="K580" s="1"/>
      <c r="L580" s="1" t="str">
        <f>Annex!C314</f>
        <v xml:space="preserve">SGH </v>
      </c>
      <c r="M580" s="13" t="s">
        <v>1264</v>
      </c>
    </row>
    <row r="581" spans="1:13" ht="13.8" customHeight="1" x14ac:dyDescent="0.3">
      <c r="A581" s="1">
        <f>Annex!A315</f>
        <v>580</v>
      </c>
      <c r="B581" s="1" t="str">
        <f>IF(LEFT(Annex!H315,5)="Local","Local Transmission",Annex!H315)</f>
        <v>Local Transmission</v>
      </c>
      <c r="C581" s="1" t="str">
        <f>Annex!J315</f>
        <v>Female</v>
      </c>
      <c r="D581" s="1">
        <f>Annex!D315</f>
        <v>35</v>
      </c>
      <c r="E581" s="1" t="str">
        <f>Annex!K315</f>
        <v>US</v>
      </c>
      <c r="F581" s="1" t="str">
        <f>Annex!L315</f>
        <v>Case 580 is a Local linked  case, 35 years old female US (Singapore Work Pass holder)  and has not been overseas. She is currently admitted at SGH . Contact of Case 518</v>
      </c>
      <c r="G581" s="2">
        <v>43915</v>
      </c>
      <c r="H581" s="1"/>
      <c r="I581" s="1"/>
      <c r="J581" s="1"/>
      <c r="K581" s="1"/>
      <c r="L581" s="1" t="str">
        <f>Annex!C315</f>
        <v xml:space="preserve">SGH </v>
      </c>
      <c r="M581" s="13" t="s">
        <v>1264</v>
      </c>
    </row>
    <row r="582" spans="1:13" ht="13.8" customHeight="1" x14ac:dyDescent="0.3">
      <c r="A582" s="1">
        <f>Annex!A316</f>
        <v>581</v>
      </c>
      <c r="B582" s="1" t="str">
        <f>IF(LEFT(Annex!H316,5)="Local","Local Transmission",Annex!H316)</f>
        <v>Local Transmission</v>
      </c>
      <c r="C582" s="1" t="str">
        <f>Annex!J316</f>
        <v>Male</v>
      </c>
      <c r="D582" s="1">
        <f>Annex!D316</f>
        <v>47</v>
      </c>
      <c r="E582" s="1" t="str">
        <f>Annex!K316</f>
        <v>Singaporean</v>
      </c>
      <c r="F582" s="1" t="str">
        <f>Annex!L316</f>
        <v xml:space="preserve">Case 581 is a Local unlinked case, 47 years old male Singapore Permanent Resident  and has not been overseas. He is currently admitted at SGH . </v>
      </c>
      <c r="G582" s="2">
        <v>43915</v>
      </c>
      <c r="H582" s="1"/>
      <c r="I582" s="1"/>
      <c r="J582" s="1"/>
      <c r="K582" s="1"/>
      <c r="L582" s="1" t="str">
        <f>Annex!C316</f>
        <v xml:space="preserve">SGH </v>
      </c>
      <c r="M582" s="13" t="s">
        <v>1264</v>
      </c>
    </row>
    <row r="583" spans="1:13" ht="13.8" customHeight="1" x14ac:dyDescent="0.3">
      <c r="A583" s="1">
        <f>Annex!A317</f>
        <v>582</v>
      </c>
      <c r="B583" s="1" t="str">
        <f>IF(LEFT(Annex!H317,5)="Local","Local Transmission",Annex!H317)</f>
        <v xml:space="preserve">Imported </v>
      </c>
      <c r="C583" s="1" t="str">
        <f>Annex!J317</f>
        <v>Female</v>
      </c>
      <c r="D583" s="1">
        <f>Annex!D317</f>
        <v>3</v>
      </c>
      <c r="E583" s="1" t="str">
        <f>Annex!K317</f>
        <v>Singaporean</v>
      </c>
      <c r="F583" s="1" t="str">
        <f>Annex!L317</f>
        <v>Case 582 is a Imported  case, 3 years old female Singapore Citizen  and has been to US . She is currently admitted at KKH . Contact of Case 418</v>
      </c>
      <c r="G583" s="2">
        <v>43915</v>
      </c>
      <c r="H583" s="1"/>
      <c r="I583" s="1"/>
      <c r="J583" s="1"/>
      <c r="K583" s="1"/>
      <c r="L583" s="1" t="str">
        <f>Annex!C317</f>
        <v xml:space="preserve">KKH </v>
      </c>
      <c r="M583" s="13" t="s">
        <v>1264</v>
      </c>
    </row>
    <row r="584" spans="1:13" ht="13.8" customHeight="1" x14ac:dyDescent="0.3">
      <c r="A584" s="1">
        <f>Annex!A318</f>
        <v>583</v>
      </c>
      <c r="B584" s="1" t="str">
        <f>IF(LEFT(Annex!H318,5)="Local","Local Transmission",Annex!H318)</f>
        <v>Local Transmission</v>
      </c>
      <c r="C584" s="1" t="str">
        <f>Annex!J318</f>
        <v>Female</v>
      </c>
      <c r="D584" s="1">
        <f>Annex!D318</f>
        <v>61</v>
      </c>
      <c r="E584" s="1" t="str">
        <f>Annex!K318</f>
        <v>Singaporean</v>
      </c>
      <c r="F584" s="1" t="str">
        <f>Annex!L318</f>
        <v>Case 583 is a Local linked  case, 61 years old female Singapore Citizen  and has not been overseas. She is currently admitted at NCID . Contact of Cases 516 and 584 PCF Fengshan</v>
      </c>
      <c r="G584" s="2">
        <v>43915</v>
      </c>
      <c r="H584" s="1"/>
      <c r="I584" s="1"/>
      <c r="J584" s="1"/>
      <c r="K584" s="1"/>
      <c r="L584" s="1" t="str">
        <f>Annex!C318</f>
        <v xml:space="preserve">NCID </v>
      </c>
      <c r="M584" s="13" t="s">
        <v>1264</v>
      </c>
    </row>
    <row r="585" spans="1:13" ht="13.8" customHeight="1" x14ac:dyDescent="0.3">
      <c r="A585" s="1">
        <f>Annex!A319</f>
        <v>584</v>
      </c>
      <c r="B585" s="1" t="str">
        <f>IF(LEFT(Annex!H319,5)="Local","Local Transmission",Annex!H319)</f>
        <v>Local Transmission</v>
      </c>
      <c r="C585" s="1" t="str">
        <f>Annex!J319</f>
        <v>Female</v>
      </c>
      <c r="D585" s="1">
        <f>Annex!D319</f>
        <v>37</v>
      </c>
      <c r="E585" s="1" t="str">
        <f>Annex!K319</f>
        <v>Singaporean</v>
      </c>
      <c r="F585" s="1" t="str">
        <f>Annex!L319</f>
        <v>Case 584 is a Local linked  case, 37 years old female Singapore Permanent Resident  and has not been overseas. She is currently admitted at NCID . Contact of Cases 516 and 583 PCF Fengshan</v>
      </c>
      <c r="G585" s="2">
        <v>43915</v>
      </c>
      <c r="H585" s="1"/>
      <c r="I585" s="1"/>
      <c r="J585" s="1"/>
      <c r="K585" s="1"/>
      <c r="L585" s="1" t="str">
        <f>Annex!C319</f>
        <v xml:space="preserve">NCID </v>
      </c>
      <c r="M585" s="13" t="s">
        <v>1264</v>
      </c>
    </row>
    <row r="586" spans="1:13" ht="13.8" customHeight="1" x14ac:dyDescent="0.3">
      <c r="A586" s="1">
        <f>Annex!A320</f>
        <v>585</v>
      </c>
      <c r="B586" s="1" t="str">
        <f>IF(LEFT(Annex!H320,5)="Local","Local Transmission",Annex!H320)</f>
        <v>Local Transmission</v>
      </c>
      <c r="C586" s="1" t="str">
        <f>Annex!J320</f>
        <v>Female</v>
      </c>
      <c r="D586" s="1">
        <f>Annex!D320</f>
        <v>38</v>
      </c>
      <c r="E586" s="1" t="str">
        <f>Annex!K320</f>
        <v>Philippines</v>
      </c>
      <c r="F586" s="1" t="str">
        <f>Annex!L320</f>
        <v>Case 585 is a Local linked  case, 38 years old female Philippines (Singapore Work Pass holder)  and has not been overseas. She is currently admitted at KKH . Contact of Case 523</v>
      </c>
      <c r="G586" s="2">
        <v>43915</v>
      </c>
      <c r="H586" s="1"/>
      <c r="I586" s="1"/>
      <c r="J586" s="1"/>
      <c r="K586" s="1"/>
      <c r="L586" s="1" t="str">
        <f>Annex!C320</f>
        <v xml:space="preserve">KKH </v>
      </c>
      <c r="M586" s="13" t="s">
        <v>1264</v>
      </c>
    </row>
    <row r="587" spans="1:13" ht="13.8" customHeight="1" x14ac:dyDescent="0.3">
      <c r="A587" s="1">
        <f>Annex!A321</f>
        <v>586</v>
      </c>
      <c r="B587" s="1" t="str">
        <f>IF(LEFT(Annex!H321,5)="Local","Local Transmission",Annex!H321)</f>
        <v>Local Transmission</v>
      </c>
      <c r="C587" s="1" t="str">
        <f>Annex!J321</f>
        <v>Male</v>
      </c>
      <c r="D587" s="1">
        <f>Annex!D321</f>
        <v>51</v>
      </c>
      <c r="E587" s="1" t="str">
        <f>Annex!K321</f>
        <v>Singaporean</v>
      </c>
      <c r="F587" s="1" t="str">
        <f>Annex!L321</f>
        <v xml:space="preserve">Case 586 is a Local unlinked case, 51 years old male Singapore Citizen  and has not been overseas. He is currently admitted at NTFGH . </v>
      </c>
      <c r="G587" s="2">
        <v>43915</v>
      </c>
      <c r="H587" s="1"/>
      <c r="I587" s="1"/>
      <c r="J587" s="1"/>
      <c r="K587" s="1"/>
      <c r="L587" s="1" t="str">
        <f>Annex!C321</f>
        <v xml:space="preserve">NTFGH </v>
      </c>
      <c r="M587" s="13" t="s">
        <v>1264</v>
      </c>
    </row>
    <row r="588" spans="1:13" ht="13.8" customHeight="1" x14ac:dyDescent="0.3">
      <c r="A588" s="1">
        <f>Annex!A322</f>
        <v>587</v>
      </c>
      <c r="B588" s="1" t="str">
        <f>IF(LEFT(Annex!H322,5)="Local","Local Transmission",Annex!H322)</f>
        <v>Imported</v>
      </c>
      <c r="C588" s="1" t="str">
        <f>Annex!J322</f>
        <v>Male</v>
      </c>
      <c r="D588" s="1">
        <f>Annex!D322</f>
        <v>25</v>
      </c>
      <c r="E588" s="1" t="str">
        <f>Annex!K322</f>
        <v>Singaporean</v>
      </c>
      <c r="F588" s="1" t="str">
        <f>Annex!L322</f>
        <v xml:space="preserve">Case 587 is a Imported case, 25 years old male Singapore Citizen  and has been to UK . He is currently admitted at NCID . </v>
      </c>
      <c r="G588" s="2">
        <v>43915</v>
      </c>
      <c r="H588" s="1"/>
      <c r="I588" s="1"/>
      <c r="J588" s="1"/>
      <c r="K588" s="1"/>
      <c r="L588" s="1" t="str">
        <f>Annex!C322</f>
        <v xml:space="preserve">NCID </v>
      </c>
      <c r="M588" s="13" t="s">
        <v>1264</v>
      </c>
    </row>
    <row r="589" spans="1:13" ht="13.8" customHeight="1" x14ac:dyDescent="0.3">
      <c r="A589" s="1">
        <f>Annex!A323</f>
        <v>588</v>
      </c>
      <c r="B589" s="1" t="str">
        <f>IF(LEFT(Annex!H323,5)="Local","Local Transmission",Annex!H323)</f>
        <v>Imported</v>
      </c>
      <c r="C589" s="1" t="str">
        <f>Annex!J323</f>
        <v>Male</v>
      </c>
      <c r="D589" s="1">
        <f>Annex!D323</f>
        <v>62</v>
      </c>
      <c r="E589" s="1" t="str">
        <f>Annex!K323</f>
        <v>UK</v>
      </c>
      <c r="F589" s="1" t="str">
        <f>Annex!L323</f>
        <v xml:space="preserve">Case 588 is a Imported case, 62 years old male UK (Singapore Work Pass holder) and has been to UK . He is currently admitted at NCID . </v>
      </c>
      <c r="G589" s="2">
        <v>43915</v>
      </c>
      <c r="H589" s="1"/>
      <c r="I589" s="1"/>
      <c r="J589" s="1"/>
      <c r="K589" s="1"/>
      <c r="L589" s="1" t="str">
        <f>Annex!C323</f>
        <v xml:space="preserve">NCID </v>
      </c>
      <c r="M589" s="13" t="s">
        <v>1264</v>
      </c>
    </row>
    <row r="590" spans="1:13" ht="13.8" customHeight="1" x14ac:dyDescent="0.3">
      <c r="A590" s="1">
        <f>Annex!A324</f>
        <v>589</v>
      </c>
      <c r="B590" s="1" t="str">
        <f>IF(LEFT(Annex!H324,5)="Local","Local Transmission",Annex!H324)</f>
        <v>Local Transmission</v>
      </c>
      <c r="C590" s="1" t="str">
        <f>Annex!J324</f>
        <v>Male</v>
      </c>
      <c r="D590" s="1">
        <f>Annex!D324</f>
        <v>47</v>
      </c>
      <c r="E590" s="1" t="str">
        <f>Annex!K324</f>
        <v>Singaporean</v>
      </c>
      <c r="F590" s="1" t="str">
        <f>Annex!L324</f>
        <v xml:space="preserve">Case 589 is a Local unlinked case, 47 years old male Singapore Citizen  and has not been overseas. He is currently admitted at NCID . </v>
      </c>
      <c r="G590" s="2">
        <v>43915</v>
      </c>
      <c r="H590" s="1"/>
      <c r="I590" s="1"/>
      <c r="J590" s="1"/>
      <c r="K590" s="1"/>
      <c r="L590" s="1" t="str">
        <f>Annex!C324</f>
        <v xml:space="preserve">NCID </v>
      </c>
      <c r="M590" s="13" t="s">
        <v>1264</v>
      </c>
    </row>
    <row r="591" spans="1:13" ht="13.8" customHeight="1" x14ac:dyDescent="0.3">
      <c r="A591" s="1">
        <f>Annex!A325</f>
        <v>590</v>
      </c>
      <c r="B591" s="1" t="str">
        <f>IF(LEFT(Annex!H325,5)="Local","Local Transmission",Annex!H325)</f>
        <v>Imported</v>
      </c>
      <c r="C591" s="1" t="str">
        <f>Annex!J325</f>
        <v>Female</v>
      </c>
      <c r="D591" s="1">
        <f>Annex!D325</f>
        <v>21</v>
      </c>
      <c r="E591" s="1" t="str">
        <f>Annex!K325</f>
        <v>Singaporean</v>
      </c>
      <c r="F591" s="1" t="str">
        <f>Annex!L325</f>
        <v xml:space="preserve">Case 590 is a Imported case, 21 years old female Singapore Permanent Resident  and has been to UK . She is currently admitted at NUH . </v>
      </c>
      <c r="G591" s="2">
        <v>43915</v>
      </c>
      <c r="H591" s="1"/>
      <c r="I591" s="1"/>
      <c r="J591" s="1"/>
      <c r="K591" s="1"/>
      <c r="L591" s="1" t="str">
        <f>Annex!C325</f>
        <v xml:space="preserve">NUH </v>
      </c>
      <c r="M591" s="13" t="s">
        <v>1264</v>
      </c>
    </row>
    <row r="592" spans="1:13" ht="13.8" customHeight="1" x14ac:dyDescent="0.3">
      <c r="A592" s="1">
        <f>Annex!A326</f>
        <v>591</v>
      </c>
      <c r="B592" s="1" t="str">
        <f>IF(LEFT(Annex!H326,5)="Local","Local Transmission",Annex!H326)</f>
        <v>Imported</v>
      </c>
      <c r="C592" s="1" t="str">
        <f>Annex!J326</f>
        <v>Male</v>
      </c>
      <c r="D592" s="1">
        <f>Annex!D326</f>
        <v>64</v>
      </c>
      <c r="E592" s="1" t="str">
        <f>Annex!K326</f>
        <v>Singaporean</v>
      </c>
      <c r="F592" s="1" t="str">
        <f>Annex!L326</f>
        <v xml:space="preserve">Case 591 is a Imported case, 64 years old male Singapore Citizen  and has been to Portugal . He is currently admitted at SGH . </v>
      </c>
      <c r="G592" s="2">
        <v>43915</v>
      </c>
      <c r="H592" s="1"/>
      <c r="I592" s="1"/>
      <c r="J592" s="1"/>
      <c r="K592" s="1"/>
      <c r="L592" s="1" t="str">
        <f>Annex!C326</f>
        <v xml:space="preserve">SGH </v>
      </c>
      <c r="M592" s="13" t="s">
        <v>1264</v>
      </c>
    </row>
    <row r="593" spans="1:13" ht="13.8" customHeight="1" x14ac:dyDescent="0.3">
      <c r="A593" s="1">
        <f>Annex!A327</f>
        <v>592</v>
      </c>
      <c r="B593" s="1" t="str">
        <f>IF(LEFT(Annex!H327,5)="Local","Local Transmission",Annex!H327)</f>
        <v>Imported</v>
      </c>
      <c r="C593" s="1" t="str">
        <f>Annex!J327</f>
        <v>Male</v>
      </c>
      <c r="D593" s="1">
        <f>Annex!D327</f>
        <v>24</v>
      </c>
      <c r="E593" s="1" t="str">
        <f>Annex!K327</f>
        <v>Singaporean</v>
      </c>
      <c r="F593" s="1" t="str">
        <f>Annex!L327</f>
        <v xml:space="preserve">Case 592 is a Imported case, 24 years old male Singapore Citizen  and has been to UK . He is currently admitted at NCID . </v>
      </c>
      <c r="G593" s="2">
        <v>43915</v>
      </c>
      <c r="H593" s="1"/>
      <c r="I593" s="1"/>
      <c r="J593" s="1"/>
      <c r="K593" s="1"/>
      <c r="L593" s="1" t="str">
        <f>Annex!C327</f>
        <v xml:space="preserve">NCID </v>
      </c>
      <c r="M593" s="13" t="s">
        <v>1264</v>
      </c>
    </row>
    <row r="594" spans="1:13" ht="13.8" customHeight="1" x14ac:dyDescent="0.3">
      <c r="A594" s="1">
        <f>Annex!A328</f>
        <v>593</v>
      </c>
      <c r="B594" s="1" t="str">
        <f>IF(LEFT(Annex!H328,5)="Local","Local Transmission",Annex!H328)</f>
        <v>Imported</v>
      </c>
      <c r="C594" s="1" t="str">
        <f>Annex!J328</f>
        <v>Male</v>
      </c>
      <c r="D594" s="1">
        <f>Annex!D328</f>
        <v>24</v>
      </c>
      <c r="E594" s="1" t="str">
        <f>Annex!K328</f>
        <v>Singaporean</v>
      </c>
      <c r="F594" s="1" t="str">
        <f>Annex!L328</f>
        <v xml:space="preserve">Case 593 is a Imported case, 24 years old male Singapore Citizen  and has been to US . He is currently admitted at NCID . </v>
      </c>
      <c r="G594" s="2">
        <v>43915</v>
      </c>
      <c r="H594" s="44">
        <v>43919</v>
      </c>
      <c r="I594" s="1"/>
      <c r="J594" s="1"/>
      <c r="K594" s="1"/>
      <c r="L594" s="1" t="str">
        <f>Annex!C328</f>
        <v xml:space="preserve">NCID </v>
      </c>
      <c r="M594" s="13" t="s">
        <v>1264</v>
      </c>
    </row>
    <row r="595" spans="1:13" ht="13.8" customHeight="1" x14ac:dyDescent="0.3">
      <c r="A595" s="1">
        <f>Annex!A329</f>
        <v>594</v>
      </c>
      <c r="B595" s="1" t="str">
        <f>IF(LEFT(Annex!H329,5)="Local","Local Transmission",Annex!H329)</f>
        <v>Local Transmission</v>
      </c>
      <c r="C595" s="1" t="str">
        <f>Annex!J329</f>
        <v>Female</v>
      </c>
      <c r="D595" s="1">
        <f>Annex!D329</f>
        <v>23</v>
      </c>
      <c r="E595" s="1" t="str">
        <f>Annex!K329</f>
        <v>China</v>
      </c>
      <c r="F595" s="1" t="str">
        <f>Annex!L329</f>
        <v xml:space="preserve">Case 594 is a Local unlinked case, 23 years old female China (Long Term Pass holder)  and has not been overseas. She is currently admitted at NCID . </v>
      </c>
      <c r="G595" s="2">
        <v>43915</v>
      </c>
      <c r="H595" s="1"/>
      <c r="I595" s="1"/>
      <c r="J595" s="1"/>
      <c r="K595" s="1"/>
      <c r="L595" s="1" t="str">
        <f>Annex!C329</f>
        <v xml:space="preserve">NCID </v>
      </c>
      <c r="M595" s="13" t="s">
        <v>1264</v>
      </c>
    </row>
    <row r="596" spans="1:13" ht="13.8" customHeight="1" x14ac:dyDescent="0.3">
      <c r="A596" s="1">
        <f>Annex!A330</f>
        <v>595</v>
      </c>
      <c r="B596" s="1" t="str">
        <f>IF(LEFT(Annex!H330,5)="Local","Local Transmission",Annex!H330)</f>
        <v>Imported</v>
      </c>
      <c r="C596" s="1" t="str">
        <f>Annex!J330</f>
        <v>Female</v>
      </c>
      <c r="D596" s="1">
        <f>Annex!D330</f>
        <v>19</v>
      </c>
      <c r="E596" s="1" t="str">
        <f>Annex!K330</f>
        <v>Singaporean</v>
      </c>
      <c r="F596" s="1" t="str">
        <f>Annex!L330</f>
        <v xml:space="preserve">Case 595 is a Imported case, 19 years old female Singapore Citizen  and has been to Pending . She is currently admitted at NCID . </v>
      </c>
      <c r="G596" s="2">
        <v>43915</v>
      </c>
      <c r="H596" s="1"/>
      <c r="I596" s="1"/>
      <c r="J596" s="1"/>
      <c r="K596" s="1"/>
      <c r="L596" s="1" t="str">
        <f>Annex!C330</f>
        <v xml:space="preserve">NCID </v>
      </c>
      <c r="M596" s="13" t="s">
        <v>1264</v>
      </c>
    </row>
    <row r="597" spans="1:13" ht="13.8" customHeight="1" x14ac:dyDescent="0.3">
      <c r="A597" s="1">
        <f>Annex!A331</f>
        <v>596</v>
      </c>
      <c r="B597" s="1" t="str">
        <f>IF(LEFT(Annex!H331,5)="Local","Local Transmission",Annex!H331)</f>
        <v>Imported</v>
      </c>
      <c r="C597" s="1" t="str">
        <f>Annex!J331</f>
        <v>Male</v>
      </c>
      <c r="D597" s="1">
        <f>Annex!D331</f>
        <v>35</v>
      </c>
      <c r="E597" s="1" t="str">
        <f>Annex!K331</f>
        <v>Singaporean</v>
      </c>
      <c r="F597" s="1" t="str">
        <f>Annex!L331</f>
        <v xml:space="preserve">Case 596 is a Imported case, 35 years old male Singapore Citizen  and has been to UK . He is currently admitted at NCID . </v>
      </c>
      <c r="G597" s="2">
        <v>43915</v>
      </c>
      <c r="H597" s="1"/>
      <c r="I597" s="1"/>
      <c r="J597" s="1"/>
      <c r="K597" s="1"/>
      <c r="L597" s="1" t="str">
        <f>Annex!C331</f>
        <v xml:space="preserve">NCID </v>
      </c>
      <c r="M597" s="13" t="s">
        <v>1264</v>
      </c>
    </row>
    <row r="598" spans="1:13" ht="13.8" customHeight="1" x14ac:dyDescent="0.3">
      <c r="A598" s="1">
        <f>Annex!A332</f>
        <v>597</v>
      </c>
      <c r="B598" s="1" t="str">
        <f>IF(LEFT(Annex!H332,5)="Local","Local Transmission",Annex!H332)</f>
        <v>Local Transmission</v>
      </c>
      <c r="C598" s="1" t="str">
        <f>Annex!J332</f>
        <v>Female</v>
      </c>
      <c r="D598" s="1">
        <f>Annex!D332</f>
        <v>50</v>
      </c>
      <c r="E598" s="1" t="str">
        <f>Annex!K332</f>
        <v>Singaporean</v>
      </c>
      <c r="F598" s="1" t="str">
        <f>Annex!L332</f>
        <v>Case 597 is a Local linked  case, 50 years old female Singapore Citizen  and has not been overseas. She is currently admitted at SKH . Family member of Case 570</v>
      </c>
      <c r="G598" s="2">
        <v>43915</v>
      </c>
      <c r="H598" s="1"/>
      <c r="I598" s="1"/>
      <c r="J598" s="1"/>
      <c r="K598" s="1"/>
      <c r="L598" s="1" t="str">
        <f>Annex!C332</f>
        <v xml:space="preserve">SKH </v>
      </c>
      <c r="M598" s="13" t="s">
        <v>1264</v>
      </c>
    </row>
    <row r="599" spans="1:13" ht="13.8" customHeight="1" x14ac:dyDescent="0.3">
      <c r="A599" s="1">
        <f>Annex!A333</f>
        <v>598</v>
      </c>
      <c r="B599" s="1" t="str">
        <f>IF(LEFT(Annex!H333,5)="Local","Local Transmission",Annex!H333)</f>
        <v>Local Transmission</v>
      </c>
      <c r="C599" s="1" t="str">
        <f>Annex!J333</f>
        <v>Female</v>
      </c>
      <c r="D599" s="1">
        <f>Annex!D333</f>
        <v>35</v>
      </c>
      <c r="E599" s="1" t="str">
        <f>Annex!K333</f>
        <v>India</v>
      </c>
      <c r="F599" s="1" t="str">
        <f>Annex!L333</f>
        <v xml:space="preserve">Case 598 is a Local unlinked case, 35 years old female India (Singapore Work Pass holder)  and has not been overseas. She is currently admitted at SKH . </v>
      </c>
      <c r="G599" s="2">
        <v>43915</v>
      </c>
      <c r="H599" s="1"/>
      <c r="I599" s="1"/>
      <c r="J599" s="1"/>
      <c r="K599" s="1"/>
      <c r="L599" s="1" t="str">
        <f>Annex!C333</f>
        <v xml:space="preserve">SKH </v>
      </c>
      <c r="M599" s="13" t="s">
        <v>1264</v>
      </c>
    </row>
    <row r="600" spans="1:13" ht="13.8" customHeight="1" x14ac:dyDescent="0.3">
      <c r="A600" s="1">
        <f>Annex!A334</f>
        <v>599</v>
      </c>
      <c r="B600" s="1" t="str">
        <f>IF(LEFT(Annex!H334,5)="Local","Local Transmission",Annex!H334)</f>
        <v xml:space="preserve">Imported </v>
      </c>
      <c r="C600" s="1" t="str">
        <f>Annex!J334</f>
        <v>Male</v>
      </c>
      <c r="D600" s="1">
        <f>Annex!D334</f>
        <v>32</v>
      </c>
      <c r="E600" s="1" t="str">
        <f>Annex!K334</f>
        <v>Singaporean</v>
      </c>
      <c r="F600" s="1" t="str">
        <f>Annex!L334</f>
        <v>Case 599 is a Imported  case, 32 years old male Singapore Citizen  and has been to UK . He is currently admitted at NCID . Contact of Case 385</v>
      </c>
      <c r="G600" s="2">
        <v>43915</v>
      </c>
      <c r="H600" s="1"/>
      <c r="I600" s="1"/>
      <c r="J600" s="1"/>
      <c r="K600" s="1"/>
      <c r="L600" s="1" t="str">
        <f>Annex!C334</f>
        <v xml:space="preserve">NCID </v>
      </c>
      <c r="M600" s="13" t="s">
        <v>1264</v>
      </c>
    </row>
    <row r="601" spans="1:13" ht="13.8" customHeight="1" x14ac:dyDescent="0.3">
      <c r="A601" s="1">
        <f>Annex!A335</f>
        <v>600</v>
      </c>
      <c r="B601" s="1" t="str">
        <f>IF(LEFT(Annex!H335,5)="Local","Local Transmission",Annex!H335)</f>
        <v>Imported</v>
      </c>
      <c r="C601" s="1" t="str">
        <f>Annex!J335</f>
        <v>Male</v>
      </c>
      <c r="D601" s="1">
        <f>Annex!D335</f>
        <v>66</v>
      </c>
      <c r="E601" s="1" t="str">
        <f>Annex!K335</f>
        <v>Singaporean</v>
      </c>
      <c r="F601" s="1" t="str">
        <f>Annex!L335</f>
        <v xml:space="preserve">Case 600 is a Imported case, 66 years old male Singapore Permanent Resident  and has been to Pending . He is currently admitted at NCID . </v>
      </c>
      <c r="G601" s="2">
        <v>43915</v>
      </c>
      <c r="H601" s="1"/>
      <c r="I601" s="1"/>
      <c r="J601" s="1"/>
      <c r="K601" s="1"/>
      <c r="L601" s="1" t="str">
        <f>Annex!C335</f>
        <v xml:space="preserve">NCID </v>
      </c>
      <c r="M601" s="13" t="s">
        <v>1264</v>
      </c>
    </row>
    <row r="602" spans="1:13" ht="13.8" customHeight="1" x14ac:dyDescent="0.3">
      <c r="A602" s="1">
        <f>Annex!A336</f>
        <v>601</v>
      </c>
      <c r="B602" s="1" t="str">
        <f>IF(LEFT(Annex!H336,5)="Local","Local Transmission",Annex!H336)</f>
        <v>Local Transmission</v>
      </c>
      <c r="C602" s="1" t="str">
        <f>Annex!J336</f>
        <v>Female</v>
      </c>
      <c r="D602" s="1">
        <f>Annex!D336</f>
        <v>47</v>
      </c>
      <c r="E602" s="1" t="str">
        <f>Annex!K336</f>
        <v>Singaporean</v>
      </c>
      <c r="F602" s="1" t="str">
        <f>Annex!L336</f>
        <v>Case 601 is a Local linked  case, 47 years old female Singapore Citizen  and has not been overseas. She is currently admitted at NCID . Family member of Cases 521, 566, 567 and 572 PCF Fengshan</v>
      </c>
      <c r="G602" s="2">
        <v>43915</v>
      </c>
      <c r="H602" s="44">
        <v>43919</v>
      </c>
      <c r="I602" s="1"/>
      <c r="J602" s="1"/>
      <c r="K602" s="1"/>
      <c r="L602" s="1" t="str">
        <f>Annex!C336</f>
        <v xml:space="preserve">NCID </v>
      </c>
      <c r="M602" s="13" t="s">
        <v>1264</v>
      </c>
    </row>
    <row r="603" spans="1:13" ht="13.8" customHeight="1" x14ac:dyDescent="0.3">
      <c r="A603" s="1">
        <f>Annex!A337</f>
        <v>602</v>
      </c>
      <c r="B603" s="1" t="str">
        <f>IF(LEFT(Annex!H337,5)="Local","Local Transmission",Annex!H337)</f>
        <v>Local Transmission</v>
      </c>
      <c r="C603" s="1" t="str">
        <f>Annex!J337</f>
        <v>Female</v>
      </c>
      <c r="D603" s="1">
        <f>Annex!D337</f>
        <v>56</v>
      </c>
      <c r="E603" s="1" t="str">
        <f>Annex!K337</f>
        <v>Singaporean</v>
      </c>
      <c r="F603" s="1" t="str">
        <f>Annex!L337</f>
        <v>Case 602 is a Local linked  case, 56 years old female Singapore Citizen  and has not been overseas. She is currently admitted at NCID . Contact of Case 516 PCF Fengshan</v>
      </c>
      <c r="G603" s="16">
        <v>43915</v>
      </c>
      <c r="H603" s="17"/>
      <c r="I603" s="17"/>
      <c r="J603" s="17"/>
      <c r="K603" s="17"/>
      <c r="L603" s="17" t="str">
        <f>Annex!C337</f>
        <v xml:space="preserve">NCID </v>
      </c>
      <c r="M603" s="13" t="s">
        <v>1264</v>
      </c>
    </row>
    <row r="604" spans="1:13" ht="13.8" customHeight="1" x14ac:dyDescent="0.3">
      <c r="A604" s="1">
        <f>Annex!A338</f>
        <v>603</v>
      </c>
      <c r="B604" s="1" t="str">
        <f>IF(LEFT(Annex!H338,5)="Local","Local Transmission",Annex!H338)</f>
        <v>Local Transmission</v>
      </c>
      <c r="C604" s="1" t="str">
        <f>Annex!J338</f>
        <v>Female</v>
      </c>
      <c r="D604" s="1">
        <f>Annex!D338</f>
        <v>23</v>
      </c>
      <c r="E604" s="1" t="str">
        <f>Annex!K338</f>
        <v>Singaporean</v>
      </c>
      <c r="F604" s="1" t="str">
        <f>Annex!L338</f>
        <v>Case 603 is a Local linked  case, 23 years old female Singapore Citizen  and has not been overseas. She is currently admitted at NCID . PCF Fengshan</v>
      </c>
      <c r="G604" s="2">
        <v>43915</v>
      </c>
      <c r="H604" s="1"/>
      <c r="I604" s="1"/>
      <c r="J604" s="1"/>
      <c r="K604" s="1"/>
      <c r="L604" s="1" t="str">
        <f>Annex!C338</f>
        <v xml:space="preserve">NCID </v>
      </c>
      <c r="M604" s="5" t="s">
        <v>1264</v>
      </c>
    </row>
    <row r="605" spans="1:13" ht="13.8" customHeight="1" x14ac:dyDescent="0.3">
      <c r="A605" s="1">
        <f>Annex!A339</f>
        <v>604</v>
      </c>
      <c r="B605" s="1" t="str">
        <f>IF(LEFT(Annex!H339,5)="Local","Local Transmission",Annex!H339)</f>
        <v>Local Transmission</v>
      </c>
      <c r="C605" s="1" t="str">
        <f>Annex!J339</f>
        <v>Female</v>
      </c>
      <c r="D605" s="1">
        <f>Annex!D339</f>
        <v>36</v>
      </c>
      <c r="E605" s="1" t="str">
        <f>Annex!K339</f>
        <v>Philippines</v>
      </c>
      <c r="F605" s="1" t="str">
        <f>Annex!L339</f>
        <v>Case 604 is a Local linked  case, 36 years old female Philippines (Long Term Pass holder)  and has not been overseas. She is currently admitted at NCID . PCF Fengshan</v>
      </c>
      <c r="G605" s="2">
        <v>43915</v>
      </c>
      <c r="H605" s="1"/>
      <c r="I605" s="1"/>
      <c r="J605" s="1"/>
      <c r="K605" s="1"/>
      <c r="L605" s="1" t="str">
        <f>Annex!C339</f>
        <v xml:space="preserve">NCID </v>
      </c>
      <c r="M605" s="5" t="s">
        <v>1264</v>
      </c>
    </row>
    <row r="606" spans="1:13" ht="13.8" customHeight="1" x14ac:dyDescent="0.3">
      <c r="A606" s="1">
        <f>Annex!A340</f>
        <v>605</v>
      </c>
      <c r="B606" s="1" t="str">
        <f>IF(LEFT(Annex!H340,5)="Local","Local Transmission",Annex!H340)</f>
        <v>Local Transmission</v>
      </c>
      <c r="C606" s="1" t="str">
        <f>Annex!J340</f>
        <v>Female</v>
      </c>
      <c r="D606" s="1">
        <f>Annex!D340</f>
        <v>29</v>
      </c>
      <c r="E606" s="1" t="str">
        <f>Annex!K340</f>
        <v>Singaporean</v>
      </c>
      <c r="F606" s="1" t="str">
        <f>Annex!L340</f>
        <v>Case 605 is a Local linked  case, 29 years old female Singapore Citizen  and has not been overseas. She is currently admitted at NCID . PCF Fengshan</v>
      </c>
      <c r="G606" s="2">
        <v>43915</v>
      </c>
      <c r="H606" s="1"/>
      <c r="I606" s="1"/>
      <c r="J606" s="1"/>
      <c r="K606" s="1"/>
      <c r="L606" s="1" t="str">
        <f>Annex!C340</f>
        <v xml:space="preserve">NCID </v>
      </c>
      <c r="M606" s="5" t="s">
        <v>1264</v>
      </c>
    </row>
    <row r="607" spans="1:13" ht="13.8" customHeight="1" x14ac:dyDescent="0.3">
      <c r="A607" s="1">
        <f>Annex!A341</f>
        <v>606</v>
      </c>
      <c r="B607" s="1" t="str">
        <f>IF(LEFT(Annex!H341,5)="Local","Local Transmission",Annex!H341)</f>
        <v>Local Transmission</v>
      </c>
      <c r="C607" s="1" t="str">
        <f>Annex!J341</f>
        <v>Male</v>
      </c>
      <c r="D607" s="1">
        <f>Annex!D341</f>
        <v>55</v>
      </c>
      <c r="E607" s="1" t="str">
        <f>Annex!K341</f>
        <v>Singaporean</v>
      </c>
      <c r="F607" s="1" t="str">
        <f>Annex!L341</f>
        <v xml:space="preserve">Case 606 is a Local unlinked case, 55 years old male Singapore Citizen  and has not been overseas. He is currently admitted at NCID . </v>
      </c>
      <c r="G607" s="2">
        <v>43915</v>
      </c>
      <c r="H607" s="1"/>
      <c r="I607" s="1"/>
      <c r="J607" s="1"/>
      <c r="K607" s="1"/>
      <c r="L607" s="1" t="str">
        <f>Annex!C341</f>
        <v xml:space="preserve">NCID </v>
      </c>
      <c r="M607" s="5" t="s">
        <v>1264</v>
      </c>
    </row>
    <row r="608" spans="1:13" ht="13.8" customHeight="1" x14ac:dyDescent="0.3">
      <c r="A608" s="1">
        <f>Annex!A342</f>
        <v>607</v>
      </c>
      <c r="B608" s="1" t="str">
        <f>IF(LEFT(Annex!H342,5)="Local","Local Transmission",Annex!H342)</f>
        <v>Imported</v>
      </c>
      <c r="C608" s="1" t="str">
        <f>Annex!J342</f>
        <v>Female</v>
      </c>
      <c r="D608" s="1">
        <f>Annex!D342</f>
        <v>40</v>
      </c>
      <c r="E608" s="1" t="str">
        <f>Annex!K342</f>
        <v>Singaporean</v>
      </c>
      <c r="F608" s="1" t="str">
        <f>Annex!L342</f>
        <v xml:space="preserve">Case 607 is a Imported case, 40 years old female Singapore Citizen  and has been to UK . She is currently admitted at NCID . </v>
      </c>
      <c r="G608" s="2">
        <v>43915</v>
      </c>
      <c r="H608" s="1"/>
      <c r="I608" s="1"/>
      <c r="J608" s="1"/>
      <c r="K608" s="1"/>
      <c r="L608" s="1" t="str">
        <f>Annex!C342</f>
        <v xml:space="preserve">NCID </v>
      </c>
      <c r="M608" s="5" t="s">
        <v>1264</v>
      </c>
    </row>
    <row r="609" spans="1:13" ht="13.8" customHeight="1" x14ac:dyDescent="0.3">
      <c r="A609" s="1">
        <f>Annex!A343</f>
        <v>608</v>
      </c>
      <c r="B609" s="1" t="str">
        <f>IF(LEFT(Annex!H343,5)="Local","Local Transmission",Annex!H343)</f>
        <v>Imported</v>
      </c>
      <c r="C609" s="1" t="str">
        <f>Annex!J343</f>
        <v>Female</v>
      </c>
      <c r="D609" s="1">
        <f>Annex!D343</f>
        <v>18</v>
      </c>
      <c r="E609" s="1" t="str">
        <f>Annex!K343</f>
        <v>France</v>
      </c>
      <c r="F609" s="1" t="str">
        <f>Annex!L343</f>
        <v xml:space="preserve">Case 608 is a Imported case, 18 years old female France (Long Term Pass holder)  and has been to Canada . She is currently admitted at NCID . </v>
      </c>
      <c r="G609" s="2">
        <v>43915</v>
      </c>
      <c r="H609" s="1"/>
      <c r="I609" s="1"/>
      <c r="J609" s="1"/>
      <c r="K609" s="1"/>
      <c r="L609" s="1" t="str">
        <f>Annex!C343</f>
        <v xml:space="preserve">NCID </v>
      </c>
      <c r="M609" s="5" t="s">
        <v>1264</v>
      </c>
    </row>
    <row r="610" spans="1:13" ht="13.8" customHeight="1" x14ac:dyDescent="0.3">
      <c r="A610" s="1">
        <f>Annex!A344</f>
        <v>609</v>
      </c>
      <c r="B610" s="1" t="str">
        <f>IF(LEFT(Annex!H344,5)="Local","Local Transmission",Annex!H344)</f>
        <v>Local Transmission</v>
      </c>
      <c r="C610" s="1" t="str">
        <f>Annex!J344</f>
        <v>Female</v>
      </c>
      <c r="D610" s="1">
        <f>Annex!D344</f>
        <v>30</v>
      </c>
      <c r="E610" s="1" t="str">
        <f>Annex!K344</f>
        <v>Singaporean</v>
      </c>
      <c r="F610" s="1" t="str">
        <f>Annex!L344</f>
        <v>Case 609 is a Local linked  case, 30 years old female Singapore Citizen  and has not been overseas. She is currently admitted at NCID . Contact of Case 516 PCF Fengshan</v>
      </c>
      <c r="G610" s="2">
        <v>43915</v>
      </c>
      <c r="H610" s="1"/>
      <c r="I610" s="1"/>
      <c r="J610" s="1"/>
      <c r="K610" s="1"/>
      <c r="L610" s="1" t="str">
        <f>Annex!C344</f>
        <v xml:space="preserve">NCID </v>
      </c>
      <c r="M610" s="5" t="s">
        <v>1264</v>
      </c>
    </row>
    <row r="611" spans="1:13" ht="13.8" customHeight="1" x14ac:dyDescent="0.3">
      <c r="A611" s="1">
        <f>Annex!A345</f>
        <v>610</v>
      </c>
      <c r="B611" s="1" t="str">
        <f>IF(LEFT(Annex!H345,5)="Local","Local Transmission",Annex!H345)</f>
        <v>Local Transmission</v>
      </c>
      <c r="C611" s="1" t="str">
        <f>Annex!J345</f>
        <v>Female</v>
      </c>
      <c r="D611" s="1">
        <f>Annex!D345</f>
        <v>25</v>
      </c>
      <c r="E611" s="1" t="str">
        <f>Annex!K345</f>
        <v>Singaporean</v>
      </c>
      <c r="F611" s="1" t="str">
        <f>Annex!L345</f>
        <v>Case 610 is a Local linked  case, 25 years old female Singapore Citizen  and has not been overseas. She is currently admitted at NCID . Contact of Case 516 PCF Fengshan</v>
      </c>
      <c r="G611" s="2">
        <v>43915</v>
      </c>
      <c r="H611" s="1"/>
      <c r="I611" s="1"/>
      <c r="J611" s="1"/>
      <c r="K611" s="1"/>
      <c r="L611" s="1" t="str">
        <f>Annex!C345</f>
        <v xml:space="preserve">NCID </v>
      </c>
      <c r="M611" s="5" t="s">
        <v>1264</v>
      </c>
    </row>
    <row r="612" spans="1:13" ht="13.8" customHeight="1" x14ac:dyDescent="0.3">
      <c r="A612" s="1">
        <f>Annex!A346</f>
        <v>611</v>
      </c>
      <c r="B612" s="1" t="str">
        <f>IF(LEFT(Annex!H346,5)="Local","Local Transmission",Annex!H346)</f>
        <v>Imported</v>
      </c>
      <c r="C612" s="1" t="str">
        <f>Annex!J346</f>
        <v>Male</v>
      </c>
      <c r="D612" s="1">
        <f>Annex!D346</f>
        <v>24</v>
      </c>
      <c r="E612" s="1" t="str">
        <f>Annex!K346</f>
        <v>Singaporean</v>
      </c>
      <c r="F612" s="1" t="str">
        <f>Annex!L346</f>
        <v xml:space="preserve">Case 611 is a Imported case, 24 years old male Singapore Citizen  and has been to UK . He is currently admitted at NCID . </v>
      </c>
      <c r="G612" s="2">
        <v>43915</v>
      </c>
      <c r="H612" s="1"/>
      <c r="I612" s="1"/>
      <c r="J612" s="1"/>
      <c r="K612" s="1"/>
      <c r="L612" s="1" t="str">
        <f>Annex!C346</f>
        <v xml:space="preserve">NCID </v>
      </c>
      <c r="M612" s="5" t="s">
        <v>1264</v>
      </c>
    </row>
    <row r="613" spans="1:13" ht="13.8" customHeight="1" x14ac:dyDescent="0.3">
      <c r="A613" s="1">
        <f>Annex!A347</f>
        <v>612</v>
      </c>
      <c r="B613" s="1" t="str">
        <f>IF(LEFT(Annex!H347,5)="Local","Local Transmission",Annex!H347)</f>
        <v>Local Transmission</v>
      </c>
      <c r="C613" s="1" t="str">
        <f>Annex!J347</f>
        <v>Female</v>
      </c>
      <c r="D613" s="1">
        <f>Annex!D347</f>
        <v>22</v>
      </c>
      <c r="E613" s="1" t="str">
        <f>Annex!K347</f>
        <v>Singaporean</v>
      </c>
      <c r="F613" s="1" t="str">
        <f>Annex!L347</f>
        <v>Case 612 is a Local linked  case, 22 years old female Singapore Citizen  and has not been overseas. She is currently admitted at NCID . PCF Fengshan</v>
      </c>
      <c r="G613" s="2">
        <v>43915</v>
      </c>
      <c r="H613" s="1"/>
      <c r="I613" s="1"/>
      <c r="J613" s="1"/>
      <c r="K613" s="1"/>
      <c r="L613" s="1" t="str">
        <f>Annex!C347</f>
        <v xml:space="preserve">NCID </v>
      </c>
      <c r="M613" s="5" t="s">
        <v>1264</v>
      </c>
    </row>
    <row r="614" spans="1:13" ht="13.8" customHeight="1" x14ac:dyDescent="0.3">
      <c r="A614" s="1">
        <f>Annex!A348</f>
        <v>613</v>
      </c>
      <c r="B614" s="1" t="str">
        <f>IF(LEFT(Annex!H348,5)="Local","Local Transmission",Annex!H348)</f>
        <v>Imported</v>
      </c>
      <c r="C614" s="1" t="str">
        <f>Annex!J348</f>
        <v>Female</v>
      </c>
      <c r="D614" s="1">
        <f>Annex!D348</f>
        <v>62</v>
      </c>
      <c r="E614" s="1" t="str">
        <f>Annex!K348</f>
        <v>Singaporean</v>
      </c>
      <c r="F614" s="1" t="str">
        <f>Annex!L348</f>
        <v xml:space="preserve">Case 613 is a Imported case, 62 years old female Singapore Citizen  and has been to Thailand . She is currently admitted at NCID . </v>
      </c>
      <c r="G614" s="2">
        <v>43915</v>
      </c>
      <c r="H614" s="1"/>
      <c r="I614" s="1"/>
      <c r="J614" s="1"/>
      <c r="K614" s="1"/>
      <c r="L614" s="1" t="str">
        <f>Annex!C348</f>
        <v xml:space="preserve">NCID </v>
      </c>
      <c r="M614" s="5" t="s">
        <v>1264</v>
      </c>
    </row>
    <row r="615" spans="1:13" ht="13.8" customHeight="1" x14ac:dyDescent="0.3">
      <c r="A615" s="1">
        <f>Annex!A349</f>
        <v>614</v>
      </c>
      <c r="B615" s="1" t="str">
        <f>IF(LEFT(Annex!H349,5)="Local","Local Transmission",Annex!H349)</f>
        <v>Local Transmission</v>
      </c>
      <c r="C615" s="1" t="str">
        <f>Annex!J349</f>
        <v>Female</v>
      </c>
      <c r="D615" s="1">
        <f>Annex!D349</f>
        <v>62</v>
      </c>
      <c r="E615" s="1" t="str">
        <f>Annex!K349</f>
        <v>Singaporean</v>
      </c>
      <c r="F615" s="1" t="str">
        <f>Annex!L349</f>
        <v>Case 614 is a Local linked  case, 62 years old female Singapore Citizen  and has not been overseas. She is currently admitted at NCID . PCF Fengshan</v>
      </c>
      <c r="G615" s="2">
        <v>43915</v>
      </c>
      <c r="H615" s="1"/>
      <c r="I615" s="1"/>
      <c r="J615" s="1"/>
      <c r="K615" s="1"/>
      <c r="L615" s="1" t="str">
        <f>Annex!C349</f>
        <v xml:space="preserve">NCID </v>
      </c>
      <c r="M615" s="5" t="s">
        <v>1264</v>
      </c>
    </row>
    <row r="616" spans="1:13" ht="13.8" customHeight="1" x14ac:dyDescent="0.3">
      <c r="A616" s="1">
        <f>Annex!A350</f>
        <v>615</v>
      </c>
      <c r="B616" s="1" t="str">
        <f>IF(LEFT(Annex!H350,5)="Local","Local Transmission",Annex!H350)</f>
        <v>Imported</v>
      </c>
      <c r="C616" s="1" t="str">
        <f>Annex!J350</f>
        <v>Female</v>
      </c>
      <c r="D616" s="1">
        <f>Annex!D350</f>
        <v>44</v>
      </c>
      <c r="E616" s="1" t="str">
        <f>Annex!K350</f>
        <v>Singaporean</v>
      </c>
      <c r="F616" s="1" t="str">
        <f>Annex!L350</f>
        <v xml:space="preserve">Case 615 is a Imported case, 44 years old female Singapore Citizen  and has been to Germany . She is currently admitted at NCID . </v>
      </c>
      <c r="G616" s="2">
        <v>43915</v>
      </c>
      <c r="H616" s="1"/>
      <c r="I616" s="1"/>
      <c r="J616" s="1"/>
      <c r="K616" s="1"/>
      <c r="L616" s="1" t="str">
        <f>Annex!C350</f>
        <v xml:space="preserve">NCID </v>
      </c>
      <c r="M616" s="5" t="s">
        <v>1264</v>
      </c>
    </row>
    <row r="617" spans="1:13" ht="13.8" customHeight="1" x14ac:dyDescent="0.3">
      <c r="A617" s="1">
        <f>Annex!A351</f>
        <v>616</v>
      </c>
      <c r="B617" s="1" t="str">
        <f>IF(LEFT(Annex!H351,5)="Local","Local Transmission",Annex!H351)</f>
        <v>Imported</v>
      </c>
      <c r="C617" s="1" t="str">
        <f>Annex!J351</f>
        <v>Male</v>
      </c>
      <c r="D617" s="1">
        <f>Annex!D351</f>
        <v>39</v>
      </c>
      <c r="E617" s="1" t="str">
        <f>Annex!K351</f>
        <v>Malaysia</v>
      </c>
      <c r="F617" s="1" t="str">
        <f>Annex!L351</f>
        <v xml:space="preserve">Case 616 is a Imported case, 39 years old male Malaysia (Singapore Work Pass holder)  and has been to Malaysia . He is currently admitted at NCID . </v>
      </c>
      <c r="G617" s="2">
        <v>43915</v>
      </c>
      <c r="H617" s="1"/>
      <c r="I617" s="1"/>
      <c r="J617" s="1"/>
      <c r="K617" s="1"/>
      <c r="L617" s="1" t="str">
        <f>Annex!C351</f>
        <v xml:space="preserve">NCID </v>
      </c>
      <c r="M617" s="5" t="s">
        <v>1264</v>
      </c>
    </row>
    <row r="618" spans="1:13" ht="13.8" customHeight="1" x14ac:dyDescent="0.3">
      <c r="A618" s="1">
        <f>Annex!A352</f>
        <v>617</v>
      </c>
      <c r="B618" s="1" t="str">
        <f>IF(LEFT(Annex!H352,5)="Local","Local Transmission",Annex!H352)</f>
        <v>Local Transmission</v>
      </c>
      <c r="C618" s="1" t="str">
        <f>Annex!J352</f>
        <v>Female</v>
      </c>
      <c r="D618" s="1">
        <f>Annex!D352</f>
        <v>26</v>
      </c>
      <c r="E618" s="1" t="str">
        <f>Annex!K352</f>
        <v>Philippines</v>
      </c>
      <c r="F618" s="1" t="str">
        <f>Annex!L352</f>
        <v>Case 617 is a Local linked  case, 26 years old female Philippines (Singapore Work Pass holder)  and has not been overseas. She is currently admitted at NCID . PCF Fengshan</v>
      </c>
      <c r="G618" s="2">
        <v>43915</v>
      </c>
      <c r="H618" s="1"/>
      <c r="I618" s="1"/>
      <c r="J618" s="1"/>
      <c r="K618" s="1"/>
      <c r="L618" s="1" t="str">
        <f>Annex!C352</f>
        <v xml:space="preserve">NCID </v>
      </c>
      <c r="M618" s="5" t="s">
        <v>1264</v>
      </c>
    </row>
    <row r="619" spans="1:13" ht="13.8" customHeight="1" x14ac:dyDescent="0.3">
      <c r="A619" s="1">
        <f>Annex!A353</f>
        <v>618</v>
      </c>
      <c r="B619" s="1" t="str">
        <f>IF(LEFT(Annex!H353,5)="Local","Local Transmission",Annex!H353)</f>
        <v>Local Transmission</v>
      </c>
      <c r="C619" s="1" t="str">
        <f>Annex!J353</f>
        <v>Female</v>
      </c>
      <c r="D619" s="1">
        <f>Annex!D353</f>
        <v>29</v>
      </c>
      <c r="E619" s="1" t="str">
        <f>Annex!K353</f>
        <v>UK</v>
      </c>
      <c r="F619" s="1" t="str">
        <f>Annex!L353</f>
        <v>Case 618 is a Local linked  case, 29 years old female UK (Singapore Work Pass holder)  and has not been overseas. She is currently admitted at NCID . Contact of Case 556 Dover Court International School</v>
      </c>
      <c r="G619" s="2">
        <v>43915</v>
      </c>
      <c r="H619" s="1"/>
      <c r="I619" s="1"/>
      <c r="J619" s="1"/>
      <c r="K619" s="1"/>
      <c r="L619" s="1" t="str">
        <f>Annex!C353</f>
        <v xml:space="preserve">NCID </v>
      </c>
      <c r="M619" s="5" t="s">
        <v>1264</v>
      </c>
    </row>
    <row r="620" spans="1:13" ht="13.8" customHeight="1" x14ac:dyDescent="0.3">
      <c r="A620" s="1">
        <f>Annex!A354</f>
        <v>619</v>
      </c>
      <c r="B620" s="1" t="str">
        <f>IF(LEFT(Annex!H354,5)="Local","Local Transmission",Annex!H354)</f>
        <v>Local Transmission</v>
      </c>
      <c r="C620" s="1" t="str">
        <f>Annex!J354</f>
        <v>Female</v>
      </c>
      <c r="D620" s="1">
        <f>Annex!D354</f>
        <v>65</v>
      </c>
      <c r="E620" s="1" t="str">
        <f>Annex!K354</f>
        <v>Singaporean</v>
      </c>
      <c r="F620" s="1" t="str">
        <f>Annex!L354</f>
        <v>Case 619 is a Local linked  case, 65 years old female Singapore Citizen  and has not been overseas. She is currently admitted at NCID . Family member of Case 557</v>
      </c>
      <c r="G620" s="2">
        <v>43915</v>
      </c>
      <c r="H620" s="1"/>
      <c r="I620" s="1"/>
      <c r="J620" s="1"/>
      <c r="K620" s="1"/>
      <c r="L620" s="1" t="str">
        <f>Annex!C354</f>
        <v xml:space="preserve">NCID </v>
      </c>
      <c r="M620" s="5" t="s">
        <v>1264</v>
      </c>
    </row>
    <row r="621" spans="1:13" ht="13.8" customHeight="1" x14ac:dyDescent="0.3">
      <c r="A621" s="1">
        <f>Annex!A355</f>
        <v>620</v>
      </c>
      <c r="B621" s="1" t="str">
        <f>IF(LEFT(Annex!H355,5)="Local","Local Transmission",Annex!H355)</f>
        <v>Imported</v>
      </c>
      <c r="C621" s="1" t="str">
        <f>Annex!J355</f>
        <v>Female</v>
      </c>
      <c r="D621" s="1">
        <f>Annex!D355</f>
        <v>18</v>
      </c>
      <c r="E621" s="1" t="str">
        <f>Annex!K355</f>
        <v>Singaporean</v>
      </c>
      <c r="F621" s="1" t="str">
        <f>Annex!L355</f>
        <v xml:space="preserve">Case 620 is a Imported case, 18 years old female Singapore Citizen  and has been to UK . She is currently admitted at NCID . </v>
      </c>
      <c r="G621" s="2">
        <v>43915</v>
      </c>
      <c r="H621" s="1"/>
      <c r="I621" s="1"/>
      <c r="J621" s="1"/>
      <c r="K621" s="1"/>
      <c r="L621" s="1" t="str">
        <f>Annex!C355</f>
        <v xml:space="preserve">NCID </v>
      </c>
      <c r="M621" s="5" t="s">
        <v>1264</v>
      </c>
    </row>
    <row r="622" spans="1:13" ht="13.8" customHeight="1" x14ac:dyDescent="0.3">
      <c r="A622" s="1">
        <f>Annex!A356</f>
        <v>621</v>
      </c>
      <c r="B622" s="1" t="str">
        <f>IF(LEFT(Annex!H356,5)="Local","Local Transmission",Annex!H356)</f>
        <v>Local Transmission</v>
      </c>
      <c r="C622" s="1" t="str">
        <f>Annex!J356</f>
        <v>Male</v>
      </c>
      <c r="D622" s="1">
        <f>Annex!D356</f>
        <v>50</v>
      </c>
      <c r="E622" s="1" t="str">
        <f>Annex!K356</f>
        <v>Singaporean</v>
      </c>
      <c r="F622" s="1" t="str">
        <f>Annex!L356</f>
        <v xml:space="preserve">Case 621 is a Local unlinked case, 50 years old male Singapore Permanent Resident  and has not been overseas. He is currently admitted at NCID . </v>
      </c>
      <c r="G622" s="2">
        <v>43915</v>
      </c>
      <c r="H622" s="1"/>
      <c r="I622" s="1"/>
      <c r="J622" s="1"/>
      <c r="K622" s="1"/>
      <c r="L622" s="1" t="str">
        <f>Annex!C356</f>
        <v xml:space="preserve">NCID </v>
      </c>
      <c r="M622" s="5" t="s">
        <v>1264</v>
      </c>
    </row>
    <row r="623" spans="1:13" ht="13.8" customHeight="1" x14ac:dyDescent="0.3">
      <c r="A623" s="1">
        <f>Annex!A357</f>
        <v>622</v>
      </c>
      <c r="B623" s="1" t="str">
        <f>IF(LEFT(Annex!H357,5)="Local","Local Transmission",Annex!H357)</f>
        <v>Imported</v>
      </c>
      <c r="C623" s="1" t="str">
        <f>Annex!J357</f>
        <v>Female</v>
      </c>
      <c r="D623" s="1">
        <f>Annex!D357</f>
        <v>27</v>
      </c>
      <c r="E623" s="1" t="str">
        <f>Annex!K357</f>
        <v>Singaporean</v>
      </c>
      <c r="F623" s="1" t="str">
        <f>Annex!L357</f>
        <v xml:space="preserve">Case 622 is a Imported case, 27 years old female Singapore Citizen  and has been to UK . She is currently admitted at NCID . </v>
      </c>
      <c r="G623" s="2">
        <v>43915</v>
      </c>
      <c r="H623" s="1"/>
      <c r="I623" s="1"/>
      <c r="J623" s="1"/>
      <c r="K623" s="1"/>
      <c r="L623" s="1" t="str">
        <f>Annex!C357</f>
        <v xml:space="preserve">NCID </v>
      </c>
      <c r="M623" s="5" t="s">
        <v>1264</v>
      </c>
    </row>
    <row r="624" spans="1:13" ht="13.8" customHeight="1" x14ac:dyDescent="0.3">
      <c r="A624" s="1">
        <f>Annex!A358</f>
        <v>623</v>
      </c>
      <c r="B624" s="1" t="str">
        <f>IF(LEFT(Annex!H358,5)="Local","Local Transmission",Annex!H358)</f>
        <v>Imported</v>
      </c>
      <c r="C624" s="1" t="str">
        <f>Annex!J358</f>
        <v>Female</v>
      </c>
      <c r="D624" s="1">
        <f>Annex!D358</f>
        <v>58</v>
      </c>
      <c r="E624" s="1" t="str">
        <f>Annex!K358</f>
        <v>Indonesia</v>
      </c>
      <c r="F624" s="1" t="str">
        <f>Annex!L358</f>
        <v xml:space="preserve">Case 623 is a Imported case, 58 years old female Indonesia (Long Term Pass holder)  and has been to Indonesia . She is currently admitted at NCID . </v>
      </c>
      <c r="G624" s="2">
        <v>43915</v>
      </c>
      <c r="H624" s="1"/>
      <c r="I624" s="1"/>
      <c r="J624" s="1"/>
      <c r="K624" s="1"/>
      <c r="L624" s="1" t="str">
        <f>Annex!C358</f>
        <v xml:space="preserve">NCID </v>
      </c>
      <c r="M624" s="5" t="s">
        <v>1264</v>
      </c>
    </row>
    <row r="625" spans="1:13" ht="13.8" customHeight="1" x14ac:dyDescent="0.3">
      <c r="A625" s="1">
        <f>Annex!A359</f>
        <v>624</v>
      </c>
      <c r="B625" s="1" t="str">
        <f>IF(LEFT(Annex!H359,5)="Local","Local Transmission",Annex!H359)</f>
        <v>Local Transmission</v>
      </c>
      <c r="C625" s="1" t="str">
        <f>Annex!J359</f>
        <v>Female</v>
      </c>
      <c r="D625" s="1">
        <f>Annex!D359</f>
        <v>48</v>
      </c>
      <c r="E625" s="1" t="str">
        <f>Annex!K359</f>
        <v>Singaporean</v>
      </c>
      <c r="F625" s="1" t="str">
        <f>Annex!L359</f>
        <v>Case 624 is a Local linked  case, 48 years old female Singapore Citizen  and has not been overseas. She is currently admitted at NCID . PCF Fengshan</v>
      </c>
      <c r="G625" s="2">
        <v>43915</v>
      </c>
      <c r="H625" s="1"/>
      <c r="I625" s="1"/>
      <c r="J625" s="1"/>
      <c r="K625" s="1"/>
      <c r="L625" s="1" t="str">
        <f>Annex!C359</f>
        <v xml:space="preserve">NCID </v>
      </c>
      <c r="M625" s="5" t="s">
        <v>1264</v>
      </c>
    </row>
    <row r="626" spans="1:13" ht="13.8" customHeight="1" x14ac:dyDescent="0.3">
      <c r="A626" s="1">
        <f>Annex!A360</f>
        <v>625</v>
      </c>
      <c r="B626" s="1" t="str">
        <f>IF(LEFT(Annex!H360,5)="Local","Local Transmission",Annex!H360)</f>
        <v>Imported</v>
      </c>
      <c r="C626" s="1" t="str">
        <f>Annex!J360</f>
        <v>Male</v>
      </c>
      <c r="D626" s="1">
        <f>Annex!D360</f>
        <v>27</v>
      </c>
      <c r="E626" s="1" t="str">
        <f>Annex!K360</f>
        <v>Philippines</v>
      </c>
      <c r="F626" s="1" t="str">
        <f>Annex!L360</f>
        <v xml:space="preserve">Case 625 is a Imported case, 27 years old male Philippines (Singapore Work Pass holder)  and has been to Philippines . He is currently admitted at CGH . </v>
      </c>
      <c r="G626" s="2">
        <v>43915</v>
      </c>
      <c r="H626" s="1"/>
      <c r="I626" s="1"/>
      <c r="J626" s="1"/>
      <c r="K626" s="1"/>
      <c r="L626" s="1" t="str">
        <f>Annex!C360</f>
        <v xml:space="preserve">CGH </v>
      </c>
      <c r="M626" s="5" t="s">
        <v>1264</v>
      </c>
    </row>
    <row r="627" spans="1:13" ht="13.8" customHeight="1" x14ac:dyDescent="0.3">
      <c r="A627" s="1">
        <f>Annex!A361</f>
        <v>626</v>
      </c>
      <c r="B627" s="1" t="str">
        <f>IF(LEFT(Annex!H361,5)="Local","Local Transmission",Annex!H361)</f>
        <v>Local Transmission</v>
      </c>
      <c r="C627" s="1" t="str">
        <f>Annex!J361</f>
        <v>Female</v>
      </c>
      <c r="D627" s="1">
        <f>Annex!D361</f>
        <v>44</v>
      </c>
      <c r="E627" s="1" t="str">
        <f>Annex!K361</f>
        <v>UK</v>
      </c>
      <c r="F627" s="1" t="str">
        <f>Annex!L361</f>
        <v>Case 626 is a Local linked  case, 44 years old female UK (Singapore Work Pass holder)  and has not been overseas. She is currently admitted at NUH . Contact of Case 556 Dover Court International School</v>
      </c>
      <c r="G627" s="2">
        <v>43915</v>
      </c>
      <c r="H627" s="1"/>
      <c r="I627" s="1"/>
      <c r="J627" s="1"/>
      <c r="K627" s="1"/>
      <c r="L627" s="1" t="str">
        <f>Annex!C361</f>
        <v xml:space="preserve">NUH </v>
      </c>
      <c r="M627" s="5" t="s">
        <v>1264</v>
      </c>
    </row>
    <row r="628" spans="1:13" ht="13.8" customHeight="1" x14ac:dyDescent="0.3">
      <c r="A628" s="1">
        <f>Annex!A362</f>
        <v>627</v>
      </c>
      <c r="B628" s="1" t="str">
        <f>IF(LEFT(Annex!H362,5)="Local","Local Transmission",Annex!H362)</f>
        <v xml:space="preserve">Imported </v>
      </c>
      <c r="C628" s="1" t="str">
        <f>Annex!J362</f>
        <v>Female</v>
      </c>
      <c r="D628" s="1">
        <f>Annex!D362</f>
        <v>18</v>
      </c>
      <c r="E628" s="1" t="str">
        <f>Annex!K362</f>
        <v>Singaporean</v>
      </c>
      <c r="F628" s="1" t="str">
        <f>Annex!L362</f>
        <v xml:space="preserve">Case 627 is a Imported  case, 18 years old female Singapore Citizen  and has been to UK . She is currently admitted at SKH . </v>
      </c>
      <c r="G628" s="2">
        <v>43915</v>
      </c>
      <c r="H628" s="1"/>
      <c r="I628" s="1"/>
      <c r="J628" s="1"/>
      <c r="K628" s="1"/>
      <c r="L628" s="1" t="str">
        <f>Annex!C362</f>
        <v xml:space="preserve">SKH </v>
      </c>
      <c r="M628" s="5" t="s">
        <v>1264</v>
      </c>
    </row>
    <row r="629" spans="1:13" ht="13.8" customHeight="1" x14ac:dyDescent="0.3">
      <c r="A629" s="1">
        <f>Annex!A363</f>
        <v>628</v>
      </c>
      <c r="B629" s="1" t="str">
        <f>IF(LEFT(Annex!H363,5)="Local","Local Transmission",Annex!H363)</f>
        <v>Imported</v>
      </c>
      <c r="C629" s="1" t="str">
        <f>Annex!J363</f>
        <v>Male</v>
      </c>
      <c r="D629" s="1">
        <f>Annex!D363</f>
        <v>23</v>
      </c>
      <c r="E629" s="1" t="str">
        <f>Annex!K363</f>
        <v>Singaporean</v>
      </c>
      <c r="F629" s="1" t="str">
        <f>Annex!L363</f>
        <v xml:space="preserve">Case 628 is a Imported case, 23 years old male Singapore Citizen  and has been to UK . He is currently admitted at NCID . </v>
      </c>
      <c r="G629" s="2">
        <v>43915</v>
      </c>
      <c r="H629" s="1"/>
      <c r="I629" s="1"/>
      <c r="J629" s="1"/>
      <c r="K629" s="1"/>
      <c r="L629" s="1" t="str">
        <f>Annex!C363</f>
        <v xml:space="preserve">NCID </v>
      </c>
      <c r="M629" s="5" t="s">
        <v>1264</v>
      </c>
    </row>
    <row r="630" spans="1:13" ht="13.8" customHeight="1" x14ac:dyDescent="0.3">
      <c r="A630" s="1">
        <f>Annex!A364</f>
        <v>629</v>
      </c>
      <c r="B630" s="1" t="str">
        <f>IF(LEFT(Annex!H364,5)="Local","Local Transmission",Annex!H364)</f>
        <v xml:space="preserve">Imported </v>
      </c>
      <c r="C630" s="1" t="str">
        <f>Annex!J364</f>
        <v>Male</v>
      </c>
      <c r="D630" s="1">
        <f>Annex!D364</f>
        <v>46</v>
      </c>
      <c r="E630" s="1" t="str">
        <f>Annex!K364</f>
        <v>Singaporean</v>
      </c>
      <c r="F630" s="1" t="str">
        <f>Annex!L364</f>
        <v>Case 629 is a Imported  case, 46 years old male Singapore Citizen  and has been to Pakistan . He is currently admitted at SGH . Contact of Case 557</v>
      </c>
      <c r="G630" s="2">
        <v>43915</v>
      </c>
      <c r="H630" s="49">
        <v>43920</v>
      </c>
      <c r="I630" s="1"/>
      <c r="J630" s="1"/>
      <c r="K630" s="1"/>
      <c r="L630" s="1" t="str">
        <f>Annex!C364</f>
        <v xml:space="preserve">SGH </v>
      </c>
      <c r="M630" s="5" t="s">
        <v>1264</v>
      </c>
    </row>
    <row r="631" spans="1:13" ht="13.8" customHeight="1" x14ac:dyDescent="0.3">
      <c r="A631" s="1">
        <f>Annex!A365</f>
        <v>630</v>
      </c>
      <c r="B631" s="1" t="str">
        <f>IF(LEFT(Annex!H365,5)="Local","Local Transmission",Annex!H365)</f>
        <v>Local Transmission</v>
      </c>
      <c r="C631" s="1" t="str">
        <f>Annex!J365</f>
        <v>Female</v>
      </c>
      <c r="D631" s="1">
        <f>Annex!D365</f>
        <v>43</v>
      </c>
      <c r="E631" s="1" t="str">
        <f>Annex!K365</f>
        <v>Singaporean</v>
      </c>
      <c r="F631" s="1" t="str">
        <f>Annex!L365</f>
        <v>Case 630 is a Local linked  case, 43 years old female Singapore Citizen  and has not been overseas. She is currently admitted at SGH . Contact of Case 532</v>
      </c>
      <c r="G631" s="2">
        <v>43915</v>
      </c>
      <c r="H631" s="1"/>
      <c r="I631" s="1"/>
      <c r="J631" s="1"/>
      <c r="K631" s="1"/>
      <c r="L631" s="1" t="str">
        <f>Annex!C365</f>
        <v xml:space="preserve">SGH </v>
      </c>
      <c r="M631" s="5" t="s">
        <v>1264</v>
      </c>
    </row>
    <row r="632" spans="1:13" ht="13.8" customHeight="1" x14ac:dyDescent="0.3">
      <c r="A632" s="1">
        <f>Annex!A366</f>
        <v>631</v>
      </c>
      <c r="B632" s="1" t="str">
        <f>IF(LEFT(Annex!H366,5)="Local","Local Transmission",Annex!H366)</f>
        <v>Local Transmission</v>
      </c>
      <c r="C632" s="1" t="str">
        <f>Annex!J366</f>
        <v>Female</v>
      </c>
      <c r="D632" s="1">
        <f>Annex!D366</f>
        <v>3</v>
      </c>
      <c r="E632" s="1" t="str">
        <f>Annex!K366</f>
        <v>India</v>
      </c>
      <c r="F632" s="1" t="str">
        <f>Annex!L366</f>
        <v>Case 631 is a Local linked  case, 3 years old female India (Long Term Pass holder)  and has not been overseas. She is currently admitted at KKH . Contact of Case 453</v>
      </c>
      <c r="G632" s="2">
        <v>43915</v>
      </c>
      <c r="H632" s="1"/>
      <c r="I632" s="1"/>
      <c r="J632" s="1"/>
      <c r="K632" s="1"/>
      <c r="L632" s="1" t="str">
        <f>Annex!C366</f>
        <v xml:space="preserve">KKH </v>
      </c>
      <c r="M632" s="5" t="s">
        <v>1264</v>
      </c>
    </row>
    <row r="633" spans="1:13" ht="13.8" customHeight="1" x14ac:dyDescent="0.3">
      <c r="A633" s="1">
        <f>Annex!A367</f>
        <v>632</v>
      </c>
      <c r="B633" s="1" t="str">
        <f>IF(LEFT(Annex!H367,5)="Local","Local Transmission",Annex!H367)</f>
        <v>Local Transmission</v>
      </c>
      <c r="C633" s="1" t="str">
        <f>Annex!J367</f>
        <v>Male</v>
      </c>
      <c r="D633" s="1">
        <f>Annex!D367</f>
        <v>32</v>
      </c>
      <c r="E633" s="1" t="str">
        <f>Annex!K367</f>
        <v>Singaporean</v>
      </c>
      <c r="F633" s="1" t="str">
        <f>Annex!L367</f>
        <v>Case 632 is a Local linked  case, 32 years old male Singapore Citizen  and has not been overseas. He is currently admitted at KTPH . Contact of Case 644</v>
      </c>
      <c r="G633" s="2">
        <v>43916</v>
      </c>
      <c r="H633" s="1"/>
      <c r="I633" s="1"/>
      <c r="J633" s="1"/>
      <c r="K633" s="1"/>
      <c r="L633" s="1" t="str">
        <f>Annex!C367</f>
        <v xml:space="preserve">KTPH </v>
      </c>
      <c r="M633" s="5" t="s">
        <v>1284</v>
      </c>
    </row>
    <row r="634" spans="1:13" ht="13.8" customHeight="1" x14ac:dyDescent="0.3">
      <c r="A634" s="1">
        <f>Annex!A368</f>
        <v>633</v>
      </c>
      <c r="B634" s="1" t="str">
        <f>IF(LEFT(Annex!H368,5)="Local","Local Transmission",Annex!H368)</f>
        <v>Imported</v>
      </c>
      <c r="C634" s="1" t="str">
        <f>Annex!J368</f>
        <v>Male</v>
      </c>
      <c r="D634" s="1">
        <f>Annex!D368</f>
        <v>35</v>
      </c>
      <c r="E634" s="1" t="str">
        <f>Annex!K368</f>
        <v>Singaporean</v>
      </c>
      <c r="F634" s="1" t="str">
        <f>Annex!L368</f>
        <v xml:space="preserve">Case 633 is a Imported case, 35 years old male Singapore Citizen  and has been to UK . He is currently admitted at NCID . </v>
      </c>
      <c r="G634" s="2">
        <v>43916</v>
      </c>
      <c r="H634" s="1"/>
      <c r="I634" s="1"/>
      <c r="J634" s="1"/>
      <c r="K634" s="1"/>
      <c r="L634" s="1" t="str">
        <f>Annex!C368</f>
        <v xml:space="preserve">NCID </v>
      </c>
      <c r="M634" s="5" t="s">
        <v>1284</v>
      </c>
    </row>
    <row r="635" spans="1:13" ht="13.8" customHeight="1" x14ac:dyDescent="0.3">
      <c r="A635" s="1">
        <f>Annex!A369</f>
        <v>634</v>
      </c>
      <c r="B635" s="1" t="str">
        <f>IF(LEFT(Annex!H369,5)="Local","Local Transmission",Annex!H369)</f>
        <v xml:space="preserve">Imported </v>
      </c>
      <c r="C635" s="1" t="str">
        <f>Annex!J369</f>
        <v>Female</v>
      </c>
      <c r="D635" s="1">
        <f>Annex!D369</f>
        <v>42</v>
      </c>
      <c r="E635" s="1" t="str">
        <f>Annex!K369</f>
        <v>Singaporean</v>
      </c>
      <c r="F635" s="1" t="str">
        <f>Annex!L369</f>
        <v>Case 634 is a Imported  case, 42 years old female Singapore Citizen  and has been to Taiwan, Philippines . She is currently admitted at NCID . Contact of Case 222</v>
      </c>
      <c r="G635" s="2">
        <v>43916</v>
      </c>
      <c r="H635" s="1"/>
      <c r="I635" s="1"/>
      <c r="J635" s="1"/>
      <c r="K635" s="1"/>
      <c r="L635" s="1" t="str">
        <f>Annex!C369</f>
        <v xml:space="preserve">NCID </v>
      </c>
      <c r="M635" s="5" t="s">
        <v>1284</v>
      </c>
    </row>
    <row r="636" spans="1:13" ht="13.8" customHeight="1" x14ac:dyDescent="0.3">
      <c r="A636" s="1">
        <f>Annex!A370</f>
        <v>635</v>
      </c>
      <c r="B636" s="1" t="str">
        <f>IF(LEFT(Annex!H370,5)="Local","Local Transmission",Annex!H370)</f>
        <v>Imported</v>
      </c>
      <c r="C636" s="1" t="str">
        <f>Annex!J370</f>
        <v>Female</v>
      </c>
      <c r="D636" s="1">
        <f>Annex!D370</f>
        <v>21</v>
      </c>
      <c r="E636" s="1" t="str">
        <f>Annex!K370</f>
        <v>Singaporean</v>
      </c>
      <c r="F636" s="1" t="str">
        <f>Annex!L370</f>
        <v xml:space="preserve">Case 635 is a Imported case, 21 years old female Singapore Citizen  and has been to US . She is currently admitted at NCID . </v>
      </c>
      <c r="G636" s="2">
        <v>43916</v>
      </c>
      <c r="H636" s="1"/>
      <c r="I636" s="1"/>
      <c r="J636" s="1"/>
      <c r="K636" s="1"/>
      <c r="L636" s="1" t="str">
        <f>Annex!C370</f>
        <v xml:space="preserve">NCID </v>
      </c>
      <c r="M636" s="5" t="s">
        <v>1284</v>
      </c>
    </row>
    <row r="637" spans="1:13" ht="13.8" customHeight="1" x14ac:dyDescent="0.3">
      <c r="A637" s="1">
        <f>Annex!A371</f>
        <v>636</v>
      </c>
      <c r="B637" s="1" t="str">
        <f>IF(LEFT(Annex!H371,5)="Local","Local Transmission",Annex!H371)</f>
        <v>Imported</v>
      </c>
      <c r="C637" s="1" t="str">
        <f>Annex!J371</f>
        <v>Female</v>
      </c>
      <c r="D637" s="1">
        <f>Annex!D371</f>
        <v>22</v>
      </c>
      <c r="E637" s="1" t="str">
        <f>Annex!K371</f>
        <v>Singaporean</v>
      </c>
      <c r="F637" s="1" t="str">
        <f>Annex!L371</f>
        <v xml:space="preserve">Case 636 is a Imported case, 22 years old female Singapore Citizen  and has been to UK . She is currently admitted at NCID . </v>
      </c>
      <c r="G637" s="2">
        <v>43916</v>
      </c>
      <c r="H637" s="1"/>
      <c r="I637" s="1"/>
      <c r="J637" s="1"/>
      <c r="K637" s="1"/>
      <c r="L637" s="1" t="str">
        <f>Annex!C371</f>
        <v xml:space="preserve">NCID </v>
      </c>
      <c r="M637" s="5" t="s">
        <v>1284</v>
      </c>
    </row>
    <row r="638" spans="1:13" ht="13.8" customHeight="1" x14ac:dyDescent="0.3">
      <c r="A638" s="1">
        <f>Annex!A372</f>
        <v>637</v>
      </c>
      <c r="B638" s="1" t="str">
        <f>IF(LEFT(Annex!H372,5)="Local","Local Transmission",Annex!H372)</f>
        <v>Local Transmission</v>
      </c>
      <c r="C638" s="1" t="str">
        <f>Annex!J372</f>
        <v>Male</v>
      </c>
      <c r="D638" s="1">
        <f>Annex!D372</f>
        <v>24</v>
      </c>
      <c r="E638" s="1" t="str">
        <f>Annex!K372</f>
        <v>China</v>
      </c>
      <c r="F638" s="1" t="str">
        <f>Annex!L372</f>
        <v xml:space="preserve">Case 637 is a Local unlinked case, 24 years old male China (Long Term Pass holder)  and has not been overseas. He is currently admitted at NCID . </v>
      </c>
      <c r="G638" s="2">
        <v>43916</v>
      </c>
      <c r="H638" s="1"/>
      <c r="I638" s="1"/>
      <c r="J638" s="1"/>
      <c r="K638" s="1"/>
      <c r="L638" s="1" t="str">
        <f>Annex!C372</f>
        <v xml:space="preserve">NCID </v>
      </c>
      <c r="M638" s="5" t="s">
        <v>1284</v>
      </c>
    </row>
    <row r="639" spans="1:13" ht="13.8" customHeight="1" x14ac:dyDescent="0.3">
      <c r="A639" s="1">
        <f>Annex!A373</f>
        <v>638</v>
      </c>
      <c r="B639" s="1" t="str">
        <f>IF(LEFT(Annex!H373,5)="Local","Local Transmission",Annex!H373)</f>
        <v>Local Transmission</v>
      </c>
      <c r="C639" s="1" t="str">
        <f>Annex!J373</f>
        <v>Male</v>
      </c>
      <c r="D639" s="1">
        <f>Annex!D373</f>
        <v>49</v>
      </c>
      <c r="E639" s="1" t="str">
        <f>Annex!K373</f>
        <v>Singaporean</v>
      </c>
      <c r="F639" s="1" t="str">
        <f>Annex!L373</f>
        <v>Case 638 is a Local linked  case, 49 years old male Singapore Citizen  and has not been overseas. He is currently admitted at CGH . PCF Fengshan</v>
      </c>
      <c r="G639" s="2">
        <v>43916</v>
      </c>
      <c r="H639" s="1"/>
      <c r="I639" s="1"/>
      <c r="J639" s="1"/>
      <c r="K639" s="1"/>
      <c r="L639" s="1" t="str">
        <f>Annex!C373</f>
        <v xml:space="preserve">CGH </v>
      </c>
      <c r="M639" s="5" t="s">
        <v>1284</v>
      </c>
    </row>
    <row r="640" spans="1:13" ht="13.8" customHeight="1" x14ac:dyDescent="0.3">
      <c r="A640" s="1">
        <f>Annex!A374</f>
        <v>639</v>
      </c>
      <c r="B640" s="1" t="str">
        <f>IF(LEFT(Annex!H374,5)="Local","Local Transmission",Annex!H374)</f>
        <v xml:space="preserve">Imported </v>
      </c>
      <c r="C640" s="1" t="str">
        <f>Annex!J374</f>
        <v>Male</v>
      </c>
      <c r="D640" s="1">
        <f>Annex!D374</f>
        <v>40</v>
      </c>
      <c r="E640" s="1" t="str">
        <f>Annex!K374</f>
        <v>Singaporean</v>
      </c>
      <c r="F640" s="1" t="str">
        <f>Annex!L374</f>
        <v>Case 639 is a Imported  case, 40 years old male Singapore Citizen  and has been to UK . He is currently admitted at NTFGH . Contact of Case 233</v>
      </c>
      <c r="G640" s="2">
        <v>43916</v>
      </c>
      <c r="H640" s="1"/>
      <c r="I640" s="1"/>
      <c r="J640" s="1"/>
      <c r="K640" s="1"/>
      <c r="L640" s="1" t="str">
        <f>Annex!C374</f>
        <v xml:space="preserve">NTFGH </v>
      </c>
      <c r="M640" s="5" t="s">
        <v>1284</v>
      </c>
    </row>
    <row r="641" spans="1:13" ht="13.8" customHeight="1" x14ac:dyDescent="0.3">
      <c r="A641" s="1">
        <f>Annex!A375</f>
        <v>640</v>
      </c>
      <c r="B641" s="1" t="str">
        <f>IF(LEFT(Annex!H375,5)="Local","Local Transmission",Annex!H375)</f>
        <v xml:space="preserve">Imported </v>
      </c>
      <c r="C641" s="1" t="str">
        <f>Annex!J375</f>
        <v>Male</v>
      </c>
      <c r="D641" s="1">
        <f>Annex!D375</f>
        <v>18</v>
      </c>
      <c r="E641" s="1" t="str">
        <f>Annex!K375</f>
        <v>Singaporean</v>
      </c>
      <c r="F641" s="1" t="str">
        <f>Annex!L375</f>
        <v>Case 640 is a Imported  case, 18 years old male Singapore Citizen  and has been to UAE, UK, Germany . He is currently admitted at NTFGH . Family member of Case 641</v>
      </c>
      <c r="G641" s="2">
        <v>43916</v>
      </c>
      <c r="H641" s="1"/>
      <c r="I641" s="1"/>
      <c r="J641" s="1"/>
      <c r="K641" s="1"/>
      <c r="L641" s="1" t="str">
        <f>Annex!C375</f>
        <v xml:space="preserve">NTFGH </v>
      </c>
      <c r="M641" s="5" t="s">
        <v>1284</v>
      </c>
    </row>
    <row r="642" spans="1:13" ht="13.8" customHeight="1" x14ac:dyDescent="0.3">
      <c r="A642" s="1">
        <f>Annex!A376</f>
        <v>641</v>
      </c>
      <c r="B642" s="1" t="str">
        <f>IF(LEFT(Annex!H376,5)="Local","Local Transmission",Annex!H376)</f>
        <v xml:space="preserve">Imported </v>
      </c>
      <c r="C642" s="1" t="str">
        <f>Annex!J376</f>
        <v>Male</v>
      </c>
      <c r="D642" s="1">
        <f>Annex!D376</f>
        <v>55</v>
      </c>
      <c r="E642" s="1" t="str">
        <f>Annex!K376</f>
        <v>Singaporean</v>
      </c>
      <c r="F642" s="1" t="str">
        <f>Annex!L376</f>
        <v>Case 641 is a Imported  case, 55 years old male Singapore Citizen  and has been to UAE, UK, Germany . He is currently admitted at NTFGH . Family member of Case 640</v>
      </c>
      <c r="G642" s="2">
        <v>43916</v>
      </c>
      <c r="H642" s="1"/>
      <c r="I642" s="1"/>
      <c r="J642" s="1"/>
      <c r="K642" s="1"/>
      <c r="L642" s="1" t="str">
        <f>Annex!C376</f>
        <v xml:space="preserve">NTFGH </v>
      </c>
      <c r="M642" s="5" t="s">
        <v>1284</v>
      </c>
    </row>
    <row r="643" spans="1:13" ht="13.8" customHeight="1" x14ac:dyDescent="0.3">
      <c r="A643" s="1">
        <f>Annex!A377</f>
        <v>642</v>
      </c>
      <c r="B643" s="1" t="str">
        <f>IF(LEFT(Annex!H377,5)="Local","Local Transmission",Annex!H377)</f>
        <v>Imported</v>
      </c>
      <c r="C643" s="1" t="str">
        <f>Annex!J377</f>
        <v>Male</v>
      </c>
      <c r="D643" s="1">
        <f>Annex!D377</f>
        <v>19</v>
      </c>
      <c r="E643" s="1" t="str">
        <f>Annex!K377</f>
        <v>Singaporean</v>
      </c>
      <c r="F643" s="1" t="str">
        <f>Annex!L377</f>
        <v xml:space="preserve">Case 642 is a Imported case, 19 years old male Singapore Citizen  and has been to UK . He is currently admitted at NTFGH . </v>
      </c>
      <c r="G643" s="2">
        <v>43916</v>
      </c>
      <c r="H643" s="1"/>
      <c r="I643" s="1"/>
      <c r="J643" s="1"/>
      <c r="K643" s="1"/>
      <c r="L643" s="1" t="str">
        <f>Annex!C377</f>
        <v xml:space="preserve">NTFGH </v>
      </c>
      <c r="M643" s="5" t="s">
        <v>1284</v>
      </c>
    </row>
    <row r="644" spans="1:13" ht="13.8" customHeight="1" x14ac:dyDescent="0.3">
      <c r="A644" s="1">
        <f>Annex!A378</f>
        <v>643</v>
      </c>
      <c r="B644" s="1" t="str">
        <f>IF(LEFT(Annex!H378,5)="Local","Local Transmission",Annex!H378)</f>
        <v>Local Transmission</v>
      </c>
      <c r="C644" s="1" t="str">
        <f>Annex!J378</f>
        <v>Female</v>
      </c>
      <c r="D644" s="1">
        <f>Annex!D378</f>
        <v>51</v>
      </c>
      <c r="E644" s="1" t="str">
        <f>Annex!K378</f>
        <v>Singaporean</v>
      </c>
      <c r="F644" s="1" t="str">
        <f>Annex!L378</f>
        <v xml:space="preserve">Case 643 is a Local unlinked case, 51 years old female Singapore Permanent Resident  and has not been overseas. She is currently admitted at NTFGH . </v>
      </c>
      <c r="G644" s="2">
        <v>43916</v>
      </c>
      <c r="H644" s="1"/>
      <c r="I644" s="1"/>
      <c r="J644" s="1"/>
      <c r="K644" s="1"/>
      <c r="L644" s="1" t="str">
        <f>Annex!C378</f>
        <v xml:space="preserve">NTFGH </v>
      </c>
      <c r="M644" s="5" t="s">
        <v>1284</v>
      </c>
    </row>
    <row r="645" spans="1:13" ht="13.8" customHeight="1" x14ac:dyDescent="0.3">
      <c r="A645" s="1">
        <f>Annex!A379</f>
        <v>644</v>
      </c>
      <c r="B645" s="1" t="str">
        <f>IF(LEFT(Annex!H379,5)="Local","Local Transmission",Annex!H379)</f>
        <v>Local Transmission</v>
      </c>
      <c r="C645" s="1" t="str">
        <f>Annex!J379</f>
        <v>Male</v>
      </c>
      <c r="D645" s="1">
        <f>Annex!D379</f>
        <v>52</v>
      </c>
      <c r="E645" s="1" t="str">
        <f>Annex!K379</f>
        <v>Singaporean</v>
      </c>
      <c r="F645" s="1" t="str">
        <f>Annex!L379</f>
        <v>Case 644 is a Local linked  case, 52 years old male Singapore Citizen  and has not been overseas. He is currently admitted at CGH . Contact of Case 632</v>
      </c>
      <c r="G645" s="2">
        <v>43916</v>
      </c>
      <c r="H645" s="1"/>
      <c r="I645" s="1"/>
      <c r="J645" s="1"/>
      <c r="K645" s="1"/>
      <c r="L645" s="1" t="str">
        <f>Annex!C379</f>
        <v xml:space="preserve">CGH </v>
      </c>
      <c r="M645" s="5" t="s">
        <v>1284</v>
      </c>
    </row>
    <row r="646" spans="1:13" ht="13.8" customHeight="1" x14ac:dyDescent="0.3">
      <c r="A646" s="1">
        <f>Annex!A380</f>
        <v>645</v>
      </c>
      <c r="B646" s="1" t="str">
        <f>IF(LEFT(Annex!H380,5)="Local","Local Transmission",Annex!H380)</f>
        <v>Local Transmission</v>
      </c>
      <c r="C646" s="1" t="str">
        <f>Annex!J380</f>
        <v>Male</v>
      </c>
      <c r="D646" s="1">
        <f>Annex!D380</f>
        <v>27</v>
      </c>
      <c r="E646" s="1" t="str">
        <f>Annex!K380</f>
        <v>Singaporean</v>
      </c>
      <c r="F646" s="1" t="str">
        <f>Annex!L380</f>
        <v xml:space="preserve">Case 645 is a Local linked  case, 27 years old male Singapore Citizen  and has been to Thailand, Malaysia . He is currently admitted at SGH . </v>
      </c>
      <c r="G646" s="2">
        <v>43916</v>
      </c>
      <c r="H646" s="1"/>
      <c r="I646" s="1"/>
      <c r="J646" s="1"/>
      <c r="K646" s="1"/>
      <c r="L646" s="1" t="str">
        <f>Annex!C380</f>
        <v xml:space="preserve">SGH </v>
      </c>
      <c r="M646" s="5" t="s">
        <v>1284</v>
      </c>
    </row>
    <row r="647" spans="1:13" ht="13.8" customHeight="1" x14ac:dyDescent="0.3">
      <c r="A647" s="1">
        <f>Annex!A381</f>
        <v>646</v>
      </c>
      <c r="B647" s="1" t="str">
        <f>IF(LEFT(Annex!H381,5)="Local","Local Transmission",Annex!H381)</f>
        <v>Imported</v>
      </c>
      <c r="C647" s="1" t="str">
        <f>Annex!J381</f>
        <v>Female</v>
      </c>
      <c r="D647" s="1">
        <f>Annex!D381</f>
        <v>56</v>
      </c>
      <c r="E647" s="1" t="str">
        <f>Annex!K381</f>
        <v>Singaporean</v>
      </c>
      <c r="F647" s="1" t="str">
        <f>Annex!L381</f>
        <v xml:space="preserve">Case 646 is a Imported case, 56 years old female Singapore Permanent Resident  and has been to Indonesia . She is currently admitted at SGH . </v>
      </c>
      <c r="G647" s="2">
        <v>43916</v>
      </c>
      <c r="H647" s="1"/>
      <c r="I647" s="1"/>
      <c r="J647" s="1"/>
      <c r="K647" s="1"/>
      <c r="L647" s="1" t="str">
        <f>Annex!C381</f>
        <v xml:space="preserve">SGH </v>
      </c>
      <c r="M647" s="5" t="s">
        <v>1284</v>
      </c>
    </row>
    <row r="648" spans="1:13" ht="13.8" customHeight="1" x14ac:dyDescent="0.3">
      <c r="A648" s="1">
        <f>Annex!A382</f>
        <v>647</v>
      </c>
      <c r="B648" s="1" t="str">
        <f>IF(LEFT(Annex!H382,5)="Local","Local Transmission",Annex!H382)</f>
        <v xml:space="preserve">Imported </v>
      </c>
      <c r="C648" s="1" t="str">
        <f>Annex!J382</f>
        <v>Female</v>
      </c>
      <c r="D648" s="1">
        <f>Annex!D382</f>
        <v>46</v>
      </c>
      <c r="E648" s="1" t="str">
        <f>Annex!K382</f>
        <v>Singaporean</v>
      </c>
      <c r="F648" s="1" t="str">
        <f>Annex!L382</f>
        <v>Case 647 is a Imported  case, 46 years old female Singapore Citizen  and has been to US . She is currently admitted at KKH . Contact of Cases 418 and 582</v>
      </c>
      <c r="G648" s="2">
        <v>43916</v>
      </c>
      <c r="H648" s="1"/>
      <c r="I648" s="1"/>
      <c r="J648" s="1"/>
      <c r="K648" s="1"/>
      <c r="L648" s="1" t="str">
        <f>Annex!C382</f>
        <v xml:space="preserve">KKH </v>
      </c>
      <c r="M648" s="5" t="s">
        <v>1284</v>
      </c>
    </row>
    <row r="649" spans="1:13" ht="13.8" customHeight="1" x14ac:dyDescent="0.3">
      <c r="A649" s="1">
        <f>Annex!A383</f>
        <v>648</v>
      </c>
      <c r="B649" s="1" t="str">
        <f>IF(LEFT(Annex!H383,5)="Local","Local Transmission",Annex!H383)</f>
        <v>Imported</v>
      </c>
      <c r="C649" s="1" t="str">
        <f>Annex!J383</f>
        <v>Male</v>
      </c>
      <c r="D649" s="1">
        <f>Annex!D383</f>
        <v>26</v>
      </c>
      <c r="E649" s="1" t="str">
        <f>Annex!K383</f>
        <v>France</v>
      </c>
      <c r="F649" s="1" t="str">
        <f>Annex!L383</f>
        <v xml:space="preserve">Case 648 is a Imported case, 26 years old male France (Singapore Work Pass holder)  and has been to Sri Lanka . He is currently admitted at NCID . </v>
      </c>
      <c r="G649" s="2">
        <v>43916</v>
      </c>
      <c r="H649" s="1"/>
      <c r="I649" s="1"/>
      <c r="J649" s="1"/>
      <c r="K649" s="1"/>
      <c r="L649" s="1" t="str">
        <f>Annex!C383</f>
        <v xml:space="preserve">NCID </v>
      </c>
      <c r="M649" s="5" t="s">
        <v>1284</v>
      </c>
    </row>
    <row r="650" spans="1:13" ht="13.8" customHeight="1" x14ac:dyDescent="0.3">
      <c r="A650" s="1">
        <f>Annex!A384</f>
        <v>649</v>
      </c>
      <c r="B650" s="1" t="str">
        <f>IF(LEFT(Annex!H384,5)="Local","Local Transmission",Annex!H384)</f>
        <v>Imported</v>
      </c>
      <c r="C650" s="1" t="str">
        <f>Annex!J384</f>
        <v>Male</v>
      </c>
      <c r="D650" s="1">
        <f>Annex!D384</f>
        <v>36</v>
      </c>
      <c r="E650" s="1" t="str">
        <f>Annex!K384</f>
        <v>Singaporean</v>
      </c>
      <c r="F650" s="1" t="str">
        <f>Annex!L384</f>
        <v xml:space="preserve">Case 649 is a Imported case, 36 years old male Singapore Citizen  and has been to Australia . He is currently admitted at NCID . </v>
      </c>
      <c r="G650" s="2">
        <v>43916</v>
      </c>
      <c r="H650" s="1"/>
      <c r="I650" s="1"/>
      <c r="J650" s="1"/>
      <c r="K650" s="1"/>
      <c r="L650" s="1" t="str">
        <f>Annex!C384</f>
        <v xml:space="preserve">NCID </v>
      </c>
      <c r="M650" s="5" t="s">
        <v>1284</v>
      </c>
    </row>
    <row r="651" spans="1:13" ht="13.8" customHeight="1" x14ac:dyDescent="0.3">
      <c r="A651" s="1">
        <f>Annex!A385</f>
        <v>650</v>
      </c>
      <c r="B651" s="1" t="str">
        <f>IF(LEFT(Annex!H385,5)="Local","Local Transmission",Annex!H385)</f>
        <v>Imported</v>
      </c>
      <c r="C651" s="1" t="str">
        <f>Annex!J385</f>
        <v>Male</v>
      </c>
      <c r="D651" s="1">
        <f>Annex!D385</f>
        <v>19</v>
      </c>
      <c r="E651" s="1" t="str">
        <f>Annex!K385</f>
        <v>Singaporean</v>
      </c>
      <c r="F651" s="1" t="str">
        <f>Annex!L385</f>
        <v xml:space="preserve">Case 650 is a Imported case, 19 years old male Singapore Permanent Resident  and has been to UK . He is currently admitted at NCID . </v>
      </c>
      <c r="G651" s="2">
        <v>43916</v>
      </c>
      <c r="H651" s="1"/>
      <c r="I651" s="1"/>
      <c r="J651" s="1"/>
      <c r="K651" s="1"/>
      <c r="L651" s="1" t="str">
        <f>Annex!C385</f>
        <v xml:space="preserve">NCID </v>
      </c>
      <c r="M651" s="5" t="s">
        <v>1284</v>
      </c>
    </row>
    <row r="652" spans="1:13" ht="13.8" customHeight="1" x14ac:dyDescent="0.3">
      <c r="A652" s="1">
        <f>Annex!A386</f>
        <v>651</v>
      </c>
      <c r="B652" s="1" t="str">
        <f>IF(LEFT(Annex!H386,5)="Local","Local Transmission",Annex!H386)</f>
        <v>Imported</v>
      </c>
      <c r="C652" s="1" t="str">
        <f>Annex!J386</f>
        <v>Male</v>
      </c>
      <c r="D652" s="1">
        <f>Annex!D386</f>
        <v>31</v>
      </c>
      <c r="E652" s="1" t="str">
        <f>Annex!K386</f>
        <v>Malaysia</v>
      </c>
      <c r="F652" s="1" t="str">
        <f>Annex!L386</f>
        <v xml:space="preserve">Case 651 is a Imported case, 31 years old male Malaysia (Singapore Work Pass holder)  and has been to Thailand . He is currently admitted at NCID . </v>
      </c>
      <c r="G652" s="2">
        <v>43916</v>
      </c>
      <c r="H652" s="1"/>
      <c r="I652" s="1"/>
      <c r="J652" s="1"/>
      <c r="K652" s="1"/>
      <c r="L652" s="1" t="str">
        <f>Annex!C386</f>
        <v xml:space="preserve">NCID </v>
      </c>
      <c r="M652" s="5" t="s">
        <v>1284</v>
      </c>
    </row>
    <row r="653" spans="1:13" ht="13.8" customHeight="1" x14ac:dyDescent="0.3">
      <c r="A653" s="1">
        <f>Annex!A387</f>
        <v>652</v>
      </c>
      <c r="B653" s="1" t="str">
        <f>IF(LEFT(Annex!H387,5)="Local","Local Transmission",Annex!H387)</f>
        <v>Local Transmission</v>
      </c>
      <c r="C653" s="1" t="str">
        <f>Annex!J387</f>
        <v>Male</v>
      </c>
      <c r="D653" s="1">
        <f>Annex!D387</f>
        <v>37</v>
      </c>
      <c r="E653" s="1" t="str">
        <f>Annex!K387</f>
        <v>Australia</v>
      </c>
      <c r="F653" s="1" t="str">
        <f>Annex!L387</f>
        <v xml:space="preserve">Case 652 is a Local unlinked case, 37 years old male Australia (Singapore Work Pass holder)  and has not been overseas. He is currently admitted at NCID . </v>
      </c>
      <c r="G653" s="2">
        <v>43916</v>
      </c>
      <c r="H653" s="1"/>
      <c r="I653" s="1"/>
      <c r="J653" s="1"/>
      <c r="K653" s="1"/>
      <c r="L653" s="1" t="str">
        <f>Annex!C387</f>
        <v xml:space="preserve">NCID </v>
      </c>
      <c r="M653" s="5" t="s">
        <v>1284</v>
      </c>
    </row>
    <row r="654" spans="1:13" ht="13.8" customHeight="1" x14ac:dyDescent="0.3">
      <c r="A654" s="1">
        <f>Annex!A388</f>
        <v>653</v>
      </c>
      <c r="B654" s="1" t="str">
        <f>IF(LEFT(Annex!H388,5)="Local","Local Transmission",Annex!H388)</f>
        <v>Imported</v>
      </c>
      <c r="C654" s="1" t="str">
        <f>Annex!J388</f>
        <v>Female</v>
      </c>
      <c r="D654" s="1">
        <f>Annex!D388</f>
        <v>25</v>
      </c>
      <c r="E654" s="1" t="str">
        <f>Annex!K388</f>
        <v>Singaporean</v>
      </c>
      <c r="F654" s="1" t="str">
        <f>Annex!L388</f>
        <v xml:space="preserve">Case 653 is a Imported case, 25 years old female Singapore Citizen  and has been to US . She is currently admitted at SGH . </v>
      </c>
      <c r="G654" s="2">
        <v>43916</v>
      </c>
      <c r="H654" s="1"/>
      <c r="I654" s="1"/>
      <c r="J654" s="1"/>
      <c r="K654" s="1"/>
      <c r="L654" s="1" t="str">
        <f>Annex!C388</f>
        <v xml:space="preserve">SGH </v>
      </c>
      <c r="M654" s="5" t="s">
        <v>1284</v>
      </c>
    </row>
    <row r="655" spans="1:13" ht="13.8" customHeight="1" x14ac:dyDescent="0.3">
      <c r="A655" s="1">
        <f>Annex!A389</f>
        <v>654</v>
      </c>
      <c r="B655" s="1" t="str">
        <f>IF(LEFT(Annex!H389,5)="Local","Local Transmission",Annex!H389)</f>
        <v xml:space="preserve">Imported </v>
      </c>
      <c r="C655" s="1" t="str">
        <f>Annex!J389</f>
        <v>Female</v>
      </c>
      <c r="D655" s="1">
        <f>Annex!D389</f>
        <v>66</v>
      </c>
      <c r="E655" s="1" t="str">
        <f>Annex!K389</f>
        <v>Singaporean</v>
      </c>
      <c r="F655" s="1" t="str">
        <f>Annex!L389</f>
        <v>Case 654 is a Imported  case, 66 years old female Singapore Citizen  and has been to Italy, Switzerland . She is currently admitted at AH . Family member of Cases 459 and 517</v>
      </c>
      <c r="G655" s="2">
        <v>43916</v>
      </c>
      <c r="H655" s="1"/>
      <c r="I655" s="1"/>
      <c r="J655" s="1"/>
      <c r="K655" s="1"/>
      <c r="L655" s="1" t="str">
        <f>Annex!C389</f>
        <v xml:space="preserve">AH </v>
      </c>
      <c r="M655" s="5" t="s">
        <v>1284</v>
      </c>
    </row>
    <row r="656" spans="1:13" ht="13.8" customHeight="1" x14ac:dyDescent="0.3">
      <c r="A656" s="1">
        <f>Annex!A390</f>
        <v>655</v>
      </c>
      <c r="B656" s="1" t="str">
        <f>IF(LEFT(Annex!H390,5)="Local","Local Transmission",Annex!H390)</f>
        <v>Local Transmission</v>
      </c>
      <c r="C656" s="1" t="str">
        <f>Annex!J390</f>
        <v>Male</v>
      </c>
      <c r="D656" s="1">
        <f>Annex!D390</f>
        <v>30</v>
      </c>
      <c r="E656" s="1" t="str">
        <f>Annex!K390</f>
        <v>India</v>
      </c>
      <c r="F656" s="1" t="str">
        <f>Annex!L390</f>
        <v xml:space="preserve">Case 655 is a Local unlinked case, 30 years old male India (Long Term Pass holder)  and has not been overseas. He is currently admitted at NCID . </v>
      </c>
      <c r="G656" s="2">
        <v>43916</v>
      </c>
      <c r="H656" s="1"/>
      <c r="I656" s="1"/>
      <c r="J656" s="1"/>
      <c r="K656" s="1"/>
      <c r="L656" s="1" t="str">
        <f>Annex!C390</f>
        <v xml:space="preserve">NCID </v>
      </c>
      <c r="M656" s="5" t="s">
        <v>1284</v>
      </c>
    </row>
    <row r="657" spans="1:13" ht="13.8" customHeight="1" x14ac:dyDescent="0.3">
      <c r="A657" s="1">
        <f>Annex!A391</f>
        <v>656</v>
      </c>
      <c r="B657" s="1" t="str">
        <f>IF(LEFT(Annex!H391,5)="Local","Local Transmission",Annex!H391)</f>
        <v>Imported</v>
      </c>
      <c r="C657" s="1" t="str">
        <f>Annex!J391</f>
        <v>Male</v>
      </c>
      <c r="D657" s="1">
        <f>Annex!D391</f>
        <v>30</v>
      </c>
      <c r="E657" s="1" t="str">
        <f>Annex!K391</f>
        <v>Singaporean</v>
      </c>
      <c r="F657" s="1" t="str">
        <f>Annex!L391</f>
        <v xml:space="preserve">Case 656 is a Imported case, 30 years old male Singapore Citizen  and has been to Pending . He is currently admitted at NCID . </v>
      </c>
      <c r="G657" s="2">
        <v>43916</v>
      </c>
      <c r="H657" s="1"/>
      <c r="I657" s="1"/>
      <c r="J657" s="1"/>
      <c r="K657" s="1"/>
      <c r="L657" s="1" t="str">
        <f>Annex!C391</f>
        <v xml:space="preserve">NCID </v>
      </c>
      <c r="M657" s="5" t="s">
        <v>1284</v>
      </c>
    </row>
    <row r="658" spans="1:13" ht="13.8" customHeight="1" x14ac:dyDescent="0.3">
      <c r="A658" s="1">
        <f>Annex!A392</f>
        <v>657</v>
      </c>
      <c r="B658" s="1" t="str">
        <f>IF(LEFT(Annex!H392,5)="Local","Local Transmission",Annex!H392)</f>
        <v>Local Transmission</v>
      </c>
      <c r="C658" s="1" t="str">
        <f>Annex!J392</f>
        <v>Male</v>
      </c>
      <c r="D658" s="1">
        <f>Annex!D392</f>
        <v>46</v>
      </c>
      <c r="E658" s="1" t="str">
        <f>Annex!K392</f>
        <v>UK</v>
      </c>
      <c r="F658" s="1" t="str">
        <f>Annex!L392</f>
        <v xml:space="preserve">Case 657 is a Local unlinked case, 46 years old male UK (Singapore Work Pass holder)  and has not been overseas. He is currently admitted at NCID . </v>
      </c>
      <c r="G658" s="2">
        <v>43916</v>
      </c>
      <c r="H658" s="1"/>
      <c r="I658" s="1"/>
      <c r="J658" s="1"/>
      <c r="K658" s="1"/>
      <c r="L658" s="1" t="str">
        <f>Annex!C392</f>
        <v xml:space="preserve">NCID </v>
      </c>
      <c r="M658" s="5" t="s">
        <v>1284</v>
      </c>
    </row>
    <row r="659" spans="1:13" ht="13.8" customHeight="1" x14ac:dyDescent="0.3">
      <c r="A659" s="1">
        <f>Annex!A393</f>
        <v>658</v>
      </c>
      <c r="B659" s="1" t="str">
        <f>IF(LEFT(Annex!H393,5)="Local","Local Transmission",Annex!H393)</f>
        <v>Local Transmission</v>
      </c>
      <c r="C659" s="1" t="str">
        <f>Annex!J393</f>
        <v>Male</v>
      </c>
      <c r="D659" s="1">
        <f>Annex!D393</f>
        <v>28</v>
      </c>
      <c r="E659" s="1" t="str">
        <f>Annex!K393</f>
        <v>Bangladesh</v>
      </c>
      <c r="F659" s="1" t="str">
        <f>Annex!L393</f>
        <v xml:space="preserve">Case 658 is a Local unlinked case, 28 years old male Bangladesh (Long Term Pass holder)  and has not been overseas. He is currently admitted at NCID . </v>
      </c>
      <c r="G659" s="2">
        <v>43916</v>
      </c>
      <c r="H659" s="1"/>
      <c r="I659" s="1"/>
      <c r="J659" s="1"/>
      <c r="K659" s="1"/>
      <c r="L659" s="1" t="str">
        <f>Annex!C393</f>
        <v xml:space="preserve">NCID </v>
      </c>
      <c r="M659" s="5" t="s">
        <v>1284</v>
      </c>
    </row>
    <row r="660" spans="1:13" ht="13.8" customHeight="1" x14ac:dyDescent="0.3">
      <c r="A660" s="1">
        <f>Annex!A394</f>
        <v>659</v>
      </c>
      <c r="B660" s="1" t="str">
        <f>IF(LEFT(Annex!H394,5)="Local","Local Transmission",Annex!H394)</f>
        <v>Local Transmission</v>
      </c>
      <c r="C660" s="1" t="str">
        <f>Annex!J394</f>
        <v>Female</v>
      </c>
      <c r="D660" s="1">
        <f>Annex!D394</f>
        <v>27</v>
      </c>
      <c r="E660" s="1" t="str">
        <f>Annex!K394</f>
        <v>Singaporean</v>
      </c>
      <c r="F660" s="1" t="str">
        <f>Annex!L394</f>
        <v xml:space="preserve">Case 659 is a Local unlinked case, 27 years old female Singapore Citizen  and has not been overseas. She is currently admitted at KKH . </v>
      </c>
      <c r="G660" s="2">
        <v>43916</v>
      </c>
      <c r="H660" s="1"/>
      <c r="I660" s="1"/>
      <c r="J660" s="1"/>
      <c r="K660" s="1"/>
      <c r="L660" s="1" t="str">
        <f>Annex!C394</f>
        <v xml:space="preserve">KKH </v>
      </c>
      <c r="M660" s="5" t="s">
        <v>1284</v>
      </c>
    </row>
    <row r="661" spans="1:13" ht="13.8" customHeight="1" x14ac:dyDescent="0.3">
      <c r="A661" s="1">
        <f>Annex!A395</f>
        <v>660</v>
      </c>
      <c r="B661" s="1" t="str">
        <f>IF(LEFT(Annex!H395,5)="Local","Local Transmission",Annex!H395)</f>
        <v>Local Transmission</v>
      </c>
      <c r="C661" s="1" t="str">
        <f>Annex!J395</f>
        <v>Female</v>
      </c>
      <c r="D661" s="1">
        <f>Annex!D395</f>
        <v>22</v>
      </c>
      <c r="E661" s="1" t="str">
        <f>Annex!K395</f>
        <v>Philippines</v>
      </c>
      <c r="F661" s="1" t="str">
        <f>Annex!L395</f>
        <v>Case 660 is a Local linked  case, 22 years old female Philippines (Singapore Work Pass holder)  and has not been overseas. She is currently admitted at NCID . PCF Fengshan</v>
      </c>
      <c r="G661" s="2">
        <v>43916</v>
      </c>
      <c r="H661" s="1"/>
      <c r="I661" s="1"/>
      <c r="J661" s="1"/>
      <c r="K661" s="1"/>
      <c r="L661" s="1" t="str">
        <f>Annex!C395</f>
        <v xml:space="preserve">NCID </v>
      </c>
      <c r="M661" s="5" t="s">
        <v>1284</v>
      </c>
    </row>
    <row r="662" spans="1:13" ht="13.8" customHeight="1" x14ac:dyDescent="0.3">
      <c r="A662" s="1">
        <f>Annex!A396</f>
        <v>661</v>
      </c>
      <c r="B662" s="1" t="str">
        <f>IF(LEFT(Annex!H396,5)="Local","Local Transmission",Annex!H396)</f>
        <v>Local Transmission</v>
      </c>
      <c r="C662" s="1" t="str">
        <f>Annex!J396</f>
        <v>Female</v>
      </c>
      <c r="D662" s="1">
        <f>Annex!D396</f>
        <v>44</v>
      </c>
      <c r="E662" s="1" t="str">
        <f>Annex!K396</f>
        <v>Singaporean</v>
      </c>
      <c r="F662" s="1" t="str">
        <f>Annex!L396</f>
        <v xml:space="preserve">Case 661 is a Local unlinked case, 44 years old female Singapore Citizen  and has not been overseas. She is currently admitted at NCID . </v>
      </c>
      <c r="G662" s="2">
        <v>43916</v>
      </c>
      <c r="H662" s="1"/>
      <c r="I662" s="1"/>
      <c r="J662" s="1"/>
      <c r="K662" s="1"/>
      <c r="L662" s="1" t="str">
        <f>Annex!C396</f>
        <v xml:space="preserve">NCID </v>
      </c>
      <c r="M662" s="5" t="s">
        <v>1284</v>
      </c>
    </row>
    <row r="663" spans="1:13" ht="13.8" customHeight="1" x14ac:dyDescent="0.3">
      <c r="A663" s="1">
        <f>Annex!A397</f>
        <v>662</v>
      </c>
      <c r="B663" s="1" t="str">
        <f>IF(LEFT(Annex!H397,5)="Local","Local Transmission",Annex!H397)</f>
        <v>Local Transmission</v>
      </c>
      <c r="C663" s="1" t="str">
        <f>Annex!J397</f>
        <v>Male</v>
      </c>
      <c r="D663" s="1">
        <f>Annex!D397</f>
        <v>42</v>
      </c>
      <c r="E663" s="1" t="str">
        <f>Annex!K397</f>
        <v>UK</v>
      </c>
      <c r="F663" s="1" t="str">
        <f>Annex!L397</f>
        <v>Case 662 is a Local linked  case, 42 years old male UK (Singapore Work Pass holder)  and has been to Malaysia . He is currently admitted at NCID . Dover Court International School</v>
      </c>
      <c r="G663" s="2">
        <v>43916</v>
      </c>
      <c r="H663" s="1"/>
      <c r="I663" s="1"/>
      <c r="J663" s="1"/>
      <c r="K663" s="1"/>
      <c r="L663" s="1" t="str">
        <f>Annex!C397</f>
        <v xml:space="preserve">NCID </v>
      </c>
      <c r="M663" s="5" t="s">
        <v>1284</v>
      </c>
    </row>
    <row r="664" spans="1:13" ht="13.8" customHeight="1" x14ac:dyDescent="0.3">
      <c r="A664" s="1">
        <f>Annex!A398</f>
        <v>663</v>
      </c>
      <c r="B664" s="1" t="str">
        <f>IF(LEFT(Annex!H398,5)="Local","Local Transmission",Annex!H398)</f>
        <v>Imported</v>
      </c>
      <c r="C664" s="1" t="str">
        <f>Annex!J398</f>
        <v>Female</v>
      </c>
      <c r="D664" s="1">
        <f>Annex!D398</f>
        <v>21</v>
      </c>
      <c r="E664" s="1" t="str">
        <f>Annex!K398</f>
        <v>Singaporean</v>
      </c>
      <c r="F664" s="1" t="str">
        <f>Annex!L398</f>
        <v xml:space="preserve">Case 663 is a Imported case, 21 years old female Singapore Citizen  and has been to UK . She is currently admitted at NCID . </v>
      </c>
      <c r="G664" s="2">
        <v>43916</v>
      </c>
      <c r="H664" s="1"/>
      <c r="I664" s="1"/>
      <c r="J664" s="1"/>
      <c r="K664" s="1"/>
      <c r="L664" s="1" t="str">
        <f>Annex!C398</f>
        <v xml:space="preserve">NCID </v>
      </c>
      <c r="M664" s="5" t="s">
        <v>1284</v>
      </c>
    </row>
    <row r="665" spans="1:13" ht="13.8" customHeight="1" x14ac:dyDescent="0.3">
      <c r="A665" s="1">
        <f>Annex!A399</f>
        <v>664</v>
      </c>
      <c r="B665" s="1" t="str">
        <f>IF(LEFT(Annex!H399,5)="Local","Local Transmission",Annex!H399)</f>
        <v>Imported</v>
      </c>
      <c r="C665" s="1" t="str">
        <f>Annex!J399</f>
        <v>Female</v>
      </c>
      <c r="D665" s="1">
        <f>Annex!D399</f>
        <v>38</v>
      </c>
      <c r="E665" s="1" t="str">
        <f>Annex!K399</f>
        <v xml:space="preserve">US </v>
      </c>
      <c r="F665" s="1" t="str">
        <f>Annex!L399</f>
        <v xml:space="preserve">Case 664 is a Imported case, 38 years old female US  and has been to Pending . She is currently admitted at NCID . </v>
      </c>
      <c r="G665" s="2">
        <v>43916</v>
      </c>
      <c r="H665" s="1"/>
      <c r="I665" s="1"/>
      <c r="J665" s="1"/>
      <c r="K665" s="1"/>
      <c r="L665" s="1" t="str">
        <f>Annex!C399</f>
        <v xml:space="preserve">NCID </v>
      </c>
      <c r="M665" s="5" t="s">
        <v>1284</v>
      </c>
    </row>
    <row r="666" spans="1:13" ht="13.8" customHeight="1" x14ac:dyDescent="0.3">
      <c r="A666" s="1">
        <f>Annex!A400</f>
        <v>665</v>
      </c>
      <c r="B666" s="1" t="str">
        <f>IF(LEFT(Annex!H400,5)="Local","Local Transmission",Annex!H400)</f>
        <v>Imported</v>
      </c>
      <c r="C666" s="1" t="str">
        <f>Annex!J400</f>
        <v>Female</v>
      </c>
      <c r="D666" s="1">
        <f>Annex!D400</f>
        <v>21</v>
      </c>
      <c r="E666" s="1" t="str">
        <f>Annex!K400</f>
        <v>Singaporean</v>
      </c>
      <c r="F666" s="1" t="str">
        <f>Annex!L400</f>
        <v xml:space="preserve">Case 665 is a Imported case, 21 years old female Singapore Citizen  and has been to US . She is currently admitted at NCID . </v>
      </c>
      <c r="G666" s="2">
        <v>43916</v>
      </c>
      <c r="H666" s="1"/>
      <c r="I666" s="1"/>
      <c r="J666" s="1"/>
      <c r="K666" s="1"/>
      <c r="L666" s="1" t="str">
        <f>Annex!C400</f>
        <v xml:space="preserve">NCID </v>
      </c>
      <c r="M666" s="5" t="s">
        <v>1284</v>
      </c>
    </row>
    <row r="667" spans="1:13" ht="13.8" customHeight="1" x14ac:dyDescent="0.3">
      <c r="A667" s="1">
        <f>Annex!A401</f>
        <v>666</v>
      </c>
      <c r="B667" s="1" t="str">
        <f>IF(LEFT(Annex!H401,5)="Local","Local Transmission",Annex!H401)</f>
        <v>Local Transmission</v>
      </c>
      <c r="C667" s="1" t="str">
        <f>Annex!J401</f>
        <v>Female</v>
      </c>
      <c r="D667" s="1">
        <f>Annex!D401</f>
        <v>32</v>
      </c>
      <c r="E667" s="1" t="str">
        <f>Annex!K401</f>
        <v>Singaporean</v>
      </c>
      <c r="F667" s="1" t="str">
        <f>Annex!L401</f>
        <v xml:space="preserve">Case 666 is a Local unlinked case, 32 years old female Singapore Citizen  and has not been overseas. She is currently admitted at SGH . </v>
      </c>
      <c r="G667" s="2">
        <v>43916</v>
      </c>
      <c r="H667" s="1"/>
      <c r="I667" s="1"/>
      <c r="J667" s="1"/>
      <c r="K667" s="1"/>
      <c r="L667" s="1" t="str">
        <f>Annex!C401</f>
        <v xml:space="preserve">SGH </v>
      </c>
      <c r="M667" s="5" t="s">
        <v>1284</v>
      </c>
    </row>
    <row r="668" spans="1:13" ht="13.8" customHeight="1" x14ac:dyDescent="0.3">
      <c r="A668" s="1">
        <f>Annex!A402</f>
        <v>667</v>
      </c>
      <c r="B668" s="1" t="str">
        <f>IF(LEFT(Annex!H402,5)="Local","Local Transmission",Annex!H402)</f>
        <v>Imported</v>
      </c>
      <c r="C668" s="1" t="str">
        <f>Annex!J402</f>
        <v>Female</v>
      </c>
      <c r="D668" s="1">
        <f>Annex!D402</f>
        <v>40</v>
      </c>
      <c r="E668" s="1" t="str">
        <f>Annex!K402</f>
        <v>Singaporean</v>
      </c>
      <c r="F668" s="1" t="str">
        <f>Annex!L402</f>
        <v xml:space="preserve">Case 667 is a Imported case, 40 years old female Singapore Citizen  and has been to US . She is currently admitted at NCID . </v>
      </c>
      <c r="G668" s="2">
        <v>43916</v>
      </c>
      <c r="H668" s="1"/>
      <c r="I668" s="1"/>
      <c r="J668" s="1"/>
      <c r="K668" s="1"/>
      <c r="L668" s="1" t="str">
        <f>Annex!C402</f>
        <v xml:space="preserve">NCID </v>
      </c>
      <c r="M668" s="5" t="s">
        <v>1284</v>
      </c>
    </row>
    <row r="669" spans="1:13" ht="13.8" customHeight="1" x14ac:dyDescent="0.3">
      <c r="A669" s="1">
        <f>Annex!A403</f>
        <v>668</v>
      </c>
      <c r="B669" s="1" t="str">
        <f>IF(LEFT(Annex!H403,5)="Local","Local Transmission",Annex!H403)</f>
        <v>Local Transmission</v>
      </c>
      <c r="C669" s="1" t="str">
        <f>Annex!J403</f>
        <v>Female</v>
      </c>
      <c r="D669" s="1">
        <f>Annex!D403</f>
        <v>31</v>
      </c>
      <c r="E669" s="1" t="str">
        <f>Annex!K403</f>
        <v>India</v>
      </c>
      <c r="F669" s="1" t="str">
        <f>Annex!L403</f>
        <v>Case 668 is a Local linked  case, 31 years old female India (Singapore Work Pass holder)  and has been to India . She is currently admitted at NCID . Contact of Case 600</v>
      </c>
      <c r="G669" s="2">
        <v>43916</v>
      </c>
      <c r="H669" s="1"/>
      <c r="I669" s="1"/>
      <c r="J669" s="1"/>
      <c r="K669" s="1"/>
      <c r="L669" s="1" t="str">
        <f>Annex!C403</f>
        <v xml:space="preserve">NCID </v>
      </c>
      <c r="M669" s="5" t="s">
        <v>1284</v>
      </c>
    </row>
    <row r="670" spans="1:13" ht="13.8" customHeight="1" x14ac:dyDescent="0.3">
      <c r="A670" s="1">
        <f>Annex!A404</f>
        <v>669</v>
      </c>
      <c r="B670" s="1" t="str">
        <f>IF(LEFT(Annex!H404,5)="Local","Local Transmission",Annex!H404)</f>
        <v>Imported</v>
      </c>
      <c r="C670" s="1" t="str">
        <f>Annex!J404</f>
        <v>Male</v>
      </c>
      <c r="D670" s="1">
        <f>Annex!D404</f>
        <v>54</v>
      </c>
      <c r="E670" s="1" t="str">
        <f>Annex!K404</f>
        <v>UK</v>
      </c>
      <c r="F670" s="1" t="str">
        <f>Annex!L404</f>
        <v xml:space="preserve">Case 669 is a Imported case, 54 years old male UK (Singapore Work Pass holder)  and has been to France . He is currently admitted at NCID . </v>
      </c>
      <c r="G670" s="2">
        <v>43916</v>
      </c>
      <c r="H670" s="1"/>
      <c r="I670" s="1"/>
      <c r="J670" s="1"/>
      <c r="K670" s="1"/>
      <c r="L670" s="1" t="str">
        <f>Annex!C404</f>
        <v xml:space="preserve">NCID </v>
      </c>
      <c r="M670" s="5" t="s">
        <v>1284</v>
      </c>
    </row>
    <row r="671" spans="1:13" ht="13.8" customHeight="1" x14ac:dyDescent="0.3">
      <c r="A671" s="1">
        <f>Annex!A405</f>
        <v>670</v>
      </c>
      <c r="B671" s="1" t="str">
        <f>IF(LEFT(Annex!H405,5)="Local","Local Transmission",Annex!H405)</f>
        <v>Local Transmission</v>
      </c>
      <c r="C671" s="1" t="str">
        <f>Annex!J405</f>
        <v>Male</v>
      </c>
      <c r="D671" s="1">
        <f>Annex!D405</f>
        <v>34</v>
      </c>
      <c r="E671" s="1" t="str">
        <f>Annex!K405</f>
        <v>Australia</v>
      </c>
      <c r="F671" s="1" t="str">
        <f>Annex!L405</f>
        <v xml:space="preserve">Case 670 is a Local unlinked case, 34 years old male Australia (Singapore Work Pass holder)  and has not been overseas. He is currently admitted at NCID . </v>
      </c>
      <c r="G671" s="2">
        <v>43916</v>
      </c>
      <c r="H671" s="1"/>
      <c r="I671" s="1"/>
      <c r="J671" s="1"/>
      <c r="K671" s="1"/>
      <c r="L671" s="1" t="str">
        <f>Annex!C405</f>
        <v xml:space="preserve">NCID </v>
      </c>
      <c r="M671" s="5" t="s">
        <v>1284</v>
      </c>
    </row>
    <row r="672" spans="1:13" ht="13.8" customHeight="1" x14ac:dyDescent="0.3">
      <c r="A672" s="1">
        <f>Annex!A406</f>
        <v>671</v>
      </c>
      <c r="B672" s="1" t="str">
        <f>IF(LEFT(Annex!H406,5)="Local","Local Transmission",Annex!H406)</f>
        <v>Imported</v>
      </c>
      <c r="C672" s="1" t="str">
        <f>Annex!J406</f>
        <v>Female</v>
      </c>
      <c r="D672" s="1">
        <f>Annex!D406</f>
        <v>29</v>
      </c>
      <c r="E672" s="1" t="str">
        <f>Annex!K406</f>
        <v>Singaporean</v>
      </c>
      <c r="F672" s="1" t="str">
        <f>Annex!L406</f>
        <v xml:space="preserve">Case 671 is a Imported case, 29 years old female Singapore Citizen  and has been to US . She is currently admitted at NCID . </v>
      </c>
      <c r="G672" s="2">
        <v>43916</v>
      </c>
      <c r="H672" s="1"/>
      <c r="I672" s="1"/>
      <c r="J672" s="1"/>
      <c r="K672" s="1"/>
      <c r="L672" s="1" t="str">
        <f>Annex!C406</f>
        <v xml:space="preserve">NCID </v>
      </c>
      <c r="M672" s="5" t="s">
        <v>1284</v>
      </c>
    </row>
    <row r="673" spans="1:13" ht="13.8" customHeight="1" x14ac:dyDescent="0.3">
      <c r="A673" s="1">
        <f>Annex!A407</f>
        <v>672</v>
      </c>
      <c r="B673" s="1" t="str">
        <f>IF(LEFT(Annex!H407,5)="Local","Local Transmission",Annex!H407)</f>
        <v>Imported</v>
      </c>
      <c r="C673" s="1" t="str">
        <f>Annex!J407</f>
        <v>Female</v>
      </c>
      <c r="D673" s="1">
        <f>Annex!D407</f>
        <v>24</v>
      </c>
      <c r="E673" s="1" t="str">
        <f>Annex!K407</f>
        <v>Singaporean</v>
      </c>
      <c r="F673" s="1" t="str">
        <f>Annex!L407</f>
        <v xml:space="preserve">Case 672 is a Imported case, 24 years old female Singapore Citizen  and has been to US . She is currently admitted at NCID . </v>
      </c>
      <c r="G673" s="2">
        <v>43916</v>
      </c>
      <c r="H673" s="1"/>
      <c r="I673" s="1"/>
      <c r="J673" s="1"/>
      <c r="K673" s="1"/>
      <c r="L673" s="1" t="str">
        <f>Annex!C407</f>
        <v xml:space="preserve">NCID </v>
      </c>
      <c r="M673" s="5" t="s">
        <v>1284</v>
      </c>
    </row>
    <row r="674" spans="1:13" ht="13.8" customHeight="1" x14ac:dyDescent="0.3">
      <c r="A674" s="1">
        <f>Annex!A408</f>
        <v>673</v>
      </c>
      <c r="B674" s="1" t="str">
        <f>IF(LEFT(Annex!H408,5)="Local","Local Transmission",Annex!H408)</f>
        <v>Imported</v>
      </c>
      <c r="C674" s="1" t="str">
        <f>Annex!J408</f>
        <v>Male</v>
      </c>
      <c r="D674" s="1">
        <f>Annex!D408</f>
        <v>27</v>
      </c>
      <c r="E674" s="1" t="str">
        <f>Annex!K408</f>
        <v>Singaporean</v>
      </c>
      <c r="F674" s="1" t="str">
        <f>Annex!L408</f>
        <v xml:space="preserve">Case 673 is a Imported case, 27 years old male Singapore Citizen  and has been to US . He is currently admitted at NCID . </v>
      </c>
      <c r="G674" s="2">
        <v>43916</v>
      </c>
      <c r="H674" s="1"/>
      <c r="I674" s="1"/>
      <c r="J674" s="1"/>
      <c r="K674" s="1"/>
      <c r="L674" s="1" t="str">
        <f>Annex!C408</f>
        <v xml:space="preserve">NCID </v>
      </c>
      <c r="M674" s="5" t="s">
        <v>1284</v>
      </c>
    </row>
    <row r="675" spans="1:13" ht="13.8" customHeight="1" x14ac:dyDescent="0.3">
      <c r="A675" s="1">
        <f>Annex!A409</f>
        <v>674</v>
      </c>
      <c r="B675" s="1" t="str">
        <f>IF(LEFT(Annex!H409,5)="Local","Local Transmission",Annex!H409)</f>
        <v>Imported</v>
      </c>
      <c r="C675" s="1" t="str">
        <f>Annex!J409</f>
        <v>Male</v>
      </c>
      <c r="D675" s="1">
        <f>Annex!D409</f>
        <v>59</v>
      </c>
      <c r="E675" s="1" t="str">
        <f>Annex!K409</f>
        <v>Singaporean</v>
      </c>
      <c r="F675" s="1" t="str">
        <f>Annex!L409</f>
        <v xml:space="preserve">Case 674 is a Imported case, 59 years old male Singapore Citizen  and has been to UK . He is currently admitted at NCID . </v>
      </c>
      <c r="G675" s="2">
        <v>43916</v>
      </c>
      <c r="H675" s="1"/>
      <c r="I675" s="1"/>
      <c r="J675" s="1"/>
      <c r="K675" s="1"/>
      <c r="L675" s="1" t="str">
        <f>Annex!C409</f>
        <v xml:space="preserve">NCID </v>
      </c>
      <c r="M675" s="5" t="s">
        <v>1284</v>
      </c>
    </row>
    <row r="676" spans="1:13" ht="13.8" customHeight="1" x14ac:dyDescent="0.3">
      <c r="A676" s="1">
        <f>Annex!A410</f>
        <v>675</v>
      </c>
      <c r="B676" s="1" t="str">
        <f>IF(LEFT(Annex!H410,5)="Local","Local Transmission",Annex!H410)</f>
        <v>Local Transmission</v>
      </c>
      <c r="C676" s="1" t="str">
        <f>Annex!J410</f>
        <v>Female</v>
      </c>
      <c r="D676" s="1">
        <f>Annex!D410</f>
        <v>51</v>
      </c>
      <c r="E676" s="1" t="str">
        <f>Annex!K410</f>
        <v>Singaporean</v>
      </c>
      <c r="F676" s="1" t="str">
        <f>Annex!L410</f>
        <v>Case 675 is a Local linked  case, 51 years old female Singapore Citizen  and has not been overseas. She is currently admitted at NCID . Family member of Case 528, 645 and 676</v>
      </c>
      <c r="G676" s="2">
        <v>43916</v>
      </c>
      <c r="H676" s="1"/>
      <c r="I676" s="1"/>
      <c r="J676" s="1"/>
      <c r="K676" s="1"/>
      <c r="L676" s="1" t="str">
        <f>Annex!C410</f>
        <v xml:space="preserve">NCID </v>
      </c>
      <c r="M676" s="5" t="s">
        <v>1284</v>
      </c>
    </row>
    <row r="677" spans="1:13" ht="13.8" customHeight="1" x14ac:dyDescent="0.3">
      <c r="A677" s="1">
        <f>Annex!A411</f>
        <v>676</v>
      </c>
      <c r="B677" s="1" t="str">
        <f>IF(LEFT(Annex!H411,5)="Local","Local Transmission",Annex!H411)</f>
        <v>Local Transmission</v>
      </c>
      <c r="C677" s="1" t="str">
        <f>Annex!J411</f>
        <v>Male</v>
      </c>
      <c r="D677" s="1">
        <f>Annex!D411</f>
        <v>29</v>
      </c>
      <c r="E677" s="1" t="str">
        <f>Annex!K411</f>
        <v>Singaporean</v>
      </c>
      <c r="F677" s="1" t="str">
        <f>Annex!L411</f>
        <v>Case 676 is a Local linked  case, 29 years old male Singapore Citizen  and has been to Thailand . He is currently admitted at NCID . Family member of Case 528, 645 and 675</v>
      </c>
      <c r="G677" s="2">
        <v>43916</v>
      </c>
      <c r="H677" s="1"/>
      <c r="I677" s="1"/>
      <c r="J677" s="1"/>
      <c r="K677" s="1"/>
      <c r="L677" s="1" t="str">
        <f>Annex!C411</f>
        <v xml:space="preserve">NCID </v>
      </c>
      <c r="M677" s="5" t="s">
        <v>1284</v>
      </c>
    </row>
    <row r="678" spans="1:13" ht="13.8" customHeight="1" x14ac:dyDescent="0.3">
      <c r="A678" s="1">
        <f>Annex!A412</f>
        <v>677</v>
      </c>
      <c r="B678" s="1" t="str">
        <f>IF(LEFT(Annex!H412,5)="Local","Local Transmission",Annex!H412)</f>
        <v>Local Transmission</v>
      </c>
      <c r="C678" s="1" t="str">
        <f>Annex!J412</f>
        <v>Female</v>
      </c>
      <c r="D678" s="1">
        <f>Annex!D412</f>
        <v>40</v>
      </c>
      <c r="E678" s="1" t="str">
        <f>Annex!K412</f>
        <v>Singaporean</v>
      </c>
      <c r="F678" s="1" t="str">
        <f>Annex!L412</f>
        <v xml:space="preserve">Case 677 is a Local unlinked case, 40 years old female Singapore Citizen  and has not been overseas. She is currently admitted at NCID . </v>
      </c>
      <c r="G678" s="2">
        <v>43916</v>
      </c>
      <c r="H678" s="1"/>
      <c r="I678" s="1"/>
      <c r="J678" s="1"/>
      <c r="K678" s="1"/>
      <c r="L678" s="1" t="str">
        <f>Annex!C412</f>
        <v xml:space="preserve">NCID </v>
      </c>
      <c r="M678" s="5" t="s">
        <v>1284</v>
      </c>
    </row>
    <row r="679" spans="1:13" ht="13.8" customHeight="1" x14ac:dyDescent="0.3">
      <c r="A679" s="1">
        <f>Annex!A413</f>
        <v>678</v>
      </c>
      <c r="B679" s="1" t="str">
        <f>IF(LEFT(Annex!H413,5)="Local","Local Transmission",Annex!H413)</f>
        <v>Local Transmission</v>
      </c>
      <c r="C679" s="1" t="str">
        <f>Annex!J413</f>
        <v>Male</v>
      </c>
      <c r="D679" s="1">
        <f>Annex!D413</f>
        <v>71</v>
      </c>
      <c r="E679" s="1" t="str">
        <f>Annex!K413</f>
        <v>Singaporean</v>
      </c>
      <c r="F679" s="1" t="str">
        <f>Annex!L413</f>
        <v xml:space="preserve">Case 678 is a Local unlinked case, 71 years old male Singapore Permanent Resident  and has not been overseas. He is currently admitted at NCID . </v>
      </c>
      <c r="G679" s="2">
        <v>43916</v>
      </c>
      <c r="H679" s="1"/>
      <c r="I679" s="1"/>
      <c r="J679" s="1"/>
      <c r="K679" s="1"/>
      <c r="L679" s="1" t="str">
        <f>Annex!C413</f>
        <v xml:space="preserve">NCID </v>
      </c>
      <c r="M679" s="5" t="s">
        <v>1284</v>
      </c>
    </row>
    <row r="680" spans="1:13" ht="13.8" customHeight="1" x14ac:dyDescent="0.3">
      <c r="A680" s="1">
        <f>Annex!A414</f>
        <v>679</v>
      </c>
      <c r="B680" s="1" t="str">
        <f>IF(LEFT(Annex!H414,5)="Local","Local Transmission",Annex!H414)</f>
        <v>Local Transmission</v>
      </c>
      <c r="C680" s="1" t="str">
        <f>Annex!J414</f>
        <v>Male</v>
      </c>
      <c r="D680" s="1">
        <f>Annex!D414</f>
        <v>45</v>
      </c>
      <c r="E680" s="1" t="str">
        <f>Annex!K414</f>
        <v>US</v>
      </c>
      <c r="F680" s="1" t="str">
        <f>Annex!L414</f>
        <v xml:space="preserve">Case 679 is a Local unlinked case, 45 years old male US (Singapore Work Pass holder)  and has not been overseas. He is currently admitted at NCID . </v>
      </c>
      <c r="G680" s="2">
        <v>43916</v>
      </c>
      <c r="H680" s="1"/>
      <c r="I680" s="1"/>
      <c r="J680" s="1"/>
      <c r="K680" s="1"/>
      <c r="L680" s="1" t="str">
        <f>Annex!C414</f>
        <v xml:space="preserve">NCID </v>
      </c>
      <c r="M680" s="5" t="s">
        <v>1284</v>
      </c>
    </row>
    <row r="681" spans="1:13" ht="13.8" customHeight="1" x14ac:dyDescent="0.3">
      <c r="A681" s="1">
        <f>Annex!A415</f>
        <v>680</v>
      </c>
      <c r="B681" s="1" t="str">
        <f>IF(LEFT(Annex!H415,5)="Local","Local Transmission",Annex!H415)</f>
        <v>Imported</v>
      </c>
      <c r="C681" s="1" t="str">
        <f>Annex!J415</f>
        <v>Male</v>
      </c>
      <c r="D681" s="1">
        <f>Annex!D415</f>
        <v>19</v>
      </c>
      <c r="E681" s="1" t="str">
        <f>Annex!K415</f>
        <v xml:space="preserve">UK </v>
      </c>
      <c r="F681" s="1" t="str">
        <f>Annex!L415</f>
        <v xml:space="preserve">Case 680 is a Imported case, 19 years old male UK  and has been to Pending . He is currently admitted at NCID . </v>
      </c>
      <c r="G681" s="2">
        <v>43916</v>
      </c>
      <c r="H681" s="1"/>
      <c r="I681" s="1"/>
      <c r="J681" s="1"/>
      <c r="K681" s="1"/>
      <c r="L681" s="1" t="str">
        <f>Annex!C415</f>
        <v xml:space="preserve">NCID </v>
      </c>
      <c r="M681" s="5" t="s">
        <v>1284</v>
      </c>
    </row>
    <row r="682" spans="1:13" ht="13.8" customHeight="1" x14ac:dyDescent="0.3">
      <c r="A682" s="1">
        <f>Annex!A416</f>
        <v>681</v>
      </c>
      <c r="B682" s="1" t="str">
        <f>IF(LEFT(Annex!H416,5)="Local","Local Transmission",Annex!H416)</f>
        <v>Local Transmission</v>
      </c>
      <c r="C682" s="1" t="str">
        <f>Annex!J416</f>
        <v>Male</v>
      </c>
      <c r="D682" s="1">
        <f>Annex!D416</f>
        <v>42</v>
      </c>
      <c r="E682" s="1" t="str">
        <f>Annex!K416</f>
        <v>New Zealand</v>
      </c>
      <c r="F682" s="1" t="str">
        <f>Annex!L416</f>
        <v>Case 681 is a Local linked  case, 42 years old male New Zealand (Singapore Work Pass holder)  and has been to Indonesia . He is currently admitted at NCID . Contact of Case 477</v>
      </c>
      <c r="G682" s="2">
        <v>43916</v>
      </c>
      <c r="H682" s="1"/>
      <c r="I682" s="1"/>
      <c r="J682" s="1"/>
      <c r="K682" s="1"/>
      <c r="L682" s="1" t="str">
        <f>Annex!C416</f>
        <v xml:space="preserve">NCID </v>
      </c>
      <c r="M682" s="5" t="s">
        <v>1284</v>
      </c>
    </row>
    <row r="683" spans="1:13" ht="13.8" customHeight="1" x14ac:dyDescent="0.3">
      <c r="A683" s="1">
        <f>Annex!A417</f>
        <v>682</v>
      </c>
      <c r="B683" s="1" t="str">
        <f>IF(LEFT(Annex!H417,5)="Local","Local Transmission",Annex!H417)</f>
        <v>Local Transmission</v>
      </c>
      <c r="C683" s="1" t="str">
        <f>Annex!J417</f>
        <v>Male</v>
      </c>
      <c r="D683" s="1">
        <f>Annex!D417</f>
        <v>22</v>
      </c>
      <c r="E683" s="1" t="str">
        <f>Annex!K417</f>
        <v>Singaporean</v>
      </c>
      <c r="F683" s="1" t="str">
        <f>Annex!L417</f>
        <v xml:space="preserve">Case 682 is a Local unlinked case, 22 years old male Singapore Citizen  and has not been overseas. He is currently admitted at NCID . </v>
      </c>
      <c r="G683" s="2">
        <v>43916</v>
      </c>
      <c r="H683" s="1"/>
      <c r="I683" s="1"/>
      <c r="J683" s="1"/>
      <c r="K683" s="1"/>
      <c r="L683" s="1" t="str">
        <f>Annex!C417</f>
        <v xml:space="preserve">NCID </v>
      </c>
      <c r="M683" s="5" t="s">
        <v>1284</v>
      </c>
    </row>
    <row r="684" spans="1:13" ht="13.8" customHeight="1" x14ac:dyDescent="0.3">
      <c r="A684" s="1">
        <f>Annex!A418</f>
        <v>683</v>
      </c>
      <c r="B684" s="1" t="str">
        <f>IF(LEFT(Annex!H418,5)="Local","Local Transmission",Annex!H418)</f>
        <v>Imported</v>
      </c>
      <c r="C684" s="1" t="str">
        <f>Annex!J418</f>
        <v>Female</v>
      </c>
      <c r="D684" s="1">
        <f>Annex!D418</f>
        <v>40</v>
      </c>
      <c r="E684" s="1" t="str">
        <f>Annex!K418</f>
        <v>Singaporean</v>
      </c>
      <c r="F684" s="1" t="str">
        <f>Annex!L418</f>
        <v xml:space="preserve">Case 683 is a Imported case, 40 years old female Singapore Citizen  and has been to Pending . She is currently admitted at NCID . </v>
      </c>
      <c r="G684" s="2">
        <v>43916</v>
      </c>
      <c r="H684" s="1"/>
      <c r="I684" s="1"/>
      <c r="J684" s="1"/>
      <c r="K684" s="1"/>
      <c r="L684" s="1" t="str">
        <f>Annex!C418</f>
        <v xml:space="preserve">NCID </v>
      </c>
      <c r="M684" s="5" t="s">
        <v>1284</v>
      </c>
    </row>
    <row r="685" spans="1:13" ht="13.8" customHeight="1" x14ac:dyDescent="0.3">
      <c r="A685" s="35">
        <f>Annex!A419</f>
        <v>684</v>
      </c>
      <c r="B685" s="35" t="str">
        <f>IF(LEFT(Annex!H419,5)="Local","Local Transmission",Annex!H419)</f>
        <v>Imported</v>
      </c>
      <c r="C685" s="35" t="str">
        <f>Annex!J419</f>
        <v>Male</v>
      </c>
      <c r="D685" s="35">
        <f>Annex!D419</f>
        <v>21</v>
      </c>
      <c r="E685" s="35" t="str">
        <f>Annex!K419</f>
        <v>Singaporean</v>
      </c>
      <c r="F685" s="35" t="str">
        <f>Annex!L419</f>
        <v xml:space="preserve">Case 684 is a Imported case, 21 years old male Singapore Permanent Resident  and has been to UK . He is currently admitted at NCID . </v>
      </c>
      <c r="G685" s="36">
        <v>43917</v>
      </c>
      <c r="H685" s="35"/>
      <c r="I685" s="35"/>
      <c r="J685" s="35"/>
      <c r="K685" s="35"/>
      <c r="L685" s="35" t="str">
        <f>Annex!C419</f>
        <v xml:space="preserve">NCID </v>
      </c>
      <c r="M685" s="37" t="s">
        <v>1301</v>
      </c>
    </row>
    <row r="686" spans="1:13" ht="13.8" customHeight="1" x14ac:dyDescent="0.3">
      <c r="A686" s="35">
        <f>Annex!A420</f>
        <v>685</v>
      </c>
      <c r="B686" s="35" t="str">
        <f>IF(LEFT(Annex!H420,5)="Local","Local Transmission",Annex!H420)</f>
        <v>Local Transmission</v>
      </c>
      <c r="C686" s="35" t="str">
        <f>Annex!J420</f>
        <v>Male</v>
      </c>
      <c r="D686" s="35">
        <f>Annex!D420</f>
        <v>59</v>
      </c>
      <c r="E686" s="35" t="str">
        <f>Annex!K420</f>
        <v>New Zealand</v>
      </c>
      <c r="F686" s="35" t="str">
        <f>Annex!L420</f>
        <v>Case 685 is a Local linked  case, 59 years old male New Zealand (Long Term Pass holder)  and has not been overseas. He is currently admitted at NCID . Contact of Case 588</v>
      </c>
      <c r="G686" s="36">
        <v>43917</v>
      </c>
      <c r="H686" s="35"/>
      <c r="I686" s="35"/>
      <c r="J686" s="35"/>
      <c r="K686" s="35"/>
      <c r="L686" s="35" t="str">
        <f>Annex!C420</f>
        <v xml:space="preserve">NCID </v>
      </c>
      <c r="M686" s="37" t="s">
        <v>1301</v>
      </c>
    </row>
    <row r="687" spans="1:13" ht="13.8" customHeight="1" x14ac:dyDescent="0.3">
      <c r="A687" s="35">
        <f>Annex!A421</f>
        <v>686</v>
      </c>
      <c r="B687" s="35" t="str">
        <f>IF(LEFT(Annex!H421,5)="Local","Local Transmission",Annex!H421)</f>
        <v>Local Transmission</v>
      </c>
      <c r="C687" s="35" t="str">
        <f>Annex!J421</f>
        <v>Male</v>
      </c>
      <c r="D687" s="35">
        <f>Annex!D421</f>
        <v>37</v>
      </c>
      <c r="E687" s="35" t="str">
        <f>Annex!K421</f>
        <v>UK</v>
      </c>
      <c r="F687" s="35" t="str">
        <f>Annex!L421</f>
        <v>Case 686 is a Local linked  case, 37 years old male UK (Singapore Work Pass holder)  and has not been overseas. He is currently admitted at SGH . Dover Court International School</v>
      </c>
      <c r="G687" s="36">
        <v>43917</v>
      </c>
      <c r="H687" s="35"/>
      <c r="I687" s="35"/>
      <c r="J687" s="35"/>
      <c r="K687" s="35"/>
      <c r="L687" s="35" t="str">
        <f>Annex!C421</f>
        <v xml:space="preserve">SGH </v>
      </c>
      <c r="M687" s="37" t="s">
        <v>1301</v>
      </c>
    </row>
    <row r="688" spans="1:13" ht="13.8" customHeight="1" x14ac:dyDescent="0.3">
      <c r="A688" s="35">
        <f>Annex!A422</f>
        <v>687</v>
      </c>
      <c r="B688" s="35" t="str">
        <f>IF(LEFT(Annex!H422,5)="Local","Local Transmission",Annex!H422)</f>
        <v>Local Transmission</v>
      </c>
      <c r="C688" s="35" t="str">
        <f>Annex!J422</f>
        <v>Male</v>
      </c>
      <c r="D688" s="35">
        <f>Annex!D422</f>
        <v>77</v>
      </c>
      <c r="E688" s="35" t="str">
        <f>Annex!K422</f>
        <v>Singaporean</v>
      </c>
      <c r="F688" s="35" t="str">
        <f>Annex!L422</f>
        <v>Case 687 is a Local linked  case, 77 years old male Singapore Citizen  and has not been overseas. He is currently admitted at NCID . Family member of Case 196</v>
      </c>
      <c r="G688" s="36">
        <v>43917</v>
      </c>
      <c r="H688" s="35"/>
      <c r="I688" s="35"/>
      <c r="J688" s="35"/>
      <c r="K688" s="35"/>
      <c r="L688" s="35" t="str">
        <f>Annex!C422</f>
        <v xml:space="preserve">NCID </v>
      </c>
      <c r="M688" s="37" t="s">
        <v>1301</v>
      </c>
    </row>
    <row r="689" spans="1:13" ht="13.8" customHeight="1" x14ac:dyDescent="0.3">
      <c r="A689" s="35">
        <f>Annex!A423</f>
        <v>688</v>
      </c>
      <c r="B689" s="35" t="str">
        <f>IF(LEFT(Annex!H423,5)="Local","Local Transmission",Annex!H423)</f>
        <v>Local Transmission</v>
      </c>
      <c r="C689" s="35" t="str">
        <f>Annex!J423</f>
        <v>Female</v>
      </c>
      <c r="D689" s="35">
        <f>Annex!D423</f>
        <v>76</v>
      </c>
      <c r="E689" s="35" t="str">
        <f>Annex!K423</f>
        <v>Singaporean</v>
      </c>
      <c r="F689" s="35" t="str">
        <f>Annex!L423</f>
        <v xml:space="preserve">Case 688 is a Local unlinked case, 76 years old female Singapore Citizen  and has not been overseas. She is currently admitted at CGH . </v>
      </c>
      <c r="G689" s="36">
        <v>43917</v>
      </c>
      <c r="H689" s="35"/>
      <c r="I689" s="35"/>
      <c r="J689" s="35"/>
      <c r="K689" s="35"/>
      <c r="L689" s="35" t="str">
        <f>Annex!C423</f>
        <v xml:space="preserve">CGH </v>
      </c>
      <c r="M689" s="37" t="s">
        <v>1301</v>
      </c>
    </row>
    <row r="690" spans="1:13" ht="13.8" customHeight="1" x14ac:dyDescent="0.3">
      <c r="A690" s="35">
        <f>Annex!A424</f>
        <v>689</v>
      </c>
      <c r="B690" s="35" t="str">
        <f>IF(LEFT(Annex!H424,5)="Local","Local Transmission",Annex!H424)</f>
        <v>Local Transmission</v>
      </c>
      <c r="C690" s="35" t="str">
        <f>Annex!J424</f>
        <v>Female</v>
      </c>
      <c r="D690" s="35">
        <f>Annex!D424</f>
        <v>76</v>
      </c>
      <c r="E690" s="35" t="str">
        <f>Annex!K424</f>
        <v>Singaporean</v>
      </c>
      <c r="F690" s="35" t="str">
        <f>Annex!L424</f>
        <v>Case 689 is a Local linked  case, 76 years old female Singapore Citizen  and has been to Malaysia . She is currently admitted at CGH . SingPost Centre</v>
      </c>
      <c r="G690" s="36">
        <v>43917</v>
      </c>
      <c r="H690" s="35"/>
      <c r="I690" s="35"/>
      <c r="J690" s="35"/>
      <c r="K690" s="35"/>
      <c r="L690" s="35" t="str">
        <f>Annex!C424</f>
        <v xml:space="preserve">CGH </v>
      </c>
      <c r="M690" s="37" t="s">
        <v>1301</v>
      </c>
    </row>
    <row r="691" spans="1:13" ht="13.8" customHeight="1" x14ac:dyDescent="0.3">
      <c r="A691" s="35">
        <f>Annex!A425</f>
        <v>690</v>
      </c>
      <c r="B691" s="35" t="str">
        <f>IF(LEFT(Annex!H425,5)="Local","Local Transmission",Annex!H425)</f>
        <v>Imported</v>
      </c>
      <c r="C691" s="35" t="str">
        <f>Annex!J425</f>
        <v>Female</v>
      </c>
      <c r="D691" s="35">
        <f>Annex!D425</f>
        <v>31</v>
      </c>
      <c r="E691" s="35" t="str">
        <f>Annex!K425</f>
        <v>Singaporean</v>
      </c>
      <c r="F691" s="35" t="str">
        <f>Annex!L425</f>
        <v xml:space="preserve">Case 690 is a Imported case, 31 years old female Singapore Permanent Resident  and has been to Thailand, Malaysia . She is currently admitted at CGH . </v>
      </c>
      <c r="G691" s="36">
        <v>43917</v>
      </c>
      <c r="H691" s="35"/>
      <c r="I691" s="35"/>
      <c r="J691" s="35"/>
      <c r="K691" s="35"/>
      <c r="L691" s="35" t="str">
        <f>Annex!C425</f>
        <v xml:space="preserve">CGH </v>
      </c>
      <c r="M691" s="37" t="s">
        <v>1301</v>
      </c>
    </row>
    <row r="692" spans="1:13" ht="13.8" customHeight="1" x14ac:dyDescent="0.3">
      <c r="A692" s="35">
        <f>Annex!A426</f>
        <v>691</v>
      </c>
      <c r="B692" s="35" t="str">
        <f>IF(LEFT(Annex!H426,5)="Local","Local Transmission",Annex!H426)</f>
        <v>Local Transmission</v>
      </c>
      <c r="C692" s="35" t="str">
        <f>Annex!J426</f>
        <v>Female</v>
      </c>
      <c r="D692" s="35">
        <f>Annex!D426</f>
        <v>39</v>
      </c>
      <c r="E692" s="35" t="str">
        <f>Annex!K426</f>
        <v>UK</v>
      </c>
      <c r="F692" s="35" t="str">
        <f>Annex!L426</f>
        <v xml:space="preserve">Case 691 is a Local unlinked case, 39 years old female UK (Singapore Work Pass holder)  and has not been overseas. She is currently admitted at SGH . </v>
      </c>
      <c r="G692" s="36">
        <v>43917</v>
      </c>
      <c r="H692" s="35"/>
      <c r="I692" s="35"/>
      <c r="J692" s="35"/>
      <c r="K692" s="35"/>
      <c r="L692" s="35" t="str">
        <f>Annex!C426</f>
        <v xml:space="preserve">SGH </v>
      </c>
      <c r="M692" s="37" t="s">
        <v>1301</v>
      </c>
    </row>
    <row r="693" spans="1:13" ht="13.8" customHeight="1" x14ac:dyDescent="0.3">
      <c r="A693" s="35">
        <f>Annex!A427</f>
        <v>692</v>
      </c>
      <c r="B693" s="35" t="str">
        <f>IF(LEFT(Annex!H427,5)="Local","Local Transmission",Annex!H427)</f>
        <v>Imported</v>
      </c>
      <c r="C693" s="35" t="str">
        <f>Annex!J427</f>
        <v>Female</v>
      </c>
      <c r="D693" s="35">
        <f>Annex!D427</f>
        <v>67</v>
      </c>
      <c r="E693" s="35" t="str">
        <f>Annex!K427</f>
        <v>Singaporean</v>
      </c>
      <c r="F693" s="35" t="str">
        <f>Annex!L427</f>
        <v xml:space="preserve">Case 692 is a Imported case, 67 years old female Singapore Citizen  and has been to Malaysia . She is currently admitted at NCID . </v>
      </c>
      <c r="G693" s="36">
        <v>43917</v>
      </c>
      <c r="H693" s="35"/>
      <c r="I693" s="35"/>
      <c r="J693" s="35"/>
      <c r="K693" s="35"/>
      <c r="L693" s="35" t="str">
        <f>Annex!C427</f>
        <v xml:space="preserve">NCID </v>
      </c>
      <c r="M693" s="37" t="s">
        <v>1301</v>
      </c>
    </row>
    <row r="694" spans="1:13" ht="13.8" customHeight="1" x14ac:dyDescent="0.3">
      <c r="A694" s="35">
        <f>Annex!A428</f>
        <v>693</v>
      </c>
      <c r="B694" s="35" t="str">
        <f>IF(LEFT(Annex!H428,5)="Local","Local Transmission",Annex!H428)</f>
        <v>Imported</v>
      </c>
      <c r="C694" s="35" t="str">
        <f>Annex!J428</f>
        <v>Female</v>
      </c>
      <c r="D694" s="35">
        <f>Annex!D428</f>
        <v>30</v>
      </c>
      <c r="E694" s="35" t="str">
        <f>Annex!K428</f>
        <v>Singaporean</v>
      </c>
      <c r="F694" s="35" t="str">
        <f>Annex!L428</f>
        <v xml:space="preserve">Case 693 is a Imported case, 30 years old female Singapore Citizen  and has been to Pending . She is currently admitted at NCID . </v>
      </c>
      <c r="G694" s="36">
        <v>43917</v>
      </c>
      <c r="H694" s="35"/>
      <c r="I694" s="35"/>
      <c r="J694" s="35"/>
      <c r="K694" s="35"/>
      <c r="L694" s="35" t="str">
        <f>Annex!C428</f>
        <v xml:space="preserve">NCID </v>
      </c>
      <c r="M694" s="37" t="s">
        <v>1301</v>
      </c>
    </row>
    <row r="695" spans="1:13" ht="13.8" customHeight="1" x14ac:dyDescent="0.3">
      <c r="A695" s="35">
        <f>Annex!A429</f>
        <v>694</v>
      </c>
      <c r="B695" s="35" t="str">
        <f>IF(LEFT(Annex!H429,5)="Local","Local Transmission",Annex!H429)</f>
        <v>Imported</v>
      </c>
      <c r="C695" s="35" t="str">
        <f>Annex!J429</f>
        <v>Male</v>
      </c>
      <c r="D695" s="35">
        <f>Annex!D429</f>
        <v>41</v>
      </c>
      <c r="E695" s="35" t="str">
        <f>Annex!K429</f>
        <v>Singaporean</v>
      </c>
      <c r="F695" s="35" t="str">
        <f>Annex!L429</f>
        <v xml:space="preserve">Case 694 is a Imported case, 41 years old male Singapore Citizen  and has been to Pending . He is currently admitted at NCID . </v>
      </c>
      <c r="G695" s="36">
        <v>43917</v>
      </c>
      <c r="H695" s="35"/>
      <c r="I695" s="35"/>
      <c r="J695" s="35"/>
      <c r="K695" s="35"/>
      <c r="L695" s="35" t="str">
        <f>Annex!C429</f>
        <v xml:space="preserve">NCID </v>
      </c>
      <c r="M695" s="37" t="s">
        <v>1301</v>
      </c>
    </row>
    <row r="696" spans="1:13" ht="13.8" customHeight="1" x14ac:dyDescent="0.3">
      <c r="A696" s="35">
        <f>Annex!A430</f>
        <v>695</v>
      </c>
      <c r="B696" s="35" t="str">
        <f>IF(LEFT(Annex!H430,5)="Local","Local Transmission",Annex!H430)</f>
        <v>Imported</v>
      </c>
      <c r="C696" s="35" t="str">
        <f>Annex!J430</f>
        <v>Female</v>
      </c>
      <c r="D696" s="35">
        <f>Annex!D430</f>
        <v>1</v>
      </c>
      <c r="E696" s="35" t="str">
        <f>Annex!K430</f>
        <v xml:space="preserve">India </v>
      </c>
      <c r="F696" s="35" t="str">
        <f>Annex!L430</f>
        <v xml:space="preserve">Case 695 is a Imported case, 1 years old female India  and has been to Pending . She is currently admitted at KKH . </v>
      </c>
      <c r="G696" s="36">
        <v>43917</v>
      </c>
      <c r="H696" s="35"/>
      <c r="I696" s="35"/>
      <c r="J696" s="35"/>
      <c r="K696" s="35"/>
      <c r="L696" s="35" t="str">
        <f>Annex!C430</f>
        <v xml:space="preserve">KKH </v>
      </c>
      <c r="M696" s="37" t="s">
        <v>1301</v>
      </c>
    </row>
    <row r="697" spans="1:13" ht="13.8" customHeight="1" x14ac:dyDescent="0.3">
      <c r="A697" s="35">
        <f>Annex!A431</f>
        <v>696</v>
      </c>
      <c r="B697" s="35" t="str">
        <f>IF(LEFT(Annex!H431,5)="Local","Local Transmission",Annex!H431)</f>
        <v>Local Transmission</v>
      </c>
      <c r="C697" s="35" t="str">
        <f>Annex!J431</f>
        <v>Male</v>
      </c>
      <c r="D697" s="35">
        <f>Annex!D431</f>
        <v>54</v>
      </c>
      <c r="E697" s="35" t="str">
        <f>Annex!K431</f>
        <v>Singaporean</v>
      </c>
      <c r="F697" s="35" t="str">
        <f>Annex!L431</f>
        <v xml:space="preserve">Case 696 is a Local unlinked case, 54 years old male Singapore Permanent Resident  and has not been overseas. He is currently admitted at SGH . </v>
      </c>
      <c r="G697" s="36">
        <v>43917</v>
      </c>
      <c r="H697" s="35"/>
      <c r="I697" s="35"/>
      <c r="J697" s="35"/>
      <c r="K697" s="35"/>
      <c r="L697" s="35" t="str">
        <f>Annex!C431</f>
        <v xml:space="preserve">SGH </v>
      </c>
      <c r="M697" s="37" t="s">
        <v>1301</v>
      </c>
    </row>
    <row r="698" spans="1:13" ht="13.8" customHeight="1" x14ac:dyDescent="0.3">
      <c r="A698" s="35">
        <f>Annex!A432</f>
        <v>697</v>
      </c>
      <c r="B698" s="35" t="str">
        <f>IF(LEFT(Annex!H432,5)="Local","Local Transmission",Annex!H432)</f>
        <v>Local Transmission</v>
      </c>
      <c r="C698" s="35" t="str">
        <f>Annex!J432</f>
        <v>Female</v>
      </c>
      <c r="D698" s="35">
        <f>Annex!D432</f>
        <v>57</v>
      </c>
      <c r="E698" s="35" t="str">
        <f>Annex!K432</f>
        <v>Singaporean</v>
      </c>
      <c r="F698" s="35" t="str">
        <f>Annex!L432</f>
        <v>Case 697 is a Local linked  case, 57 years old female Singapore Permanent Resident  and has not been overseas. She is currently admitted at MEH . Family member of Case 698</v>
      </c>
      <c r="G698" s="36">
        <v>43917</v>
      </c>
      <c r="H698" s="35"/>
      <c r="I698" s="35"/>
      <c r="J698" s="35"/>
      <c r="K698" s="35"/>
      <c r="L698" s="35" t="str">
        <f>Annex!C432</f>
        <v xml:space="preserve">MEH </v>
      </c>
      <c r="M698" s="37" t="s">
        <v>1301</v>
      </c>
    </row>
    <row r="699" spans="1:13" ht="13.8" customHeight="1" x14ac:dyDescent="0.3">
      <c r="A699" s="35">
        <f>Annex!A433</f>
        <v>698</v>
      </c>
      <c r="B699" s="35" t="str">
        <f>IF(LEFT(Annex!H433,5)="Local","Local Transmission",Annex!H433)</f>
        <v>Local Transmission</v>
      </c>
      <c r="C699" s="35" t="str">
        <f>Annex!J433</f>
        <v>Male</v>
      </c>
      <c r="D699" s="35">
        <f>Annex!D433</f>
        <v>60</v>
      </c>
      <c r="E699" s="35" t="str">
        <f>Annex!K433</f>
        <v>Singaporean</v>
      </c>
      <c r="F699" s="35" t="str">
        <f>Annex!L433</f>
        <v>Case 698 is a Local linked  case, 60 years old male Singapore Citizen  and has not been overseas. He is currently admitted at MEH . Family member of Case 697</v>
      </c>
      <c r="G699" s="36">
        <v>43917</v>
      </c>
      <c r="H699" s="35"/>
      <c r="I699" s="35"/>
      <c r="J699" s="35"/>
      <c r="K699" s="35"/>
      <c r="L699" s="35" t="str">
        <f>Annex!C433</f>
        <v xml:space="preserve">MEH </v>
      </c>
      <c r="M699" s="37" t="s">
        <v>1301</v>
      </c>
    </row>
    <row r="700" spans="1:13" ht="13.8" customHeight="1" x14ac:dyDescent="0.3">
      <c r="A700" s="35">
        <f>Annex!A434</f>
        <v>699</v>
      </c>
      <c r="B700" s="35" t="str">
        <f>IF(LEFT(Annex!H434,5)="Local","Local Transmission",Annex!H434)</f>
        <v>Imported</v>
      </c>
      <c r="C700" s="35" t="str">
        <f>Annex!J434</f>
        <v>Male</v>
      </c>
      <c r="D700" s="35">
        <f>Annex!D434</f>
        <v>53</v>
      </c>
      <c r="E700" s="35" t="str">
        <f>Annex!K434</f>
        <v>Singaporean</v>
      </c>
      <c r="F700" s="35" t="str">
        <f>Annex!L434</f>
        <v xml:space="preserve">Case 699 is a Imported case, 53 years old male Singapore Permanent Resident  and has been to Pending . He is currently admitted at AH . </v>
      </c>
      <c r="G700" s="36">
        <v>43917</v>
      </c>
      <c r="H700" s="35"/>
      <c r="I700" s="35"/>
      <c r="J700" s="35"/>
      <c r="K700" s="35"/>
      <c r="L700" s="35" t="str">
        <f>Annex!C434</f>
        <v xml:space="preserve">AH </v>
      </c>
      <c r="M700" s="37" t="s">
        <v>1301</v>
      </c>
    </row>
    <row r="701" spans="1:13" ht="13.8" customHeight="1" x14ac:dyDescent="0.3">
      <c r="A701" s="35">
        <f>Annex!A435</f>
        <v>700</v>
      </c>
      <c r="B701" s="35" t="str">
        <f>IF(LEFT(Annex!H435,5)="Local","Local Transmission",Annex!H435)</f>
        <v>Imported</v>
      </c>
      <c r="C701" s="35" t="str">
        <f>Annex!J435</f>
        <v>Female</v>
      </c>
      <c r="D701" s="35">
        <f>Annex!D435</f>
        <v>55</v>
      </c>
      <c r="E701" s="35" t="str">
        <f>Annex!K435</f>
        <v>Singaporean</v>
      </c>
      <c r="F701" s="35" t="str">
        <f>Annex!L435</f>
        <v xml:space="preserve">Case 700 is a Imported case, 55 years old female Singapore Citizen  and has been to Europe . She is currently admitted at NUH . </v>
      </c>
      <c r="G701" s="36">
        <v>43917</v>
      </c>
      <c r="H701" s="35"/>
      <c r="I701" s="35"/>
      <c r="J701" s="35"/>
      <c r="K701" s="35"/>
      <c r="L701" s="35" t="str">
        <f>Annex!C435</f>
        <v xml:space="preserve">NUH </v>
      </c>
      <c r="M701" s="37" t="s">
        <v>1301</v>
      </c>
    </row>
    <row r="702" spans="1:13" ht="13.8" customHeight="1" x14ac:dyDescent="0.3">
      <c r="A702" s="35">
        <f>Annex!A436</f>
        <v>701</v>
      </c>
      <c r="B702" s="35" t="str">
        <f>IF(LEFT(Annex!H436,5)="Local","Local Transmission",Annex!H436)</f>
        <v>Imported</v>
      </c>
      <c r="C702" s="35" t="str">
        <f>Annex!J436</f>
        <v>Male</v>
      </c>
      <c r="D702" s="35">
        <f>Annex!D436</f>
        <v>50</v>
      </c>
      <c r="E702" s="35" t="str">
        <f>Annex!K436</f>
        <v>Singaporean</v>
      </c>
      <c r="F702" s="35" t="str">
        <f>Annex!L436</f>
        <v xml:space="preserve">Case 701 is a Imported case, 50 years old male Singapore Citizen  and has been to US . He is currently admitted at NUH . </v>
      </c>
      <c r="G702" s="36">
        <v>43917</v>
      </c>
      <c r="H702" s="35"/>
      <c r="I702" s="35"/>
      <c r="J702" s="35"/>
      <c r="K702" s="35"/>
      <c r="L702" s="35" t="str">
        <f>Annex!C436</f>
        <v xml:space="preserve">NUH </v>
      </c>
      <c r="M702" s="37" t="s">
        <v>1301</v>
      </c>
    </row>
    <row r="703" spans="1:13" ht="13.8" customHeight="1" x14ac:dyDescent="0.3">
      <c r="A703" s="35">
        <f>Annex!A437</f>
        <v>702</v>
      </c>
      <c r="B703" s="35" t="str">
        <f>IF(LEFT(Annex!H437,5)="Local","Local Transmission",Annex!H437)</f>
        <v xml:space="preserve">Imported </v>
      </c>
      <c r="C703" s="35" t="str">
        <f>Annex!J437</f>
        <v>Male</v>
      </c>
      <c r="D703" s="35">
        <f>Annex!D437</f>
        <v>61</v>
      </c>
      <c r="E703" s="35" t="str">
        <f>Annex!K437</f>
        <v>Singaporean</v>
      </c>
      <c r="F703" s="35" t="str">
        <f>Annex!L437</f>
        <v>Case 702 is a Imported  case, 61 years old male Singapore Citizen  and has been to Europe . He is currently admitted at NTFGH . Family member of Cases 682 and 703</v>
      </c>
      <c r="G703" s="36">
        <v>43917</v>
      </c>
      <c r="H703" s="35"/>
      <c r="I703" s="35"/>
      <c r="J703" s="35"/>
      <c r="K703" s="35"/>
      <c r="L703" s="35" t="str">
        <f>Annex!C437</f>
        <v xml:space="preserve">NTFGH </v>
      </c>
      <c r="M703" s="37" t="s">
        <v>1301</v>
      </c>
    </row>
    <row r="704" spans="1:13" ht="13.8" customHeight="1" x14ac:dyDescent="0.3">
      <c r="A704" s="35">
        <f>Annex!A438</f>
        <v>703</v>
      </c>
      <c r="B704" s="35" t="str">
        <f>IF(LEFT(Annex!H438,5)="Local","Local Transmission",Annex!H438)</f>
        <v xml:space="preserve">Imported </v>
      </c>
      <c r="C704" s="35" t="str">
        <f>Annex!J438</f>
        <v>Female</v>
      </c>
      <c r="D704" s="35">
        <f>Annex!D438</f>
        <v>58</v>
      </c>
      <c r="E704" s="35" t="str">
        <f>Annex!K438</f>
        <v>Singaporean</v>
      </c>
      <c r="F704" s="35" t="str">
        <f>Annex!L438</f>
        <v>Case 703 is a Imported  case, 58 years old female Singapore Citizen  and has been to Europe . She is currently admitted at NTFGH . Family member of Cases 682 and 702</v>
      </c>
      <c r="G704" s="36">
        <v>43917</v>
      </c>
      <c r="H704" s="35"/>
      <c r="I704" s="35"/>
      <c r="J704" s="35"/>
      <c r="K704" s="35"/>
      <c r="L704" s="35" t="str">
        <f>Annex!C438</f>
        <v xml:space="preserve">NTFGH </v>
      </c>
      <c r="M704" s="37" t="s">
        <v>1301</v>
      </c>
    </row>
    <row r="705" spans="1:13" ht="13.8" customHeight="1" x14ac:dyDescent="0.3">
      <c r="A705" s="35">
        <f>Annex!A439</f>
        <v>704</v>
      </c>
      <c r="B705" s="35" t="str">
        <f>IF(LEFT(Annex!H439,5)="Local","Local Transmission",Annex!H439)</f>
        <v>Imported</v>
      </c>
      <c r="C705" s="35" t="str">
        <f>Annex!J439</f>
        <v>Male</v>
      </c>
      <c r="D705" s="35">
        <f>Annex!D439</f>
        <v>19</v>
      </c>
      <c r="E705" s="35" t="str">
        <f>Annex!K439</f>
        <v>Singaporean</v>
      </c>
      <c r="F705" s="35" t="str">
        <f>Annex!L439</f>
        <v xml:space="preserve">Case 704 is a Imported case, 19 years old male Singapore Citizen  and has been to Europe . He is currently admitted at SKH . </v>
      </c>
      <c r="G705" s="36">
        <v>43917</v>
      </c>
      <c r="H705" s="35"/>
      <c r="I705" s="35"/>
      <c r="J705" s="35"/>
      <c r="K705" s="35"/>
      <c r="L705" s="35" t="str">
        <f>Annex!C439</f>
        <v xml:space="preserve">SKH </v>
      </c>
      <c r="M705" s="37" t="s">
        <v>1301</v>
      </c>
    </row>
    <row r="706" spans="1:13" ht="13.8" customHeight="1" x14ac:dyDescent="0.3">
      <c r="A706" s="35">
        <f>Annex!A440</f>
        <v>705</v>
      </c>
      <c r="B706" s="35" t="str">
        <f>IF(LEFT(Annex!H440,5)="Local","Local Transmission",Annex!H440)</f>
        <v>Local Transmission</v>
      </c>
      <c r="C706" s="35" t="str">
        <f>Annex!J440</f>
        <v>Female</v>
      </c>
      <c r="D706" s="35">
        <f>Annex!D440</f>
        <v>2</v>
      </c>
      <c r="E706" s="35" t="str">
        <f>Annex!K440</f>
        <v>Singaporean</v>
      </c>
      <c r="F706" s="35" t="str">
        <f>Annex!L440</f>
        <v>Case 705 is a Local linked  case, 2 years old female Singapore Citizen  and has not been overseas. She is currently admitted at KKH . PCF Fengshan</v>
      </c>
      <c r="G706" s="36">
        <v>43917</v>
      </c>
      <c r="H706" s="35"/>
      <c r="I706" s="35"/>
      <c r="J706" s="35"/>
      <c r="K706" s="35"/>
      <c r="L706" s="35" t="str">
        <f>Annex!C440</f>
        <v xml:space="preserve">KKH </v>
      </c>
      <c r="M706" s="37" t="s">
        <v>1301</v>
      </c>
    </row>
    <row r="707" spans="1:13" ht="13.8" customHeight="1" x14ac:dyDescent="0.3">
      <c r="A707" s="35">
        <f>Annex!A441</f>
        <v>706</v>
      </c>
      <c r="B707" s="35" t="str">
        <f>IF(LEFT(Annex!H441,5)="Local","Local Transmission",Annex!H441)</f>
        <v>Local Transmission</v>
      </c>
      <c r="C707" s="35" t="str">
        <f>Annex!J441</f>
        <v>Female</v>
      </c>
      <c r="D707" s="35">
        <f>Annex!D441</f>
        <v>6</v>
      </c>
      <c r="E707" s="35" t="str">
        <f>Annex!K441</f>
        <v>Singaporean</v>
      </c>
      <c r="F707" s="35" t="str">
        <f>Annex!L441</f>
        <v>Case 706 is a Local linked  case, 6 years old female Singapore Citizen  and has not been overseas. She is currently admitted at KKH . PCF Fengshan</v>
      </c>
      <c r="G707" s="36">
        <v>43917</v>
      </c>
      <c r="H707" s="35"/>
      <c r="I707" s="35"/>
      <c r="J707" s="35"/>
      <c r="K707" s="35"/>
      <c r="L707" s="35" t="str">
        <f>Annex!C441</f>
        <v xml:space="preserve">KKH </v>
      </c>
      <c r="M707" s="37" t="s">
        <v>1301</v>
      </c>
    </row>
    <row r="708" spans="1:13" ht="13.8" customHeight="1" x14ac:dyDescent="0.3">
      <c r="A708" s="35">
        <f>Annex!A442</f>
        <v>707</v>
      </c>
      <c r="B708" s="35" t="str">
        <f>IF(LEFT(Annex!H442,5)="Local","Local Transmission",Annex!H442)</f>
        <v>Local Transmission</v>
      </c>
      <c r="C708" s="35" t="str">
        <f>Annex!J442</f>
        <v>Male</v>
      </c>
      <c r="D708" s="35">
        <f>Annex!D442</f>
        <v>11</v>
      </c>
      <c r="E708" s="35" t="str">
        <f>Annex!K442</f>
        <v>Singaporean</v>
      </c>
      <c r="F708" s="35" t="str">
        <f>Annex!L442</f>
        <v>Case 707 is a Local linked  case, 11 years old male Singapore Citizen  and has not been overseas. He is currently admitted at KKH . PCF Fengshan</v>
      </c>
      <c r="G708" s="36">
        <v>43917</v>
      </c>
      <c r="H708" s="35"/>
      <c r="I708" s="35"/>
      <c r="J708" s="35"/>
      <c r="K708" s="35"/>
      <c r="L708" s="35" t="str">
        <f>Annex!C442</f>
        <v xml:space="preserve">KKH </v>
      </c>
      <c r="M708" s="37" t="s">
        <v>1301</v>
      </c>
    </row>
    <row r="709" spans="1:13" ht="13.8" customHeight="1" x14ac:dyDescent="0.3">
      <c r="A709" s="35">
        <f>Annex!A443</f>
        <v>708</v>
      </c>
      <c r="B709" s="35" t="str">
        <f>IF(LEFT(Annex!H443,5)="Local","Local Transmission",Annex!H443)</f>
        <v>Local Transmission</v>
      </c>
      <c r="C709" s="35" t="str">
        <f>Annex!J443</f>
        <v>Female</v>
      </c>
      <c r="D709" s="35">
        <f>Annex!D443</f>
        <v>13</v>
      </c>
      <c r="E709" s="35" t="str">
        <f>Annex!K443</f>
        <v>Singaporean</v>
      </c>
      <c r="F709" s="35" t="str">
        <f>Annex!L443</f>
        <v>Case 708 is a Local linked  case, 13 years old female Singapore Citizen  and has not been overseas. She is currently admitted at KKH . PCF Fengshan</v>
      </c>
      <c r="G709" s="36">
        <v>43917</v>
      </c>
      <c r="H709" s="35"/>
      <c r="I709" s="35"/>
      <c r="J709" s="35"/>
      <c r="K709" s="35"/>
      <c r="L709" s="35" t="str">
        <f>Annex!C443</f>
        <v xml:space="preserve">KKH </v>
      </c>
      <c r="M709" s="37" t="s">
        <v>1301</v>
      </c>
    </row>
    <row r="710" spans="1:13" ht="13.8" customHeight="1" x14ac:dyDescent="0.3">
      <c r="A710" s="35">
        <f>Annex!A444</f>
        <v>709</v>
      </c>
      <c r="B710" s="35" t="str">
        <f>IF(LEFT(Annex!H444,5)="Local","Local Transmission",Annex!H444)</f>
        <v>Local Transmission</v>
      </c>
      <c r="C710" s="35" t="str">
        <f>Annex!J444</f>
        <v>Male</v>
      </c>
      <c r="D710" s="35">
        <f>Annex!D444</f>
        <v>26</v>
      </c>
      <c r="E710" s="35" t="str">
        <f>Annex!K444</f>
        <v>Singaporean</v>
      </c>
      <c r="F710" s="35" t="str">
        <f>Annex!L444</f>
        <v xml:space="preserve">Case 709 is a Local unlinked case, 26 years old male Singapore Citizen  and has not been overseas. He is currently admitted at NCID . </v>
      </c>
      <c r="G710" s="36">
        <v>43917</v>
      </c>
      <c r="H710" s="35"/>
      <c r="I710" s="35"/>
      <c r="J710" s="35"/>
      <c r="K710" s="35"/>
      <c r="L710" s="35" t="str">
        <f>Annex!C444</f>
        <v xml:space="preserve">NCID </v>
      </c>
      <c r="M710" s="37" t="s">
        <v>1301</v>
      </c>
    </row>
    <row r="711" spans="1:13" ht="13.8" customHeight="1" x14ac:dyDescent="0.3">
      <c r="A711" s="35">
        <f>Annex!A445</f>
        <v>710</v>
      </c>
      <c r="B711" s="35" t="str">
        <f>IF(LEFT(Annex!H445,5)="Local","Local Transmission",Annex!H445)</f>
        <v>Local Transmission</v>
      </c>
      <c r="C711" s="35" t="str">
        <f>Annex!J445</f>
        <v>Male</v>
      </c>
      <c r="D711" s="35">
        <f>Annex!D445</f>
        <v>28</v>
      </c>
      <c r="E711" s="35" t="str">
        <f>Annex!K445</f>
        <v>Bangladesh</v>
      </c>
      <c r="F711" s="35" t="str">
        <f>Annex!L445</f>
        <v>Case 710 is a Local linked  case, 28 years old male Bangladesh (Long Term Pass holder)  and has not been overseas. He is currently admitted at NCID . Contact of Cases 404 and 456</v>
      </c>
      <c r="G711" s="36">
        <v>43917</v>
      </c>
      <c r="H711" s="35"/>
      <c r="I711" s="35"/>
      <c r="J711" s="35"/>
      <c r="K711" s="35"/>
      <c r="L711" s="35" t="str">
        <f>Annex!C445</f>
        <v xml:space="preserve">NCID </v>
      </c>
      <c r="M711" s="37" t="s">
        <v>1301</v>
      </c>
    </row>
    <row r="712" spans="1:13" ht="13.8" customHeight="1" x14ac:dyDescent="0.3">
      <c r="A712" s="35">
        <f>Annex!A446</f>
        <v>711</v>
      </c>
      <c r="B712" s="35" t="str">
        <f>IF(LEFT(Annex!H446,5)="Local","Local Transmission",Annex!H446)</f>
        <v>Imported</v>
      </c>
      <c r="C712" s="35" t="str">
        <f>Annex!J446</f>
        <v>Female</v>
      </c>
      <c r="D712" s="35">
        <f>Annex!D446</f>
        <v>21</v>
      </c>
      <c r="E712" s="35" t="str">
        <f>Annex!K446</f>
        <v>Singaporean</v>
      </c>
      <c r="F712" s="35" t="str">
        <f>Annex!L446</f>
        <v xml:space="preserve">Case 711 is a Imported case, 21 years old female Singapore Permanent Resident  and has been to Europe . She is currently admitted at NCID . </v>
      </c>
      <c r="G712" s="36">
        <v>43917</v>
      </c>
      <c r="H712" s="35"/>
      <c r="I712" s="35"/>
      <c r="J712" s="35"/>
      <c r="K712" s="35"/>
      <c r="L712" s="35" t="str">
        <f>Annex!C446</f>
        <v xml:space="preserve">NCID </v>
      </c>
      <c r="M712" s="37" t="s">
        <v>1301</v>
      </c>
    </row>
    <row r="713" spans="1:13" ht="13.8" customHeight="1" x14ac:dyDescent="0.3">
      <c r="A713" s="35">
        <f>Annex!A447</f>
        <v>712</v>
      </c>
      <c r="B713" s="35" t="str">
        <f>IF(LEFT(Annex!H447,5)="Local","Local Transmission",Annex!H447)</f>
        <v>Imported</v>
      </c>
      <c r="C713" s="35" t="str">
        <f>Annex!J447</f>
        <v>Female</v>
      </c>
      <c r="D713" s="35">
        <f>Annex!D447</f>
        <v>38</v>
      </c>
      <c r="E713" s="35" t="str">
        <f>Annex!K447</f>
        <v>Singaporean</v>
      </c>
      <c r="F713" s="35" t="str">
        <f>Annex!L447</f>
        <v xml:space="preserve">Case 712 is a Imported case, 38 years old female Singapore Citizen  and has been to Europe . She is currently admitted at NCID . </v>
      </c>
      <c r="G713" s="36">
        <v>43917</v>
      </c>
      <c r="H713" s="35"/>
      <c r="I713" s="35"/>
      <c r="J713" s="35"/>
      <c r="K713" s="35"/>
      <c r="L713" s="35" t="str">
        <f>Annex!C447</f>
        <v xml:space="preserve">NCID </v>
      </c>
      <c r="M713" s="37" t="s">
        <v>1301</v>
      </c>
    </row>
    <row r="714" spans="1:13" ht="13.8" customHeight="1" x14ac:dyDescent="0.3">
      <c r="A714" s="35">
        <f>Annex!A448</f>
        <v>713</v>
      </c>
      <c r="B714" s="35" t="str">
        <f>IF(LEFT(Annex!H448,5)="Local","Local Transmission",Annex!H448)</f>
        <v>Local Transmission</v>
      </c>
      <c r="C714" s="35" t="str">
        <f>Annex!J448</f>
        <v>Female</v>
      </c>
      <c r="D714" s="35">
        <f>Annex!D448</f>
        <v>59</v>
      </c>
      <c r="E714" s="35" t="str">
        <f>Annex!K448</f>
        <v>UK</v>
      </c>
      <c r="F714" s="35" t="str">
        <f>Annex!L448</f>
        <v>Case 713 is a Local linked  case, 59 years old female UK (Long Term Pass holder)  and has not been overseas. She is currently admitted at NCID . Dover Court International School</v>
      </c>
      <c r="G714" s="36">
        <v>43917</v>
      </c>
      <c r="H714" s="35"/>
      <c r="I714" s="35"/>
      <c r="J714" s="35"/>
      <c r="K714" s="35"/>
      <c r="L714" s="35" t="str">
        <f>Annex!C448</f>
        <v xml:space="preserve">NCID </v>
      </c>
      <c r="M714" s="37" t="s">
        <v>1301</v>
      </c>
    </row>
    <row r="715" spans="1:13" ht="13.8" customHeight="1" x14ac:dyDescent="0.3">
      <c r="A715" s="35">
        <f>Annex!A449</f>
        <v>714</v>
      </c>
      <c r="B715" s="35" t="str">
        <f>IF(LEFT(Annex!H449,5)="Local","Local Transmission",Annex!H449)</f>
        <v>Local Transmission</v>
      </c>
      <c r="C715" s="35" t="str">
        <f>Annex!J449</f>
        <v>Female</v>
      </c>
      <c r="D715" s="35">
        <f>Annex!D449</f>
        <v>27</v>
      </c>
      <c r="E715" s="35" t="str">
        <f>Annex!K449</f>
        <v>South Korea</v>
      </c>
      <c r="F715" s="35" t="str">
        <f>Annex!L449</f>
        <v>Case 714 is a Local linked  case, 27 years old female South Korea (Singapore Work Pass holder)  and has not been overseas. She is currently admitted at NCID . Contact of Case 670</v>
      </c>
      <c r="G715" s="36">
        <v>43917</v>
      </c>
      <c r="H715" s="35"/>
      <c r="I715" s="35"/>
      <c r="J715" s="35"/>
      <c r="K715" s="35"/>
      <c r="L715" s="35" t="str">
        <f>Annex!C449</f>
        <v xml:space="preserve">NCID </v>
      </c>
      <c r="M715" s="37" t="s">
        <v>1301</v>
      </c>
    </row>
    <row r="716" spans="1:13" ht="13.8" customHeight="1" x14ac:dyDescent="0.3">
      <c r="A716" s="35">
        <f>Annex!A450</f>
        <v>715</v>
      </c>
      <c r="B716" s="35" t="str">
        <f>IF(LEFT(Annex!H450,5)="Local","Local Transmission",Annex!H450)</f>
        <v>Imported</v>
      </c>
      <c r="C716" s="35" t="str">
        <f>Annex!J450</f>
        <v>Male</v>
      </c>
      <c r="D716" s="35">
        <f>Annex!D450</f>
        <v>71</v>
      </c>
      <c r="E716" s="35" t="str">
        <f>Annex!K450</f>
        <v>Singaporean</v>
      </c>
      <c r="F716" s="35" t="str">
        <f>Annex!L450</f>
        <v xml:space="preserve">Case 715 is a Imported case, 71 years old male Singapore Citizen  and has been to Malaysia . He is currently admitted at NCID . </v>
      </c>
      <c r="G716" s="36">
        <v>43917</v>
      </c>
      <c r="H716" s="35"/>
      <c r="I716" s="35"/>
      <c r="J716" s="35"/>
      <c r="K716" s="35"/>
      <c r="L716" s="35" t="str">
        <f>Annex!C450</f>
        <v xml:space="preserve">NCID </v>
      </c>
      <c r="M716" s="37" t="s">
        <v>1301</v>
      </c>
    </row>
    <row r="717" spans="1:13" ht="13.8" customHeight="1" x14ac:dyDescent="0.3">
      <c r="A717" s="35">
        <f>Annex!A451</f>
        <v>716</v>
      </c>
      <c r="B717" s="35" t="str">
        <f>IF(LEFT(Annex!H451,5)="Local","Local Transmission",Annex!H451)</f>
        <v>Local Transmission</v>
      </c>
      <c r="C717" s="35" t="str">
        <f>Annex!J451</f>
        <v>Female</v>
      </c>
      <c r="D717" s="35">
        <f>Annex!D451</f>
        <v>67</v>
      </c>
      <c r="E717" s="35" t="str">
        <f>Annex!K451</f>
        <v>Singaporean</v>
      </c>
      <c r="F717" s="35" t="str">
        <f>Annex!L451</f>
        <v>Case 716 is a Local linked  case, 67 years old female Singapore Citizen  and has not been overseas. She is currently admitted at NCID . PCF Fengshan</v>
      </c>
      <c r="G717" s="36">
        <v>43917</v>
      </c>
      <c r="H717" s="35"/>
      <c r="I717" s="35"/>
      <c r="J717" s="35"/>
      <c r="K717" s="35"/>
      <c r="L717" s="35" t="str">
        <f>Annex!C451</f>
        <v xml:space="preserve">NCID </v>
      </c>
      <c r="M717" s="37" t="s">
        <v>1301</v>
      </c>
    </row>
    <row r="718" spans="1:13" ht="13.8" customHeight="1" x14ac:dyDescent="0.3">
      <c r="A718" s="35">
        <f>Annex!A452</f>
        <v>717</v>
      </c>
      <c r="B718" s="35" t="str">
        <f>IF(LEFT(Annex!H452,5)="Local","Local Transmission",Annex!H452)</f>
        <v xml:space="preserve">Imported </v>
      </c>
      <c r="C718" s="35" t="str">
        <f>Annex!J452</f>
        <v>Female</v>
      </c>
      <c r="D718" s="35">
        <f>Annex!D452</f>
        <v>19</v>
      </c>
      <c r="E718" s="35" t="str">
        <f>Annex!K452</f>
        <v>Indi</v>
      </c>
      <c r="F718" s="35" t="str">
        <f>Annex!L452</f>
        <v xml:space="preserve">Case 717 is a Imported  case, 19 years old female India(Long Term Pass holder)  and has been to Pending . She is currently admitted at NCID . </v>
      </c>
      <c r="G718" s="36">
        <v>43917</v>
      </c>
      <c r="H718" s="35"/>
      <c r="I718" s="35"/>
      <c r="J718" s="35"/>
      <c r="K718" s="35"/>
      <c r="L718" s="35" t="str">
        <f>Annex!C452</f>
        <v xml:space="preserve">NCID </v>
      </c>
      <c r="M718" s="37" t="s">
        <v>1301</v>
      </c>
    </row>
    <row r="719" spans="1:13" ht="13.8" customHeight="1" x14ac:dyDescent="0.3">
      <c r="A719" s="35">
        <f>Annex!A453</f>
        <v>718</v>
      </c>
      <c r="B719" s="35" t="str">
        <f>IF(LEFT(Annex!H453,5)="Local","Local Transmission",Annex!H453)</f>
        <v>Local Transmission</v>
      </c>
      <c r="C719" s="35" t="str">
        <f>Annex!J453</f>
        <v>Male</v>
      </c>
      <c r="D719" s="35">
        <f>Annex!D453</f>
        <v>33</v>
      </c>
      <c r="E719" s="35" t="str">
        <f>Annex!K453</f>
        <v>Bangladesh</v>
      </c>
      <c r="F719" s="35" t="str">
        <f>Annex!L453</f>
        <v>Case 718 is a Local linked  case, 33 years old male Bangladesh (Long Term Pass holder)  and has not been overseas. He is currently admitted at NCID . Contact of Case 658</v>
      </c>
      <c r="G719" s="36">
        <v>43917</v>
      </c>
      <c r="H719" s="35"/>
      <c r="I719" s="35"/>
      <c r="J719" s="35"/>
      <c r="K719" s="35"/>
      <c r="L719" s="35" t="str">
        <f>Annex!C453</f>
        <v xml:space="preserve">NCID </v>
      </c>
      <c r="M719" s="37" t="s">
        <v>1301</v>
      </c>
    </row>
    <row r="720" spans="1:13" ht="13.8" customHeight="1" x14ac:dyDescent="0.3">
      <c r="A720" s="35">
        <f>Annex!A454</f>
        <v>719</v>
      </c>
      <c r="B720" s="35" t="str">
        <f>IF(LEFT(Annex!H454,5)="Local","Local Transmission",Annex!H454)</f>
        <v>Imported</v>
      </c>
      <c r="C720" s="35" t="str">
        <f>Annex!J454</f>
        <v>Male</v>
      </c>
      <c r="D720" s="35">
        <f>Annex!D454</f>
        <v>29</v>
      </c>
      <c r="E720" s="35" t="str">
        <f>Annex!K454</f>
        <v>Singaporean</v>
      </c>
      <c r="F720" s="35" t="str">
        <f>Annex!L454</f>
        <v xml:space="preserve">Case 719 is a Imported case, 29 years old male Singapore Citizen  and has been to UK . He is currently admitted at NCID . </v>
      </c>
      <c r="G720" s="36">
        <v>43917</v>
      </c>
      <c r="H720" s="35"/>
      <c r="I720" s="35"/>
      <c r="J720" s="35"/>
      <c r="K720" s="35"/>
      <c r="L720" s="35" t="str">
        <f>Annex!C454</f>
        <v xml:space="preserve">NCID </v>
      </c>
      <c r="M720" s="37" t="s">
        <v>1301</v>
      </c>
    </row>
    <row r="721" spans="1:13" ht="13.8" customHeight="1" x14ac:dyDescent="0.3">
      <c r="A721" s="35">
        <f>Annex!A455</f>
        <v>720</v>
      </c>
      <c r="B721" s="35" t="str">
        <f>IF(LEFT(Annex!H455,5)="Local","Local Transmission",Annex!H455)</f>
        <v>Imported</v>
      </c>
      <c r="C721" s="35" t="str">
        <f>Annex!J455</f>
        <v>Male</v>
      </c>
      <c r="D721" s="35">
        <f>Annex!D455</f>
        <v>20</v>
      </c>
      <c r="E721" s="35" t="str">
        <f>Annex!K455</f>
        <v xml:space="preserve">Indonesia </v>
      </c>
      <c r="F721" s="35" t="str">
        <f>Annex!L455</f>
        <v xml:space="preserve">Case 720 is a Imported case, 20 years old male Indonesia  and has been to US . He is currently admitted at NCID . </v>
      </c>
      <c r="G721" s="36">
        <v>43917</v>
      </c>
      <c r="H721" s="35"/>
      <c r="I721" s="35"/>
      <c r="J721" s="35"/>
      <c r="K721" s="35"/>
      <c r="L721" s="35" t="str">
        <f>Annex!C455</f>
        <v xml:space="preserve">NCID </v>
      </c>
      <c r="M721" s="37" t="s">
        <v>1301</v>
      </c>
    </row>
    <row r="722" spans="1:13" ht="13.8" customHeight="1" x14ac:dyDescent="0.3">
      <c r="A722" s="35">
        <f>Annex!A456</f>
        <v>721</v>
      </c>
      <c r="B722" s="35" t="str">
        <f>IF(LEFT(Annex!H456,5)="Local","Local Transmission",Annex!H456)</f>
        <v>Local Transmission</v>
      </c>
      <c r="C722" s="35" t="str">
        <f>Annex!J456</f>
        <v>Female</v>
      </c>
      <c r="D722" s="35">
        <f>Annex!D456</f>
        <v>68</v>
      </c>
      <c r="E722" s="35" t="str">
        <f>Annex!K456</f>
        <v>Singaporean</v>
      </c>
      <c r="F722" s="35" t="str">
        <f>Annex!L456</f>
        <v xml:space="preserve">Case 721 is a Local unlinked case, 68 years old female Singapore Citizen  and has not been overseas. She is currently admitted at NCID . </v>
      </c>
      <c r="G722" s="36">
        <v>43917</v>
      </c>
      <c r="H722" s="35"/>
      <c r="I722" s="35"/>
      <c r="J722" s="35"/>
      <c r="K722" s="35"/>
      <c r="L722" s="35" t="str">
        <f>Annex!C456</f>
        <v xml:space="preserve">NCID </v>
      </c>
      <c r="M722" s="37" t="s">
        <v>1301</v>
      </c>
    </row>
    <row r="723" spans="1:13" ht="13.8" customHeight="1" x14ac:dyDescent="0.3">
      <c r="A723" s="35">
        <f>Annex!A457</f>
        <v>722</v>
      </c>
      <c r="B723" s="35" t="str">
        <f>IF(LEFT(Annex!H457,5)="Local","Local Transmission",Annex!H457)</f>
        <v>Local Transmission</v>
      </c>
      <c r="C723" s="35" t="str">
        <f>Annex!J457</f>
        <v>Male</v>
      </c>
      <c r="D723" s="35">
        <f>Annex!D457</f>
        <v>56</v>
      </c>
      <c r="E723" s="35" t="str">
        <f>Annex!K457</f>
        <v>Singaporean</v>
      </c>
      <c r="F723" s="35" t="str">
        <f>Annex!L457</f>
        <v xml:space="preserve">Case 722 is a Local unlinked case, 56 years old male Singapore Citizen  and has not been overseas. He is currently admitted at NCID . </v>
      </c>
      <c r="G723" s="36">
        <v>43917</v>
      </c>
      <c r="H723" s="35"/>
      <c r="I723" s="35"/>
      <c r="J723" s="35"/>
      <c r="K723" s="35"/>
      <c r="L723" s="35" t="str">
        <f>Annex!C457</f>
        <v xml:space="preserve">NCID </v>
      </c>
      <c r="M723" s="37" t="s">
        <v>1301</v>
      </c>
    </row>
    <row r="724" spans="1:13" ht="13.8" customHeight="1" x14ac:dyDescent="0.3">
      <c r="A724" s="35">
        <f>Annex!A458</f>
        <v>723</v>
      </c>
      <c r="B724" s="35" t="str">
        <f>IF(LEFT(Annex!H458,5)="Local","Local Transmission",Annex!H458)</f>
        <v>Imported</v>
      </c>
      <c r="C724" s="35" t="str">
        <f>Annex!J458</f>
        <v>Female</v>
      </c>
      <c r="D724" s="35">
        <f>Annex!D458</f>
        <v>27</v>
      </c>
      <c r="E724" s="35" t="str">
        <f>Annex!K458</f>
        <v>Singaporean</v>
      </c>
      <c r="F724" s="35" t="str">
        <f>Annex!L458</f>
        <v xml:space="preserve">Case 723 is a Imported case, 27 years old female Singapore Citizen  and has been to UK . She is currently admitted at NCID . </v>
      </c>
      <c r="G724" s="36">
        <v>43917</v>
      </c>
      <c r="H724" s="35"/>
      <c r="I724" s="35"/>
      <c r="J724" s="35"/>
      <c r="K724" s="35"/>
      <c r="L724" s="35" t="str">
        <f>Annex!C458</f>
        <v xml:space="preserve">NCID </v>
      </c>
      <c r="M724" s="37" t="s">
        <v>1301</v>
      </c>
    </row>
    <row r="725" spans="1:13" ht="13.8" customHeight="1" x14ac:dyDescent="0.3">
      <c r="A725" s="35">
        <f>Annex!A459</f>
        <v>724</v>
      </c>
      <c r="B725" s="35" t="str">
        <f>IF(LEFT(Annex!H459,5)="Local","Local Transmission",Annex!H459)</f>
        <v>Local Transmission</v>
      </c>
      <c r="C725" s="35" t="str">
        <f>Annex!J459</f>
        <v>Male</v>
      </c>
      <c r="D725" s="35">
        <f>Annex!D459</f>
        <v>29</v>
      </c>
      <c r="E725" s="35" t="str">
        <f>Annex!K459</f>
        <v>Malaysia</v>
      </c>
      <c r="F725" s="35" t="str">
        <f>Annex!L459</f>
        <v>Case 724 is a Local linked  case, 29 years old male Malaysia (Singapore Work Pass holder)  and has not been overseas. He is currently admitted at NCID . SingPost Centre</v>
      </c>
      <c r="G725" s="36">
        <v>43917</v>
      </c>
      <c r="H725" s="35"/>
      <c r="I725" s="35"/>
      <c r="J725" s="35"/>
      <c r="K725" s="35"/>
      <c r="L725" s="35" t="str">
        <f>Annex!C459</f>
        <v xml:space="preserve">NCID </v>
      </c>
      <c r="M725" s="37" t="s">
        <v>1301</v>
      </c>
    </row>
    <row r="726" spans="1:13" ht="13.8" customHeight="1" x14ac:dyDescent="0.3">
      <c r="A726" s="35">
        <f>Annex!A460</f>
        <v>725</v>
      </c>
      <c r="B726" s="35" t="str">
        <f>IF(LEFT(Annex!H460,5)="Local","Local Transmission",Annex!H460)</f>
        <v>Imported</v>
      </c>
      <c r="C726" s="35" t="str">
        <f>Annex!J460</f>
        <v>Male</v>
      </c>
      <c r="D726" s="35">
        <f>Annex!D460</f>
        <v>23</v>
      </c>
      <c r="E726" s="35" t="str">
        <f>Annex!K460</f>
        <v>Singaporean</v>
      </c>
      <c r="F726" s="35" t="str">
        <f>Annex!L460</f>
        <v xml:space="preserve">Case 725 is a Imported case, 23 years old male Singapore Citizen  and has been to UK . He is currently admitted at NTFGH . </v>
      </c>
      <c r="G726" s="36">
        <v>43917</v>
      </c>
      <c r="H726" s="35"/>
      <c r="I726" s="35"/>
      <c r="J726" s="35"/>
      <c r="K726" s="35"/>
      <c r="L726" s="35" t="str">
        <f>Annex!C460</f>
        <v xml:space="preserve">NTFGH </v>
      </c>
      <c r="M726" s="37" t="s">
        <v>1301</v>
      </c>
    </row>
    <row r="727" spans="1:13" ht="13.8" customHeight="1" x14ac:dyDescent="0.3">
      <c r="A727" s="35">
        <f>Annex!A461</f>
        <v>726</v>
      </c>
      <c r="B727" s="35" t="str">
        <f>IF(LEFT(Annex!H461,5)="Local","Local Transmission",Annex!H461)</f>
        <v>Local Transmission</v>
      </c>
      <c r="C727" s="35" t="str">
        <f>Annex!J461</f>
        <v>Male</v>
      </c>
      <c r="D727" s="35">
        <f>Annex!D461</f>
        <v>59</v>
      </c>
      <c r="E727" s="35" t="str">
        <f>Annex!K461</f>
        <v>Singaporean</v>
      </c>
      <c r="F727" s="35" t="str">
        <f>Annex!L461</f>
        <v>Case 726 is a Local linked  case, 59 years old male Singapore Citizen  and has not been overseas. He is currently admitted at NCID . Contact of Cases 557 and 629</v>
      </c>
      <c r="G727" s="36">
        <v>43917</v>
      </c>
      <c r="H727" s="35"/>
      <c r="I727" s="35"/>
      <c r="J727" s="35"/>
      <c r="K727" s="35"/>
      <c r="L727" s="35" t="str">
        <f>Annex!C461</f>
        <v xml:space="preserve">NCID </v>
      </c>
      <c r="M727" s="37" t="s">
        <v>1301</v>
      </c>
    </row>
    <row r="728" spans="1:13" ht="13.8" customHeight="1" x14ac:dyDescent="0.3">
      <c r="A728" s="35">
        <f>Annex!A462</f>
        <v>727</v>
      </c>
      <c r="B728" s="35" t="str">
        <f>IF(LEFT(Annex!H462,5)="Local","Local Transmission",Annex!H462)</f>
        <v>Imported</v>
      </c>
      <c r="C728" s="35" t="str">
        <f>Annex!J462</f>
        <v>Male</v>
      </c>
      <c r="D728" s="35">
        <f>Annex!D462</f>
        <v>59</v>
      </c>
      <c r="E728" s="35" t="str">
        <f>Annex!K462</f>
        <v>Singaporean</v>
      </c>
      <c r="F728" s="35" t="str">
        <f>Annex!L462</f>
        <v xml:space="preserve">Case 727 is a Imported case, 59 years old male Singapore Citizen  and has been to UK . He is currently admitted at NCID . </v>
      </c>
      <c r="G728" s="36">
        <v>43917</v>
      </c>
      <c r="H728" s="35"/>
      <c r="I728" s="35"/>
      <c r="J728" s="35"/>
      <c r="K728" s="35"/>
      <c r="L728" s="35" t="str">
        <f>Annex!C462</f>
        <v xml:space="preserve">NCID </v>
      </c>
      <c r="M728" s="37" t="s">
        <v>1301</v>
      </c>
    </row>
    <row r="729" spans="1:13" ht="13.8" customHeight="1" x14ac:dyDescent="0.3">
      <c r="A729" s="35">
        <f>Annex!A463</f>
        <v>728</v>
      </c>
      <c r="B729" s="35" t="str">
        <f>IF(LEFT(Annex!H463,5)="Local","Local Transmission",Annex!H463)</f>
        <v>Local Transmission</v>
      </c>
      <c r="C729" s="35" t="str">
        <f>Annex!J463</f>
        <v>Male</v>
      </c>
      <c r="D729" s="35">
        <f>Annex!D463</f>
        <v>22</v>
      </c>
      <c r="E729" s="35" t="str">
        <f>Annex!K463</f>
        <v>Singaporean</v>
      </c>
      <c r="F729" s="35" t="str">
        <f>Annex!L463</f>
        <v xml:space="preserve">Case 728 is a Local unlinked case, 22 years old male Singapore Citizen  and has not been overseas. He is currently admitted at CGH . </v>
      </c>
      <c r="G729" s="36">
        <v>43917</v>
      </c>
      <c r="H729" s="35"/>
      <c r="I729" s="35"/>
      <c r="J729" s="35"/>
      <c r="K729" s="35"/>
      <c r="L729" s="35" t="str">
        <f>Annex!C463</f>
        <v xml:space="preserve">CGH </v>
      </c>
      <c r="M729" s="37" t="s">
        <v>1301</v>
      </c>
    </row>
    <row r="730" spans="1:13" ht="13.8" customHeight="1" x14ac:dyDescent="0.3">
      <c r="A730" s="35">
        <f>Annex!A464</f>
        <v>729</v>
      </c>
      <c r="B730" s="35" t="str">
        <f>IF(LEFT(Annex!H464,5)="Local","Local Transmission",Annex!H464)</f>
        <v>Local Transmission</v>
      </c>
      <c r="C730" s="35" t="str">
        <f>Annex!J464</f>
        <v>Male</v>
      </c>
      <c r="D730" s="35">
        <f>Annex!D464</f>
        <v>53</v>
      </c>
      <c r="E730" s="35" t="str">
        <f>Annex!K464</f>
        <v>Singaporean</v>
      </c>
      <c r="F730" s="35" t="str">
        <f>Annex!L464</f>
        <v>Case 729 is a Local linked  case, 53 years old male Singapore Permanent Resident  and has not been overseas. He is currently admitted at SGH . Dover Court International School</v>
      </c>
      <c r="G730" s="36">
        <v>43917</v>
      </c>
      <c r="H730" s="35"/>
      <c r="I730" s="35"/>
      <c r="J730" s="35"/>
      <c r="K730" s="35"/>
      <c r="L730" s="35" t="str">
        <f>Annex!C464</f>
        <v xml:space="preserve">SGH </v>
      </c>
      <c r="M730" s="37" t="s">
        <v>1301</v>
      </c>
    </row>
    <row r="731" spans="1:13" ht="13.8" customHeight="1" x14ac:dyDescent="0.3">
      <c r="A731" s="35">
        <f>Annex!A465</f>
        <v>730</v>
      </c>
      <c r="B731" s="35" t="str">
        <f>IF(LEFT(Annex!H465,5)="Local","Local Transmission",Annex!H465)</f>
        <v>Local Transmission</v>
      </c>
      <c r="C731" s="35" t="str">
        <f>Annex!J465</f>
        <v>Male</v>
      </c>
      <c r="D731" s="35">
        <f>Annex!D465</f>
        <v>26</v>
      </c>
      <c r="E731" s="35" t="str">
        <f>Annex!K465</f>
        <v>Singaporean</v>
      </c>
      <c r="F731" s="35" t="str">
        <f>Annex!L465</f>
        <v xml:space="preserve">Case 730 is a Local unlinked case, 26 years old male Singapore Permanent Resident  and has not been overseas. He is currently admitted at NCID . </v>
      </c>
      <c r="G731" s="36">
        <v>43917</v>
      </c>
      <c r="H731" s="35"/>
      <c r="I731" s="35"/>
      <c r="J731" s="35"/>
      <c r="K731" s="35"/>
      <c r="L731" s="35" t="str">
        <f>Annex!C465</f>
        <v xml:space="preserve">NCID </v>
      </c>
      <c r="M731" s="37" t="s">
        <v>1301</v>
      </c>
    </row>
    <row r="732" spans="1:13" ht="13.8" customHeight="1" x14ac:dyDescent="0.3">
      <c r="A732" s="35">
        <f>Annex!A466</f>
        <v>731</v>
      </c>
      <c r="B732" s="35" t="str">
        <f>IF(LEFT(Annex!H466,5)="Local","Local Transmission",Annex!H466)</f>
        <v>Local Transmission</v>
      </c>
      <c r="C732" s="35" t="str">
        <f>Annex!J466</f>
        <v>Male</v>
      </c>
      <c r="D732" s="35">
        <f>Annex!D466</f>
        <v>32</v>
      </c>
      <c r="E732" s="35" t="str">
        <f>Annex!K466</f>
        <v>Singaporean</v>
      </c>
      <c r="F732" s="35" t="str">
        <f>Annex!L466</f>
        <v xml:space="preserve">Case 731 is a Local unlinked case, 32 years old male Singapore Citizen  and has not been overseas. He is currently admitted at CGH . </v>
      </c>
      <c r="G732" s="36">
        <v>43917</v>
      </c>
      <c r="H732" s="35"/>
      <c r="I732" s="35"/>
      <c r="J732" s="35"/>
      <c r="K732" s="35"/>
      <c r="L732" s="35" t="str">
        <f>Annex!C466</f>
        <v xml:space="preserve">CGH </v>
      </c>
      <c r="M732" s="37" t="s">
        <v>1301</v>
      </c>
    </row>
    <row r="733" spans="1:13" ht="13.8" customHeight="1" x14ac:dyDescent="0.3">
      <c r="A733" s="35">
        <f>Annex!A467</f>
        <v>732</v>
      </c>
      <c r="B733" s="35" t="str">
        <f>IF(LEFT(Annex!H467,5)="Local","Local Transmission",Annex!H467)</f>
        <v>Imported</v>
      </c>
      <c r="C733" s="35" t="str">
        <f>Annex!J467</f>
        <v>Female</v>
      </c>
      <c r="D733" s="35">
        <f>Annex!D467</f>
        <v>23</v>
      </c>
      <c r="E733" s="35" t="str">
        <f>Annex!K467</f>
        <v>Singaporean</v>
      </c>
      <c r="F733" s="35" t="str">
        <f>Annex!L467</f>
        <v xml:space="preserve">Case 732 is a Imported case, 23 years old female Singapore Citizen  and has been to UK . She is currently admitted at CGH . </v>
      </c>
      <c r="G733" s="36">
        <v>43917</v>
      </c>
      <c r="H733" s="35"/>
      <c r="I733" s="35"/>
      <c r="J733" s="35"/>
      <c r="K733" s="35"/>
      <c r="L733" s="35" t="str">
        <f>Annex!C467</f>
        <v xml:space="preserve">CGH </v>
      </c>
      <c r="M733" s="37" t="s">
        <v>1301</v>
      </c>
    </row>
    <row r="734" spans="1:13" ht="13.8" customHeight="1" x14ac:dyDescent="0.3">
      <c r="A734" s="42">
        <f>Annex!A468</f>
        <v>733</v>
      </c>
      <c r="B734" s="42" t="str">
        <f>IF(LEFT(Annex!H468,5)="Local","Local Transmission",Annex!H468)</f>
        <v>Imported</v>
      </c>
      <c r="C734" s="42" t="str">
        <f>Annex!J468</f>
        <v>Male</v>
      </c>
      <c r="D734" s="42">
        <f>Annex!D468</f>
        <v>52</v>
      </c>
      <c r="E734" s="42" t="str">
        <f>Annex!K468</f>
        <v xml:space="preserve">Australia </v>
      </c>
      <c r="F734" s="42" t="str">
        <f>Annex!L468</f>
        <v xml:space="preserve">Case 733 is a Imported case, 52 years old male Australia  and has been to US, UK . He is currently admitted at NCID . </v>
      </c>
      <c r="G734" s="39">
        <v>43918</v>
      </c>
      <c r="H734" s="42"/>
      <c r="I734" s="42"/>
      <c r="J734" s="42"/>
      <c r="K734" s="42"/>
      <c r="L734" s="42" t="str">
        <f>Annex!C468</f>
        <v xml:space="preserve">NCID </v>
      </c>
      <c r="M734" s="43" t="s">
        <v>1302</v>
      </c>
    </row>
    <row r="735" spans="1:13" ht="13.8" customHeight="1" x14ac:dyDescent="0.3">
      <c r="A735" s="42">
        <f>Annex!A469</f>
        <v>734</v>
      </c>
      <c r="B735" s="42" t="str">
        <f>IF(LEFT(Annex!H469,5)="Local","Local Transmission",Annex!H469)</f>
        <v>Local Transmission</v>
      </c>
      <c r="C735" s="42" t="str">
        <f>Annex!J469</f>
        <v>Female</v>
      </c>
      <c r="D735" s="42">
        <f>Annex!D469</f>
        <v>31</v>
      </c>
      <c r="E735" s="42" t="str">
        <f>Annex!K469</f>
        <v>Singaporean</v>
      </c>
      <c r="F735" s="42" t="str">
        <f>Annex!L469</f>
        <v>Case 734 is a Local linked  case, 31 years old female Singapore Citizen  and has not been overseas. She is currently admitted at NCID . Contact of Cases 533 and 659</v>
      </c>
      <c r="G735" s="39">
        <v>43918</v>
      </c>
      <c r="H735" s="42"/>
      <c r="I735" s="42"/>
      <c r="J735" s="42"/>
      <c r="K735" s="42"/>
      <c r="L735" s="42" t="str">
        <f>Annex!C469</f>
        <v xml:space="preserve">NCID </v>
      </c>
      <c r="M735" s="43" t="s">
        <v>1302</v>
      </c>
    </row>
    <row r="736" spans="1:13" ht="13.8" customHeight="1" x14ac:dyDescent="0.3">
      <c r="A736" s="42">
        <f>Annex!A470</f>
        <v>735</v>
      </c>
      <c r="B736" s="42" t="str">
        <f>IF(LEFT(Annex!H470,5)="Local","Local Transmission",Annex!H470)</f>
        <v>Imported</v>
      </c>
      <c r="C736" s="42" t="str">
        <f>Annex!J470</f>
        <v>Female</v>
      </c>
      <c r="D736" s="42">
        <f>Annex!D470</f>
        <v>29</v>
      </c>
      <c r="E736" s="42" t="str">
        <f>Annex!K470</f>
        <v>Ireland</v>
      </c>
      <c r="F736" s="42" t="str">
        <f>Annex!L470</f>
        <v xml:space="preserve">Case 735 is a Imported case, 29 years old female Ireland (Singapore Work Pass holder)  and has been to Vietnam . She is currently admitted at SGH . </v>
      </c>
      <c r="G736" s="39">
        <v>43918</v>
      </c>
      <c r="H736" s="42"/>
      <c r="I736" s="42"/>
      <c r="J736" s="42"/>
      <c r="K736" s="42"/>
      <c r="L736" s="42" t="str">
        <f>Annex!C470</f>
        <v xml:space="preserve">SGH </v>
      </c>
      <c r="M736" s="43" t="s">
        <v>1302</v>
      </c>
    </row>
    <row r="737" spans="1:13" ht="13.8" customHeight="1" x14ac:dyDescent="0.3">
      <c r="A737" s="42">
        <f>Annex!A471</f>
        <v>736</v>
      </c>
      <c r="B737" s="42" t="str">
        <f>IF(LEFT(Annex!H471,5)="Local","Local Transmission",Annex!H471)</f>
        <v>Imported</v>
      </c>
      <c r="C737" s="42" t="str">
        <f>Annex!J471</f>
        <v>Male</v>
      </c>
      <c r="D737" s="42">
        <f>Annex!D471</f>
        <v>43</v>
      </c>
      <c r="E737" s="42" t="str">
        <f>Annex!K471</f>
        <v>France</v>
      </c>
      <c r="F737" s="42" t="str">
        <f>Annex!L471</f>
        <v xml:space="preserve">Case 736 is a Imported case, 43 years old male France (Long Term Pass holder)  and has been to Indonesia . He is currently admitted at NCID . </v>
      </c>
      <c r="G737" s="39">
        <v>43918</v>
      </c>
      <c r="H737" s="42"/>
      <c r="I737" s="42"/>
      <c r="J737" s="42"/>
      <c r="K737" s="42"/>
      <c r="L737" s="42" t="str">
        <f>Annex!C471</f>
        <v xml:space="preserve">NCID </v>
      </c>
      <c r="M737" s="43" t="s">
        <v>1302</v>
      </c>
    </row>
    <row r="738" spans="1:13" ht="13.8" customHeight="1" x14ac:dyDescent="0.3">
      <c r="A738" s="42">
        <f>Annex!A472</f>
        <v>737</v>
      </c>
      <c r="B738" s="42" t="str">
        <f>IF(LEFT(Annex!H472,5)="Local","Local Transmission",Annex!H472)</f>
        <v>Imported</v>
      </c>
      <c r="C738" s="42" t="str">
        <f>Annex!J472</f>
        <v>Male</v>
      </c>
      <c r="D738" s="42">
        <f>Annex!D472</f>
        <v>28</v>
      </c>
      <c r="E738" s="42" t="str">
        <f>Annex!K472</f>
        <v>Malaysia</v>
      </c>
      <c r="F738" s="42" t="str">
        <f>Annex!L472</f>
        <v xml:space="preserve">Case 737 is a Imported case, 28 years old male Malaysia (Singapore Work Pass holder)  and has been to Malaysia . He is currently admitted at NTFGH . </v>
      </c>
      <c r="G738" s="39">
        <v>43918</v>
      </c>
      <c r="H738" s="42"/>
      <c r="I738" s="42"/>
      <c r="J738" s="42"/>
      <c r="K738" s="42"/>
      <c r="L738" s="42" t="str">
        <f>Annex!C472</f>
        <v xml:space="preserve">NTFGH </v>
      </c>
      <c r="M738" s="43" t="s">
        <v>1302</v>
      </c>
    </row>
    <row r="739" spans="1:13" ht="13.8" customHeight="1" x14ac:dyDescent="0.3">
      <c r="A739" s="42">
        <f>Annex!A473</f>
        <v>738</v>
      </c>
      <c r="B739" s="42" t="str">
        <f>IF(LEFT(Annex!H473,5)="Local","Local Transmission",Annex!H473)</f>
        <v>Imported</v>
      </c>
      <c r="C739" s="42" t="str">
        <f>Annex!J473</f>
        <v>Female</v>
      </c>
      <c r="D739" s="42">
        <f>Annex!D473</f>
        <v>57</v>
      </c>
      <c r="E739" s="42" t="str">
        <f>Annex!K473</f>
        <v>Singaporean</v>
      </c>
      <c r="F739" s="42" t="str">
        <f>Annex!L473</f>
        <v xml:space="preserve">Case 738 is a Imported case, 57 years old female Singapore Citizen  and has been to UK . She is currently admitted at NTFGH . </v>
      </c>
      <c r="G739" s="39">
        <v>43918</v>
      </c>
      <c r="H739" s="42"/>
      <c r="I739" s="42"/>
      <c r="J739" s="42"/>
      <c r="K739" s="42"/>
      <c r="L739" s="42" t="str">
        <f>Annex!C473</f>
        <v xml:space="preserve">NTFGH </v>
      </c>
      <c r="M739" s="43" t="s">
        <v>1302</v>
      </c>
    </row>
    <row r="740" spans="1:13" ht="13.8" customHeight="1" x14ac:dyDescent="0.3">
      <c r="A740" s="42">
        <f>Annex!A474</f>
        <v>739</v>
      </c>
      <c r="B740" s="42" t="str">
        <f>IF(LEFT(Annex!H474,5)="Local","Local Transmission",Annex!H474)</f>
        <v>Imported</v>
      </c>
      <c r="C740" s="42" t="str">
        <f>Annex!J474</f>
        <v>Female</v>
      </c>
      <c r="D740" s="42">
        <f>Annex!D474</f>
        <v>30</v>
      </c>
      <c r="E740" s="42" t="str">
        <f>Annex!K474</f>
        <v>Singaporean</v>
      </c>
      <c r="F740" s="42" t="str">
        <f>Annex!L474</f>
        <v xml:space="preserve">Case 739 is a Imported case, 30 years old female Singapore Citizen  and has been to UK . She is currently admitted at NUH . </v>
      </c>
      <c r="G740" s="39">
        <v>43918</v>
      </c>
      <c r="H740" s="42"/>
      <c r="I740" s="42"/>
      <c r="J740" s="42"/>
      <c r="K740" s="42"/>
      <c r="L740" s="42" t="str">
        <f>Annex!C474</f>
        <v xml:space="preserve">NUH </v>
      </c>
      <c r="M740" s="43" t="s">
        <v>1302</v>
      </c>
    </row>
    <row r="741" spans="1:13" ht="13.8" customHeight="1" x14ac:dyDescent="0.3">
      <c r="A741" s="42">
        <f>Annex!A475</f>
        <v>740</v>
      </c>
      <c r="B741" s="42" t="str">
        <f>IF(LEFT(Annex!H475,5)="Local","Local Transmission",Annex!H475)</f>
        <v>Local Transmission</v>
      </c>
      <c r="C741" s="42" t="str">
        <f>Annex!J475</f>
        <v>Male</v>
      </c>
      <c r="D741" s="42">
        <f>Annex!D475</f>
        <v>25</v>
      </c>
      <c r="E741" s="42" t="str">
        <f>Annex!K475</f>
        <v>China</v>
      </c>
      <c r="F741" s="42" t="str">
        <f>Annex!L475</f>
        <v>Case 740 is a Local linked  case, 25 years old male China (Singapore Work Pass holder)  and has not been overseas. He is currently admitted at CGH . SingPost Centre</v>
      </c>
      <c r="G741" s="39">
        <v>43918</v>
      </c>
      <c r="H741" s="42"/>
      <c r="I741" s="42"/>
      <c r="J741" s="42"/>
      <c r="K741" s="42"/>
      <c r="L741" s="42" t="str">
        <f>Annex!C475</f>
        <v xml:space="preserve">CGH </v>
      </c>
      <c r="M741" s="43" t="s">
        <v>1302</v>
      </c>
    </row>
    <row r="742" spans="1:13" ht="13.8" customHeight="1" x14ac:dyDescent="0.3">
      <c r="A742" s="42">
        <f>Annex!A476</f>
        <v>741</v>
      </c>
      <c r="B742" s="42" t="str">
        <f>IF(LEFT(Annex!H476,5)="Local","Local Transmission",Annex!H476)</f>
        <v>Local Transmission</v>
      </c>
      <c r="C742" s="42" t="str">
        <f>Annex!J476</f>
        <v>Female</v>
      </c>
      <c r="D742" s="42">
        <f>Annex!D476</f>
        <v>42</v>
      </c>
      <c r="E742" s="42" t="str">
        <f>Annex!K476</f>
        <v>Singaporean</v>
      </c>
      <c r="F742" s="42" t="str">
        <f>Annex!L476</f>
        <v xml:space="preserve">Case 741 is a Local unlinked case, 42 years old female Singapore Permanent Resident  and has not been overseas. She is currently admitted at SKH . </v>
      </c>
      <c r="G742" s="39">
        <v>43918</v>
      </c>
      <c r="H742" s="42"/>
      <c r="I742" s="42"/>
      <c r="J742" s="42"/>
      <c r="K742" s="42"/>
      <c r="L742" s="42" t="str">
        <f>Annex!C476</f>
        <v xml:space="preserve">SKH </v>
      </c>
      <c r="M742" s="43" t="s">
        <v>1302</v>
      </c>
    </row>
    <row r="743" spans="1:13" ht="13.8" customHeight="1" x14ac:dyDescent="0.3">
      <c r="A743" s="42">
        <f>Annex!A477</f>
        <v>742</v>
      </c>
      <c r="B743" s="42" t="str">
        <f>IF(LEFT(Annex!H477,5)="Local","Local Transmission",Annex!H477)</f>
        <v>Local Transmission</v>
      </c>
      <c r="C743" s="42" t="str">
        <f>Annex!J477</f>
        <v>Male</v>
      </c>
      <c r="D743" s="42">
        <f>Annex!D477</f>
        <v>39</v>
      </c>
      <c r="E743" s="42" t="str">
        <f>Annex!K477</f>
        <v>Singaporean</v>
      </c>
      <c r="F743" s="42" t="str">
        <f>Annex!L477</f>
        <v xml:space="preserve">Case 742 is a Local unlinked case, 39 years old male Singapore Citizen  and has not been overseas. He is currently admitted at SKH . </v>
      </c>
      <c r="G743" s="39">
        <v>43918</v>
      </c>
      <c r="H743" s="42"/>
      <c r="I743" s="42"/>
      <c r="J743" s="42"/>
      <c r="K743" s="42"/>
      <c r="L743" s="42" t="str">
        <f>Annex!C477</f>
        <v xml:space="preserve">SKH </v>
      </c>
      <c r="M743" s="43" t="s">
        <v>1302</v>
      </c>
    </row>
    <row r="744" spans="1:13" ht="13.8" customHeight="1" x14ac:dyDescent="0.3">
      <c r="A744" s="42">
        <f>Annex!A478</f>
        <v>743</v>
      </c>
      <c r="B744" s="42" t="str">
        <f>IF(LEFT(Annex!H478,5)="Local","Local Transmission",Annex!H478)</f>
        <v>Imported</v>
      </c>
      <c r="C744" s="42" t="str">
        <f>Annex!J478</f>
        <v>Male</v>
      </c>
      <c r="D744" s="42">
        <f>Annex!D478</f>
        <v>69</v>
      </c>
      <c r="E744" s="42" t="str">
        <f>Annex!K478</f>
        <v>Singaporean</v>
      </c>
      <c r="F744" s="42" t="str">
        <f>Annex!L478</f>
        <v xml:space="preserve">Case 743 is a Imported case, 69 years old male Singapore Citizen  and has been to Malaysia . He is currently admitted at NCID . </v>
      </c>
      <c r="G744" s="39">
        <v>43918</v>
      </c>
      <c r="H744" s="42"/>
      <c r="I744" s="42"/>
      <c r="J744" s="42"/>
      <c r="K744" s="42"/>
      <c r="L744" s="42" t="str">
        <f>Annex!C478</f>
        <v xml:space="preserve">NCID </v>
      </c>
      <c r="M744" s="43" t="s">
        <v>1302</v>
      </c>
    </row>
    <row r="745" spans="1:13" ht="13.8" customHeight="1" x14ac:dyDescent="0.3">
      <c r="A745" s="42">
        <f>Annex!A479</f>
        <v>744</v>
      </c>
      <c r="B745" s="42" t="str">
        <f>IF(LEFT(Annex!H479,5)="Local","Local Transmission",Annex!H479)</f>
        <v>Imported</v>
      </c>
      <c r="C745" s="42" t="str">
        <f>Annex!J479</f>
        <v>Female</v>
      </c>
      <c r="D745" s="42">
        <f>Annex!D479</f>
        <v>40</v>
      </c>
      <c r="E745" s="42" t="str">
        <f>Annex!K479</f>
        <v>Singaporean</v>
      </c>
      <c r="F745" s="42" t="str">
        <f>Annex!L479</f>
        <v xml:space="preserve">Case 744 is a Imported case, 40 years old female Singapore Permanent Resident  and has been to UK . She is currently admitted at CGH . </v>
      </c>
      <c r="G745" s="39">
        <v>43918</v>
      </c>
      <c r="H745" s="42"/>
      <c r="I745" s="42"/>
      <c r="J745" s="42"/>
      <c r="K745" s="42"/>
      <c r="L745" s="42" t="str">
        <f>Annex!C479</f>
        <v xml:space="preserve">CGH </v>
      </c>
      <c r="M745" s="43" t="s">
        <v>1302</v>
      </c>
    </row>
    <row r="746" spans="1:13" ht="13.8" customHeight="1" x14ac:dyDescent="0.3">
      <c r="A746" s="42">
        <f>Annex!A480</f>
        <v>745</v>
      </c>
      <c r="B746" s="42" t="str">
        <f>IF(LEFT(Annex!H480,5)="Local","Local Transmission",Annex!H480)</f>
        <v>Local Transmission</v>
      </c>
      <c r="C746" s="42" t="str">
        <f>Annex!J480</f>
        <v>Female</v>
      </c>
      <c r="D746" s="42">
        <f>Annex!D480</f>
        <v>36</v>
      </c>
      <c r="E746" s="42" t="str">
        <f>Annex!K480</f>
        <v>Singaporean</v>
      </c>
      <c r="F746" s="42" t="str">
        <f>Annex!L480</f>
        <v xml:space="preserve">Case 745 is a Local unlinked case, 36 years old female Singapore Citizen  and has not been overseas. She is currently admitted at KTPH . </v>
      </c>
      <c r="G746" s="39">
        <v>43918</v>
      </c>
      <c r="H746" s="42"/>
      <c r="I746" s="42"/>
      <c r="J746" s="42"/>
      <c r="K746" s="42"/>
      <c r="L746" s="42" t="str">
        <f>Annex!C480</f>
        <v xml:space="preserve">KTPH </v>
      </c>
      <c r="M746" s="43" t="s">
        <v>1302</v>
      </c>
    </row>
    <row r="747" spans="1:13" ht="13.8" customHeight="1" x14ac:dyDescent="0.3">
      <c r="A747" s="42">
        <f>Annex!A481</f>
        <v>746</v>
      </c>
      <c r="B747" s="42" t="str">
        <f>IF(LEFT(Annex!H481,5)="Local","Local Transmission",Annex!H481)</f>
        <v>Local Transmission</v>
      </c>
      <c r="C747" s="42" t="str">
        <f>Annex!J481</f>
        <v>Male</v>
      </c>
      <c r="D747" s="42">
        <f>Annex!D481</f>
        <v>38</v>
      </c>
      <c r="E747" s="42" t="str">
        <f>Annex!K481</f>
        <v>Singaporean</v>
      </c>
      <c r="F747" s="42" t="str">
        <f>Annex!L481</f>
        <v>Case 746 is a Local linked  case, 38 years old male Singapore Citizen  and has been to Malaysia . He is currently admitted at KKH . PCF Fengshan</v>
      </c>
      <c r="G747" s="39">
        <v>43918</v>
      </c>
      <c r="H747" s="42"/>
      <c r="I747" s="42"/>
      <c r="J747" s="42"/>
      <c r="K747" s="42"/>
      <c r="L747" s="42" t="str">
        <f>Annex!C481</f>
        <v xml:space="preserve">KKH </v>
      </c>
      <c r="M747" s="43" t="s">
        <v>1302</v>
      </c>
    </row>
    <row r="748" spans="1:13" ht="13.8" customHeight="1" x14ac:dyDescent="0.3">
      <c r="A748" s="42">
        <f>Annex!A482</f>
        <v>747</v>
      </c>
      <c r="B748" s="42" t="str">
        <f>IF(LEFT(Annex!H482,5)="Local","Local Transmission",Annex!H482)</f>
        <v>Local Transmission</v>
      </c>
      <c r="C748" s="42" t="str">
        <f>Annex!J482</f>
        <v>Male</v>
      </c>
      <c r="D748" s="42">
        <f>Annex!D482</f>
        <v>51</v>
      </c>
      <c r="E748" s="42" t="str">
        <f>Annex!K482</f>
        <v>Singaporean</v>
      </c>
      <c r="F748" s="42" t="str">
        <f>Annex!L482</f>
        <v xml:space="preserve">Case 747 is a Local unlinked case, 51 years old male Singapore Citizen  and has not been overseas. He is currently admitted at NCID . </v>
      </c>
      <c r="G748" s="39">
        <v>43918</v>
      </c>
      <c r="H748" s="42"/>
      <c r="I748" s="42"/>
      <c r="J748" s="42"/>
      <c r="K748" s="42"/>
      <c r="L748" s="42" t="str">
        <f>Annex!C482</f>
        <v xml:space="preserve">NCID </v>
      </c>
      <c r="M748" s="43" t="s">
        <v>1302</v>
      </c>
    </row>
    <row r="749" spans="1:13" ht="13.8" customHeight="1" x14ac:dyDescent="0.3">
      <c r="A749" s="42">
        <f>Annex!A483</f>
        <v>748</v>
      </c>
      <c r="B749" s="42" t="str">
        <f>IF(LEFT(Annex!H483,5)="Local","Local Transmission",Annex!H483)</f>
        <v>Local Transmission</v>
      </c>
      <c r="C749" s="42" t="str">
        <f>Annex!J483</f>
        <v>Female</v>
      </c>
      <c r="D749" s="42">
        <f>Annex!D483</f>
        <v>36</v>
      </c>
      <c r="E749" s="42" t="str">
        <f>Annex!K483</f>
        <v>Malaysia</v>
      </c>
      <c r="F749" s="42" t="str">
        <f>Annex!L483</f>
        <v xml:space="preserve">Case 748 is a Local unlinked case, 36 years old female Malaysia (Singapore Work Pass holder)  and has not been overseas. She is currently admitted at KTPH . </v>
      </c>
      <c r="G749" s="39">
        <v>43918</v>
      </c>
      <c r="H749" s="42"/>
      <c r="I749" s="42"/>
      <c r="J749" s="42"/>
      <c r="K749" s="42"/>
      <c r="L749" s="42" t="str">
        <f>Annex!C483</f>
        <v xml:space="preserve">KTPH </v>
      </c>
      <c r="M749" s="43" t="s">
        <v>1302</v>
      </c>
    </row>
    <row r="750" spans="1:13" ht="13.8" customHeight="1" x14ac:dyDescent="0.3">
      <c r="A750" s="42">
        <f>Annex!A484</f>
        <v>749</v>
      </c>
      <c r="B750" s="42" t="str">
        <f>IF(LEFT(Annex!H484,5)="Local","Local Transmission",Annex!H484)</f>
        <v>Imported</v>
      </c>
      <c r="C750" s="42" t="str">
        <f>Annex!J484</f>
        <v>Female</v>
      </c>
      <c r="D750" s="42">
        <f>Annex!D484</f>
        <v>24</v>
      </c>
      <c r="E750" s="42" t="str">
        <f>Annex!K484</f>
        <v>Singaporean</v>
      </c>
      <c r="F750" s="42" t="str">
        <f>Annex!L484</f>
        <v xml:space="preserve">Case 749 is a Imported case, 24 years old female Singapore Citizen  and has been to UK . She is currently admitted at KTPH . </v>
      </c>
      <c r="G750" s="39">
        <v>43918</v>
      </c>
      <c r="H750" s="42"/>
      <c r="I750" s="42"/>
      <c r="J750" s="42"/>
      <c r="K750" s="42"/>
      <c r="L750" s="42" t="str">
        <f>Annex!C484</f>
        <v xml:space="preserve">KTPH </v>
      </c>
      <c r="M750" s="43" t="s">
        <v>1302</v>
      </c>
    </row>
    <row r="751" spans="1:13" ht="13.8" customHeight="1" x14ac:dyDescent="0.3">
      <c r="A751" s="42">
        <f>Annex!A485</f>
        <v>750</v>
      </c>
      <c r="B751" s="42" t="str">
        <f>IF(LEFT(Annex!H485,5)="Local","Local Transmission",Annex!H485)</f>
        <v>Imported</v>
      </c>
      <c r="C751" s="42" t="str">
        <f>Annex!J485</f>
        <v>Female</v>
      </c>
      <c r="D751" s="42">
        <f>Annex!D485</f>
        <v>22</v>
      </c>
      <c r="E751" s="42" t="str">
        <f>Annex!K485</f>
        <v>Singaporean</v>
      </c>
      <c r="F751" s="42" t="str">
        <f>Annex!L485</f>
        <v xml:space="preserve">Case 750 is a Imported case, 22 years old female Singapore Citizen  and has been to Pending . She is currently admitted at NCID . </v>
      </c>
      <c r="G751" s="39">
        <v>43918</v>
      </c>
      <c r="H751" s="42"/>
      <c r="I751" s="42"/>
      <c r="J751" s="42"/>
      <c r="K751" s="42"/>
      <c r="L751" s="42" t="str">
        <f>Annex!C485</f>
        <v xml:space="preserve">NCID </v>
      </c>
      <c r="M751" s="43" t="s">
        <v>1302</v>
      </c>
    </row>
    <row r="752" spans="1:13" ht="13.8" customHeight="1" x14ac:dyDescent="0.3">
      <c r="A752" s="42">
        <f>Annex!A486</f>
        <v>751</v>
      </c>
      <c r="B752" s="42" t="str">
        <f>IF(LEFT(Annex!H486,5)="Local","Local Transmission",Annex!H486)</f>
        <v>Imported</v>
      </c>
      <c r="C752" s="42" t="str">
        <f>Annex!J486</f>
        <v>Male</v>
      </c>
      <c r="D752" s="42">
        <f>Annex!D486</f>
        <v>71</v>
      </c>
      <c r="E752" s="42" t="str">
        <f>Annex!K486</f>
        <v>Singaporean</v>
      </c>
      <c r="F752" s="42" t="str">
        <f>Annex!L486</f>
        <v xml:space="preserve">Case 751 is a Imported case, 71 years old male Singapore Citizen  and has been to Pending . He is currently admitted at SKH . </v>
      </c>
      <c r="G752" s="39">
        <v>43918</v>
      </c>
      <c r="H752" s="42"/>
      <c r="I752" s="42"/>
      <c r="J752" s="42"/>
      <c r="K752" s="42"/>
      <c r="L752" s="42" t="str">
        <f>Annex!C486</f>
        <v xml:space="preserve">SKH </v>
      </c>
      <c r="M752" s="43" t="s">
        <v>1302</v>
      </c>
    </row>
    <row r="753" spans="1:13" ht="13.8" customHeight="1" x14ac:dyDescent="0.3">
      <c r="A753" s="42">
        <f>Annex!A487</f>
        <v>752</v>
      </c>
      <c r="B753" s="42" t="str">
        <f>IF(LEFT(Annex!H487,5)="Local","Local Transmission",Annex!H487)</f>
        <v>Imported</v>
      </c>
      <c r="C753" s="42" t="str">
        <f>Annex!J487</f>
        <v>Female</v>
      </c>
      <c r="D753" s="42">
        <f>Annex!D487</f>
        <v>70</v>
      </c>
      <c r="E753" s="42" t="str">
        <f>Annex!K487</f>
        <v>Singaporean</v>
      </c>
      <c r="F753" s="42" t="str">
        <f>Annex!L487</f>
        <v xml:space="preserve">Case 752 is a Imported case, 70 years old female Singapore Citizen  and has been to Pending . She is currently admitted at SKH . </v>
      </c>
      <c r="G753" s="39">
        <v>43918</v>
      </c>
      <c r="H753" s="42"/>
      <c r="I753" s="42"/>
      <c r="J753" s="42"/>
      <c r="K753" s="42"/>
      <c r="L753" s="42" t="str">
        <f>Annex!C487</f>
        <v xml:space="preserve">SKH </v>
      </c>
      <c r="M753" s="43" t="s">
        <v>1302</v>
      </c>
    </row>
    <row r="754" spans="1:13" ht="13.8" customHeight="1" x14ac:dyDescent="0.3">
      <c r="A754" s="42">
        <f>Annex!A488</f>
        <v>753</v>
      </c>
      <c r="B754" s="42" t="str">
        <f>IF(LEFT(Annex!H488,5)="Local","Local Transmission",Annex!H488)</f>
        <v>Imported</v>
      </c>
      <c r="C754" s="42" t="str">
        <f>Annex!J488</f>
        <v>Male</v>
      </c>
      <c r="D754" s="42">
        <f>Annex!D488</f>
        <v>24</v>
      </c>
      <c r="E754" s="42" t="str">
        <f>Annex!K488</f>
        <v>Singaporean</v>
      </c>
      <c r="F754" s="42" t="str">
        <f>Annex!L488</f>
        <v xml:space="preserve">Case 753 is a Imported case, 24 years old male Singapore Citizen  and has been to Canada . He is currently admitted at SKH . </v>
      </c>
      <c r="G754" s="39">
        <v>43918</v>
      </c>
      <c r="H754" s="42"/>
      <c r="I754" s="42"/>
      <c r="J754" s="42"/>
      <c r="K754" s="42"/>
      <c r="L754" s="42" t="str">
        <f>Annex!C488</f>
        <v xml:space="preserve">SKH </v>
      </c>
      <c r="M754" s="43" t="s">
        <v>1302</v>
      </c>
    </row>
    <row r="755" spans="1:13" ht="13.8" customHeight="1" x14ac:dyDescent="0.3">
      <c r="A755" s="42">
        <f>Annex!A489</f>
        <v>754</v>
      </c>
      <c r="B755" s="42" t="str">
        <f>IF(LEFT(Annex!H489,5)="Local","Local Transmission",Annex!H489)</f>
        <v>Imported</v>
      </c>
      <c r="C755" s="42" t="str">
        <f>Annex!J489</f>
        <v>Male</v>
      </c>
      <c r="D755" s="42">
        <f>Annex!D489</f>
        <v>22</v>
      </c>
      <c r="E755" s="42" t="str">
        <f>Annex!K489</f>
        <v>Singaporean</v>
      </c>
      <c r="F755" s="42" t="str">
        <f>Annex!L489</f>
        <v xml:space="preserve">Case 754 is a Imported case, 22 years old male Singapore Citizen  and has been to UK . He is currently admitted at NCID . </v>
      </c>
      <c r="G755" s="39">
        <v>43918</v>
      </c>
      <c r="H755" s="42"/>
      <c r="I755" s="42"/>
      <c r="J755" s="42"/>
      <c r="K755" s="42"/>
      <c r="L755" s="42" t="str">
        <f>Annex!C489</f>
        <v xml:space="preserve">NCID </v>
      </c>
      <c r="M755" s="43" t="s">
        <v>1302</v>
      </c>
    </row>
    <row r="756" spans="1:13" ht="13.8" customHeight="1" x14ac:dyDescent="0.3">
      <c r="A756" s="42">
        <f>Annex!A490</f>
        <v>755</v>
      </c>
      <c r="B756" s="42" t="str">
        <f>IF(LEFT(Annex!H490,5)="Local","Local Transmission",Annex!H490)</f>
        <v>Imported</v>
      </c>
      <c r="C756" s="42" t="str">
        <f>Annex!J490</f>
        <v>Male</v>
      </c>
      <c r="D756" s="42">
        <f>Annex!D490</f>
        <v>25</v>
      </c>
      <c r="E756" s="42" t="str">
        <f>Annex!K490</f>
        <v>Singaporean</v>
      </c>
      <c r="F756" s="42" t="str">
        <f>Annex!L490</f>
        <v xml:space="preserve">Case 755 is a Imported case, 25 years old male Singapore Citizen  and has been to Laos . He is currently admitted at NCID . </v>
      </c>
      <c r="G756" s="39">
        <v>43918</v>
      </c>
      <c r="H756" s="42"/>
      <c r="I756" s="42"/>
      <c r="J756" s="42"/>
      <c r="K756" s="42"/>
      <c r="L756" s="42" t="str">
        <f>Annex!C490</f>
        <v xml:space="preserve">NCID </v>
      </c>
      <c r="M756" s="43" t="s">
        <v>1302</v>
      </c>
    </row>
    <row r="757" spans="1:13" ht="13.8" customHeight="1" x14ac:dyDescent="0.3">
      <c r="A757" s="42">
        <f>Annex!A491</f>
        <v>756</v>
      </c>
      <c r="B757" s="42" t="str">
        <f>IF(LEFT(Annex!H491,5)="Local","Local Transmission",Annex!H491)</f>
        <v>Local Transmission</v>
      </c>
      <c r="C757" s="42" t="str">
        <f>Annex!J491</f>
        <v>Male</v>
      </c>
      <c r="D757" s="42">
        <f>Annex!D491</f>
        <v>42</v>
      </c>
      <c r="E757" s="42" t="str">
        <f>Annex!K491</f>
        <v>Singaporean</v>
      </c>
      <c r="F757" s="42" t="str">
        <f>Annex!L491</f>
        <v xml:space="preserve">Case 756 is a Local unlinked case, 42 years old male Singapore Citizen  and has not been overseas. He is currently admitted at NCID . </v>
      </c>
      <c r="G757" s="39">
        <v>43918</v>
      </c>
      <c r="H757" s="42"/>
      <c r="I757" s="42"/>
      <c r="J757" s="42"/>
      <c r="K757" s="42"/>
      <c r="L757" s="42" t="str">
        <f>Annex!C491</f>
        <v xml:space="preserve">NCID </v>
      </c>
      <c r="M757" s="43" t="s">
        <v>1302</v>
      </c>
    </row>
    <row r="758" spans="1:13" ht="13.8" customHeight="1" x14ac:dyDescent="0.3">
      <c r="A758" s="42">
        <f>Annex!A492</f>
        <v>757</v>
      </c>
      <c r="B758" s="42" t="str">
        <f>IF(LEFT(Annex!H492,5)="Local","Local Transmission",Annex!H492)</f>
        <v>Local Transmission</v>
      </c>
      <c r="C758" s="42" t="str">
        <f>Annex!J492</f>
        <v>Female</v>
      </c>
      <c r="D758" s="42">
        <f>Annex!D492</f>
        <v>22</v>
      </c>
      <c r="E758" s="42" t="str">
        <f>Annex!K492</f>
        <v>Singaporean</v>
      </c>
      <c r="F758" s="42" t="str">
        <f>Annex!L492</f>
        <v xml:space="preserve">Case 757 is a Local unlinked case, 22 years old female Singapore Citizen  and has not been overseas. She is currently admitted at CGH . </v>
      </c>
      <c r="G758" s="39">
        <v>43918</v>
      </c>
      <c r="H758" s="42"/>
      <c r="I758" s="42"/>
      <c r="J758" s="42"/>
      <c r="K758" s="42"/>
      <c r="L758" s="42" t="str">
        <f>Annex!C492</f>
        <v xml:space="preserve">CGH </v>
      </c>
      <c r="M758" s="43" t="s">
        <v>1302</v>
      </c>
    </row>
    <row r="759" spans="1:13" ht="13.8" customHeight="1" x14ac:dyDescent="0.3">
      <c r="A759" s="42">
        <f>Annex!A493</f>
        <v>758</v>
      </c>
      <c r="B759" s="42" t="str">
        <f>IF(LEFT(Annex!H493,5)="Local","Local Transmission",Annex!H493)</f>
        <v>Imported</v>
      </c>
      <c r="C759" s="42" t="str">
        <f>Annex!J493</f>
        <v>Male</v>
      </c>
      <c r="D759" s="42">
        <f>Annex!D493</f>
        <v>23</v>
      </c>
      <c r="E759" s="42" t="str">
        <f>Annex!K493</f>
        <v>Singaporean</v>
      </c>
      <c r="F759" s="42" t="str">
        <f>Annex!L493</f>
        <v xml:space="preserve">Case 758 is a Imported case, 23 years old male Singapore Citizen  and has been to US . He is currently admitted at NTFGH . </v>
      </c>
      <c r="G759" s="39">
        <v>43918</v>
      </c>
      <c r="H759" s="42"/>
      <c r="I759" s="42"/>
      <c r="J759" s="42"/>
      <c r="K759" s="42"/>
      <c r="L759" s="42" t="str">
        <f>Annex!C493</f>
        <v xml:space="preserve">NTFGH </v>
      </c>
      <c r="M759" s="43" t="s">
        <v>1302</v>
      </c>
    </row>
    <row r="760" spans="1:13" ht="13.8" customHeight="1" x14ac:dyDescent="0.3">
      <c r="A760" s="42">
        <f>Annex!A494</f>
        <v>759</v>
      </c>
      <c r="B760" s="42" t="str">
        <f>IF(LEFT(Annex!H494,5)="Local","Local Transmission",Annex!H494)</f>
        <v>Imported</v>
      </c>
      <c r="C760" s="42" t="str">
        <f>Annex!J494</f>
        <v>Female</v>
      </c>
      <c r="D760" s="42">
        <f>Annex!D494</f>
        <v>1</v>
      </c>
      <c r="E760" s="42" t="str">
        <f>Annex!K494</f>
        <v>Singaporean</v>
      </c>
      <c r="F760" s="42" t="str">
        <f>Annex!L494</f>
        <v xml:space="preserve">Case 759 is a Imported case, 1 years old female Singapore Citizen  and has been to UK, France . She is currently admitted at NUH . </v>
      </c>
      <c r="G760" s="39">
        <v>43918</v>
      </c>
      <c r="H760" s="42"/>
      <c r="I760" s="42"/>
      <c r="J760" s="42"/>
      <c r="K760" s="42"/>
      <c r="L760" s="42" t="str">
        <f>Annex!C494</f>
        <v xml:space="preserve">NUH </v>
      </c>
      <c r="M760" s="43" t="s">
        <v>1302</v>
      </c>
    </row>
    <row r="761" spans="1:13" ht="13.8" customHeight="1" x14ac:dyDescent="0.3">
      <c r="A761" s="42">
        <f>Annex!A495</f>
        <v>760</v>
      </c>
      <c r="B761" s="42" t="str">
        <f>IF(LEFT(Annex!H495,5)="Local","Local Transmission",Annex!H495)</f>
        <v xml:space="preserve">Imported </v>
      </c>
      <c r="C761" s="42" t="str">
        <f>Annex!J495</f>
        <v>Male</v>
      </c>
      <c r="D761" s="42">
        <f>Annex!D495</f>
        <v>64</v>
      </c>
      <c r="E761" s="42" t="str">
        <f>Annex!K495</f>
        <v>Singaporean</v>
      </c>
      <c r="F761" s="42" t="str">
        <f>Annex!L495</f>
        <v>Case 760 is a Imported  case, 64 years old male Singapore Citizen  and has been to Turkey . He is currently admitted at KTPH . Contact of Case 683, 700, 702, 703 and 798</v>
      </c>
      <c r="G761" s="39">
        <v>43918</v>
      </c>
      <c r="H761" s="42"/>
      <c r="I761" s="42"/>
      <c r="J761" s="42"/>
      <c r="K761" s="42"/>
      <c r="L761" s="42" t="str">
        <f>Annex!C495</f>
        <v xml:space="preserve">KTPH </v>
      </c>
      <c r="M761" s="43" t="s">
        <v>1302</v>
      </c>
    </row>
    <row r="762" spans="1:13" ht="13.8" customHeight="1" x14ac:dyDescent="0.3">
      <c r="A762" s="42">
        <f>Annex!A496</f>
        <v>761</v>
      </c>
      <c r="B762" s="42" t="str">
        <f>IF(LEFT(Annex!H496,5)="Local","Local Transmission",Annex!H496)</f>
        <v>Local Transmission</v>
      </c>
      <c r="C762" s="42" t="str">
        <f>Annex!J496</f>
        <v>Female</v>
      </c>
      <c r="D762" s="42">
        <f>Annex!D496</f>
        <v>36</v>
      </c>
      <c r="E762" s="42" t="str">
        <f>Annex!K496</f>
        <v>South Africa</v>
      </c>
      <c r="F762" s="42" t="str">
        <f>Annex!L496</f>
        <v>Case 761 is a Local linked  case, 36 years old female South Africa (Singapore Work Pass holder)  and has not been overseas. She is currently admitted at NUH . Dover Court International School</v>
      </c>
      <c r="G762" s="39">
        <v>43918</v>
      </c>
      <c r="H762" s="42"/>
      <c r="I762" s="42"/>
      <c r="J762" s="42"/>
      <c r="K762" s="42"/>
      <c r="L762" s="42" t="str">
        <f>Annex!C496</f>
        <v xml:space="preserve">NUH </v>
      </c>
      <c r="M762" s="43" t="s">
        <v>1302</v>
      </c>
    </row>
    <row r="763" spans="1:13" ht="13.8" customHeight="1" x14ac:dyDescent="0.3">
      <c r="A763" s="42">
        <f>Annex!A497</f>
        <v>762</v>
      </c>
      <c r="B763" s="42" t="str">
        <f>IF(LEFT(Annex!H497,5)="Local","Local Transmission",Annex!H497)</f>
        <v>Imported</v>
      </c>
      <c r="C763" s="42" t="str">
        <f>Annex!J497</f>
        <v>Male</v>
      </c>
      <c r="D763" s="42">
        <f>Annex!D497</f>
        <v>21</v>
      </c>
      <c r="E763" s="42" t="str">
        <f>Annex!K497</f>
        <v xml:space="preserve">India </v>
      </c>
      <c r="F763" s="42" t="str">
        <f>Annex!L497</f>
        <v xml:space="preserve">Case 762 is a Imported case, 21 years old male India  and has been to US . He is currently admitted at NUH . </v>
      </c>
      <c r="G763" s="39">
        <v>43918</v>
      </c>
      <c r="H763" s="42"/>
      <c r="I763" s="42"/>
      <c r="J763" s="42"/>
      <c r="K763" s="42"/>
      <c r="L763" s="42" t="str">
        <f>Annex!C497</f>
        <v xml:space="preserve">NUH </v>
      </c>
      <c r="M763" s="43" t="s">
        <v>1302</v>
      </c>
    </row>
    <row r="764" spans="1:13" ht="13.8" customHeight="1" x14ac:dyDescent="0.3">
      <c r="A764" s="42">
        <f>Annex!A498</f>
        <v>763</v>
      </c>
      <c r="B764" s="42" t="str">
        <f>IF(LEFT(Annex!H498,5)="Local","Local Transmission",Annex!H498)</f>
        <v>Imported</v>
      </c>
      <c r="C764" s="42" t="str">
        <f>Annex!J498</f>
        <v>Female</v>
      </c>
      <c r="D764" s="42">
        <f>Annex!D498</f>
        <v>21</v>
      </c>
      <c r="E764" s="42" t="str">
        <f>Annex!K498</f>
        <v>Singaporean</v>
      </c>
      <c r="F764" s="42" t="str">
        <f>Annex!L498</f>
        <v xml:space="preserve">Case 763 is a Imported case, 21 years old female Singapore Citizen  and has been to US . She is currently admitted at NUH . </v>
      </c>
      <c r="G764" s="39">
        <v>43918</v>
      </c>
      <c r="H764" s="42"/>
      <c r="I764" s="42"/>
      <c r="J764" s="42"/>
      <c r="K764" s="42"/>
      <c r="L764" s="42" t="str">
        <f>Annex!C498</f>
        <v xml:space="preserve">NUH </v>
      </c>
      <c r="M764" s="43" t="s">
        <v>1302</v>
      </c>
    </row>
    <row r="765" spans="1:13" ht="13.8" customHeight="1" x14ac:dyDescent="0.3">
      <c r="A765" s="42">
        <f>Annex!A499</f>
        <v>764</v>
      </c>
      <c r="B765" s="42" t="str">
        <f>IF(LEFT(Annex!H499,5)="Local","Local Transmission",Annex!H499)</f>
        <v>Local Transmission</v>
      </c>
      <c r="C765" s="42" t="str">
        <f>Annex!J499</f>
        <v>Male</v>
      </c>
      <c r="D765" s="42">
        <f>Annex!D499</f>
        <v>51</v>
      </c>
      <c r="E765" s="42" t="str">
        <f>Annex!K499</f>
        <v>Spain</v>
      </c>
      <c r="F765" s="42" t="str">
        <f>Annex!L499</f>
        <v xml:space="preserve">Case 764 is a Local unlinked case, 51 years old male Spain (Singapore Work Pass holder)  and has not been overseas. He is currently admitted at NCID . </v>
      </c>
      <c r="G765" s="39">
        <v>43918</v>
      </c>
      <c r="H765" s="42"/>
      <c r="I765" s="42"/>
      <c r="J765" s="42"/>
      <c r="K765" s="42"/>
      <c r="L765" s="42" t="str">
        <f>Annex!C499</f>
        <v xml:space="preserve">NCID </v>
      </c>
      <c r="M765" s="43" t="s">
        <v>1302</v>
      </c>
    </row>
    <row r="766" spans="1:13" ht="13.8" customHeight="1" x14ac:dyDescent="0.3">
      <c r="A766" s="42">
        <f>Annex!A500</f>
        <v>765</v>
      </c>
      <c r="B766" s="42" t="str">
        <f>IF(LEFT(Annex!H500,5)="Local","Local Transmission",Annex!H500)</f>
        <v>Local Transmission</v>
      </c>
      <c r="C766" s="42" t="str">
        <f>Annex!J500</f>
        <v>Male</v>
      </c>
      <c r="D766" s="42">
        <f>Annex!D500</f>
        <v>31</v>
      </c>
      <c r="E766" s="42" t="str">
        <f>Annex!K500</f>
        <v>Singaporean</v>
      </c>
      <c r="F766" s="42" t="str">
        <f>Annex!L500</f>
        <v xml:space="preserve">Case 765 is a Local unlinked case, 31 years old male Singapore Citizen  and has not been overseas. He is currently admitted at NCID . </v>
      </c>
      <c r="G766" s="39">
        <v>43918</v>
      </c>
      <c r="H766" s="42"/>
      <c r="I766" s="42"/>
      <c r="J766" s="42"/>
      <c r="K766" s="42"/>
      <c r="L766" s="42" t="str">
        <f>Annex!C500</f>
        <v xml:space="preserve">NCID </v>
      </c>
      <c r="M766" s="43" t="s">
        <v>1302</v>
      </c>
    </row>
    <row r="767" spans="1:13" ht="13.8" customHeight="1" x14ac:dyDescent="0.3">
      <c r="A767" s="42">
        <f>Annex!A501</f>
        <v>766</v>
      </c>
      <c r="B767" s="42" t="str">
        <f>IF(LEFT(Annex!H501,5)="Local","Local Transmission",Annex!H501)</f>
        <v>Imported</v>
      </c>
      <c r="C767" s="42" t="str">
        <f>Annex!J501</f>
        <v>Male</v>
      </c>
      <c r="D767" s="42">
        <f>Annex!D501</f>
        <v>50</v>
      </c>
      <c r="E767" s="42" t="str">
        <f>Annex!K501</f>
        <v>Singaporean</v>
      </c>
      <c r="F767" s="42" t="str">
        <f>Annex!L501</f>
        <v xml:space="preserve">Case 766 is a Imported case, 50 years old male Singapore Citizen  and has been to Pending . He is currently admitted at NCID . </v>
      </c>
      <c r="G767" s="39">
        <v>43918</v>
      </c>
      <c r="H767" s="42"/>
      <c r="I767" s="42"/>
      <c r="J767" s="42"/>
      <c r="K767" s="42"/>
      <c r="L767" s="42" t="str">
        <f>Annex!C501</f>
        <v xml:space="preserve">NCID </v>
      </c>
      <c r="M767" s="43" t="s">
        <v>1302</v>
      </c>
    </row>
    <row r="768" spans="1:13" ht="13.8" customHeight="1" x14ac:dyDescent="0.3">
      <c r="A768" s="42">
        <f>Annex!A502</f>
        <v>767</v>
      </c>
      <c r="B768" s="42" t="str">
        <f>IF(LEFT(Annex!H502,5)="Local","Local Transmission",Annex!H502)</f>
        <v>Local Transmission</v>
      </c>
      <c r="C768" s="42" t="str">
        <f>Annex!J502</f>
        <v>Male</v>
      </c>
      <c r="D768" s="42">
        <f>Annex!D502</f>
        <v>28</v>
      </c>
      <c r="E768" s="42" t="str">
        <f>Annex!K502</f>
        <v>Singaporean</v>
      </c>
      <c r="F768" s="42" t="str">
        <f>Annex!L502</f>
        <v xml:space="preserve">Case 767 is a Local unlinked case, 28 years old male Singapore Citizen  and has not been overseas. He is currently admitted at NCID . </v>
      </c>
      <c r="G768" s="39">
        <v>43918</v>
      </c>
      <c r="H768" s="42"/>
      <c r="I768" s="42"/>
      <c r="J768" s="42"/>
      <c r="K768" s="42"/>
      <c r="L768" s="42" t="str">
        <f>Annex!C502</f>
        <v xml:space="preserve">NCID </v>
      </c>
      <c r="M768" s="43" t="s">
        <v>1302</v>
      </c>
    </row>
    <row r="769" spans="1:13" ht="13.8" customHeight="1" x14ac:dyDescent="0.3">
      <c r="A769" s="42">
        <f>Annex!A503</f>
        <v>768</v>
      </c>
      <c r="B769" s="42" t="str">
        <f>IF(LEFT(Annex!H503,5)="Local","Local Transmission",Annex!H503)</f>
        <v>Local Transmission</v>
      </c>
      <c r="C769" s="42" t="str">
        <f>Annex!J503</f>
        <v>Male</v>
      </c>
      <c r="D769" s="42">
        <f>Annex!D503</f>
        <v>42</v>
      </c>
      <c r="E769" s="42" t="str">
        <f>Annex!K503</f>
        <v>Banglades</v>
      </c>
      <c r="F769" s="42" t="str">
        <f>Annex!L503</f>
        <v xml:space="preserve">Case 768 is a Local unlinked case, 42 years old male Bangladesh(Singapore Work Pass holder)  and has not been overseas. He is currently admitted at SGH . </v>
      </c>
      <c r="G769" s="39">
        <v>43918</v>
      </c>
      <c r="H769" s="42"/>
      <c r="I769" s="42"/>
      <c r="J769" s="42"/>
      <c r="K769" s="42"/>
      <c r="L769" s="42" t="str">
        <f>Annex!C503</f>
        <v xml:space="preserve">SGH </v>
      </c>
      <c r="M769" s="43" t="s">
        <v>1302</v>
      </c>
    </row>
    <row r="770" spans="1:13" ht="13.8" customHeight="1" x14ac:dyDescent="0.3">
      <c r="A770" s="42">
        <f>Annex!A504</f>
        <v>769</v>
      </c>
      <c r="B770" s="42" t="str">
        <f>IF(LEFT(Annex!H504,5)="Local","Local Transmission",Annex!H504)</f>
        <v xml:space="preserve">Imported </v>
      </c>
      <c r="C770" s="42" t="str">
        <f>Annex!J504</f>
        <v>Male</v>
      </c>
      <c r="D770" s="42">
        <f>Annex!D504</f>
        <v>44</v>
      </c>
      <c r="E770" s="42" t="str">
        <f>Annex!K504</f>
        <v>Singaporean</v>
      </c>
      <c r="F770" s="42" t="str">
        <f>Annex!L504</f>
        <v>Case 769 is a Imported  case, 44 years old male Singapore Citizen  and has been to Pakistan . He is currently admitted at NTFGH . Contact of Cases 577, 629 and 726</v>
      </c>
      <c r="G770" s="39">
        <v>43918</v>
      </c>
      <c r="H770" s="42"/>
      <c r="I770" s="42"/>
      <c r="J770" s="42"/>
      <c r="K770" s="42"/>
      <c r="L770" s="42" t="str">
        <f>Annex!C504</f>
        <v xml:space="preserve">NTFGH </v>
      </c>
      <c r="M770" s="43" t="s">
        <v>1302</v>
      </c>
    </row>
    <row r="771" spans="1:13" ht="13.8" customHeight="1" x14ac:dyDescent="0.3">
      <c r="A771" s="42">
        <f>Annex!A505</f>
        <v>770</v>
      </c>
      <c r="B771" s="42" t="str">
        <f>IF(LEFT(Annex!H505,5)="Local","Local Transmission",Annex!H505)</f>
        <v>Imported</v>
      </c>
      <c r="C771" s="42" t="str">
        <f>Annex!J505</f>
        <v>Male</v>
      </c>
      <c r="D771" s="42">
        <f>Annex!D505</f>
        <v>47</v>
      </c>
      <c r="E771" s="42" t="str">
        <f>Annex!K505</f>
        <v>Malaysia</v>
      </c>
      <c r="F771" s="42" t="str">
        <f>Annex!L505</f>
        <v xml:space="preserve">Case 770 is a Imported case, 47 years old male Malaysia (Singapore Work Pass holder)  and has been to Malaysia . He is currently admitted at NCID . </v>
      </c>
      <c r="G771" s="39">
        <v>43918</v>
      </c>
      <c r="H771" s="42"/>
      <c r="I771" s="42"/>
      <c r="J771" s="42"/>
      <c r="K771" s="42"/>
      <c r="L771" s="42" t="str">
        <f>Annex!C505</f>
        <v xml:space="preserve">NCID </v>
      </c>
      <c r="M771" s="43" t="s">
        <v>1302</v>
      </c>
    </row>
    <row r="772" spans="1:13" ht="13.8" customHeight="1" x14ac:dyDescent="0.3">
      <c r="A772" s="42">
        <f>Annex!A506</f>
        <v>771</v>
      </c>
      <c r="B772" s="42" t="str">
        <f>IF(LEFT(Annex!H506,5)="Local","Local Transmission",Annex!H506)</f>
        <v>Imported</v>
      </c>
      <c r="C772" s="42" t="str">
        <f>Annex!J506</f>
        <v>Male</v>
      </c>
      <c r="D772" s="42">
        <f>Annex!D506</f>
        <v>30</v>
      </c>
      <c r="E772" s="42" t="str">
        <f>Annex!K506</f>
        <v>Singaporean</v>
      </c>
      <c r="F772" s="42" t="str">
        <f>Annex!L506</f>
        <v xml:space="preserve">Case 771 is a Imported case, 30 years old male Singapore Citizen  and has been to UK, Portugal . He is currently admitted at NCID . </v>
      </c>
      <c r="G772" s="39">
        <v>43918</v>
      </c>
      <c r="H772" s="42"/>
      <c r="I772" s="42"/>
      <c r="J772" s="42"/>
      <c r="K772" s="42"/>
      <c r="L772" s="42" t="str">
        <f>Annex!C506</f>
        <v xml:space="preserve">NCID </v>
      </c>
      <c r="M772" s="43" t="s">
        <v>1302</v>
      </c>
    </row>
    <row r="773" spans="1:13" ht="13.8" customHeight="1" x14ac:dyDescent="0.3">
      <c r="A773" s="42">
        <f>Annex!A507</f>
        <v>772</v>
      </c>
      <c r="B773" s="42" t="str">
        <f>IF(LEFT(Annex!H507,5)="Local","Local Transmission",Annex!H507)</f>
        <v xml:space="preserve">Imported </v>
      </c>
      <c r="C773" s="42" t="str">
        <f>Annex!J507</f>
        <v>Male</v>
      </c>
      <c r="D773" s="42">
        <f>Annex!D507</f>
        <v>43</v>
      </c>
      <c r="E773" s="42" t="str">
        <f>Annex!K507</f>
        <v>Singaporean</v>
      </c>
      <c r="F773" s="42" t="str">
        <f>Annex!L507</f>
        <v>Case 772 is a Imported  case, 43 years old male Singapore Citizen  and has been to USA . He is currently admitted at NCID . Family member of Case 667</v>
      </c>
      <c r="G773" s="39">
        <v>43918</v>
      </c>
      <c r="H773" s="42"/>
      <c r="I773" s="42"/>
      <c r="J773" s="42"/>
      <c r="K773" s="42"/>
      <c r="L773" s="42" t="str">
        <f>Annex!C507</f>
        <v xml:space="preserve">NCID </v>
      </c>
      <c r="M773" s="43" t="s">
        <v>1302</v>
      </c>
    </row>
    <row r="774" spans="1:13" ht="13.8" customHeight="1" x14ac:dyDescent="0.3">
      <c r="A774" s="42">
        <f>Annex!A508</f>
        <v>773</v>
      </c>
      <c r="B774" s="42" t="str">
        <f>IF(LEFT(Annex!H508,5)="Local","Local Transmission",Annex!H508)</f>
        <v>Local Transmission</v>
      </c>
      <c r="C774" s="42" t="str">
        <f>Annex!J508</f>
        <v>Female</v>
      </c>
      <c r="D774" s="42">
        <f>Annex!D508</f>
        <v>55</v>
      </c>
      <c r="E774" s="42" t="str">
        <f>Annex!K508</f>
        <v>India</v>
      </c>
      <c r="F774" s="42" t="str">
        <f>Annex!L508</f>
        <v xml:space="preserve">Case 773 is a Local Unlinked case, 55 years old female India (Long Term Pass holder)  and has not been overseas. She is currently admitted at NCID . </v>
      </c>
      <c r="G774" s="39">
        <v>43918</v>
      </c>
      <c r="H774" s="42"/>
      <c r="I774" s="42"/>
      <c r="J774" s="42"/>
      <c r="K774" s="42"/>
      <c r="L774" s="42" t="str">
        <f>Annex!C508</f>
        <v xml:space="preserve">NCID </v>
      </c>
      <c r="M774" s="43" t="s">
        <v>1302</v>
      </c>
    </row>
    <row r="775" spans="1:13" ht="13.8" customHeight="1" x14ac:dyDescent="0.3">
      <c r="A775" s="42">
        <f>Annex!A509</f>
        <v>774</v>
      </c>
      <c r="B775" s="42" t="str">
        <f>IF(LEFT(Annex!H509,5)="Local","Local Transmission",Annex!H509)</f>
        <v xml:space="preserve">Imported </v>
      </c>
      <c r="C775" s="42" t="str">
        <f>Annex!J509</f>
        <v>Female</v>
      </c>
      <c r="D775" s="42">
        <f>Annex!D509</f>
        <v>24</v>
      </c>
      <c r="E775" s="42" t="str">
        <f>Annex!K509</f>
        <v>Singaporean</v>
      </c>
      <c r="F775" s="42" t="str">
        <f>Annex!L509</f>
        <v>Case 774 is a Imported  case, 24 years old female Singapore Citizen  and has been to US . She is currently admitted at SKH . Contact of Case 596</v>
      </c>
      <c r="G775" s="39">
        <v>43918</v>
      </c>
      <c r="H775" s="42"/>
      <c r="I775" s="42"/>
      <c r="J775" s="42"/>
      <c r="K775" s="42"/>
      <c r="L775" s="42" t="str">
        <f>Annex!C509</f>
        <v xml:space="preserve">SKH </v>
      </c>
      <c r="M775" s="43" t="s">
        <v>1302</v>
      </c>
    </row>
    <row r="776" spans="1:13" ht="13.8" customHeight="1" x14ac:dyDescent="0.3">
      <c r="A776" s="42">
        <f>Annex!A510</f>
        <v>775</v>
      </c>
      <c r="B776" s="42" t="str">
        <f>IF(LEFT(Annex!H510,5)="Local","Local Transmission",Annex!H510)</f>
        <v>imported</v>
      </c>
      <c r="C776" s="42" t="str">
        <f>Annex!J510</f>
        <v>Male</v>
      </c>
      <c r="D776" s="42">
        <f>Annex!D510</f>
        <v>29</v>
      </c>
      <c r="E776" s="42" t="str">
        <f>Annex!K510</f>
        <v>Singaporean</v>
      </c>
      <c r="F776" s="42" t="str">
        <f>Annex!L510</f>
        <v xml:space="preserve">Case 775 is a imported case, 29 years old male Singapore Citizen  and has been to Pending . He is currently admitted at SKH . </v>
      </c>
      <c r="G776" s="39">
        <v>43918</v>
      </c>
      <c r="H776" s="42"/>
      <c r="I776" s="42"/>
      <c r="J776" s="42"/>
      <c r="K776" s="42"/>
      <c r="L776" s="42" t="str">
        <f>Annex!C510</f>
        <v xml:space="preserve">SKH </v>
      </c>
      <c r="M776" s="43" t="s">
        <v>1302</v>
      </c>
    </row>
    <row r="777" spans="1:13" ht="13.8" customHeight="1" x14ac:dyDescent="0.3">
      <c r="A777" s="42">
        <f>Annex!A511</f>
        <v>776</v>
      </c>
      <c r="B777" s="42" t="str">
        <f>IF(LEFT(Annex!H511,5)="Local","Local Transmission",Annex!H511)</f>
        <v>Imported</v>
      </c>
      <c r="C777" s="42" t="str">
        <f>Annex!J511</f>
        <v>Male</v>
      </c>
      <c r="D777" s="42">
        <f>Annex!D511</f>
        <v>35</v>
      </c>
      <c r="E777" s="42" t="str">
        <f>Annex!K511</f>
        <v>Singaporean</v>
      </c>
      <c r="F777" s="42" t="str">
        <f>Annex!L511</f>
        <v xml:space="preserve">Case 776 is a Imported case, 35 years old male Singapore Citizen  and has been to Pending . He is currently admitted at SKH . </v>
      </c>
      <c r="G777" s="39">
        <v>43918</v>
      </c>
      <c r="H777" s="42"/>
      <c r="I777" s="42"/>
      <c r="J777" s="42"/>
      <c r="K777" s="42"/>
      <c r="L777" s="42" t="str">
        <f>Annex!C511</f>
        <v xml:space="preserve">SKH </v>
      </c>
      <c r="M777" s="43" t="s">
        <v>1302</v>
      </c>
    </row>
    <row r="778" spans="1:13" ht="13.8" customHeight="1" x14ac:dyDescent="0.3">
      <c r="A778" s="42">
        <f>Annex!A512</f>
        <v>777</v>
      </c>
      <c r="B778" s="42" t="str">
        <f>IF(LEFT(Annex!H512,5)="Local","Local Transmission",Annex!H512)</f>
        <v>Imported</v>
      </c>
      <c r="C778" s="42" t="str">
        <f>Annex!J512</f>
        <v>Male</v>
      </c>
      <c r="D778" s="42">
        <f>Annex!D512</f>
        <v>29</v>
      </c>
      <c r="E778" s="42" t="str">
        <f>Annex!K512</f>
        <v>Singaporean</v>
      </c>
      <c r="F778" s="42" t="str">
        <f>Annex!L512</f>
        <v xml:space="preserve">Case 777 is a Imported case, 29 years old male Singapore Citizen  and has been to France . He is currently admitted at NCID . </v>
      </c>
      <c r="G778" s="39">
        <v>43918</v>
      </c>
      <c r="H778" s="42"/>
      <c r="I778" s="42"/>
      <c r="J778" s="42"/>
      <c r="K778" s="42"/>
      <c r="L778" s="42" t="str">
        <f>Annex!C512</f>
        <v xml:space="preserve">NCID </v>
      </c>
      <c r="M778" s="43" t="s">
        <v>1302</v>
      </c>
    </row>
    <row r="779" spans="1:13" ht="13.8" customHeight="1" x14ac:dyDescent="0.3">
      <c r="A779" s="42">
        <f>Annex!A513</f>
        <v>778</v>
      </c>
      <c r="B779" s="42" t="str">
        <f>IF(LEFT(Annex!H513,5)="Local","Local Transmission",Annex!H513)</f>
        <v>Imported</v>
      </c>
      <c r="C779" s="42" t="str">
        <f>Annex!J513</f>
        <v>Female</v>
      </c>
      <c r="D779" s="42">
        <f>Annex!D513</f>
        <v>21</v>
      </c>
      <c r="E779" s="42" t="str">
        <f>Annex!K513</f>
        <v>Singaporean</v>
      </c>
      <c r="F779" s="42" t="str">
        <f>Annex!L513</f>
        <v xml:space="preserve">Case 778 is a Imported case, 21 years old female Singapore Citizen  and has been to UK . She is currently admitted at NCID . </v>
      </c>
      <c r="G779" s="39">
        <v>43918</v>
      </c>
      <c r="H779" s="42"/>
      <c r="I779" s="42"/>
      <c r="J779" s="42"/>
      <c r="K779" s="42"/>
      <c r="L779" s="42" t="str">
        <f>Annex!C513</f>
        <v xml:space="preserve">NCID </v>
      </c>
      <c r="M779" s="43" t="s">
        <v>1302</v>
      </c>
    </row>
    <row r="780" spans="1:13" ht="13.8" customHeight="1" x14ac:dyDescent="0.3">
      <c r="A780" s="42">
        <f>Annex!A514</f>
        <v>779</v>
      </c>
      <c r="B780" s="42" t="str">
        <f>IF(LEFT(Annex!H514,5)="Local","Local Transmission",Annex!H514)</f>
        <v>Local Transmission</v>
      </c>
      <c r="C780" s="42" t="str">
        <f>Annex!J514</f>
        <v>Female</v>
      </c>
      <c r="D780" s="42">
        <f>Annex!D514</f>
        <v>55</v>
      </c>
      <c r="E780" s="42" t="str">
        <f>Annex!K514</f>
        <v>Singaporean</v>
      </c>
      <c r="F780" s="42" t="str">
        <f>Annex!L514</f>
        <v>Case 779 is a Local linked  case, 55 years old female Singapore Citizen  and has not been overseas. She is currently admitted at NCID . Family member of Case 653</v>
      </c>
      <c r="G780" s="39">
        <v>43918</v>
      </c>
      <c r="H780" s="42"/>
      <c r="I780" s="42"/>
      <c r="J780" s="42"/>
      <c r="K780" s="42"/>
      <c r="L780" s="42" t="str">
        <f>Annex!C514</f>
        <v xml:space="preserve">NCID </v>
      </c>
      <c r="M780" s="43" t="s">
        <v>1302</v>
      </c>
    </row>
    <row r="781" spans="1:13" ht="13.8" customHeight="1" x14ac:dyDescent="0.3">
      <c r="A781" s="42">
        <f>Annex!A515</f>
        <v>780</v>
      </c>
      <c r="B781" s="42" t="str">
        <f>IF(LEFT(Annex!H515,5)="Local","Local Transmission",Annex!H515)</f>
        <v>Local Transmission</v>
      </c>
      <c r="C781" s="42" t="str">
        <f>Annex!J515</f>
        <v>Female</v>
      </c>
      <c r="D781" s="42">
        <f>Annex!D515</f>
        <v>50</v>
      </c>
      <c r="E781" s="42" t="str">
        <f>Annex!K515</f>
        <v>Philippines</v>
      </c>
      <c r="F781" s="42" t="str">
        <f>Annex!L515</f>
        <v>Case 780 is a Local linked  case, 50 years old female Philippines (Singapore Work Pass holder)  and has not been overseas. She is currently admitted at NCID . Contact of Case 652</v>
      </c>
      <c r="G781" s="39">
        <v>43918</v>
      </c>
      <c r="H781" s="42"/>
      <c r="I781" s="42"/>
      <c r="J781" s="42"/>
      <c r="K781" s="42"/>
      <c r="L781" s="42" t="str">
        <f>Annex!C515</f>
        <v xml:space="preserve">NCID </v>
      </c>
      <c r="M781" s="43" t="s">
        <v>1302</v>
      </c>
    </row>
    <row r="782" spans="1:13" ht="13.8" customHeight="1" x14ac:dyDescent="0.3">
      <c r="A782" s="42">
        <f>Annex!A516</f>
        <v>781</v>
      </c>
      <c r="B782" s="42" t="str">
        <f>IF(LEFT(Annex!H516,5)="Local","Local Transmission",Annex!H516)</f>
        <v>Imported</v>
      </c>
      <c r="C782" s="42" t="str">
        <f>Annex!J516</f>
        <v>Female</v>
      </c>
      <c r="D782" s="42">
        <f>Annex!D516</f>
        <v>43</v>
      </c>
      <c r="E782" s="42" t="str">
        <f>Annex!K516</f>
        <v>Singaporean</v>
      </c>
      <c r="F782" s="42" t="str">
        <f>Annex!L516</f>
        <v xml:space="preserve">Case 781 is a Imported case, 43 years old female Singapore Permanent Resident  and has been to Philippines . She is currently admitted at KTPH . </v>
      </c>
      <c r="G782" s="39">
        <v>43918</v>
      </c>
      <c r="H782" s="42"/>
      <c r="I782" s="42"/>
      <c r="J782" s="42"/>
      <c r="K782" s="42"/>
      <c r="L782" s="42" t="str">
        <f>Annex!C516</f>
        <v xml:space="preserve">KTPH </v>
      </c>
      <c r="M782" s="43" t="s">
        <v>1302</v>
      </c>
    </row>
    <row r="783" spans="1:13" ht="13.8" customHeight="1" x14ac:dyDescent="0.3">
      <c r="A783" s="42">
        <f>Annex!A517</f>
        <v>782</v>
      </c>
      <c r="B783" s="42" t="str">
        <f>IF(LEFT(Annex!H517,5)="Local","Local Transmission",Annex!H517)</f>
        <v>Imported</v>
      </c>
      <c r="C783" s="42" t="str">
        <f>Annex!J517</f>
        <v>Female</v>
      </c>
      <c r="D783" s="42">
        <f>Annex!D517</f>
        <v>21</v>
      </c>
      <c r="E783" s="42" t="str">
        <f>Annex!K517</f>
        <v>Singaporean</v>
      </c>
      <c r="F783" s="42" t="str">
        <f>Annex!L517</f>
        <v xml:space="preserve">Case 782 is a Imported case, 21 years old female Singapore Citizen  and has been to UK . She is currently admitted at NCID . </v>
      </c>
      <c r="G783" s="39">
        <v>43918</v>
      </c>
      <c r="H783" s="42"/>
      <c r="I783" s="42"/>
      <c r="J783" s="42"/>
      <c r="K783" s="42"/>
      <c r="L783" s="42" t="str">
        <f>Annex!C517</f>
        <v xml:space="preserve">NCID </v>
      </c>
      <c r="M783" s="43" t="s">
        <v>1302</v>
      </c>
    </row>
    <row r="784" spans="1:13" ht="13.8" customHeight="1" x14ac:dyDescent="0.3">
      <c r="A784" s="42">
        <f>Annex!A518</f>
        <v>783</v>
      </c>
      <c r="B784" s="42" t="str">
        <f>IF(LEFT(Annex!H518,5)="Local","Local Transmission",Annex!H518)</f>
        <v>Imported</v>
      </c>
      <c r="C784" s="42" t="str">
        <f>Annex!J518</f>
        <v>Female</v>
      </c>
      <c r="D784" s="42">
        <f>Annex!D518</f>
        <v>19</v>
      </c>
      <c r="E784" s="42" t="str">
        <f>Annex!K518</f>
        <v>Singaporean</v>
      </c>
      <c r="F784" s="42" t="str">
        <f>Annex!L518</f>
        <v xml:space="preserve">Case 783 is a Imported case, 19 years old female Singapore Permanent Resident  and has been to UK . She is currently admitted at NCID . </v>
      </c>
      <c r="G784" s="39">
        <v>43918</v>
      </c>
      <c r="H784" s="42"/>
      <c r="I784" s="42"/>
      <c r="J784" s="42"/>
      <c r="K784" s="42"/>
      <c r="L784" s="42" t="str">
        <f>Annex!C518</f>
        <v xml:space="preserve">NCID </v>
      </c>
      <c r="M784" s="43" t="s">
        <v>1302</v>
      </c>
    </row>
    <row r="785" spans="1:13" ht="13.8" customHeight="1" x14ac:dyDescent="0.3">
      <c r="A785" s="42">
        <f>Annex!A519</f>
        <v>784</v>
      </c>
      <c r="B785" s="42" t="str">
        <f>IF(LEFT(Annex!H519,5)="Local","Local Transmission",Annex!H519)</f>
        <v>Imported</v>
      </c>
      <c r="C785" s="42" t="str">
        <f>Annex!J519</f>
        <v>Female</v>
      </c>
      <c r="D785" s="42">
        <f>Annex!D519</f>
        <v>23</v>
      </c>
      <c r="E785" s="42" t="str">
        <f>Annex!K519</f>
        <v>Singaporean</v>
      </c>
      <c r="F785" s="42" t="str">
        <f>Annex!L519</f>
        <v xml:space="preserve">Case 784 is a Imported case, 23 years old female Singapore Citizen  and has been to UK . She is currently admitted at NCID . </v>
      </c>
      <c r="G785" s="39">
        <v>43918</v>
      </c>
      <c r="H785" s="42"/>
      <c r="I785" s="42"/>
      <c r="J785" s="42"/>
      <c r="K785" s="42"/>
      <c r="L785" s="42" t="str">
        <f>Annex!C519</f>
        <v xml:space="preserve">NCID </v>
      </c>
      <c r="M785" s="43" t="s">
        <v>1302</v>
      </c>
    </row>
    <row r="786" spans="1:13" ht="13.8" customHeight="1" x14ac:dyDescent="0.3">
      <c r="A786" s="42">
        <f>Annex!A520</f>
        <v>785</v>
      </c>
      <c r="B786" s="42" t="str">
        <f>IF(LEFT(Annex!H520,5)="Local","Local Transmission",Annex!H520)</f>
        <v>Imported</v>
      </c>
      <c r="C786" s="42" t="str">
        <f>Annex!J520</f>
        <v>Male</v>
      </c>
      <c r="D786" s="42">
        <f>Annex!D520</f>
        <v>31</v>
      </c>
      <c r="E786" s="42" t="str">
        <f>Annex!K520</f>
        <v>Singaporean</v>
      </c>
      <c r="F786" s="42" t="str">
        <f>Annex!L520</f>
        <v xml:space="preserve">Case 785 is a Imported case, 31 years old male Singapore Citizen  and has been to Pending . He is currently admitted at NCID . </v>
      </c>
      <c r="G786" s="39">
        <v>43918</v>
      </c>
      <c r="H786" s="42"/>
      <c r="I786" s="42"/>
      <c r="J786" s="42"/>
      <c r="K786" s="42"/>
      <c r="L786" s="42" t="str">
        <f>Annex!C520</f>
        <v xml:space="preserve">NCID </v>
      </c>
      <c r="M786" s="43" t="s">
        <v>1302</v>
      </c>
    </row>
    <row r="787" spans="1:13" ht="13.8" customHeight="1" x14ac:dyDescent="0.3">
      <c r="A787" s="42">
        <f>Annex!A521</f>
        <v>786</v>
      </c>
      <c r="B787" s="42" t="str">
        <f>IF(LEFT(Annex!H521,5)="Local","Local Transmission",Annex!H521)</f>
        <v>Imported</v>
      </c>
      <c r="C787" s="42" t="str">
        <f>Annex!J521</f>
        <v>Male</v>
      </c>
      <c r="D787" s="42">
        <f>Annex!D521</f>
        <v>51</v>
      </c>
      <c r="E787" s="42" t="str">
        <f>Annex!K521</f>
        <v>Singaporean</v>
      </c>
      <c r="F787" s="42" t="str">
        <f>Annex!L521</f>
        <v xml:space="preserve">Case 786 is a Imported case, 51 years old male Singapore Citizen  and has been to Pending . He is currently admitted at NCID . </v>
      </c>
      <c r="G787" s="39">
        <v>43918</v>
      </c>
      <c r="H787" s="42"/>
      <c r="I787" s="42"/>
      <c r="J787" s="42"/>
      <c r="K787" s="42"/>
      <c r="L787" s="42" t="str">
        <f>Annex!C521</f>
        <v xml:space="preserve">NCID </v>
      </c>
      <c r="M787" s="43" t="s">
        <v>1302</v>
      </c>
    </row>
    <row r="788" spans="1:13" ht="13.8" customHeight="1" x14ac:dyDescent="0.3">
      <c r="A788" s="42">
        <f>Annex!A522</f>
        <v>787</v>
      </c>
      <c r="B788" s="42" t="str">
        <f>IF(LEFT(Annex!H522,5)="Local","Local Transmission",Annex!H522)</f>
        <v>Imported</v>
      </c>
      <c r="C788" s="42" t="str">
        <f>Annex!J522</f>
        <v>Male</v>
      </c>
      <c r="D788" s="42">
        <f>Annex!D522</f>
        <v>40</v>
      </c>
      <c r="E788" s="42" t="str">
        <f>Annex!K522</f>
        <v>Singaporean</v>
      </c>
      <c r="F788" s="42" t="str">
        <f>Annex!L522</f>
        <v xml:space="preserve">Case 787 is a Imported case, 40 years old male Singapore Citizen  and has been to UK . He is currently admitted at NCID . </v>
      </c>
      <c r="G788" s="39">
        <v>43918</v>
      </c>
      <c r="H788" s="42"/>
      <c r="I788" s="42"/>
      <c r="J788" s="42"/>
      <c r="K788" s="42"/>
      <c r="L788" s="42" t="str">
        <f>Annex!C522</f>
        <v xml:space="preserve">NCID </v>
      </c>
      <c r="M788" s="43" t="s">
        <v>1302</v>
      </c>
    </row>
    <row r="789" spans="1:13" ht="13.8" customHeight="1" x14ac:dyDescent="0.3">
      <c r="A789" s="42">
        <f>Annex!A523</f>
        <v>788</v>
      </c>
      <c r="B789" s="42" t="str">
        <f>IF(LEFT(Annex!H523,5)="Local","Local Transmission",Annex!H523)</f>
        <v>Local Transmission</v>
      </c>
      <c r="C789" s="42" t="str">
        <f>Annex!J523</f>
        <v>Female</v>
      </c>
      <c r="D789" s="42">
        <f>Annex!D523</f>
        <v>57</v>
      </c>
      <c r="E789" s="42" t="str">
        <f>Annex!K523</f>
        <v>Singaporean</v>
      </c>
      <c r="F789" s="42" t="str">
        <f>Annex!L523</f>
        <v xml:space="preserve">Case 788 is a Local unlinked case, 57 years old female Singapore Citizen  and has not been overseas. She is currently admitted at NCID . </v>
      </c>
      <c r="G789" s="39">
        <v>43918</v>
      </c>
      <c r="H789" s="42"/>
      <c r="I789" s="42"/>
      <c r="J789" s="42"/>
      <c r="K789" s="42"/>
      <c r="L789" s="42" t="str">
        <f>Annex!C523</f>
        <v xml:space="preserve">NCID </v>
      </c>
      <c r="M789" s="43" t="s">
        <v>1302</v>
      </c>
    </row>
    <row r="790" spans="1:13" ht="13.8" customHeight="1" x14ac:dyDescent="0.3">
      <c r="A790" s="42">
        <f>Annex!A524</f>
        <v>789</v>
      </c>
      <c r="B790" s="42" t="str">
        <f>IF(LEFT(Annex!H524,5)="Local","Local Transmission",Annex!H524)</f>
        <v>Local Transmission</v>
      </c>
      <c r="C790" s="42" t="str">
        <f>Annex!J524</f>
        <v>Female</v>
      </c>
      <c r="D790" s="42">
        <f>Annex!D524</f>
        <v>50</v>
      </c>
      <c r="E790" s="42" t="str">
        <f>Annex!K524</f>
        <v>Singaporean</v>
      </c>
      <c r="F790" s="42" t="str">
        <f>Annex!L524</f>
        <v>Case 789 is a Local linked  case, 50 years old female Singapore Citizen  and has not been overseas. She is currently admitted at NCID . Contact of Case 722</v>
      </c>
      <c r="G790" s="39">
        <v>43918</v>
      </c>
      <c r="H790" s="42"/>
      <c r="I790" s="42"/>
      <c r="J790" s="42"/>
      <c r="K790" s="42"/>
      <c r="L790" s="42" t="str">
        <f>Annex!C524</f>
        <v xml:space="preserve">NCID </v>
      </c>
      <c r="M790" s="43" t="s">
        <v>1302</v>
      </c>
    </row>
    <row r="791" spans="1:13" ht="13.8" customHeight="1" x14ac:dyDescent="0.3">
      <c r="A791" s="42">
        <f>Annex!A525</f>
        <v>790</v>
      </c>
      <c r="B791" s="42" t="str">
        <f>IF(LEFT(Annex!H525,5)="Local","Local Transmission",Annex!H525)</f>
        <v>Imported</v>
      </c>
      <c r="C791" s="42" t="str">
        <f>Annex!J525</f>
        <v>Male</v>
      </c>
      <c r="D791" s="42">
        <f>Annex!D525</f>
        <v>60</v>
      </c>
      <c r="E791" s="42" t="str">
        <f>Annex!K525</f>
        <v>Singaporean</v>
      </c>
      <c r="F791" s="42" t="str">
        <f>Annex!L525</f>
        <v xml:space="preserve">Case 790 is a Imported case, 60 years old male Singapore Permanent Resident  and has been to Pending . He is currently admitted at NCID . </v>
      </c>
      <c r="G791" s="39">
        <v>43918</v>
      </c>
      <c r="H791" s="42"/>
      <c r="I791" s="42"/>
      <c r="J791" s="42"/>
      <c r="K791" s="42"/>
      <c r="L791" s="42" t="str">
        <f>Annex!C525</f>
        <v xml:space="preserve">NCID </v>
      </c>
      <c r="M791" s="43" t="s">
        <v>1302</v>
      </c>
    </row>
    <row r="792" spans="1:13" ht="13.8" customHeight="1" x14ac:dyDescent="0.3">
      <c r="A792" s="42">
        <f>Annex!A526</f>
        <v>791</v>
      </c>
      <c r="B792" s="42" t="str">
        <f>IF(LEFT(Annex!H526,5)="Local","Local Transmission",Annex!H526)</f>
        <v>Local Transmission</v>
      </c>
      <c r="C792" s="42" t="str">
        <f>Annex!J526</f>
        <v>Female</v>
      </c>
      <c r="D792" s="42">
        <f>Annex!D526</f>
        <v>40</v>
      </c>
      <c r="E792" s="42" t="str">
        <f>Annex!K526</f>
        <v>Indonesia</v>
      </c>
      <c r="F792" s="42" t="str">
        <f>Annex!L526</f>
        <v>Case 791 is a Local linked  case, 40 years old female Indonesia (Long Term Pass holder)  and has not been overseas. She is currently admitted at NCID . Contact of Cases 418 and 512</v>
      </c>
      <c r="G792" s="39">
        <v>43918</v>
      </c>
      <c r="H792" s="42"/>
      <c r="I792" s="42"/>
      <c r="J792" s="42"/>
      <c r="K792" s="42"/>
      <c r="L792" s="42" t="str">
        <f>Annex!C526</f>
        <v xml:space="preserve">NCID </v>
      </c>
      <c r="M792" s="43" t="s">
        <v>1302</v>
      </c>
    </row>
    <row r="793" spans="1:13" ht="13.8" customHeight="1" x14ac:dyDescent="0.3">
      <c r="A793" s="42">
        <f>Annex!A527</f>
        <v>792</v>
      </c>
      <c r="B793" s="42" t="str">
        <f>IF(LEFT(Annex!H527,5)="Local","Local Transmission",Annex!H527)</f>
        <v>Local Transmission</v>
      </c>
      <c r="C793" s="42" t="str">
        <f>Annex!J527</f>
        <v>Female</v>
      </c>
      <c r="D793" s="42">
        <f>Annex!D527</f>
        <v>50</v>
      </c>
      <c r="E793" s="42" t="str">
        <f>Annex!K527</f>
        <v>Singaporean</v>
      </c>
      <c r="F793" s="42" t="str">
        <f>Annex!L527</f>
        <v>Case 792 is a Local linked  case, 50 years old female Singapore Permanent Resident  and has not been overseas. She is currently admitted at NCID . Family member of Case 728</v>
      </c>
      <c r="G793" s="39">
        <v>43918</v>
      </c>
      <c r="H793" s="42"/>
      <c r="I793" s="42"/>
      <c r="J793" s="42"/>
      <c r="K793" s="42"/>
      <c r="L793" s="42" t="str">
        <f>Annex!C527</f>
        <v xml:space="preserve">NCID </v>
      </c>
      <c r="M793" s="43" t="s">
        <v>1302</v>
      </c>
    </row>
    <row r="794" spans="1:13" ht="13.8" customHeight="1" x14ac:dyDescent="0.3">
      <c r="A794" s="42">
        <f>Annex!A528</f>
        <v>793</v>
      </c>
      <c r="B794" s="42" t="str">
        <f>IF(LEFT(Annex!H528,5)="Local","Local Transmission",Annex!H528)</f>
        <v>Local Transmission</v>
      </c>
      <c r="C794" s="42" t="str">
        <f>Annex!J528</f>
        <v>Female</v>
      </c>
      <c r="D794" s="42">
        <f>Annex!D528</f>
        <v>23</v>
      </c>
      <c r="E794" s="42" t="str">
        <f>Annex!K528</f>
        <v>Singaporean</v>
      </c>
      <c r="F794" s="42" t="str">
        <f>Annex!L528</f>
        <v>Case 793 is a Local linked  case, 23 years old female Singapore Citizen  and has not been overseas. She is currently admitted at NCID . Contact of Case 678</v>
      </c>
      <c r="G794" s="39">
        <v>43918</v>
      </c>
      <c r="H794" s="42"/>
      <c r="I794" s="42"/>
      <c r="J794" s="42"/>
      <c r="K794" s="42"/>
      <c r="L794" s="42" t="str">
        <f>Annex!C528</f>
        <v xml:space="preserve">NCID </v>
      </c>
      <c r="M794" s="43" t="s">
        <v>1302</v>
      </c>
    </row>
    <row r="795" spans="1:13" ht="13.8" customHeight="1" x14ac:dyDescent="0.3">
      <c r="A795" s="42">
        <f>Annex!A529</f>
        <v>794</v>
      </c>
      <c r="B795" s="42" t="str">
        <f>IF(LEFT(Annex!H529,5)="Local","Local Transmission",Annex!H529)</f>
        <v>Imported</v>
      </c>
      <c r="C795" s="42" t="str">
        <f>Annex!J529</f>
        <v>Female</v>
      </c>
      <c r="D795" s="42">
        <f>Annex!D529</f>
        <v>22</v>
      </c>
      <c r="E795" s="42" t="str">
        <f>Annex!K529</f>
        <v xml:space="preserve">Pending </v>
      </c>
      <c r="F795" s="42" t="str">
        <f>Annex!L529</f>
        <v xml:space="preserve">Case 794 is a Imported case, 22 years old female Pending  and has been to Pending . She is currently admitted at NCID . </v>
      </c>
      <c r="G795" s="39">
        <v>43918</v>
      </c>
      <c r="H795" s="42"/>
      <c r="I795" s="42"/>
      <c r="J795" s="42"/>
      <c r="K795" s="42"/>
      <c r="L795" s="42" t="str">
        <f>Annex!C529</f>
        <v xml:space="preserve">NCID </v>
      </c>
      <c r="M795" s="43" t="s">
        <v>1302</v>
      </c>
    </row>
    <row r="796" spans="1:13" ht="13.8" customHeight="1" x14ac:dyDescent="0.3">
      <c r="A796" s="42">
        <f>Annex!A530</f>
        <v>795</v>
      </c>
      <c r="B796" s="42" t="str">
        <f>IF(LEFT(Annex!H530,5)="Local","Local Transmission",Annex!H530)</f>
        <v>Local Transmission</v>
      </c>
      <c r="C796" s="42" t="str">
        <f>Annex!J530</f>
        <v>Male</v>
      </c>
      <c r="D796" s="42">
        <f>Annex!D530</f>
        <v>18</v>
      </c>
      <c r="E796" s="42" t="str">
        <f>Annex!K530</f>
        <v>Singaporean</v>
      </c>
      <c r="F796" s="42" t="str">
        <f>Annex!L530</f>
        <v>Case 795 is a Local linked  case, 18 years old male Singapore Citizen  and has not been overseas. He is currently admitted at NCID . Contact of Cases 533, 659, 734 and 797</v>
      </c>
      <c r="G796" s="39">
        <v>43918</v>
      </c>
      <c r="H796" s="42"/>
      <c r="I796" s="42"/>
      <c r="J796" s="42"/>
      <c r="K796" s="42"/>
      <c r="L796" s="42" t="str">
        <f>Annex!C530</f>
        <v xml:space="preserve">NCID </v>
      </c>
      <c r="M796" s="43" t="s">
        <v>1302</v>
      </c>
    </row>
    <row r="797" spans="1:13" ht="13.8" customHeight="1" x14ac:dyDescent="0.3">
      <c r="A797" s="42">
        <f>Annex!A531</f>
        <v>796</v>
      </c>
      <c r="B797" s="42" t="str">
        <f>IF(LEFT(Annex!H531,5)="Local","Local Transmission",Annex!H531)</f>
        <v>Local Transmission</v>
      </c>
      <c r="C797" s="42" t="str">
        <f>Annex!J531</f>
        <v>Male</v>
      </c>
      <c r="D797" s="42">
        <f>Annex!D531</f>
        <v>26</v>
      </c>
      <c r="E797" s="42" t="str">
        <f>Annex!K531</f>
        <v>Malaysia</v>
      </c>
      <c r="F797" s="42" t="str">
        <f>Annex!L531</f>
        <v>Case 796 is a Local linked  case, 26 years old male Malaysia (Singapore Work Pass holder)  and has been to Malaysia . He is currently admitted at NCID . SingPost Centre</v>
      </c>
      <c r="G797" s="39">
        <v>43918</v>
      </c>
      <c r="H797" s="42"/>
      <c r="I797" s="42"/>
      <c r="J797" s="42"/>
      <c r="K797" s="42"/>
      <c r="L797" s="42" t="str">
        <f>Annex!C531</f>
        <v xml:space="preserve">NCID </v>
      </c>
      <c r="M797" s="43" t="s">
        <v>1302</v>
      </c>
    </row>
    <row r="798" spans="1:13" ht="13.8" customHeight="1" x14ac:dyDescent="0.3">
      <c r="A798" s="42">
        <f>Annex!A532</f>
        <v>797</v>
      </c>
      <c r="B798" s="42" t="str">
        <f>IF(LEFT(Annex!H532,5)="Local","Local Transmission",Annex!H532)</f>
        <v>Local Transmission</v>
      </c>
      <c r="C798" s="42" t="str">
        <f>Annex!J532</f>
        <v>Female</v>
      </c>
      <c r="D798" s="42">
        <f>Annex!D532</f>
        <v>35</v>
      </c>
      <c r="E798" s="42" t="str">
        <f>Annex!K532</f>
        <v>Indonesia</v>
      </c>
      <c r="F798" s="42" t="str">
        <f>Annex!L532</f>
        <v>Case 797 is a Local linked  case, 35 years old female Indonesia (Long Term Pass holder)  and has not been overseas. She is currently admitted at NCID . Contact of Cases 533, 659, 734 and 795</v>
      </c>
      <c r="G798" s="39">
        <v>43918</v>
      </c>
      <c r="H798" s="42"/>
      <c r="I798" s="42"/>
      <c r="J798" s="42"/>
      <c r="K798" s="42"/>
      <c r="L798" s="42" t="str">
        <f>Annex!C532</f>
        <v xml:space="preserve">NCID </v>
      </c>
      <c r="M798" s="43" t="s">
        <v>1302</v>
      </c>
    </row>
    <row r="799" spans="1:13" ht="13.8" customHeight="1" x14ac:dyDescent="0.3">
      <c r="A799" s="42">
        <f>Annex!A533</f>
        <v>798</v>
      </c>
      <c r="B799" s="42" t="str">
        <f>IF(LEFT(Annex!H533,5)="Local","Local Transmission",Annex!H533)</f>
        <v xml:space="preserve">Imported </v>
      </c>
      <c r="C799" s="42" t="str">
        <f>Annex!J533</f>
        <v>Female</v>
      </c>
      <c r="D799" s="42">
        <f>Annex!D533</f>
        <v>29</v>
      </c>
      <c r="E799" s="42" t="str">
        <f>Annex!K533</f>
        <v>Singaporean</v>
      </c>
      <c r="F799" s="42" t="str">
        <f>Annex!L533</f>
        <v>Case 798 is a Imported  case, 29 years old female Singapore Citizen  and has been to Turkey . She is currently admitted at NCID . Contact of Cases 683, 700, 702, 703 and 760</v>
      </c>
      <c r="G799" s="39">
        <v>43918</v>
      </c>
      <c r="H799" s="42"/>
      <c r="I799" s="42"/>
      <c r="J799" s="42"/>
      <c r="K799" s="42"/>
      <c r="L799" s="42" t="str">
        <f>Annex!C533</f>
        <v xml:space="preserve">NCID </v>
      </c>
      <c r="M799" s="43" t="s">
        <v>1302</v>
      </c>
    </row>
    <row r="800" spans="1:13" ht="13.8" customHeight="1" x14ac:dyDescent="0.3">
      <c r="A800" s="42">
        <f>Annex!A534</f>
        <v>799</v>
      </c>
      <c r="B800" s="42" t="str">
        <f>IF(LEFT(Annex!H534,5)="Local","Local Transmission",Annex!H534)</f>
        <v>Local Transmission</v>
      </c>
      <c r="C800" s="42" t="str">
        <f>Annex!J534</f>
        <v>Male</v>
      </c>
      <c r="D800" s="42">
        <f>Annex!D534</f>
        <v>39</v>
      </c>
      <c r="E800" s="42" t="str">
        <f>Annex!K534</f>
        <v>Singaporean</v>
      </c>
      <c r="F800" s="42" t="str">
        <f>Annex!L534</f>
        <v>Case 799 is a Local linked  case, 39 years old male Singapore Citizen  and has not been overseas. He is currently admitted at KTPH . Contact of Case 683</v>
      </c>
      <c r="G800" s="39">
        <v>43918</v>
      </c>
      <c r="H800" s="42"/>
      <c r="I800" s="42"/>
      <c r="J800" s="42"/>
      <c r="K800" s="42"/>
      <c r="L800" s="42" t="str">
        <f>Annex!C534</f>
        <v xml:space="preserve">KTPH </v>
      </c>
      <c r="M800" s="43" t="s">
        <v>1302</v>
      </c>
    </row>
    <row r="801" spans="1:13" ht="13.8" customHeight="1" x14ac:dyDescent="0.3">
      <c r="A801" s="42">
        <f>Annex!A535</f>
        <v>800</v>
      </c>
      <c r="B801" s="42" t="str">
        <f>IF(LEFT(Annex!H535,5)="Local","Local Transmission",Annex!H535)</f>
        <v xml:space="preserve">Imported </v>
      </c>
      <c r="C801" s="42" t="str">
        <f>Annex!J535</f>
        <v>Male</v>
      </c>
      <c r="D801" s="42">
        <f>Annex!D535</f>
        <v>22</v>
      </c>
      <c r="E801" s="42" t="str">
        <f>Annex!K535</f>
        <v>Singaporean</v>
      </c>
      <c r="F801" s="42" t="str">
        <f>Annex!L535</f>
        <v xml:space="preserve">Case 800 is a Imported  case, 22 years old male Singapore Citizen  and has been to UK . He is currently admitted at CGH . </v>
      </c>
      <c r="G801" s="39">
        <v>43918</v>
      </c>
      <c r="H801" s="42"/>
      <c r="I801" s="42"/>
      <c r="J801" s="42"/>
      <c r="K801" s="42"/>
      <c r="L801" s="42" t="str">
        <f>Annex!C535</f>
        <v xml:space="preserve">CGH </v>
      </c>
      <c r="M801" s="43" t="s">
        <v>1302</v>
      </c>
    </row>
    <row r="802" spans="1:13" ht="13.8" customHeight="1" x14ac:dyDescent="0.3">
      <c r="A802" s="42">
        <f>Annex!A536</f>
        <v>801</v>
      </c>
      <c r="B802" s="42" t="str">
        <f>IF(LEFT(Annex!H536,5)="Local","Local Transmission",Annex!H536)</f>
        <v>Local Transmission</v>
      </c>
      <c r="C802" s="42" t="str">
        <f>Annex!J536</f>
        <v>Male</v>
      </c>
      <c r="D802" s="42">
        <f>Annex!D536</f>
        <v>39</v>
      </c>
      <c r="E802" s="42" t="str">
        <f>Annex!K536</f>
        <v>Myanmar</v>
      </c>
      <c r="F802" s="42" t="str">
        <f>Annex!L536</f>
        <v xml:space="preserve">Case 801 is a Local linked case, 39 years old male Myanmar (Singapore Work Pass holder)  and has not been overseas. He is currently admitted at CGH . </v>
      </c>
      <c r="G802" s="39">
        <v>43918</v>
      </c>
      <c r="H802" s="42"/>
      <c r="I802" s="42"/>
      <c r="J802" s="42"/>
      <c r="K802" s="42"/>
      <c r="L802" s="42" t="str">
        <f>Annex!C536</f>
        <v xml:space="preserve">CGH </v>
      </c>
      <c r="M802" s="43" t="s">
        <v>1302</v>
      </c>
    </row>
    <row r="803" spans="1:13" ht="13.8" customHeight="1" x14ac:dyDescent="0.3">
      <c r="A803" s="42">
        <f>Annex!A537</f>
        <v>802</v>
      </c>
      <c r="B803" s="42" t="str">
        <f>IF(LEFT(Annex!H537,5)="Local","Local Transmission",Annex!H537)</f>
        <v>Local Transmission</v>
      </c>
      <c r="C803" s="42" t="str">
        <f>Annex!J537</f>
        <v>Female</v>
      </c>
      <c r="D803" s="42">
        <f>Annex!D537</f>
        <v>28</v>
      </c>
      <c r="E803" s="42" t="str">
        <f>Annex!K537</f>
        <v>Singaporean</v>
      </c>
      <c r="F803" s="42" t="str">
        <f>Annex!L537</f>
        <v xml:space="preserve">Case 802 is a Local unlinked case, 28 years old female Singapore Citizen  and has not been overseas. She is currently admitted at NTFGH . </v>
      </c>
      <c r="G803" s="39">
        <v>43918</v>
      </c>
      <c r="H803" s="42"/>
      <c r="I803" s="42"/>
      <c r="J803" s="42"/>
      <c r="K803" s="42"/>
      <c r="L803" s="42" t="str">
        <f>Annex!C537</f>
        <v xml:space="preserve">NTFGH </v>
      </c>
      <c r="M803" s="43" t="s">
        <v>1302</v>
      </c>
    </row>
    <row r="804" spans="1:13" ht="13.8" customHeight="1" x14ac:dyDescent="0.3">
      <c r="A804" s="47">
        <f>Annex!A538</f>
        <v>803</v>
      </c>
      <c r="B804" s="47" t="str">
        <f>IF(LEFT(Annex!H538,5)="Local","Local Transmission",Annex!H538)</f>
        <v>Imported</v>
      </c>
      <c r="C804" s="47" t="str">
        <f>Annex!J538</f>
        <v>Male</v>
      </c>
      <c r="D804" s="47">
        <f>Annex!D538</f>
        <v>23</v>
      </c>
      <c r="E804" s="47" t="str">
        <f>Annex!K538</f>
        <v>Singaporean</v>
      </c>
      <c r="F804" s="47" t="str">
        <f>Annex!L538</f>
        <v xml:space="preserve">Case 803 is a Imported case, 23 years old male Singapore Citizen  and has been to US . He is currently admitted at KTPH . </v>
      </c>
      <c r="G804" s="44">
        <v>43919</v>
      </c>
      <c r="H804" s="47"/>
      <c r="I804" s="47"/>
      <c r="J804" s="47"/>
      <c r="K804" s="47"/>
      <c r="L804" s="47" t="str">
        <f>Annex!C538</f>
        <v xml:space="preserve">KTPH </v>
      </c>
      <c r="M804" s="48" t="s">
        <v>1345</v>
      </c>
    </row>
    <row r="805" spans="1:13" ht="13.8" customHeight="1" x14ac:dyDescent="0.3">
      <c r="A805" s="47">
        <f>Annex!A539</f>
        <v>804</v>
      </c>
      <c r="B805" s="47" t="str">
        <f>IF(LEFT(Annex!H539,5)="Local","Local Transmission",Annex!H539)</f>
        <v>Imported</v>
      </c>
      <c r="C805" s="47" t="str">
        <f>Annex!J539</f>
        <v>Female</v>
      </c>
      <c r="D805" s="47">
        <f>Annex!D539</f>
        <v>21</v>
      </c>
      <c r="E805" s="47" t="str">
        <f>Annex!K539</f>
        <v>Singaporean</v>
      </c>
      <c r="F805" s="47" t="str">
        <f>Annex!L539</f>
        <v xml:space="preserve">Case 804 is a Imported case, 21 years old female Singapore Permanent Resident  and has been to Pending . She is currently admitted at NCID . </v>
      </c>
      <c r="G805" s="44">
        <v>43919</v>
      </c>
      <c r="H805" s="47"/>
      <c r="I805" s="47"/>
      <c r="J805" s="47"/>
      <c r="K805" s="47"/>
      <c r="L805" s="47" t="str">
        <f>Annex!C539</f>
        <v xml:space="preserve">NCID </v>
      </c>
      <c r="M805" s="48" t="s">
        <v>1345</v>
      </c>
    </row>
    <row r="806" spans="1:13" ht="13.8" customHeight="1" x14ac:dyDescent="0.3">
      <c r="A806" s="47">
        <f>Annex!A540</f>
        <v>805</v>
      </c>
      <c r="B806" s="47" t="str">
        <f>IF(LEFT(Annex!H540,5)="Local","Local Transmission",Annex!H540)</f>
        <v>Imported</v>
      </c>
      <c r="C806" s="47" t="str">
        <f>Annex!J540</f>
        <v>Male</v>
      </c>
      <c r="D806" s="47">
        <f>Annex!D540</f>
        <v>32</v>
      </c>
      <c r="E806" s="47" t="str">
        <f>Annex!K540</f>
        <v>Singaporean</v>
      </c>
      <c r="F806" s="47" t="str">
        <f>Annex!L540</f>
        <v xml:space="preserve">Case 805 is a Imported case, 32 years old male Singapore Citizen  and has been to Pending . He is currently admitted at NCID . </v>
      </c>
      <c r="G806" s="44">
        <v>43919</v>
      </c>
      <c r="H806" s="47"/>
      <c r="I806" s="47"/>
      <c r="J806" s="47"/>
      <c r="K806" s="47"/>
      <c r="L806" s="47" t="str">
        <f>Annex!C540</f>
        <v xml:space="preserve">NCID </v>
      </c>
      <c r="M806" s="48" t="s">
        <v>1345</v>
      </c>
    </row>
    <row r="807" spans="1:13" ht="13.8" customHeight="1" x14ac:dyDescent="0.3">
      <c r="A807" s="47">
        <f>Annex!A541</f>
        <v>806</v>
      </c>
      <c r="B807" s="47" t="str">
        <f>IF(LEFT(Annex!H541,5)="Local","Local Transmission",Annex!H541)</f>
        <v>Imported</v>
      </c>
      <c r="C807" s="47" t="str">
        <f>Annex!J541</f>
        <v>Male</v>
      </c>
      <c r="D807" s="47">
        <f>Annex!D541</f>
        <v>25</v>
      </c>
      <c r="E807" s="47" t="str">
        <f>Annex!K541</f>
        <v>Singaporean</v>
      </c>
      <c r="F807" s="47" t="str">
        <f>Annex!L541</f>
        <v xml:space="preserve">Case 806 is a Imported case, 25 years old male Singapore Citizen  and has been to Pending . He is currently admitted at NCID . </v>
      </c>
      <c r="G807" s="44">
        <v>43919</v>
      </c>
      <c r="H807" s="47"/>
      <c r="I807" s="47"/>
      <c r="J807" s="47"/>
      <c r="K807" s="47"/>
      <c r="L807" s="47" t="str">
        <f>Annex!C541</f>
        <v xml:space="preserve">NCID </v>
      </c>
      <c r="M807" s="48" t="s">
        <v>1345</v>
      </c>
    </row>
    <row r="808" spans="1:13" ht="13.8" customHeight="1" x14ac:dyDescent="0.3">
      <c r="A808" s="47">
        <f>Annex!A542</f>
        <v>807</v>
      </c>
      <c r="B808" s="47" t="str">
        <f>IF(LEFT(Annex!H542,5)="Local","Local Transmission",Annex!H542)</f>
        <v>Local Transmission</v>
      </c>
      <c r="C808" s="47" t="str">
        <f>Annex!J542</f>
        <v>Male</v>
      </c>
      <c r="D808" s="47">
        <f>Annex!D542</f>
        <v>21</v>
      </c>
      <c r="E808" s="47" t="str">
        <f>Annex!K542</f>
        <v>Singaporean</v>
      </c>
      <c r="F808" s="47" t="str">
        <f>Annex!L542</f>
        <v xml:space="preserve">Case 807 is a Local unlinked case, 21 years old male Singapore Citizen  and has not been overseas. He is currently admitted at CGH . </v>
      </c>
      <c r="G808" s="44">
        <v>43919</v>
      </c>
      <c r="H808" s="47"/>
      <c r="I808" s="47"/>
      <c r="J808" s="47"/>
      <c r="K808" s="47"/>
      <c r="L808" s="47" t="str">
        <f>Annex!C542</f>
        <v xml:space="preserve">CGH </v>
      </c>
      <c r="M808" s="48" t="s">
        <v>1345</v>
      </c>
    </row>
    <row r="809" spans="1:13" ht="13.8" customHeight="1" x14ac:dyDescent="0.3">
      <c r="A809" s="47">
        <f>Annex!A543</f>
        <v>808</v>
      </c>
      <c r="B809" s="47" t="str">
        <f>IF(LEFT(Annex!H543,5)="Local","Local Transmission",Annex!H543)</f>
        <v>Local Transmission</v>
      </c>
      <c r="C809" s="47" t="str">
        <f>Annex!J543</f>
        <v>Male</v>
      </c>
      <c r="D809" s="47">
        <f>Annex!D543</f>
        <v>44</v>
      </c>
      <c r="E809" s="47" t="str">
        <f>Annex!K543</f>
        <v>Singaporean</v>
      </c>
      <c r="F809" s="47" t="str">
        <f>Annex!L543</f>
        <v xml:space="preserve">Case 808 is a Local unlinked case, 44 years old male Singapore Permanent Resident  and has not been overseas. He is currently admitted at NTFGH . </v>
      </c>
      <c r="G809" s="44">
        <v>43919</v>
      </c>
      <c r="H809" s="47"/>
      <c r="I809" s="47"/>
      <c r="J809" s="47"/>
      <c r="K809" s="47"/>
      <c r="L809" s="47" t="str">
        <f>Annex!C543</f>
        <v xml:space="preserve">NTFGH </v>
      </c>
      <c r="M809" s="48" t="s">
        <v>1345</v>
      </c>
    </row>
    <row r="810" spans="1:13" ht="13.8" customHeight="1" x14ac:dyDescent="0.3">
      <c r="A810" s="47">
        <f>Annex!A544</f>
        <v>809</v>
      </c>
      <c r="B810" s="47" t="str">
        <f>IF(LEFT(Annex!H544,5)="Local","Local Transmission",Annex!H544)</f>
        <v>Local Transmission</v>
      </c>
      <c r="C810" s="47" t="str">
        <f>Annex!J544</f>
        <v>Male</v>
      </c>
      <c r="D810" s="47">
        <f>Annex!D544</f>
        <v>37</v>
      </c>
      <c r="E810" s="47" t="str">
        <f>Annex!K544</f>
        <v>Singaporean</v>
      </c>
      <c r="F810" s="47" t="str">
        <f>Annex!L544</f>
        <v>Case 809 is a Local linked  case, 37 years old male Singapore Citizen  and has been to Malaysia . He is currently admitted at SKH . Family member of Case 742</v>
      </c>
      <c r="G810" s="44">
        <v>43919</v>
      </c>
      <c r="H810" s="47"/>
      <c r="I810" s="47"/>
      <c r="J810" s="47"/>
      <c r="K810" s="47"/>
      <c r="L810" s="47" t="str">
        <f>Annex!C544</f>
        <v xml:space="preserve">SKH </v>
      </c>
      <c r="M810" s="48" t="s">
        <v>1345</v>
      </c>
    </row>
    <row r="811" spans="1:13" ht="13.8" customHeight="1" x14ac:dyDescent="0.3">
      <c r="A811" s="47">
        <f>Annex!A545</f>
        <v>810</v>
      </c>
      <c r="B811" s="47" t="str">
        <f>IF(LEFT(Annex!H545,5)="Local","Local Transmission",Annex!H545)</f>
        <v>Local Transmission</v>
      </c>
      <c r="C811" s="47" t="str">
        <f>Annex!J545</f>
        <v>Female</v>
      </c>
      <c r="D811" s="47">
        <f>Annex!D545</f>
        <v>22</v>
      </c>
      <c r="E811" s="47" t="str">
        <f>Annex!K545</f>
        <v>Singaporean</v>
      </c>
      <c r="F811" s="47" t="str">
        <f>Annex!L545</f>
        <v>Case 810 is a Local linked  case, 22 years old female Singapore Citizen  and has not been overseas. She is currently admitted at CGH . Contact of Cases 745 and 802 The Wedding Brocade</v>
      </c>
      <c r="G811" s="44">
        <v>43919</v>
      </c>
      <c r="H811" s="47"/>
      <c r="I811" s="47"/>
      <c r="J811" s="47"/>
      <c r="K811" s="47"/>
      <c r="L811" s="47" t="str">
        <f>Annex!C545</f>
        <v xml:space="preserve">CGH </v>
      </c>
      <c r="M811" s="48" t="s">
        <v>1345</v>
      </c>
    </row>
    <row r="812" spans="1:13" ht="13.8" customHeight="1" x14ac:dyDescent="0.3">
      <c r="A812" s="47">
        <f>Annex!A546</f>
        <v>811</v>
      </c>
      <c r="B812" s="47" t="str">
        <f>IF(LEFT(Annex!H546,5)="Local","Local Transmission",Annex!H546)</f>
        <v>Local Transmission</v>
      </c>
      <c r="C812" s="47" t="str">
        <f>Annex!J546</f>
        <v>Female</v>
      </c>
      <c r="D812" s="47">
        <f>Annex!D546</f>
        <v>12</v>
      </c>
      <c r="E812" s="47" t="str">
        <f>Annex!K546</f>
        <v>Australia</v>
      </c>
      <c r="F812" s="47" t="str">
        <f>Annex!L546</f>
        <v>Case 811 is a Local linked  case, 12 years old female Australia (Long Term Pass holder)  and has not been overseas. She is currently admitted at NUH . Family member of Case 506</v>
      </c>
      <c r="G812" s="44">
        <v>43919</v>
      </c>
      <c r="H812" s="47"/>
      <c r="I812" s="47"/>
      <c r="J812" s="47"/>
      <c r="K812" s="47"/>
      <c r="L812" s="47" t="str">
        <f>Annex!C546</f>
        <v xml:space="preserve">NUH </v>
      </c>
      <c r="M812" s="48" t="s">
        <v>1345</v>
      </c>
    </row>
    <row r="813" spans="1:13" ht="13.8" customHeight="1" x14ac:dyDescent="0.3">
      <c r="A813" s="47">
        <f>Annex!A547</f>
        <v>812</v>
      </c>
      <c r="B813" s="47" t="str">
        <f>IF(LEFT(Annex!H547,5)="Local","Local Transmission",Annex!H547)</f>
        <v>Local Transmission</v>
      </c>
      <c r="C813" s="47" t="str">
        <f>Annex!J547</f>
        <v>Female</v>
      </c>
      <c r="D813" s="47">
        <f>Annex!D547</f>
        <v>25</v>
      </c>
      <c r="E813" s="47" t="str">
        <f>Annex!K547</f>
        <v>Singaporean</v>
      </c>
      <c r="F813" s="47" t="str">
        <f>Annex!L547</f>
        <v xml:space="preserve">Case 812 is a Local unlinked  case, 25 years old female Singapore Citizen  and has not been overseas. She is currently admitted at NCID . </v>
      </c>
      <c r="G813" s="44">
        <v>43919</v>
      </c>
      <c r="H813" s="47"/>
      <c r="I813" s="47"/>
      <c r="J813" s="47"/>
      <c r="K813" s="47"/>
      <c r="L813" s="47" t="str">
        <f>Annex!C547</f>
        <v xml:space="preserve">NCID </v>
      </c>
      <c r="M813" s="48" t="s">
        <v>1345</v>
      </c>
    </row>
    <row r="814" spans="1:13" ht="13.8" customHeight="1" x14ac:dyDescent="0.3">
      <c r="A814" s="47">
        <f>Annex!A548</f>
        <v>813</v>
      </c>
      <c r="B814" s="47" t="str">
        <f>IF(LEFT(Annex!H548,5)="Local","Local Transmission",Annex!H548)</f>
        <v>Local Transmission</v>
      </c>
      <c r="C814" s="47" t="str">
        <f>Annex!J548</f>
        <v>Female</v>
      </c>
      <c r="D814" s="47">
        <f>Annex!D548</f>
        <v>29</v>
      </c>
      <c r="E814" s="47" t="str">
        <f>Annex!K548</f>
        <v>UK</v>
      </c>
      <c r="F814" s="47" t="str">
        <f>Annex!L548</f>
        <v xml:space="preserve">Case 813 is a Local unlinked case, 29 years old female UK (Singapore Work Pass holder)  and has not been overseas. She is currently admitted at SGH . </v>
      </c>
      <c r="G814" s="44">
        <v>43919</v>
      </c>
      <c r="H814" s="47"/>
      <c r="I814" s="47"/>
      <c r="J814" s="47"/>
      <c r="K814" s="47"/>
      <c r="L814" s="47" t="str">
        <f>Annex!C548</f>
        <v xml:space="preserve">SGH </v>
      </c>
      <c r="M814" s="48" t="s">
        <v>1345</v>
      </c>
    </row>
    <row r="815" spans="1:13" ht="13.8" customHeight="1" x14ac:dyDescent="0.3">
      <c r="A815" s="47">
        <f>Annex!A549</f>
        <v>814</v>
      </c>
      <c r="B815" s="47" t="str">
        <f>IF(LEFT(Annex!H549,5)="Local","Local Transmission",Annex!H549)</f>
        <v>Imported</v>
      </c>
      <c r="C815" s="47" t="str">
        <f>Annex!J549</f>
        <v>Male</v>
      </c>
      <c r="D815" s="47">
        <f>Annex!D549</f>
        <v>61</v>
      </c>
      <c r="E815" s="47" t="str">
        <f>Annex!K549</f>
        <v>Singaporean</v>
      </c>
      <c r="F815" s="47" t="str">
        <f>Annex!L549</f>
        <v xml:space="preserve">Case 814 is a Imported case, 61 years old male Singapore Citizen  and has been to Malaysia . He is currently admitted at KTPH . </v>
      </c>
      <c r="G815" s="44">
        <v>43919</v>
      </c>
      <c r="H815" s="47"/>
      <c r="I815" s="47"/>
      <c r="J815" s="47"/>
      <c r="K815" s="47"/>
      <c r="L815" s="47" t="str">
        <f>Annex!C549</f>
        <v xml:space="preserve">KTPH </v>
      </c>
      <c r="M815" s="48" t="s">
        <v>1345</v>
      </c>
    </row>
    <row r="816" spans="1:13" ht="13.8" customHeight="1" x14ac:dyDescent="0.3">
      <c r="A816" s="47">
        <f>Annex!A550</f>
        <v>815</v>
      </c>
      <c r="B816" s="47" t="str">
        <f>IF(LEFT(Annex!H550,5)="Local","Local Transmission",Annex!H550)</f>
        <v>Imported</v>
      </c>
      <c r="C816" s="47" t="str">
        <f>Annex!J550</f>
        <v>Female</v>
      </c>
      <c r="D816" s="47">
        <f>Annex!D550</f>
        <v>21</v>
      </c>
      <c r="E816" s="47" t="str">
        <f>Annex!K550</f>
        <v>Singaporean</v>
      </c>
      <c r="F816" s="47" t="str">
        <f>Annex!L550</f>
        <v xml:space="preserve">Case 815 is a Imported case, 21 years old female Singapore Citizen  and has been to US . She is currently admitted at NCID . </v>
      </c>
      <c r="G816" s="44">
        <v>43919</v>
      </c>
      <c r="H816" s="47"/>
      <c r="I816" s="47"/>
      <c r="J816" s="47"/>
      <c r="K816" s="47"/>
      <c r="L816" s="47" t="str">
        <f>Annex!C550</f>
        <v xml:space="preserve">NCID </v>
      </c>
      <c r="M816" s="48" t="s">
        <v>1345</v>
      </c>
    </row>
    <row r="817" spans="1:13" ht="13.8" customHeight="1" x14ac:dyDescent="0.3">
      <c r="A817" s="47">
        <f>Annex!A551</f>
        <v>816</v>
      </c>
      <c r="B817" s="47" t="str">
        <f>IF(LEFT(Annex!H551,5)="Local","Local Transmission",Annex!H551)</f>
        <v>Local Transmission</v>
      </c>
      <c r="C817" s="47" t="str">
        <f>Annex!J551</f>
        <v>Female</v>
      </c>
      <c r="D817" s="47">
        <f>Annex!D551</f>
        <v>36</v>
      </c>
      <c r="E817" s="47" t="str">
        <f>Annex!K551</f>
        <v>Singaporean</v>
      </c>
      <c r="F817" s="47" t="str">
        <f>Annex!L551</f>
        <v>Case 816 is a Local linked  case, 36 years old female Singapore Citizen  and has been to Malaysia . She is currently admitted at NCID . Family member of Case 787</v>
      </c>
      <c r="G817" s="44">
        <v>43919</v>
      </c>
      <c r="H817" s="47"/>
      <c r="I817" s="47"/>
      <c r="J817" s="47"/>
      <c r="K817" s="47"/>
      <c r="L817" s="47" t="str">
        <f>Annex!C551</f>
        <v xml:space="preserve">NCID </v>
      </c>
      <c r="M817" s="48" t="s">
        <v>1345</v>
      </c>
    </row>
    <row r="818" spans="1:13" ht="13.8" customHeight="1" x14ac:dyDescent="0.3">
      <c r="A818" s="47">
        <f>Annex!A552</f>
        <v>817</v>
      </c>
      <c r="B818" s="47" t="str">
        <f>IF(LEFT(Annex!H552,5)="Local","Local Transmission",Annex!H552)</f>
        <v>Imported</v>
      </c>
      <c r="C818" s="47" t="str">
        <f>Annex!J552</f>
        <v>Male</v>
      </c>
      <c r="D818" s="47">
        <f>Annex!D552</f>
        <v>43</v>
      </c>
      <c r="E818" s="47" t="str">
        <f>Annex!K552</f>
        <v>Singaporean</v>
      </c>
      <c r="F818" s="47" t="str">
        <f>Annex!L552</f>
        <v xml:space="preserve">Case 817 is a Imported case, 43 years old male Singapore Permanent Resident  and has been to India . He is currently admitted at NTFGH . </v>
      </c>
      <c r="G818" s="44">
        <v>43919</v>
      </c>
      <c r="H818" s="47"/>
      <c r="I818" s="47"/>
      <c r="J818" s="47"/>
      <c r="K818" s="47"/>
      <c r="L818" s="47" t="str">
        <f>Annex!C552</f>
        <v xml:space="preserve">NTFGH </v>
      </c>
      <c r="M818" s="48" t="s">
        <v>1345</v>
      </c>
    </row>
    <row r="819" spans="1:13" ht="13.8" customHeight="1" x14ac:dyDescent="0.3">
      <c r="A819" s="47">
        <f>Annex!A553</f>
        <v>818</v>
      </c>
      <c r="B819" s="47" t="str">
        <f>IF(LEFT(Annex!H553,5)="Local","Local Transmission",Annex!H553)</f>
        <v>Local Transmission</v>
      </c>
      <c r="C819" s="47" t="str">
        <f>Annex!J553</f>
        <v>Female</v>
      </c>
      <c r="D819" s="47">
        <f>Annex!D553</f>
        <v>22</v>
      </c>
      <c r="E819" s="47" t="str">
        <f>Annex!K553</f>
        <v>Japan</v>
      </c>
      <c r="F819" s="47" t="str">
        <f>Annex!L553</f>
        <v xml:space="preserve">Case 818 is a Local unlinked case, 22 years old female Japan (Singapore Work Pass holder)  and has not been overseas. She is currently admitted at NCID . </v>
      </c>
      <c r="G819" s="44">
        <v>43919</v>
      </c>
      <c r="H819" s="47"/>
      <c r="I819" s="47"/>
      <c r="J819" s="47"/>
      <c r="K819" s="47"/>
      <c r="L819" s="47" t="str">
        <f>Annex!C553</f>
        <v xml:space="preserve">NCID </v>
      </c>
      <c r="M819" s="48" t="s">
        <v>1345</v>
      </c>
    </row>
    <row r="820" spans="1:13" ht="13.8" customHeight="1" x14ac:dyDescent="0.3">
      <c r="A820" s="47">
        <f>Annex!A554</f>
        <v>819</v>
      </c>
      <c r="B820" s="47" t="str">
        <f>IF(LEFT(Annex!H554,5)="Local","Local Transmission",Annex!H554)</f>
        <v xml:space="preserve">Imported </v>
      </c>
      <c r="C820" s="47" t="str">
        <f>Annex!J554</f>
        <v>Female</v>
      </c>
      <c r="D820" s="47">
        <f>Annex!D554</f>
        <v>35</v>
      </c>
      <c r="E820" s="47" t="str">
        <f>Annex!K554</f>
        <v>India</v>
      </c>
      <c r="F820" s="47" t="str">
        <f>Annex!L554</f>
        <v>Case 819 is a Imported  case, 35 years old female India (Long Term Pass holder)  and has been to India . She is currently admitted at KKH . Family member of Cases 695 and 834</v>
      </c>
      <c r="G820" s="44">
        <v>43919</v>
      </c>
      <c r="H820" s="47"/>
      <c r="I820" s="47"/>
      <c r="J820" s="47"/>
      <c r="K820" s="47"/>
      <c r="L820" s="47" t="str">
        <f>Annex!C554</f>
        <v xml:space="preserve">KKH </v>
      </c>
      <c r="M820" s="48" t="s">
        <v>1345</v>
      </c>
    </row>
    <row r="821" spans="1:13" ht="13.8" customHeight="1" x14ac:dyDescent="0.3">
      <c r="A821" s="47">
        <f>Annex!A555</f>
        <v>820</v>
      </c>
      <c r="B821" s="47" t="str">
        <f>IF(LEFT(Annex!H555,5)="Local","Local Transmission",Annex!H555)</f>
        <v>Local Transmission</v>
      </c>
      <c r="C821" s="47" t="str">
        <f>Annex!J555</f>
        <v>Female</v>
      </c>
      <c r="D821" s="47">
        <f>Annex!D555</f>
        <v>55</v>
      </c>
      <c r="E821" s="47" t="str">
        <f>Annex!K555</f>
        <v>Singaporean</v>
      </c>
      <c r="F821" s="47" t="str">
        <f>Annex!L555</f>
        <v xml:space="preserve">Case 820 is a Local unlinked case, 55 years old female Singapore Citizen  and has not been overseas. She is currently admitted at NCID . </v>
      </c>
      <c r="G821" s="44">
        <v>43919</v>
      </c>
      <c r="H821" s="47"/>
      <c r="I821" s="47"/>
      <c r="J821" s="47"/>
      <c r="K821" s="47"/>
      <c r="L821" s="47" t="str">
        <f>Annex!C555</f>
        <v xml:space="preserve">NCID </v>
      </c>
      <c r="M821" s="48" t="s">
        <v>1345</v>
      </c>
    </row>
    <row r="822" spans="1:13" ht="13.8" customHeight="1" x14ac:dyDescent="0.3">
      <c r="A822" s="47">
        <f>Annex!A556</f>
        <v>821</v>
      </c>
      <c r="B822" s="47" t="str">
        <f>IF(LEFT(Annex!H556,5)="Local","Local Transmission",Annex!H556)</f>
        <v>Local Transmission</v>
      </c>
      <c r="C822" s="47" t="str">
        <f>Annex!J556</f>
        <v>Male</v>
      </c>
      <c r="D822" s="47">
        <f>Annex!D556</f>
        <v>35</v>
      </c>
      <c r="E822" s="47" t="str">
        <f>Annex!K556</f>
        <v>Bangladeshi</v>
      </c>
      <c r="F822" s="47" t="str">
        <f>Annex!L556</f>
        <v xml:space="preserve">Case 821 is a Local unlinked case, 35 years old male Bangladeshi (Long Term Pass holder)  and has not been overseas. He is currently admitted at NCID . </v>
      </c>
      <c r="G822" s="44">
        <v>43919</v>
      </c>
      <c r="H822" s="47"/>
      <c r="I822" s="47"/>
      <c r="J822" s="47"/>
      <c r="K822" s="47"/>
      <c r="L822" s="47" t="str">
        <f>Annex!C556</f>
        <v xml:space="preserve">NCID </v>
      </c>
      <c r="M822" s="48" t="s">
        <v>1345</v>
      </c>
    </row>
    <row r="823" spans="1:13" ht="13.8" customHeight="1" x14ac:dyDescent="0.3">
      <c r="A823" s="47">
        <f>Annex!A557</f>
        <v>822</v>
      </c>
      <c r="B823" s="47" t="str">
        <f>IF(LEFT(Annex!H557,5)="Local","Local Transmission",Annex!H557)</f>
        <v>Imported</v>
      </c>
      <c r="C823" s="47" t="str">
        <f>Annex!J557</f>
        <v>Male</v>
      </c>
      <c r="D823" s="47">
        <f>Annex!D557</f>
        <v>22</v>
      </c>
      <c r="E823" s="47" t="str">
        <f>Annex!K557</f>
        <v>Singaporean</v>
      </c>
      <c r="F823" s="47" t="str">
        <f>Annex!L557</f>
        <v xml:space="preserve">Case 822 is a Imported case, 22 years old male Singapore Citizen  and has been to US . He is currently admitted at SGH . </v>
      </c>
      <c r="G823" s="44">
        <v>43919</v>
      </c>
      <c r="H823" s="47"/>
      <c r="I823" s="47"/>
      <c r="J823" s="47"/>
      <c r="K823" s="47"/>
      <c r="L823" s="47" t="str">
        <f>Annex!C557</f>
        <v xml:space="preserve">SGH </v>
      </c>
      <c r="M823" s="48" t="s">
        <v>1345</v>
      </c>
    </row>
    <row r="824" spans="1:13" ht="13.8" customHeight="1" x14ac:dyDescent="0.3">
      <c r="A824" s="47">
        <f>Annex!A558</f>
        <v>823</v>
      </c>
      <c r="B824" s="47" t="str">
        <f>IF(LEFT(Annex!H558,5)="Local","Local Transmission",Annex!H558)</f>
        <v>Local Transmission</v>
      </c>
      <c r="C824" s="47" t="str">
        <f>Annex!J558</f>
        <v>Male</v>
      </c>
      <c r="D824" s="47">
        <f>Annex!D558</f>
        <v>43</v>
      </c>
      <c r="E824" s="47" t="str">
        <f>Annex!K558</f>
        <v>Singaporean</v>
      </c>
      <c r="F824" s="47" t="str">
        <f>Annex!L558</f>
        <v xml:space="preserve">Case 823 is a Local unlinked case, 43 years old male Singapore Citizen  and has not been overseas. He is currently admitted at NCID . </v>
      </c>
      <c r="G824" s="44">
        <v>43919</v>
      </c>
      <c r="H824" s="47"/>
      <c r="I824" s="47"/>
      <c r="J824" s="47"/>
      <c r="K824" s="47"/>
      <c r="L824" s="47" t="str">
        <f>Annex!C558</f>
        <v xml:space="preserve">NCID </v>
      </c>
      <c r="M824" s="48" t="s">
        <v>1345</v>
      </c>
    </row>
    <row r="825" spans="1:13" ht="13.8" customHeight="1" x14ac:dyDescent="0.3">
      <c r="A825" s="47">
        <f>Annex!A559</f>
        <v>824</v>
      </c>
      <c r="B825" s="47" t="str">
        <f>IF(LEFT(Annex!H559,5)="Local","Local Transmission",Annex!H559)</f>
        <v>Local Transmission</v>
      </c>
      <c r="C825" s="47" t="str">
        <f>Annex!J559</f>
        <v>Female</v>
      </c>
      <c r="D825" s="47">
        <f>Annex!D559</f>
        <v>33</v>
      </c>
      <c r="E825" s="47" t="str">
        <f>Annex!K559</f>
        <v>Singaporean</v>
      </c>
      <c r="F825" s="47" t="str">
        <f>Annex!L559</f>
        <v xml:space="preserve">Case 824 is a Local unlinked case, 33 years old female Singapore Citizen  and has not been overseas. She is currently admitted at NCID . </v>
      </c>
      <c r="G825" s="44">
        <v>43919</v>
      </c>
      <c r="H825" s="47"/>
      <c r="I825" s="47"/>
      <c r="J825" s="47"/>
      <c r="K825" s="47"/>
      <c r="L825" s="47" t="str">
        <f>Annex!C559</f>
        <v xml:space="preserve">NCID </v>
      </c>
      <c r="M825" s="48" t="s">
        <v>1345</v>
      </c>
    </row>
    <row r="826" spans="1:13" ht="13.8" customHeight="1" x14ac:dyDescent="0.3">
      <c r="A826" s="47">
        <f>Annex!A560</f>
        <v>825</v>
      </c>
      <c r="B826" s="47" t="str">
        <f>IF(LEFT(Annex!H560,5)="Local","Local Transmission",Annex!H560)</f>
        <v xml:space="preserve">Imported </v>
      </c>
      <c r="C826" s="47" t="str">
        <f>Annex!J560</f>
        <v>Male</v>
      </c>
      <c r="D826" s="47">
        <f>Annex!D560</f>
        <v>36</v>
      </c>
      <c r="E826" s="47" t="str">
        <f>Annex!K560</f>
        <v>Philippines</v>
      </c>
      <c r="F826" s="47" t="str">
        <f>Annex!L560</f>
        <v xml:space="preserve">Case 825 is a Imported  case, 36 years old male Philippines (Singapore Work Pass holder)  and has been to Philippines . He is currently admitted at NTFGH . </v>
      </c>
      <c r="G826" s="44">
        <v>43919</v>
      </c>
      <c r="H826" s="47"/>
      <c r="I826" s="47"/>
      <c r="J826" s="47"/>
      <c r="K826" s="47"/>
      <c r="L826" s="47" t="str">
        <f>Annex!C560</f>
        <v xml:space="preserve">NTFGH </v>
      </c>
      <c r="M826" s="48" t="s">
        <v>1345</v>
      </c>
    </row>
    <row r="827" spans="1:13" ht="13.8" customHeight="1" x14ac:dyDescent="0.3">
      <c r="A827" s="47">
        <f>Annex!A561</f>
        <v>826</v>
      </c>
      <c r="B827" s="47" t="str">
        <f>IF(LEFT(Annex!H561,5)="Local","Local Transmission",Annex!H561)</f>
        <v>Local Transmission</v>
      </c>
      <c r="C827" s="47" t="str">
        <f>Annex!J561</f>
        <v>Male</v>
      </c>
      <c r="D827" s="47">
        <f>Annex!D561</f>
        <v>48</v>
      </c>
      <c r="E827" s="47" t="str">
        <f>Annex!K561</f>
        <v>Bangladesh</v>
      </c>
      <c r="F827" s="47" t="str">
        <f>Annex!L561</f>
        <v>Case 826 is a Local linked  case, 48 years old male Bangladesh (Long Term Pass holder)  and has not been overseas. He is currently admitted at SKH . Contact of Case 829</v>
      </c>
      <c r="G827" s="44">
        <v>43919</v>
      </c>
      <c r="H827" s="47"/>
      <c r="I827" s="47"/>
      <c r="J827" s="47"/>
      <c r="K827" s="47"/>
      <c r="L827" s="47" t="str">
        <f>Annex!C561</f>
        <v xml:space="preserve">SKH </v>
      </c>
      <c r="M827" s="48" t="s">
        <v>1345</v>
      </c>
    </row>
    <row r="828" spans="1:13" ht="13.8" customHeight="1" x14ac:dyDescent="0.3">
      <c r="A828" s="47">
        <f>Annex!A562</f>
        <v>827</v>
      </c>
      <c r="B828" s="47" t="str">
        <f>IF(LEFT(Annex!H562,5)="Local","Local Transmission",Annex!H562)</f>
        <v>Imported</v>
      </c>
      <c r="C828" s="47" t="str">
        <f>Annex!J562</f>
        <v>Female</v>
      </c>
      <c r="D828" s="47">
        <f>Annex!D562</f>
        <v>27</v>
      </c>
      <c r="E828" s="47" t="str">
        <f>Annex!K562</f>
        <v>Singaporean</v>
      </c>
      <c r="F828" s="47" t="str">
        <f>Annex!L562</f>
        <v xml:space="preserve">Case 827 is a Imported case, 27 years old female Singapore Citizen  and has been to US . She is currently admitted at NUH . </v>
      </c>
      <c r="G828" s="44">
        <v>43919</v>
      </c>
      <c r="H828" s="47"/>
      <c r="I828" s="47"/>
      <c r="J828" s="47"/>
      <c r="K828" s="47"/>
      <c r="L828" s="47" t="str">
        <f>Annex!C562</f>
        <v xml:space="preserve">NUH </v>
      </c>
      <c r="M828" s="48" t="s">
        <v>1345</v>
      </c>
    </row>
    <row r="829" spans="1:13" ht="13.8" customHeight="1" x14ac:dyDescent="0.3">
      <c r="A829" s="47">
        <f>Annex!A563</f>
        <v>828</v>
      </c>
      <c r="B829" s="47" t="str">
        <f>IF(LEFT(Annex!H563,5)="Local","Local Transmission",Annex!H563)</f>
        <v>Imported</v>
      </c>
      <c r="C829" s="47" t="str">
        <f>Annex!J563</f>
        <v>Male</v>
      </c>
      <c r="D829" s="47">
        <f>Annex!D563</f>
        <v>47</v>
      </c>
      <c r="E829" s="47" t="str">
        <f>Annex!K563</f>
        <v>Singaporean</v>
      </c>
      <c r="F829" s="47" t="str">
        <f>Annex!L563</f>
        <v xml:space="preserve">Case 828 is a Imported case, 47 years old male Singapore Permanent Resident  and has been to Pending . He is currently admitted at NUH . </v>
      </c>
      <c r="G829" s="44">
        <v>43919</v>
      </c>
      <c r="H829" s="47"/>
      <c r="I829" s="47"/>
      <c r="J829" s="47"/>
      <c r="K829" s="47"/>
      <c r="L829" s="47" t="str">
        <f>Annex!C563</f>
        <v xml:space="preserve">NUH </v>
      </c>
      <c r="M829" s="48" t="s">
        <v>1345</v>
      </c>
    </row>
    <row r="830" spans="1:13" ht="13.8" customHeight="1" x14ac:dyDescent="0.3">
      <c r="A830" s="47">
        <f>Annex!A564</f>
        <v>829</v>
      </c>
      <c r="B830" s="47" t="str">
        <f>IF(LEFT(Annex!H564,5)="Local","Local Transmission",Annex!H564)</f>
        <v>Local Transmission</v>
      </c>
      <c r="C830" s="47" t="str">
        <f>Annex!J564</f>
        <v>Male</v>
      </c>
      <c r="D830" s="47">
        <f>Annex!D564</f>
        <v>34</v>
      </c>
      <c r="E830" s="47" t="str">
        <f>Annex!K564</f>
        <v>India</v>
      </c>
      <c r="F830" s="47" t="str">
        <f>Annex!L564</f>
        <v>Case 829 is a Local linked  case, 34 years old male India (Singapore Work Pass holder)  and has not been overseas. He is currently admitted at KTPH . Contact of Case 826</v>
      </c>
      <c r="G830" s="44">
        <v>43919</v>
      </c>
      <c r="H830" s="47"/>
      <c r="I830" s="47"/>
      <c r="J830" s="47"/>
      <c r="K830" s="47"/>
      <c r="L830" s="47" t="str">
        <f>Annex!C564</f>
        <v xml:space="preserve">KTPH </v>
      </c>
      <c r="M830" s="48" t="s">
        <v>1345</v>
      </c>
    </row>
    <row r="831" spans="1:13" ht="13.8" customHeight="1" x14ac:dyDescent="0.3">
      <c r="A831" s="47">
        <f>Annex!A565</f>
        <v>830</v>
      </c>
      <c r="B831" s="47" t="str">
        <f>IF(LEFT(Annex!H565,5)="Local","Local Transmission",Annex!H565)</f>
        <v xml:space="preserve">Imported </v>
      </c>
      <c r="C831" s="47" t="str">
        <f>Annex!J565</f>
        <v>Female</v>
      </c>
      <c r="D831" s="47">
        <f>Annex!D565</f>
        <v>61</v>
      </c>
      <c r="E831" s="47" t="str">
        <f>Annex!K565</f>
        <v>Singaporean</v>
      </c>
      <c r="F831" s="47" t="str">
        <f>Annex!L565</f>
        <v>Case 830 is a Imported  case, 61 years old female Singapore Citizen  and has been to Turkey . She is currently admitted at NCID . Family member of Case 760</v>
      </c>
      <c r="G831" s="44">
        <v>43919</v>
      </c>
      <c r="H831" s="47"/>
      <c r="I831" s="47"/>
      <c r="J831" s="47"/>
      <c r="K831" s="47"/>
      <c r="L831" s="47" t="str">
        <f>Annex!C565</f>
        <v xml:space="preserve">NCID </v>
      </c>
      <c r="M831" s="48" t="s">
        <v>1345</v>
      </c>
    </row>
    <row r="832" spans="1:13" ht="13.8" customHeight="1" x14ac:dyDescent="0.3">
      <c r="A832" s="47">
        <f>Annex!A566</f>
        <v>831</v>
      </c>
      <c r="B832" s="47" t="str">
        <f>IF(LEFT(Annex!H566,5)="Local","Local Transmission",Annex!H566)</f>
        <v>Imported</v>
      </c>
      <c r="C832" s="47" t="str">
        <f>Annex!J566</f>
        <v>Male</v>
      </c>
      <c r="D832" s="47">
        <f>Annex!D566</f>
        <v>22</v>
      </c>
      <c r="E832" s="47" t="str">
        <f>Annex!K566</f>
        <v>Singaporean</v>
      </c>
      <c r="F832" s="47" t="str">
        <f>Annex!L566</f>
        <v xml:space="preserve">Case 831 is a Imported case, 22 years old male Singapore Permanent Resident  and has been to US . He is currently admitted at NCID . </v>
      </c>
      <c r="G832" s="44">
        <v>43919</v>
      </c>
      <c r="H832" s="47"/>
      <c r="I832" s="47"/>
      <c r="J832" s="47"/>
      <c r="K832" s="47"/>
      <c r="L832" s="47" t="str">
        <f>Annex!C566</f>
        <v xml:space="preserve">NCID </v>
      </c>
      <c r="M832" s="48" t="s">
        <v>1345</v>
      </c>
    </row>
    <row r="833" spans="1:13" ht="13.8" customHeight="1" x14ac:dyDescent="0.3">
      <c r="A833" s="47">
        <f>Annex!A567</f>
        <v>832</v>
      </c>
      <c r="B833" s="47" t="str">
        <f>IF(LEFT(Annex!H567,5)="Local","Local Transmission",Annex!H567)</f>
        <v>Imported</v>
      </c>
      <c r="C833" s="47" t="str">
        <f>Annex!J567</f>
        <v>Male</v>
      </c>
      <c r="D833" s="47">
        <f>Annex!D567</f>
        <v>52</v>
      </c>
      <c r="E833" s="47" t="str">
        <f>Annex!K567</f>
        <v>Singaporean</v>
      </c>
      <c r="F833" s="47" t="str">
        <f>Annex!L567</f>
        <v xml:space="preserve">Case 832 is a Imported case, 52 years old male Singapore Citizen  and has been to UAE . He is currently admitted at KTPH . </v>
      </c>
      <c r="G833" s="44">
        <v>43919</v>
      </c>
      <c r="H833" s="47"/>
      <c r="I833" s="47"/>
      <c r="J833" s="47"/>
      <c r="K833" s="47"/>
      <c r="L833" s="47" t="str">
        <f>Annex!C567</f>
        <v xml:space="preserve">KTPH </v>
      </c>
      <c r="M833" s="48" t="s">
        <v>1345</v>
      </c>
    </row>
    <row r="834" spans="1:13" ht="13.8" customHeight="1" x14ac:dyDescent="0.3">
      <c r="A834" s="47">
        <f>Annex!A568</f>
        <v>833</v>
      </c>
      <c r="B834" s="47" t="str">
        <f>IF(LEFT(Annex!H568,5)="Local","Local Transmission",Annex!H568)</f>
        <v>Imported</v>
      </c>
      <c r="C834" s="47" t="str">
        <f>Annex!J568</f>
        <v>Male</v>
      </c>
      <c r="D834" s="47">
        <f>Annex!D568</f>
        <v>69</v>
      </c>
      <c r="E834" s="47" t="str">
        <f>Annex!K568</f>
        <v>Malaysia</v>
      </c>
      <c r="F834" s="47" t="str">
        <f>Annex!L568</f>
        <v xml:space="preserve">Case 833 is a Imported case, 69 years old male Malaysia (Long Term Pass holder)  and has been to UK . He is currently admitted at NCID . </v>
      </c>
      <c r="G834" s="44">
        <v>43919</v>
      </c>
      <c r="H834" s="47"/>
      <c r="I834" s="47"/>
      <c r="J834" s="47"/>
      <c r="K834" s="47"/>
      <c r="L834" s="47" t="str">
        <f>Annex!C568</f>
        <v xml:space="preserve">NCID </v>
      </c>
      <c r="M834" s="48" t="s">
        <v>1345</v>
      </c>
    </row>
    <row r="835" spans="1:13" ht="13.8" customHeight="1" x14ac:dyDescent="0.3">
      <c r="A835" s="47">
        <f>Annex!A569</f>
        <v>834</v>
      </c>
      <c r="B835" s="47" t="str">
        <f>IF(LEFT(Annex!H569,5)="Local","Local Transmission",Annex!H569)</f>
        <v xml:space="preserve">Imported </v>
      </c>
      <c r="C835" s="47" t="str">
        <f>Annex!J569</f>
        <v>Male</v>
      </c>
      <c r="D835" s="47">
        <f>Annex!D569</f>
        <v>34</v>
      </c>
      <c r="E835" s="47" t="str">
        <f>Annex!K569</f>
        <v>India</v>
      </c>
      <c r="F835" s="47" t="str">
        <f>Annex!L569</f>
        <v>Case 834 is a Imported  case, 34 years old male India (Singapore Work Pass holder)  and has been to India . He is currently admitted at NCID . Family member of Cases 695 and 819</v>
      </c>
      <c r="G835" s="44">
        <v>43919</v>
      </c>
      <c r="H835" s="47"/>
      <c r="I835" s="47"/>
      <c r="J835" s="47"/>
      <c r="K835" s="47"/>
      <c r="L835" s="47" t="str">
        <f>Annex!C569</f>
        <v xml:space="preserve">NCID </v>
      </c>
      <c r="M835" s="48" t="s">
        <v>1345</v>
      </c>
    </row>
    <row r="836" spans="1:13" ht="13.8" customHeight="1" x14ac:dyDescent="0.3">
      <c r="A836" s="47">
        <f>Annex!A570</f>
        <v>835</v>
      </c>
      <c r="B836" s="47" t="str">
        <f>IF(LEFT(Annex!H570,5)="Local","Local Transmission",Annex!H570)</f>
        <v>Imported</v>
      </c>
      <c r="C836" s="47" t="str">
        <f>Annex!J570</f>
        <v>Female</v>
      </c>
      <c r="D836" s="47">
        <f>Annex!D570</f>
        <v>68</v>
      </c>
      <c r="E836" s="47" t="str">
        <f>Annex!K570</f>
        <v>Singaporean</v>
      </c>
      <c r="F836" s="47" t="str">
        <f>Annex!L570</f>
        <v xml:space="preserve">Case 835 is a Imported case, 68 years old female Singapore Citizen  and has been to Turkey . She is currently admitted at NCID . </v>
      </c>
      <c r="G836" s="44">
        <v>43919</v>
      </c>
      <c r="H836" s="47"/>
      <c r="I836" s="47"/>
      <c r="J836" s="47"/>
      <c r="K836" s="47"/>
      <c r="L836" s="47" t="str">
        <f>Annex!C570</f>
        <v xml:space="preserve">NCID </v>
      </c>
      <c r="M836" s="48" t="s">
        <v>1345</v>
      </c>
    </row>
    <row r="837" spans="1:13" ht="13.8" customHeight="1" x14ac:dyDescent="0.3">
      <c r="A837" s="47">
        <f>Annex!A571</f>
        <v>836</v>
      </c>
      <c r="B837" s="47" t="str">
        <f>IF(LEFT(Annex!H571,5)="Local","Local Transmission",Annex!H571)</f>
        <v>Local Transmission</v>
      </c>
      <c r="C837" s="47" t="str">
        <f>Annex!J571</f>
        <v>Male</v>
      </c>
      <c r="D837" s="47">
        <f>Annex!D571</f>
        <v>43</v>
      </c>
      <c r="E837" s="47" t="str">
        <f>Annex!K571</f>
        <v>Singaporean</v>
      </c>
      <c r="F837" s="47" t="str">
        <f>Annex!L571</f>
        <v>Case 836 is a Local linked  case, 43 years old male Singapore Citizen  and has not been overseas. He is currently admitted at NCID . Contact of Case 747</v>
      </c>
      <c r="G837" s="44">
        <v>43919</v>
      </c>
      <c r="H837" s="47"/>
      <c r="I837" s="47"/>
      <c r="J837" s="47"/>
      <c r="K837" s="47"/>
      <c r="L837" s="47" t="str">
        <f>Annex!C571</f>
        <v xml:space="preserve">NCID </v>
      </c>
      <c r="M837" s="48" t="s">
        <v>1345</v>
      </c>
    </row>
    <row r="838" spans="1:13" ht="13.8" customHeight="1" x14ac:dyDescent="0.3">
      <c r="A838" s="47">
        <f>Annex!A572</f>
        <v>837</v>
      </c>
      <c r="B838" s="47" t="str">
        <f>IF(LEFT(Annex!H572,5)="Local","Local Transmission",Annex!H572)</f>
        <v>Imported</v>
      </c>
      <c r="C838" s="47" t="str">
        <f>Annex!J572</f>
        <v>Female</v>
      </c>
      <c r="D838" s="47">
        <f>Annex!D572</f>
        <v>68</v>
      </c>
      <c r="E838" s="47" t="str">
        <f>Annex!K572</f>
        <v>Singaporean</v>
      </c>
      <c r="F838" s="47" t="str">
        <f>Annex!L572</f>
        <v xml:space="preserve">Case 837 is a Imported case, 68 years old female Singapore Citizen  and has been to Turkey . She is currently admitted at NCID . </v>
      </c>
      <c r="G838" s="44">
        <v>43919</v>
      </c>
      <c r="H838" s="47"/>
      <c r="I838" s="47"/>
      <c r="J838" s="47"/>
      <c r="K838" s="47"/>
      <c r="L838" s="47" t="str">
        <f>Annex!C572</f>
        <v xml:space="preserve">NCID </v>
      </c>
      <c r="M838" s="48" t="s">
        <v>1345</v>
      </c>
    </row>
    <row r="839" spans="1:13" ht="13.8" customHeight="1" x14ac:dyDescent="0.3">
      <c r="A839" s="47">
        <f>Annex!A573</f>
        <v>838</v>
      </c>
      <c r="B839" s="47" t="str">
        <f>IF(LEFT(Annex!H573,5)="Local","Local Transmission",Annex!H573)</f>
        <v xml:space="preserve">Imported </v>
      </c>
      <c r="C839" s="47" t="str">
        <f>Annex!J573</f>
        <v>Female</v>
      </c>
      <c r="D839" s="47">
        <f>Annex!D573</f>
        <v>42</v>
      </c>
      <c r="E839" s="47" t="str">
        <f>Annex!K573</f>
        <v>Singaporean</v>
      </c>
      <c r="F839" s="47" t="str">
        <f>Annex!L573</f>
        <v xml:space="preserve">Case 838 is a Imported  case, 42 years old female Singapore Permanent Resident  and has been to UK . She is currently admitted at NCID . </v>
      </c>
      <c r="G839" s="44">
        <v>43919</v>
      </c>
      <c r="H839" s="47"/>
      <c r="I839" s="47"/>
      <c r="J839" s="47"/>
      <c r="K839" s="47"/>
      <c r="L839" s="47" t="str">
        <f>Annex!C573</f>
        <v xml:space="preserve">NCID </v>
      </c>
      <c r="M839" s="48" t="s">
        <v>1345</v>
      </c>
    </row>
    <row r="840" spans="1:13" ht="13.8" customHeight="1" x14ac:dyDescent="0.3">
      <c r="A840" s="47">
        <f>Annex!A574</f>
        <v>839</v>
      </c>
      <c r="B840" s="47" t="str">
        <f>IF(LEFT(Annex!H574,5)="Local","Local Transmission",Annex!H574)</f>
        <v>Local Transmission</v>
      </c>
      <c r="C840" s="47" t="str">
        <f>Annex!J574</f>
        <v>Female</v>
      </c>
      <c r="D840" s="47">
        <f>Annex!D574</f>
        <v>57</v>
      </c>
      <c r="E840" s="47" t="str">
        <f>Annex!K574</f>
        <v>Singaporean</v>
      </c>
      <c r="F840" s="47" t="str">
        <f>Annex!L574</f>
        <v>Case 839 is a Local linked  case, 57 years old female Singapore Citizen  and has not been overseas. She is currently admitted at NCID . Family member of Case 533</v>
      </c>
      <c r="G840" s="44">
        <v>43919</v>
      </c>
      <c r="H840" s="47"/>
      <c r="I840" s="47"/>
      <c r="J840" s="47"/>
      <c r="K840" s="47"/>
      <c r="L840" s="47" t="str">
        <f>Annex!C574</f>
        <v xml:space="preserve">NCID </v>
      </c>
      <c r="M840" s="48" t="s">
        <v>1345</v>
      </c>
    </row>
    <row r="841" spans="1:13" ht="13.8" customHeight="1" x14ac:dyDescent="0.3">
      <c r="A841" s="47">
        <f>Annex!A575</f>
        <v>840</v>
      </c>
      <c r="B841" s="47" t="str">
        <f>IF(LEFT(Annex!H575,5)="Local","Local Transmission",Annex!H575)</f>
        <v>Imported</v>
      </c>
      <c r="C841" s="47" t="str">
        <f>Annex!J575</f>
        <v>Female</v>
      </c>
      <c r="D841" s="47">
        <f>Annex!D575</f>
        <v>52</v>
      </c>
      <c r="E841" s="47" t="str">
        <f>Annex!K575</f>
        <v>Singaporean</v>
      </c>
      <c r="F841" s="47" t="str">
        <f>Annex!L575</f>
        <v xml:space="preserve">Case 840 is a Imported case, 52 years old female Singapore Permanent Resident  and has been to Philippines . She is currently admitted at NCID . </v>
      </c>
      <c r="G841" s="44">
        <v>43919</v>
      </c>
      <c r="H841" s="47"/>
      <c r="I841" s="47"/>
      <c r="J841" s="47"/>
      <c r="K841" s="47"/>
      <c r="L841" s="47" t="str">
        <f>Annex!C575</f>
        <v xml:space="preserve">NCID </v>
      </c>
      <c r="M841" s="48" t="s">
        <v>1345</v>
      </c>
    </row>
    <row r="842" spans="1:13" ht="13.8" customHeight="1" x14ac:dyDescent="0.3">
      <c r="A842" s="47">
        <f>Annex!A576</f>
        <v>841</v>
      </c>
      <c r="B842" s="47" t="str">
        <f>IF(LEFT(Annex!H576,5)="Local","Local Transmission",Annex!H576)</f>
        <v>Imported</v>
      </c>
      <c r="C842" s="47" t="str">
        <f>Annex!J576</f>
        <v>Female</v>
      </c>
      <c r="D842" s="47">
        <f>Annex!D576</f>
        <v>21</v>
      </c>
      <c r="E842" s="47" t="str">
        <f>Annex!K576</f>
        <v>Singaporean</v>
      </c>
      <c r="F842" s="47" t="str">
        <f>Annex!L576</f>
        <v xml:space="preserve">Case 841 is a Imported case, 21 years old female Singapore Citizen  and has been to US . She is currently admitted at NCID . </v>
      </c>
      <c r="G842" s="44">
        <v>43919</v>
      </c>
      <c r="H842" s="47"/>
      <c r="I842" s="47"/>
      <c r="J842" s="47"/>
      <c r="K842" s="47"/>
      <c r="L842" s="47" t="str">
        <f>Annex!C576</f>
        <v xml:space="preserve">NCID </v>
      </c>
      <c r="M842" s="48" t="s">
        <v>1345</v>
      </c>
    </row>
    <row r="843" spans="1:13" ht="13.8" customHeight="1" x14ac:dyDescent="0.3">
      <c r="A843" s="47">
        <f>Annex!A577</f>
        <v>842</v>
      </c>
      <c r="B843" s="47" t="str">
        <f>IF(LEFT(Annex!H577,5)="Local","Local Transmission",Annex!H577)</f>
        <v>Imported</v>
      </c>
      <c r="C843" s="47" t="str">
        <f>Annex!J577</f>
        <v>Male</v>
      </c>
      <c r="D843" s="47">
        <f>Annex!D577</f>
        <v>30</v>
      </c>
      <c r="E843" s="47" t="str">
        <f>Annex!K577</f>
        <v>Singaporean</v>
      </c>
      <c r="F843" s="47" t="str">
        <f>Annex!L577</f>
        <v xml:space="preserve">Case 842 is a Imported case, 30 years old male Singapore Citizen  and has been to Pending . He is currently admitted at NCID . </v>
      </c>
      <c r="G843" s="44">
        <v>43919</v>
      </c>
      <c r="H843" s="47"/>
      <c r="I843" s="47"/>
      <c r="J843" s="47"/>
      <c r="K843" s="47"/>
      <c r="L843" s="47" t="str">
        <f>Annex!C577</f>
        <v xml:space="preserve">NCID </v>
      </c>
      <c r="M843" s="48" t="s">
        <v>1345</v>
      </c>
    </row>
    <row r="844" spans="1:13" ht="13.8" customHeight="1" x14ac:dyDescent="0.3">
      <c r="A844" s="47">
        <f>Annex!A578</f>
        <v>843</v>
      </c>
      <c r="B844" s="47" t="str">
        <f>IF(LEFT(Annex!H578,5)="Local","Local Transmission",Annex!H578)</f>
        <v>Imported</v>
      </c>
      <c r="C844" s="47" t="str">
        <f>Annex!J578</f>
        <v>Female</v>
      </c>
      <c r="D844" s="47">
        <f>Annex!D578</f>
        <v>68</v>
      </c>
      <c r="E844" s="47" t="str">
        <f>Annex!K578</f>
        <v xml:space="preserve">Malaysia </v>
      </c>
      <c r="F844" s="47" t="str">
        <f>Annex!L578</f>
        <v xml:space="preserve">Case 843 is a Imported case, 68 years old female Malaysia  and has been to UK . She is currently admitted at NCID . </v>
      </c>
      <c r="G844" s="44">
        <v>43919</v>
      </c>
      <c r="H844" s="47"/>
      <c r="I844" s="47"/>
      <c r="J844" s="47"/>
      <c r="K844" s="47"/>
      <c r="L844" s="47" t="str">
        <f>Annex!C578</f>
        <v xml:space="preserve">NCID </v>
      </c>
      <c r="M844" s="48" t="s">
        <v>1345</v>
      </c>
    </row>
    <row r="845" spans="1:13" ht="13.8" customHeight="1" x14ac:dyDescent="0.3">
      <c r="A845" s="47">
        <f>Annex!A579</f>
        <v>844</v>
      </c>
      <c r="B845" s="47" t="str">
        <f>IF(LEFT(Annex!H579,5)="Local","Local Transmission",Annex!H579)</f>
        <v>Local Transmission</v>
      </c>
      <c r="C845" s="47" t="str">
        <f>Annex!J579</f>
        <v>Female</v>
      </c>
      <c r="D845" s="47">
        <f>Annex!D579</f>
        <v>47</v>
      </c>
      <c r="E845" s="47" t="str">
        <f>Annex!K579</f>
        <v>Singaporean</v>
      </c>
      <c r="F845" s="47" t="str">
        <f>Annex!L579</f>
        <v xml:space="preserve">Case 844 is a Local unlinked  case, 47 years old female Singapore Citizen  and has not been overseas. She is currently admitted at CGH . </v>
      </c>
      <c r="G845" s="44">
        <v>43919</v>
      </c>
      <c r="H845" s="47"/>
      <c r="I845" s="47"/>
      <c r="J845" s="47"/>
      <c r="K845" s="47"/>
      <c r="L845" s="47" t="str">
        <f>Annex!C579</f>
        <v xml:space="preserve">CGH </v>
      </c>
      <c r="M845" s="48" t="s">
        <v>1345</v>
      </c>
    </row>
    <row r="846" spans="1:13" ht="13.8" customHeight="1" x14ac:dyDescent="0.3">
      <c r="A846" s="52">
        <f>Annex!A580</f>
        <v>845</v>
      </c>
      <c r="B846" s="52" t="str">
        <f>IF(LEFT(Annex!H580,5)="Local","Local Transmission",Annex!H580)</f>
        <v>Local Transmission</v>
      </c>
      <c r="C846" s="52" t="str">
        <f>Annex!J580</f>
        <v>Female</v>
      </c>
      <c r="D846" s="52">
        <f>Annex!D580</f>
        <v>38</v>
      </c>
      <c r="E846" s="52" t="str">
        <f>Annex!K580</f>
        <v>Singaporean</v>
      </c>
      <c r="F846" s="52" t="str">
        <f>Annex!L580</f>
        <v>Case 845 is a Local linked  case, 38 years old female Singapore Citizen  and has been to Malaysia . She is currently admitted at KKH. Family member of Cases 809 and 742</v>
      </c>
      <c r="G846" s="49">
        <v>43920</v>
      </c>
      <c r="H846" s="52"/>
      <c r="I846" s="52"/>
      <c r="J846" s="52"/>
      <c r="K846" s="52"/>
      <c r="L846" s="52" t="str">
        <f>Annex!C580</f>
        <v>KKH</v>
      </c>
      <c r="M846" s="53" t="s">
        <v>1368</v>
      </c>
    </row>
    <row r="847" spans="1:13" ht="13.8" customHeight="1" x14ac:dyDescent="0.3">
      <c r="A847" s="52">
        <f>Annex!A581</f>
        <v>846</v>
      </c>
      <c r="B847" s="52" t="str">
        <f>IF(LEFT(Annex!H581,5)="Local","Local Transmission",Annex!H581)</f>
        <v>Local Transmission</v>
      </c>
      <c r="C847" s="52" t="str">
        <f>Annex!J581</f>
        <v>Male</v>
      </c>
      <c r="D847" s="52">
        <f>Annex!D581</f>
        <v>68</v>
      </c>
      <c r="E847" s="52" t="str">
        <f>Annex!K581</f>
        <v>UAE</v>
      </c>
      <c r="F847" s="52" t="str">
        <f>Annex!L581</f>
        <v xml:space="preserve">Case 846 is a Local unlinked case, 68 years old male UAE (Long Term Pass holder)  and has not been overseas. He is currently admitted at NUH . </v>
      </c>
      <c r="G847" s="49">
        <v>43920</v>
      </c>
      <c r="H847" s="52"/>
      <c r="I847" s="52"/>
      <c r="J847" s="52"/>
      <c r="K847" s="52"/>
      <c r="L847" s="52" t="str">
        <f>Annex!C581</f>
        <v xml:space="preserve">NUH </v>
      </c>
      <c r="M847" s="53" t="s">
        <v>1368</v>
      </c>
    </row>
    <row r="848" spans="1:13" ht="13.8" customHeight="1" x14ac:dyDescent="0.3">
      <c r="A848" s="52">
        <f>Annex!A582</f>
        <v>847</v>
      </c>
      <c r="B848" s="52" t="str">
        <f>IF(LEFT(Annex!H582,5)="Local","Local Transmission",Annex!H582)</f>
        <v xml:space="preserve">Imported </v>
      </c>
      <c r="C848" s="52" t="str">
        <f>Annex!J582</f>
        <v>Male</v>
      </c>
      <c r="D848" s="52">
        <f>Annex!D582</f>
        <v>42</v>
      </c>
      <c r="E848" s="52" t="str">
        <f>Annex!K582</f>
        <v>Singaporean</v>
      </c>
      <c r="F848" s="52" t="str">
        <f>Annex!L582</f>
        <v>Case 847 is a Imported  case, 42 years old male Singapore Permanent Resident  and has been to Philippines . He is currently admitted at KTPH . Family member of Case 781</v>
      </c>
      <c r="G848" s="49">
        <v>43920</v>
      </c>
      <c r="H848" s="52"/>
      <c r="I848" s="52"/>
      <c r="J848" s="52"/>
      <c r="K848" s="52"/>
      <c r="L848" s="52" t="str">
        <f>Annex!C582</f>
        <v xml:space="preserve">KTPH </v>
      </c>
      <c r="M848" s="53" t="s">
        <v>1368</v>
      </c>
    </row>
    <row r="849" spans="1:13" ht="13.8" customHeight="1" x14ac:dyDescent="0.3">
      <c r="A849" s="52">
        <f>Annex!A583</f>
        <v>848</v>
      </c>
      <c r="B849" s="52" t="str">
        <f>IF(LEFT(Annex!H583,5)="Local","Local Transmission",Annex!H583)</f>
        <v>Local Transmission</v>
      </c>
      <c r="C849" s="52" t="str">
        <f>Annex!J583</f>
        <v>Female</v>
      </c>
      <c r="D849" s="52">
        <f>Annex!D583</f>
        <v>41</v>
      </c>
      <c r="E849" s="52" t="str">
        <f>Annex!K583</f>
        <v>Taiwan</v>
      </c>
      <c r="F849" s="52" t="str">
        <f>Annex!L583</f>
        <v>Case 848 is a Local linked  case, 41 years old female Taiwan (Long Term Pass holder)  and has not been overseas. She is currently admitted at NUH . Wilby Residences</v>
      </c>
      <c r="G849" s="49">
        <v>43920</v>
      </c>
      <c r="H849" s="52"/>
      <c r="I849" s="52"/>
      <c r="J849" s="52"/>
      <c r="K849" s="52"/>
      <c r="L849" s="52" t="str">
        <f>Annex!C583</f>
        <v xml:space="preserve">NUH </v>
      </c>
      <c r="M849" s="53" t="s">
        <v>1368</v>
      </c>
    </row>
    <row r="850" spans="1:13" ht="13.8" customHeight="1" x14ac:dyDescent="0.3">
      <c r="A850" s="52">
        <f>Annex!A584</f>
        <v>849</v>
      </c>
      <c r="B850" s="52" t="str">
        <f>IF(LEFT(Annex!H584,5)="Local","Local Transmission",Annex!H584)</f>
        <v>Local Transmission</v>
      </c>
      <c r="C850" s="52" t="str">
        <f>Annex!J584</f>
        <v>Female</v>
      </c>
      <c r="D850" s="52">
        <f>Annex!D584</f>
        <v>34</v>
      </c>
      <c r="E850" s="52" t="str">
        <f>Annex!K584</f>
        <v>Singaporean</v>
      </c>
      <c r="F850" s="52" t="str">
        <f>Annex!L584</f>
        <v>Case 849 is a Local linked  case, 34 years old female Singapore Citizen  and has been to Malaysia . She is currently admitted at NUH . Family member of Case 533</v>
      </c>
      <c r="G850" s="49">
        <v>43920</v>
      </c>
      <c r="H850" s="52"/>
      <c r="I850" s="52"/>
      <c r="J850" s="52"/>
      <c r="K850" s="52"/>
      <c r="L850" s="52" t="str">
        <f>Annex!C584</f>
        <v xml:space="preserve">NUH </v>
      </c>
      <c r="M850" s="53" t="s">
        <v>1368</v>
      </c>
    </row>
    <row r="851" spans="1:13" ht="13.8" customHeight="1" x14ac:dyDescent="0.3">
      <c r="A851" s="52">
        <f>Annex!A585</f>
        <v>850</v>
      </c>
      <c r="B851" s="52" t="str">
        <f>IF(LEFT(Annex!H585,5)="Local","Local Transmission",Annex!H585)</f>
        <v>Local Transmission</v>
      </c>
      <c r="C851" s="52" t="str">
        <f>Annex!J585</f>
        <v>Male</v>
      </c>
      <c r="D851" s="52">
        <f>Annex!D585</f>
        <v>37</v>
      </c>
      <c r="E851" s="52" t="str">
        <f>Annex!K585</f>
        <v>Singaporean</v>
      </c>
      <c r="F851" s="52" t="str">
        <f>Annex!L585</f>
        <v xml:space="preserve">Case 850 is a Local unlinked case, 37 years old male Singapore Citizen  and has not been overseas. He is currently admitted at CGH . </v>
      </c>
      <c r="G851" s="49">
        <v>43920</v>
      </c>
      <c r="H851" s="52"/>
      <c r="I851" s="52"/>
      <c r="J851" s="52"/>
      <c r="K851" s="52"/>
      <c r="L851" s="52" t="str">
        <f>Annex!C585</f>
        <v xml:space="preserve">CGH </v>
      </c>
      <c r="M851" s="53" t="s">
        <v>1368</v>
      </c>
    </row>
    <row r="852" spans="1:13" ht="13.8" customHeight="1" x14ac:dyDescent="0.3">
      <c r="A852" s="52">
        <f>Annex!A586</f>
        <v>851</v>
      </c>
      <c r="B852" s="52" t="str">
        <f>IF(LEFT(Annex!H586,5)="Local","Local Transmission",Annex!H586)</f>
        <v>Imported</v>
      </c>
      <c r="C852" s="52" t="str">
        <f>Annex!J586</f>
        <v>Female</v>
      </c>
      <c r="D852" s="52">
        <f>Annex!D586</f>
        <v>40</v>
      </c>
      <c r="E852" s="52" t="str">
        <f>Annex!K586</f>
        <v>Brazil</v>
      </c>
      <c r="F852" s="52" t="str">
        <f>Annex!L586</f>
        <v xml:space="preserve">Case 851 is a Imported case, 40 years old female Brazil (Long Term Pass holder)  and has been to Brazil . She is currently admitted at SGH . </v>
      </c>
      <c r="G852" s="49">
        <v>43920</v>
      </c>
      <c r="H852" s="52"/>
      <c r="I852" s="52"/>
      <c r="J852" s="52"/>
      <c r="K852" s="52"/>
      <c r="L852" s="52" t="str">
        <f>Annex!C586</f>
        <v xml:space="preserve">SGH </v>
      </c>
      <c r="M852" s="53" t="s">
        <v>1368</v>
      </c>
    </row>
    <row r="853" spans="1:13" ht="13.8" customHeight="1" x14ac:dyDescent="0.3">
      <c r="A853" s="52">
        <f>Annex!A587</f>
        <v>852</v>
      </c>
      <c r="B853" s="52" t="str">
        <f>IF(LEFT(Annex!H587,5)="Local","Local Transmission",Annex!H587)</f>
        <v>Local Transmission</v>
      </c>
      <c r="C853" s="52" t="str">
        <f>Annex!J587</f>
        <v>Male</v>
      </c>
      <c r="D853" s="52">
        <f>Annex!D587</f>
        <v>31</v>
      </c>
      <c r="E853" s="52" t="str">
        <f>Annex!K587</f>
        <v>India</v>
      </c>
      <c r="F853" s="52" t="str">
        <f>Annex!L587</f>
        <v>Case 852 is a Local linked  case, 31 years old male India (Long Term Pass holder)  and has not been overseas. He is currently admitted at SGH . S11 Dormitory</v>
      </c>
      <c r="G853" s="49">
        <v>43920</v>
      </c>
      <c r="H853" s="52"/>
      <c r="I853" s="52"/>
      <c r="J853" s="52"/>
      <c r="K853" s="52"/>
      <c r="L853" s="52" t="str">
        <f>Annex!C587</f>
        <v xml:space="preserve">SGH </v>
      </c>
      <c r="M853" s="53" t="s">
        <v>1368</v>
      </c>
    </row>
    <row r="854" spans="1:13" ht="13.8" customHeight="1" x14ac:dyDescent="0.3">
      <c r="A854" s="52">
        <f>Annex!A588</f>
        <v>853</v>
      </c>
      <c r="B854" s="52" t="str">
        <f>IF(LEFT(Annex!H588,5)="Local","Local Transmission",Annex!H588)</f>
        <v>Local Transmission</v>
      </c>
      <c r="C854" s="52" t="str">
        <f>Annex!J588</f>
        <v>Male</v>
      </c>
      <c r="D854" s="52">
        <f>Annex!D588</f>
        <v>20</v>
      </c>
      <c r="E854" s="52" t="str">
        <f>Annex!K588</f>
        <v>Malaysia</v>
      </c>
      <c r="F854" s="52" t="str">
        <f>Annex!L588</f>
        <v xml:space="preserve">Case 853 is a Local unlinked case, 20 years old male Malaysia (Singapore Work Pass holder)  and has not been overseas. He is currently admitted at NCID . </v>
      </c>
      <c r="G854" s="49">
        <v>43920</v>
      </c>
      <c r="H854" s="52"/>
      <c r="I854" s="52"/>
      <c r="J854" s="52"/>
      <c r="K854" s="52"/>
      <c r="L854" s="52" t="str">
        <f>Annex!C588</f>
        <v xml:space="preserve">NCID </v>
      </c>
      <c r="M854" s="53" t="s">
        <v>1368</v>
      </c>
    </row>
    <row r="855" spans="1:13" ht="13.8" customHeight="1" x14ac:dyDescent="0.3">
      <c r="A855" s="52">
        <f>Annex!A589</f>
        <v>854</v>
      </c>
      <c r="B855" s="52" t="str">
        <f>IF(LEFT(Annex!H589,5)="Local","Local Transmission",Annex!H589)</f>
        <v>Local Transmission</v>
      </c>
      <c r="C855" s="52" t="str">
        <f>Annex!J589</f>
        <v>Male</v>
      </c>
      <c r="D855" s="52">
        <f>Annex!D589</f>
        <v>43</v>
      </c>
      <c r="E855" s="52" t="str">
        <f>Annex!K589</f>
        <v>India</v>
      </c>
      <c r="F855" s="52" t="str">
        <f>Annex!L589</f>
        <v xml:space="preserve">Case 854 is a Local unlinked case, 43 years old male India (Singapore Work Pass holder)  and has not been overseas. He is currently admitted at KTPH . </v>
      </c>
      <c r="G855" s="49">
        <v>43920</v>
      </c>
      <c r="H855" s="52"/>
      <c r="I855" s="52"/>
      <c r="J855" s="52"/>
      <c r="K855" s="52"/>
      <c r="L855" s="52" t="str">
        <f>Annex!C589</f>
        <v xml:space="preserve">KTPH </v>
      </c>
      <c r="M855" s="53" t="s">
        <v>1368</v>
      </c>
    </row>
    <row r="856" spans="1:13" ht="13.8" customHeight="1" x14ac:dyDescent="0.3">
      <c r="A856" s="52">
        <f>Annex!A590</f>
        <v>855</v>
      </c>
      <c r="B856" s="52" t="str">
        <f>IF(LEFT(Annex!H590,5)="Local","Local Transmission",Annex!H590)</f>
        <v>Local Transmission</v>
      </c>
      <c r="C856" s="52" t="str">
        <f>Annex!J590</f>
        <v>Male</v>
      </c>
      <c r="D856" s="52">
        <f>Annex!D590</f>
        <v>88</v>
      </c>
      <c r="E856" s="52" t="str">
        <f>Annex!K590</f>
        <v>Singaporean</v>
      </c>
      <c r="F856" s="52" t="str">
        <f>Annex!L590</f>
        <v xml:space="preserve">Case 855 is a Local unlinked case, 88 years old male Singapore Permanent Resident  and has not been overseas. He is currently admitted at NCID . </v>
      </c>
      <c r="G856" s="49">
        <v>43920</v>
      </c>
      <c r="H856" s="52"/>
      <c r="I856" s="52"/>
      <c r="J856" s="52"/>
      <c r="K856" s="52"/>
      <c r="L856" s="52" t="str">
        <f>Annex!C590</f>
        <v xml:space="preserve">NCID </v>
      </c>
      <c r="M856" s="53" t="s">
        <v>1368</v>
      </c>
    </row>
    <row r="857" spans="1:13" ht="13.8" customHeight="1" x14ac:dyDescent="0.3">
      <c r="A857" s="52">
        <f>Annex!A591</f>
        <v>856</v>
      </c>
      <c r="B857" s="52" t="str">
        <f>IF(LEFT(Annex!H591,5)="Local","Local Transmission",Annex!H591)</f>
        <v>Local Transmission</v>
      </c>
      <c r="C857" s="52" t="str">
        <f>Annex!J591</f>
        <v>Male</v>
      </c>
      <c r="D857" s="52">
        <f>Annex!D591</f>
        <v>32</v>
      </c>
      <c r="E857" s="52" t="str">
        <f>Annex!K591</f>
        <v>China</v>
      </c>
      <c r="F857" s="52" t="str">
        <f>Annex!L591</f>
        <v xml:space="preserve">Case 856 is a Local unlinked case, 32 years old male China (Singapore Work Pass holder)  and has not been overseas. He is currently admitted at CGH . </v>
      </c>
      <c r="G857" s="49">
        <v>43920</v>
      </c>
      <c r="H857" s="52"/>
      <c r="I857" s="52"/>
      <c r="J857" s="52"/>
      <c r="K857" s="52"/>
      <c r="L857" s="52" t="str">
        <f>Annex!C591</f>
        <v xml:space="preserve">CGH </v>
      </c>
      <c r="M857" s="53" t="s">
        <v>1368</v>
      </c>
    </row>
    <row r="858" spans="1:13" ht="13.8" customHeight="1" x14ac:dyDescent="0.3">
      <c r="A858" s="52">
        <f>Annex!A592</f>
        <v>857</v>
      </c>
      <c r="B858" s="52" t="str">
        <f>IF(LEFT(Annex!H592,5)="Local","Local Transmission",Annex!H592)</f>
        <v>Imported</v>
      </c>
      <c r="C858" s="52" t="str">
        <f>Annex!J592</f>
        <v>Male</v>
      </c>
      <c r="D858" s="52">
        <f>Annex!D592</f>
        <v>20</v>
      </c>
      <c r="E858" s="52" t="str">
        <f>Annex!K592</f>
        <v>Singaporean</v>
      </c>
      <c r="F858" s="52" t="str">
        <f>Annex!L592</f>
        <v xml:space="preserve">Case 857 is a Imported case, 20 years old male Singapore Citizen  and has been to Malaysia . He is currently admitted at SKH . </v>
      </c>
      <c r="G858" s="49">
        <v>43920</v>
      </c>
      <c r="H858" s="52"/>
      <c r="I858" s="52"/>
      <c r="J858" s="52"/>
      <c r="K858" s="52"/>
      <c r="L858" s="52" t="str">
        <f>Annex!C592</f>
        <v xml:space="preserve">SKH </v>
      </c>
      <c r="M858" s="53" t="s">
        <v>1368</v>
      </c>
    </row>
    <row r="859" spans="1:13" ht="13.8" customHeight="1" x14ac:dyDescent="0.3">
      <c r="A859" s="52">
        <f>Annex!A593</f>
        <v>858</v>
      </c>
      <c r="B859" s="52" t="str">
        <f>IF(LEFT(Annex!H593,5)="Local","Local Transmission",Annex!H593)</f>
        <v>Imported</v>
      </c>
      <c r="C859" s="52" t="str">
        <f>Annex!J593</f>
        <v>Female</v>
      </c>
      <c r="D859" s="52">
        <f>Annex!D593</f>
        <v>35</v>
      </c>
      <c r="E859" s="52" t="str">
        <f>Annex!K593</f>
        <v>Singaporean</v>
      </c>
      <c r="F859" s="52" t="str">
        <f>Annex!L593</f>
        <v xml:space="preserve">Case 858 is a Imported case, 35 years old female Singapore Citizen  and has been to France . She is currently admitted at NCID . </v>
      </c>
      <c r="G859" s="49">
        <v>43920</v>
      </c>
      <c r="H859" s="52"/>
      <c r="I859" s="52"/>
      <c r="J859" s="52"/>
      <c r="K859" s="52"/>
      <c r="L859" s="52" t="str">
        <f>Annex!C593</f>
        <v xml:space="preserve">NCID </v>
      </c>
      <c r="M859" s="53" t="s">
        <v>1368</v>
      </c>
    </row>
    <row r="860" spans="1:13" ht="13.8" customHeight="1" x14ac:dyDescent="0.3">
      <c r="A860" s="52">
        <f>Annex!A594</f>
        <v>859</v>
      </c>
      <c r="B860" s="52" t="str">
        <f>IF(LEFT(Annex!H594,5)="Local","Local Transmission",Annex!H594)</f>
        <v>Local Transmission</v>
      </c>
      <c r="C860" s="52" t="str">
        <f>Annex!J594</f>
        <v>Male</v>
      </c>
      <c r="D860" s="52">
        <f>Annex!D594</f>
        <v>41</v>
      </c>
      <c r="E860" s="52" t="str">
        <f>Annex!K594</f>
        <v>Bangladesh</v>
      </c>
      <c r="F860" s="52" t="str">
        <f>Annex!L594</f>
        <v xml:space="preserve">Case 859 is a Local unlinked case, 41 years old male Bangladesh (Singapore Work Pass holder)  and has not been overseas. He is currently admitted at NCID . </v>
      </c>
      <c r="G860" s="49">
        <v>43920</v>
      </c>
      <c r="H860" s="52"/>
      <c r="I860" s="52"/>
      <c r="J860" s="52"/>
      <c r="K860" s="52"/>
      <c r="L860" s="52" t="str">
        <f>Annex!C594</f>
        <v xml:space="preserve">NCID </v>
      </c>
      <c r="M860" s="53" t="s">
        <v>1368</v>
      </c>
    </row>
    <row r="861" spans="1:13" ht="13.8" customHeight="1" x14ac:dyDescent="0.3">
      <c r="A861" s="52">
        <f>Annex!A595</f>
        <v>860</v>
      </c>
      <c r="B861" s="52" t="str">
        <f>IF(LEFT(Annex!H595,5)="Local","Local Transmission",Annex!H595)</f>
        <v>Local Transmission</v>
      </c>
      <c r="C861" s="52" t="str">
        <f>Annex!J595</f>
        <v>Male</v>
      </c>
      <c r="D861" s="52">
        <f>Annex!D595</f>
        <v>22</v>
      </c>
      <c r="E861" s="52" t="str">
        <f>Annex!K595</f>
        <v>India</v>
      </c>
      <c r="F861" s="52" t="str">
        <f>Annex!L595</f>
        <v>Case 860 is a Local linked  case, 22 years old male India (Long Term Pass holder)  and has not been overseas. He is currently admitted at KTPH . S11 Dormitory</v>
      </c>
      <c r="G861" s="49">
        <v>43920</v>
      </c>
      <c r="H861" s="52"/>
      <c r="I861" s="52"/>
      <c r="J861" s="52"/>
      <c r="K861" s="52"/>
      <c r="L861" s="52" t="str">
        <f>Annex!C595</f>
        <v xml:space="preserve">KTPH </v>
      </c>
      <c r="M861" s="53" t="s">
        <v>1368</v>
      </c>
    </row>
    <row r="862" spans="1:13" ht="13.8" customHeight="1" x14ac:dyDescent="0.3">
      <c r="A862" s="52">
        <f>Annex!A596</f>
        <v>861</v>
      </c>
      <c r="B862" s="52" t="str">
        <f>IF(LEFT(Annex!H596,5)="Local","Local Transmission",Annex!H596)</f>
        <v>Local Transmission</v>
      </c>
      <c r="C862" s="52" t="str">
        <f>Annex!J596</f>
        <v>Female</v>
      </c>
      <c r="D862" s="52">
        <f>Annex!D596</f>
        <v>25</v>
      </c>
      <c r="E862" s="52" t="str">
        <f>Annex!K596</f>
        <v>Singaporean</v>
      </c>
      <c r="F862" s="52" t="str">
        <f>Annex!L596</f>
        <v>Case 861 is a Local linked  case, 25 years old female Singapore Citizen  and has not been overseas. She is currently admitted at NCID . Contact of Case 767</v>
      </c>
      <c r="G862" s="49">
        <v>43920</v>
      </c>
      <c r="H862" s="52"/>
      <c r="I862" s="52"/>
      <c r="J862" s="52"/>
      <c r="K862" s="52"/>
      <c r="L862" s="52" t="str">
        <f>Annex!C596</f>
        <v xml:space="preserve">NCID </v>
      </c>
      <c r="M862" s="53" t="s">
        <v>1368</v>
      </c>
    </row>
    <row r="863" spans="1:13" ht="13.8" customHeight="1" x14ac:dyDescent="0.3">
      <c r="A863" s="52">
        <f>Annex!A597</f>
        <v>862</v>
      </c>
      <c r="B863" s="52" t="str">
        <f>IF(LEFT(Annex!H597,5)="Local","Local Transmission",Annex!H597)</f>
        <v>Imported</v>
      </c>
      <c r="C863" s="52" t="str">
        <f>Annex!J597</f>
        <v>Male</v>
      </c>
      <c r="D863" s="52">
        <f>Annex!D597</f>
        <v>29</v>
      </c>
      <c r="E863" s="52" t="str">
        <f>Annex!K597</f>
        <v>Singaporean</v>
      </c>
      <c r="F863" s="52" t="str">
        <f>Annex!L597</f>
        <v xml:space="preserve">Case 862 is a Imported case, 29 years old male Singapore Citizen  and has been to UK . He is currently admitted at NCID . </v>
      </c>
      <c r="G863" s="49">
        <v>43920</v>
      </c>
      <c r="H863" s="52"/>
      <c r="I863" s="52"/>
      <c r="J863" s="52"/>
      <c r="K863" s="52"/>
      <c r="L863" s="52" t="str">
        <f>Annex!C597</f>
        <v xml:space="preserve">NCID </v>
      </c>
      <c r="M863" s="53" t="s">
        <v>1368</v>
      </c>
    </row>
    <row r="864" spans="1:13" ht="13.8" customHeight="1" x14ac:dyDescent="0.3">
      <c r="A864" s="52">
        <f>Annex!A598</f>
        <v>863</v>
      </c>
      <c r="B864" s="52" t="str">
        <f>IF(LEFT(Annex!H598,5)="Local","Local Transmission",Annex!H598)</f>
        <v>Local Transmission</v>
      </c>
      <c r="C864" s="52" t="str">
        <f>Annex!J598</f>
        <v>Male</v>
      </c>
      <c r="D864" s="52">
        <f>Annex!D598</f>
        <v>49</v>
      </c>
      <c r="E864" s="52" t="str">
        <f>Annex!K598</f>
        <v>Singaporean</v>
      </c>
      <c r="F864" s="52" t="str">
        <f>Annex!L598</f>
        <v>Case 863 is a Local linked  case, 49 years old male Singapore Citizen  and has not been overseas. He is currently admitted at NCID . Family member of Case 727</v>
      </c>
      <c r="G864" s="49">
        <v>43920</v>
      </c>
      <c r="H864" s="52"/>
      <c r="I864" s="52"/>
      <c r="J864" s="52"/>
      <c r="K864" s="52"/>
      <c r="L864" s="52" t="str">
        <f>Annex!C598</f>
        <v xml:space="preserve">NCID </v>
      </c>
      <c r="M864" s="53" t="s">
        <v>1368</v>
      </c>
    </row>
    <row r="865" spans="1:13" ht="13.8" customHeight="1" x14ac:dyDescent="0.3">
      <c r="A865" s="52">
        <f>Annex!A599</f>
        <v>864</v>
      </c>
      <c r="B865" s="52" t="str">
        <f>IF(LEFT(Annex!H599,5)="Local","Local Transmission",Annex!H599)</f>
        <v>Local Transmission</v>
      </c>
      <c r="C865" s="52" t="str">
        <f>Annex!J599</f>
        <v>Female</v>
      </c>
      <c r="D865" s="52">
        <f>Annex!D599</f>
        <v>27</v>
      </c>
      <c r="E865" s="52" t="str">
        <f>Annex!K599</f>
        <v>Singaporean</v>
      </c>
      <c r="F865" s="52" t="str">
        <f>Annex!L599</f>
        <v>Case 864 is a Local linked  case, 27 years old female Singapore Citizen  and has been to UK, US . She is currently admitted at NCID . Wilby Residences</v>
      </c>
      <c r="G865" s="49">
        <v>43920</v>
      </c>
      <c r="H865" s="52"/>
      <c r="I865" s="52"/>
      <c r="J865" s="52"/>
      <c r="K865" s="52"/>
      <c r="L865" s="52" t="str">
        <f>Annex!C599</f>
        <v xml:space="preserve">NCID </v>
      </c>
      <c r="M865" s="53" t="s">
        <v>1368</v>
      </c>
    </row>
    <row r="866" spans="1:13" ht="13.8" customHeight="1" x14ac:dyDescent="0.3">
      <c r="A866" s="52">
        <f>Annex!A600</f>
        <v>865</v>
      </c>
      <c r="B866" s="52" t="str">
        <f>IF(LEFT(Annex!H600,5)="Local","Local Transmission",Annex!H600)</f>
        <v>Local Transmission</v>
      </c>
      <c r="C866" s="52" t="str">
        <f>Annex!J600</f>
        <v>Male</v>
      </c>
      <c r="D866" s="52">
        <f>Annex!D600</f>
        <v>36</v>
      </c>
      <c r="E866" s="52" t="str">
        <f>Annex!K600</f>
        <v>Singaporean</v>
      </c>
      <c r="F866" s="52" t="str">
        <f>Annex!L600</f>
        <v>Case 865 is a Local linked  case, 36 years old male Singapore Citizen  and has not been overseas. He is currently admitted at NCID . Contact of Case 488</v>
      </c>
      <c r="G866" s="49">
        <v>43920</v>
      </c>
      <c r="H866" s="52"/>
      <c r="I866" s="52"/>
      <c r="J866" s="52"/>
      <c r="K866" s="52"/>
      <c r="L866" s="52" t="str">
        <f>Annex!C600</f>
        <v xml:space="preserve">NCID </v>
      </c>
      <c r="M866" s="53" t="s">
        <v>1368</v>
      </c>
    </row>
    <row r="867" spans="1:13" ht="13.8" customHeight="1" x14ac:dyDescent="0.3">
      <c r="A867" s="52">
        <f>Annex!A601</f>
        <v>866</v>
      </c>
      <c r="B867" s="52" t="str">
        <f>IF(LEFT(Annex!H601,5)="Local","Local Transmission",Annex!H601)</f>
        <v>Local Transmission</v>
      </c>
      <c r="C867" s="52" t="str">
        <f>Annex!J601</f>
        <v>Male</v>
      </c>
      <c r="D867" s="52">
        <f>Annex!D601</f>
        <v>52</v>
      </c>
      <c r="E867" s="52" t="str">
        <f>Annex!K601</f>
        <v>Singaporean</v>
      </c>
      <c r="F867" s="52" t="str">
        <f>Annex!L601</f>
        <v xml:space="preserve">Case 866 is a Local unlinked case, 52 years old male Singapore Citizen  and has not been overseas. He is currently admitted at SKH . </v>
      </c>
      <c r="G867" s="49">
        <v>43920</v>
      </c>
      <c r="H867" s="52"/>
      <c r="I867" s="52"/>
      <c r="J867" s="52"/>
      <c r="K867" s="52"/>
      <c r="L867" s="52" t="str">
        <f>Annex!C601</f>
        <v xml:space="preserve">SKH </v>
      </c>
      <c r="M867" s="53" t="s">
        <v>1368</v>
      </c>
    </row>
    <row r="868" spans="1:13" ht="13.8" customHeight="1" x14ac:dyDescent="0.3">
      <c r="A868" s="52">
        <f>Annex!A602</f>
        <v>867</v>
      </c>
      <c r="B868" s="52" t="str">
        <f>IF(LEFT(Annex!H602,5)="Local","Local Transmission",Annex!H602)</f>
        <v>Local Transmission</v>
      </c>
      <c r="C868" s="52" t="str">
        <f>Annex!J602</f>
        <v>Female</v>
      </c>
      <c r="D868" s="52">
        <f>Annex!D602</f>
        <v>36</v>
      </c>
      <c r="E868" s="52" t="str">
        <f>Annex!K602</f>
        <v>Singaporean</v>
      </c>
      <c r="F868" s="52" t="str">
        <f>Annex!L602</f>
        <v>Case 867 is a Local linked  case, 36 years old female Singapore Citizen  and has been to Malaysia . She is currently admitted at NCID . Family member of Case 434</v>
      </c>
      <c r="G868" s="49">
        <v>43920</v>
      </c>
      <c r="H868" s="52"/>
      <c r="I868" s="52"/>
      <c r="J868" s="52"/>
      <c r="K868" s="52"/>
      <c r="L868" s="52" t="str">
        <f>Annex!C602</f>
        <v xml:space="preserve">NCID </v>
      </c>
      <c r="M868" s="53" t="s">
        <v>1368</v>
      </c>
    </row>
    <row r="869" spans="1:13" ht="13.8" customHeight="1" x14ac:dyDescent="0.3">
      <c r="A869" s="52">
        <f>Annex!A603</f>
        <v>868</v>
      </c>
      <c r="B869" s="52" t="str">
        <f>IF(LEFT(Annex!H603,5)="Local","Local Transmission",Annex!H603)</f>
        <v>Local Transmission</v>
      </c>
      <c r="C869" s="52" t="str">
        <f>Annex!J603</f>
        <v>Male</v>
      </c>
      <c r="D869" s="52">
        <f>Annex!D603</f>
        <v>29</v>
      </c>
      <c r="E869" s="52" t="str">
        <f>Annex!K603</f>
        <v>Bangladesh</v>
      </c>
      <c r="F869" s="52" t="str">
        <f>Annex!L603</f>
        <v xml:space="preserve">Case 868 is a Local unlinked case, 29 years old male Bangladesh (Long Term Pass holder)  and has not been overseas. He is currently admitted at NTFGH . </v>
      </c>
      <c r="G869" s="49">
        <v>43920</v>
      </c>
      <c r="H869" s="52"/>
      <c r="I869" s="52"/>
      <c r="J869" s="52"/>
      <c r="K869" s="52"/>
      <c r="L869" s="52" t="str">
        <f>Annex!C603</f>
        <v xml:space="preserve">NTFGH </v>
      </c>
      <c r="M869" s="53" t="s">
        <v>1368</v>
      </c>
    </row>
    <row r="870" spans="1:13" ht="13.8" customHeight="1" x14ac:dyDescent="0.3">
      <c r="A870" s="52">
        <f>Annex!A604</f>
        <v>869</v>
      </c>
      <c r="B870" s="52" t="str">
        <f>IF(LEFT(Annex!H604,5)="Local","Local Transmission",Annex!H604)</f>
        <v>Local Transmission</v>
      </c>
      <c r="C870" s="52" t="str">
        <f>Annex!J604</f>
        <v>Male</v>
      </c>
      <c r="D870" s="52">
        <f>Annex!D604</f>
        <v>41</v>
      </c>
      <c r="E870" s="52" t="str">
        <f>Annex!K604</f>
        <v>Singaporean</v>
      </c>
      <c r="F870" s="52" t="str">
        <f>Annex!L604</f>
        <v xml:space="preserve">Case 869 is a Local unlinked case, 41 years old male Singapore Permanent Resident  and has not been overseas. He is currently admitted at KTPH . </v>
      </c>
      <c r="G870" s="49">
        <v>43920</v>
      </c>
      <c r="H870" s="52"/>
      <c r="I870" s="52"/>
      <c r="J870" s="52"/>
      <c r="K870" s="52"/>
      <c r="L870" s="52" t="str">
        <f>Annex!C604</f>
        <v xml:space="preserve">KTPH </v>
      </c>
      <c r="M870" s="53" t="s">
        <v>1368</v>
      </c>
    </row>
    <row r="871" spans="1:13" ht="13.8" customHeight="1" x14ac:dyDescent="0.3">
      <c r="A871" s="52">
        <f>Annex!A605</f>
        <v>870</v>
      </c>
      <c r="B871" s="52" t="str">
        <f>IF(LEFT(Annex!H605,5)="Local","Local Transmission",Annex!H605)</f>
        <v>Local Transmission</v>
      </c>
      <c r="C871" s="52" t="str">
        <f>Annex!J605</f>
        <v>Male</v>
      </c>
      <c r="D871" s="52">
        <f>Annex!D605</f>
        <v>54</v>
      </c>
      <c r="E871" s="52" t="str">
        <f>Annex!K605</f>
        <v>Singaporean</v>
      </c>
      <c r="F871" s="52" t="str">
        <f>Annex!L605</f>
        <v>Case 870 is a Local linked  case, 54 years old male Singapore Citizen  and has not been overseas. He is currently admitted at NCID . Family member of Case 393</v>
      </c>
      <c r="G871" s="49">
        <v>43920</v>
      </c>
      <c r="H871" s="52"/>
      <c r="I871" s="52"/>
      <c r="J871" s="52"/>
      <c r="K871" s="52"/>
      <c r="L871" s="52" t="str">
        <f>Annex!C605</f>
        <v xml:space="preserve">NCID </v>
      </c>
      <c r="M871" s="53" t="s">
        <v>1368</v>
      </c>
    </row>
    <row r="872" spans="1:13" ht="13.8" customHeight="1" x14ac:dyDescent="0.3">
      <c r="A872" s="52">
        <f>Annex!A606</f>
        <v>871</v>
      </c>
      <c r="B872" s="52" t="str">
        <f>IF(LEFT(Annex!H606,5)="Local","Local Transmission",Annex!H606)</f>
        <v>Imported</v>
      </c>
      <c r="C872" s="52" t="str">
        <f>Annex!J606</f>
        <v>Female</v>
      </c>
      <c r="D872" s="52">
        <f>Annex!D606</f>
        <v>19</v>
      </c>
      <c r="E872" s="52" t="str">
        <f>Annex!K606</f>
        <v>Singaporean</v>
      </c>
      <c r="F872" s="52" t="str">
        <f>Annex!L606</f>
        <v xml:space="preserve">Case 871 is a Imported case, 19 years old female Singapore Citizen  and has been to UK . She is currently admitted at NCID . </v>
      </c>
      <c r="G872" s="49">
        <v>43920</v>
      </c>
      <c r="H872" s="52"/>
      <c r="I872" s="52"/>
      <c r="J872" s="52"/>
      <c r="K872" s="52"/>
      <c r="L872" s="52" t="str">
        <f>Annex!C606</f>
        <v xml:space="preserve">NCID </v>
      </c>
      <c r="M872" s="53" t="s">
        <v>1368</v>
      </c>
    </row>
    <row r="873" spans="1:13" ht="13.8" customHeight="1" x14ac:dyDescent="0.3">
      <c r="A873" s="52">
        <f>Annex!A607</f>
        <v>872</v>
      </c>
      <c r="B873" s="52" t="str">
        <f>IF(LEFT(Annex!H607,5)="Local","Local Transmission",Annex!H607)</f>
        <v xml:space="preserve">Imported </v>
      </c>
      <c r="C873" s="52" t="str">
        <f>Annex!J607</f>
        <v>Female</v>
      </c>
      <c r="D873" s="52">
        <f>Annex!D607</f>
        <v>39</v>
      </c>
      <c r="E873" s="52" t="str">
        <f>Annex!K607</f>
        <v>Singaporean</v>
      </c>
      <c r="F873" s="52" t="str">
        <f>Annex!L607</f>
        <v>Case 872 is a Imported  case, 39 years old female Singapore Citizen  and has been to UAE . She is currently admitted at NCID . Contact of Case 832</v>
      </c>
      <c r="G873" s="49">
        <v>43920</v>
      </c>
      <c r="H873" s="52"/>
      <c r="I873" s="52"/>
      <c r="J873" s="52"/>
      <c r="K873" s="52"/>
      <c r="L873" s="52" t="str">
        <f>Annex!C607</f>
        <v xml:space="preserve">NCID </v>
      </c>
      <c r="M873" s="53" t="s">
        <v>1368</v>
      </c>
    </row>
    <row r="874" spans="1:13" ht="13.8" customHeight="1" x14ac:dyDescent="0.3">
      <c r="A874" s="52">
        <f>Annex!A608</f>
        <v>873</v>
      </c>
      <c r="B874" s="52" t="str">
        <f>IF(LEFT(Annex!H608,5)="Local","Local Transmission",Annex!H608)</f>
        <v>Local Transmission</v>
      </c>
      <c r="C874" s="52" t="str">
        <f>Annex!J608</f>
        <v>Female</v>
      </c>
      <c r="D874" s="52">
        <f>Annex!D608</f>
        <v>47</v>
      </c>
      <c r="E874" s="52" t="str">
        <f>Annex!K608</f>
        <v>Singaporean</v>
      </c>
      <c r="F874" s="52" t="str">
        <f>Annex!L608</f>
        <v>Case 873 is a Local linked  case, 47 years old female Singapore Citizen  and has been to Vietnam . She is currently admitted at NCID . Wilby Residences</v>
      </c>
      <c r="G874" s="49">
        <v>43920</v>
      </c>
      <c r="H874" s="52"/>
      <c r="I874" s="52"/>
      <c r="J874" s="52"/>
      <c r="K874" s="52"/>
      <c r="L874" s="52" t="str">
        <f>Annex!C608</f>
        <v xml:space="preserve">NCID </v>
      </c>
      <c r="M874" s="53" t="s">
        <v>1368</v>
      </c>
    </row>
    <row r="875" spans="1:13" ht="13.8" customHeight="1" x14ac:dyDescent="0.3">
      <c r="A875" s="52">
        <f>Annex!A609</f>
        <v>874</v>
      </c>
      <c r="B875" s="52" t="str">
        <f>IF(LEFT(Annex!H609,5)="Local","Local Transmission",Annex!H609)</f>
        <v>Imported</v>
      </c>
      <c r="C875" s="52" t="str">
        <f>Annex!J609</f>
        <v>Male</v>
      </c>
      <c r="D875" s="52">
        <f>Annex!D609</f>
        <v>25</v>
      </c>
      <c r="E875" s="52" t="str">
        <f>Annex!K609</f>
        <v>Singaporean</v>
      </c>
      <c r="F875" s="52" t="str">
        <f>Annex!L609</f>
        <v xml:space="preserve">Case 874 is a Imported case, 25 years old male Singapore Citizen  and has been to UK . He is currently admitted at NCID . </v>
      </c>
      <c r="G875" s="49">
        <v>43920</v>
      </c>
      <c r="H875" s="52"/>
      <c r="I875" s="52"/>
      <c r="J875" s="52"/>
      <c r="K875" s="52"/>
      <c r="L875" s="52" t="str">
        <f>Annex!C609</f>
        <v xml:space="preserve">NCID </v>
      </c>
      <c r="M875" s="53" t="s">
        <v>1368</v>
      </c>
    </row>
    <row r="876" spans="1:13" ht="13.8" customHeight="1" x14ac:dyDescent="0.3">
      <c r="A876" s="52">
        <f>Annex!A610</f>
        <v>875</v>
      </c>
      <c r="B876" s="52" t="str">
        <f>IF(LEFT(Annex!H610,5)="Local","Local Transmission",Annex!H610)</f>
        <v>Local Transmission</v>
      </c>
      <c r="C876" s="52" t="str">
        <f>Annex!J610</f>
        <v>Male</v>
      </c>
      <c r="D876" s="52">
        <f>Annex!D610</f>
        <v>29</v>
      </c>
      <c r="E876" s="52" t="str">
        <f>Annex!K610</f>
        <v>Bangladesh</v>
      </c>
      <c r="F876" s="52" t="str">
        <f>Annex!L610</f>
        <v xml:space="preserve">Case 875 is a Local unlinked case, 29 years old male Bangladesh (Singapore Work Pass holder)  and has not been overseas. He is currently admitted at NTFGH . </v>
      </c>
      <c r="G876" s="49">
        <v>43920</v>
      </c>
      <c r="H876" s="52"/>
      <c r="I876" s="52"/>
      <c r="J876" s="52"/>
      <c r="K876" s="52"/>
      <c r="L876" s="52" t="str">
        <f>Annex!C610</f>
        <v xml:space="preserve">NTFGH </v>
      </c>
      <c r="M876" s="53" t="s">
        <v>1368</v>
      </c>
    </row>
    <row r="877" spans="1:13" ht="13.8" customHeight="1" x14ac:dyDescent="0.3">
      <c r="A877" s="52">
        <f>Annex!A611</f>
        <v>876</v>
      </c>
      <c r="B877" s="52" t="str">
        <f>IF(LEFT(Annex!H611,5)="Local","Local Transmission",Annex!H611)</f>
        <v>Local Transmission</v>
      </c>
      <c r="C877" s="52" t="str">
        <f>Annex!J611</f>
        <v>Female</v>
      </c>
      <c r="D877" s="52">
        <f>Annex!D611</f>
        <v>53</v>
      </c>
      <c r="E877" s="52" t="str">
        <f>Annex!K611</f>
        <v>Singaporean</v>
      </c>
      <c r="F877" s="52" t="str">
        <f>Annex!L611</f>
        <v xml:space="preserve">Case 876 is a Local unlinked case, 53 years old female Singapore Citizen  and has not been overseas. She is currently admitted at NTFGH . </v>
      </c>
      <c r="G877" s="49">
        <v>43920</v>
      </c>
      <c r="H877" s="52"/>
      <c r="I877" s="52"/>
      <c r="J877" s="52"/>
      <c r="K877" s="52"/>
      <c r="L877" s="52" t="str">
        <f>Annex!C611</f>
        <v xml:space="preserve">NTFGH </v>
      </c>
      <c r="M877" s="53" t="s">
        <v>1368</v>
      </c>
    </row>
    <row r="878" spans="1:13" ht="13.8" customHeight="1" x14ac:dyDescent="0.3">
      <c r="A878" s="52">
        <f>Annex!A612</f>
        <v>877</v>
      </c>
      <c r="B878" s="52" t="str">
        <f>IF(LEFT(Annex!H612,5)="Local","Local Transmission",Annex!H612)</f>
        <v>Imported</v>
      </c>
      <c r="C878" s="52" t="str">
        <f>Annex!J612</f>
        <v>Male</v>
      </c>
      <c r="D878" s="52">
        <f>Annex!D612</f>
        <v>41</v>
      </c>
      <c r="E878" s="52" t="str">
        <f>Annex!K612</f>
        <v>Malaysia</v>
      </c>
      <c r="F878" s="52" t="str">
        <f>Annex!L612</f>
        <v xml:space="preserve">Case 877 is a Imported case, 41 years old male Malaysia (Singapore Work Pass holder)  and has been to Malaysia . He is currently admitted at NTFGH . </v>
      </c>
      <c r="G878" s="49">
        <v>43920</v>
      </c>
      <c r="H878" s="52"/>
      <c r="I878" s="52"/>
      <c r="J878" s="52"/>
      <c r="K878" s="52"/>
      <c r="L878" s="52" t="str">
        <f>Annex!C612</f>
        <v xml:space="preserve">NTFGH </v>
      </c>
      <c r="M878" s="53" t="s">
        <v>1368</v>
      </c>
    </row>
    <row r="879" spans="1:13" ht="13.8" customHeight="1" x14ac:dyDescent="0.3">
      <c r="A879" s="52">
        <f>Annex!A613</f>
        <v>878</v>
      </c>
      <c r="B879" s="52" t="str">
        <f>IF(LEFT(Annex!H613,5)="Local","Local Transmission",Annex!H613)</f>
        <v>Local Transmission</v>
      </c>
      <c r="C879" s="52" t="str">
        <f>Annex!J613</f>
        <v>Male</v>
      </c>
      <c r="D879" s="52">
        <f>Annex!D613</f>
        <v>34</v>
      </c>
      <c r="E879" s="52" t="str">
        <f>Annex!K613</f>
        <v>Singaporean</v>
      </c>
      <c r="F879" s="52" t="str">
        <f>Annex!L613</f>
        <v xml:space="preserve">Case 878 is a Local unlinked case, 34 years old male Singapore Citizen  and has not been overseas. He is currently admitted at SKH . </v>
      </c>
      <c r="G879" s="49">
        <v>43920</v>
      </c>
      <c r="H879" s="52"/>
      <c r="I879" s="52"/>
      <c r="J879" s="52"/>
      <c r="K879" s="52"/>
      <c r="L879" s="52" t="str">
        <f>Annex!C613</f>
        <v xml:space="preserve">SKH </v>
      </c>
      <c r="M879" s="53" t="s">
        <v>1368</v>
      </c>
    </row>
    <row r="880" spans="1:13" ht="13.8" customHeight="1" x14ac:dyDescent="0.3">
      <c r="A880" s="52">
        <f>Annex!A614</f>
        <v>879</v>
      </c>
      <c r="B880" s="52" t="str">
        <f>IF(LEFT(Annex!H614,5)="Local","Local Transmission",Annex!H614)</f>
        <v>Local Transmission</v>
      </c>
      <c r="C880" s="52" t="str">
        <f>Annex!J614</f>
        <v>Male</v>
      </c>
      <c r="D880" s="52">
        <f>Annex!D614</f>
        <v>26</v>
      </c>
      <c r="E880" s="52" t="str">
        <f>Annex!K614</f>
        <v>Singaporean</v>
      </c>
      <c r="F880" s="52" t="str">
        <f>Annex!L614</f>
        <v xml:space="preserve">Case 879 is a Local unlinked case, 26 years old male Singapore Citizen  and has been to Malaysia . He is currently admitted at CGH . </v>
      </c>
      <c r="G880" s="49">
        <v>43920</v>
      </c>
      <c r="H880" s="52"/>
      <c r="I880" s="52"/>
      <c r="J880" s="52"/>
      <c r="K880" s="52"/>
      <c r="L880" s="52" t="str">
        <f>Annex!C614</f>
        <v xml:space="preserve">CGH </v>
      </c>
      <c r="M880" s="53" t="s">
        <v>1368</v>
      </c>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P614"/>
  <sheetViews>
    <sheetView topLeftCell="A241" workbookViewId="0">
      <selection activeCell="G252" sqref="G252"/>
    </sheetView>
  </sheetViews>
  <sheetFormatPr defaultRowHeight="14.4" x14ac:dyDescent="0.3"/>
  <cols>
    <col min="6" max="6" width="21.109375" customWidth="1"/>
    <col min="7" max="7" width="19.77734375" customWidth="1"/>
    <col min="8" max="8" width="12.88671875" bestFit="1" customWidth="1"/>
    <col min="9" max="9" width="23.33203125" customWidth="1"/>
    <col min="10" max="11" width="11.3320312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3">
        <v>315</v>
      </c>
      <c r="B50" s="24">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3">
        <v>316</v>
      </c>
      <c r="B51" s="24">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3">
        <v>317</v>
      </c>
      <c r="B52" s="24">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3">
        <v>318</v>
      </c>
      <c r="B53" s="24">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3">
        <v>319</v>
      </c>
      <c r="B54" s="24">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4">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4">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4">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4">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4">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4">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4">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4">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4">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4">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4">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4">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4">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4">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4">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4">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4">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4">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4">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4">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4">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4">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4">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4">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4">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4">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4">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4">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4">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4">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4">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4">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4">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4">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4">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4">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4">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4">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4">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4">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4">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4">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4">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4">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4">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4">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4">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4">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4">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4">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4">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4">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4">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4">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4">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4">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4">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4">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4">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4">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4">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4">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4">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4">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4">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4">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4">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4">
        <v>43910</v>
      </c>
      <c r="C122" t="s">
        <v>138</v>
      </c>
      <c r="D122">
        <v>30</v>
      </c>
      <c r="E122" t="s">
        <v>1073</v>
      </c>
      <c r="F122" t="s">
        <v>1159</v>
      </c>
      <c r="G122" t="s">
        <v>1088</v>
      </c>
      <c r="H122" t="s">
        <v>1069</v>
      </c>
      <c r="I122" t="s">
        <v>1195</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4">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4">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4">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4">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4">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4">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4">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4">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4">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4">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4">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4">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4">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4">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4">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4">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4">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4">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4">
        <v>43910</v>
      </c>
      <c r="C141" t="s">
        <v>1058</v>
      </c>
      <c r="D141">
        <v>61</v>
      </c>
      <c r="E141" t="s">
        <v>1073</v>
      </c>
      <c r="F141" t="s">
        <v>1060</v>
      </c>
      <c r="H141" t="s">
        <v>1061</v>
      </c>
      <c r="J141" t="str">
        <f t="shared" si="6"/>
        <v>Female</v>
      </c>
      <c r="K141" t="str">
        <f t="shared" si="11"/>
        <v>Singaporean</v>
      </c>
      <c r="L141" t="str">
        <f t="shared" si="8"/>
        <v xml:space="preserve">Case 406 is a Local unlinked case, 61 years old female Singapore Citizen  and has not been overseas. She is currently admitted at KTPH . </v>
      </c>
      <c r="M141" t="str">
        <f t="shared" si="9"/>
        <v/>
      </c>
      <c r="N141" t="str">
        <f t="shared" si="10"/>
        <v/>
      </c>
    </row>
    <row r="142" spans="1:14" x14ac:dyDescent="0.3">
      <c r="A142">
        <v>407</v>
      </c>
      <c r="B142" s="24">
        <v>43910</v>
      </c>
      <c r="C142" t="s">
        <v>1071</v>
      </c>
      <c r="D142">
        <v>25</v>
      </c>
      <c r="E142" t="s">
        <v>1059</v>
      </c>
      <c r="F142" t="s">
        <v>711</v>
      </c>
      <c r="G142" t="s">
        <v>1177</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4">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4">
        <v>43910</v>
      </c>
      <c r="C144" t="s">
        <v>343</v>
      </c>
      <c r="D144">
        <v>23</v>
      </c>
      <c r="E144" t="s">
        <v>1073</v>
      </c>
      <c r="F144" t="s">
        <v>1178</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4">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4">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4">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4">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4">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4">
        <v>43911</v>
      </c>
      <c r="C150" t="s">
        <v>1071</v>
      </c>
      <c r="D150">
        <v>64</v>
      </c>
      <c r="E150" t="s">
        <v>1073</v>
      </c>
      <c r="F150" t="s">
        <v>687</v>
      </c>
      <c r="G150" t="s">
        <v>687</v>
      </c>
      <c r="H150" t="s">
        <v>1069</v>
      </c>
      <c r="I150" t="s">
        <v>1179</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4">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4">
        <v>43911</v>
      </c>
      <c r="C152" t="s">
        <v>1071</v>
      </c>
      <c r="D152">
        <v>18</v>
      </c>
      <c r="E152" t="s">
        <v>1073</v>
      </c>
      <c r="F152" t="s">
        <v>1180</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4">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4">
        <v>43911</v>
      </c>
      <c r="C154" t="s">
        <v>1071</v>
      </c>
      <c r="D154">
        <v>45</v>
      </c>
      <c r="E154" t="s">
        <v>1059</v>
      </c>
      <c r="F154" t="s">
        <v>875</v>
      </c>
      <c r="G154" t="s">
        <v>1177</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4">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4">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4">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4">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4">
        <v>43911</v>
      </c>
      <c r="C159" t="s">
        <v>1064</v>
      </c>
      <c r="D159">
        <v>24</v>
      </c>
      <c r="E159" t="s">
        <v>1059</v>
      </c>
      <c r="F159" t="s">
        <v>1060</v>
      </c>
      <c r="G159" t="s">
        <v>1085</v>
      </c>
      <c r="H159" t="s">
        <v>1069</v>
      </c>
      <c r="I159" t="s">
        <v>1181</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4">
        <v>43911</v>
      </c>
      <c r="C160" t="s">
        <v>1064</v>
      </c>
      <c r="D160">
        <v>21</v>
      </c>
      <c r="E160" t="s">
        <v>1073</v>
      </c>
      <c r="F160" t="s">
        <v>1060</v>
      </c>
      <c r="G160" t="s">
        <v>1085</v>
      </c>
      <c r="H160" t="s">
        <v>1069</v>
      </c>
      <c r="I160" t="s">
        <v>1182</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4">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4">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4">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4">
        <v>43911</v>
      </c>
      <c r="C164" t="s">
        <v>1071</v>
      </c>
      <c r="D164">
        <v>31</v>
      </c>
      <c r="E164" t="s">
        <v>1073</v>
      </c>
      <c r="F164" t="s">
        <v>1060</v>
      </c>
      <c r="G164" t="s">
        <v>1183</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4">
        <v>43911</v>
      </c>
      <c r="C165" t="s">
        <v>1071</v>
      </c>
      <c r="D165">
        <v>59</v>
      </c>
      <c r="E165" t="s">
        <v>1073</v>
      </c>
      <c r="F165" t="s">
        <v>1060</v>
      </c>
      <c r="H165" t="s">
        <v>1086</v>
      </c>
      <c r="I165" t="s">
        <v>1184</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4">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4">
        <v>43911</v>
      </c>
      <c r="C167" t="s">
        <v>1071</v>
      </c>
      <c r="D167">
        <v>53</v>
      </c>
      <c r="E167" t="s">
        <v>1073</v>
      </c>
      <c r="F167" t="s">
        <v>1185</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4">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4">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4">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4">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4">
        <v>43911</v>
      </c>
      <c r="C172" t="s">
        <v>1138</v>
      </c>
      <c r="D172">
        <v>33</v>
      </c>
      <c r="E172" t="s">
        <v>1059</v>
      </c>
      <c r="F172" t="s">
        <v>1186</v>
      </c>
      <c r="G172" t="s">
        <v>1187</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4">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4">
        <v>43911</v>
      </c>
      <c r="C174" t="s">
        <v>1071</v>
      </c>
      <c r="D174">
        <v>55</v>
      </c>
      <c r="E174" t="s">
        <v>1073</v>
      </c>
      <c r="F174" t="s">
        <v>1188</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4">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4">
        <v>43911</v>
      </c>
      <c r="C176" t="s">
        <v>1071</v>
      </c>
      <c r="D176">
        <v>57</v>
      </c>
      <c r="E176" t="s">
        <v>1073</v>
      </c>
      <c r="F176" t="s">
        <v>1060</v>
      </c>
      <c r="G176" t="s">
        <v>1189</v>
      </c>
      <c r="H176" t="s">
        <v>1069</v>
      </c>
      <c r="I176" t="s">
        <v>1190</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4">
        <v>43911</v>
      </c>
      <c r="C177" t="s">
        <v>1071</v>
      </c>
      <c r="D177">
        <v>48</v>
      </c>
      <c r="E177" t="s">
        <v>1073</v>
      </c>
      <c r="F177" t="s">
        <v>1060</v>
      </c>
      <c r="H177" t="s">
        <v>1086</v>
      </c>
      <c r="I177" t="s">
        <v>1191</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4">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4">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4">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4">
        <v>43911</v>
      </c>
      <c r="C181" t="s">
        <v>1071</v>
      </c>
      <c r="D181">
        <v>26</v>
      </c>
      <c r="E181" t="s">
        <v>1073</v>
      </c>
      <c r="F181" t="s">
        <v>1173</v>
      </c>
      <c r="G181" t="s">
        <v>1063</v>
      </c>
      <c r="H181" t="s">
        <v>1069</v>
      </c>
      <c r="I181" t="s">
        <v>1192</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3" si="18">IF(I181="","",I181)</f>
        <v>Contact of Case 378</v>
      </c>
    </row>
    <row r="182" spans="1:16" x14ac:dyDescent="0.3">
      <c r="A182">
        <v>447</v>
      </c>
      <c r="B182" s="24">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4">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4">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4">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4">
        <v>43912</v>
      </c>
      <c r="C186" t="s">
        <v>1071</v>
      </c>
      <c r="D186">
        <v>62</v>
      </c>
      <c r="E186" t="s">
        <v>1059</v>
      </c>
      <c r="F186" t="s">
        <v>1060</v>
      </c>
      <c r="H186" t="s">
        <v>1086</v>
      </c>
      <c r="I186" t="s">
        <v>1193</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4">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4">
        <v>43912</v>
      </c>
      <c r="C188" t="s">
        <v>1071</v>
      </c>
      <c r="D188">
        <v>41</v>
      </c>
      <c r="E188" t="s">
        <v>1059</v>
      </c>
      <c r="F188" t="s">
        <v>1194</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4">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4">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M244" si="22">IF(G190="","",A190)</f>
        <v>455</v>
      </c>
      <c r="N190" t="str">
        <f t="shared" ref="N190:P244" si="23">IF(G190="","",G190)</f>
        <v xml:space="preserve">UK </v>
      </c>
      <c r="O190" t="str">
        <f t="shared" si="17"/>
        <v/>
      </c>
      <c r="P190" t="str">
        <f t="shared" si="18"/>
        <v/>
      </c>
    </row>
    <row r="191" spans="1:16" x14ac:dyDescent="0.3">
      <c r="A191">
        <v>456</v>
      </c>
      <c r="B191" s="24">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4">
        <v>43912</v>
      </c>
      <c r="C192" t="s">
        <v>1064</v>
      </c>
      <c r="D192">
        <v>40</v>
      </c>
      <c r="E192" t="s">
        <v>1059</v>
      </c>
      <c r="F192" t="s">
        <v>1206</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4">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4">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4">
        <v>43912</v>
      </c>
      <c r="C195" t="s">
        <v>343</v>
      </c>
      <c r="D195">
        <v>23</v>
      </c>
      <c r="E195" t="s">
        <v>1073</v>
      </c>
      <c r="F195" t="s">
        <v>1207</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4">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4">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4">
        <v>43912</v>
      </c>
      <c r="C198" t="s">
        <v>1062</v>
      </c>
      <c r="D198">
        <v>64</v>
      </c>
      <c r="E198" t="s">
        <v>1059</v>
      </c>
      <c r="F198" t="s">
        <v>1060</v>
      </c>
      <c r="G198" t="s">
        <v>1208</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4">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4">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4">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4">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4">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4">
        <v>43912</v>
      </c>
      <c r="C204" t="s">
        <v>1071</v>
      </c>
      <c r="D204">
        <v>43</v>
      </c>
      <c r="E204" t="s">
        <v>1059</v>
      </c>
      <c r="F204" t="s">
        <v>1060</v>
      </c>
      <c r="G204" t="s">
        <v>1209</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4">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4">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4">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4">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4">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4">
        <v>43912</v>
      </c>
      <c r="C210" t="s">
        <v>1071</v>
      </c>
      <c r="D210">
        <v>22</v>
      </c>
      <c r="E210" t="s">
        <v>1073</v>
      </c>
      <c r="F210" t="s">
        <v>1060</v>
      </c>
      <c r="G210" t="s">
        <v>1167</v>
      </c>
      <c r="H210" t="s">
        <v>1069</v>
      </c>
      <c r="I210" t="s">
        <v>1210</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4">
        <v>43912</v>
      </c>
      <c r="C211" t="s">
        <v>1071</v>
      </c>
      <c r="D211">
        <v>68</v>
      </c>
      <c r="E211" t="s">
        <v>1059</v>
      </c>
      <c r="F211" t="s">
        <v>1211</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4">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4">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4">
        <v>43912</v>
      </c>
      <c r="C214" t="s">
        <v>343</v>
      </c>
      <c r="D214">
        <v>35</v>
      </c>
      <c r="E214" t="s">
        <v>1073</v>
      </c>
      <c r="F214" t="s">
        <v>1211</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4">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4">
        <v>43912</v>
      </c>
      <c r="C216" t="s">
        <v>1071</v>
      </c>
      <c r="D216">
        <v>37</v>
      </c>
      <c r="E216" t="s">
        <v>1073</v>
      </c>
      <c r="F216" t="s">
        <v>1072</v>
      </c>
      <c r="G216" t="s">
        <v>1063</v>
      </c>
      <c r="H216" t="s">
        <v>1069</v>
      </c>
      <c r="I216" t="s">
        <v>1212</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4">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4">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4">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4">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4">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4">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4">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4">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4">
        <v>43912</v>
      </c>
      <c r="C225" t="s">
        <v>1074</v>
      </c>
      <c r="D225">
        <v>36</v>
      </c>
      <c r="E225" t="s">
        <v>1059</v>
      </c>
      <c r="F225" t="s">
        <v>1060</v>
      </c>
      <c r="G225" t="s">
        <v>1213</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4">
        <v>43912</v>
      </c>
      <c r="C226" t="s">
        <v>1071</v>
      </c>
      <c r="D226">
        <v>22</v>
      </c>
      <c r="E226" t="s">
        <v>1059</v>
      </c>
      <c r="F226" t="s">
        <v>1060</v>
      </c>
      <c r="G226" t="s">
        <v>1063</v>
      </c>
      <c r="H226" t="s">
        <v>1069</v>
      </c>
      <c r="I226" t="s">
        <v>1214</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4">
        <v>43912</v>
      </c>
      <c r="C227" t="s">
        <v>1071</v>
      </c>
      <c r="D227">
        <v>24</v>
      </c>
      <c r="E227" t="s">
        <v>1073</v>
      </c>
      <c r="F227" t="s">
        <v>1194</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4">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4">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4">
        <v>43912</v>
      </c>
      <c r="C230" t="s">
        <v>1071</v>
      </c>
      <c r="D230">
        <v>29</v>
      </c>
      <c r="E230" t="s">
        <v>1073</v>
      </c>
      <c r="F230" t="s">
        <v>1060</v>
      </c>
      <c r="G230" t="s">
        <v>1063</v>
      </c>
      <c r="H230" t="s">
        <v>1069</v>
      </c>
      <c r="I230" t="s">
        <v>1215</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4">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4">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4">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4">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4">
        <v>43912</v>
      </c>
      <c r="C235" t="s">
        <v>1071</v>
      </c>
      <c r="D235">
        <v>24</v>
      </c>
      <c r="E235" t="s">
        <v>1059</v>
      </c>
      <c r="F235" t="s">
        <v>1060</v>
      </c>
      <c r="G235" t="s">
        <v>1216</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4">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4">
        <v>43912</v>
      </c>
      <c r="C237" t="s">
        <v>1071</v>
      </c>
      <c r="D237">
        <v>74</v>
      </c>
      <c r="E237" t="s">
        <v>1073</v>
      </c>
      <c r="F237" t="s">
        <v>1194</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4">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4">
        <v>43913</v>
      </c>
      <c r="C239" t="s">
        <v>1071</v>
      </c>
      <c r="D239">
        <v>32</v>
      </c>
      <c r="E239" t="s">
        <v>1073</v>
      </c>
      <c r="F239" t="s">
        <v>1060</v>
      </c>
      <c r="G239" t="s">
        <v>1217</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4">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4">
        <v>43913</v>
      </c>
      <c r="C241" t="s">
        <v>1071</v>
      </c>
      <c r="D241">
        <v>49</v>
      </c>
      <c r="E241" t="s">
        <v>1059</v>
      </c>
      <c r="F241" t="s">
        <v>1218</v>
      </c>
      <c r="G241" t="s">
        <v>1213</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4">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4">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4">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row r="245" spans="1:16" x14ac:dyDescent="0.3">
      <c r="A245">
        <v>510</v>
      </c>
      <c r="B245" s="24">
        <v>43913</v>
      </c>
      <c r="C245" t="s">
        <v>1058</v>
      </c>
      <c r="D245">
        <v>52</v>
      </c>
      <c r="E245" t="s">
        <v>1073</v>
      </c>
      <c r="F245" t="s">
        <v>1060</v>
      </c>
      <c r="G245" t="s">
        <v>360</v>
      </c>
      <c r="H245" t="s">
        <v>1061</v>
      </c>
      <c r="J245" t="str">
        <f t="shared" ref="J245:J293" si="24">IF(TRIM(E245)="M","Male",IF(TRIM(E245)="F","Female",""))</f>
        <v>Female</v>
      </c>
      <c r="K245" t="str">
        <f t="shared" ref="K245:K293" si="25">IF(LEFT(F245,9)="Singapore","Singaporean",IF(ISERR(FIND("(",F245)),F245,LEFT(F245,FIND("(",F245)-2)))</f>
        <v>Singaporean</v>
      </c>
      <c r="L245" t="str">
        <f t="shared" ref="L245:L293" si="26">"Case "&amp;A245&amp;" is a "&amp;H245&amp;" case, "&amp;D245&amp;" years old "&amp;LOWER(J245)&amp;" "&amp;F245 &amp;IF(G245=""," and has not been overseas"," and has been to "&amp;G245)&amp;". "&amp;IF(TRIM(E245)="F","She",IF(TRIM(E245)="M","He"))&amp;" is currently admitted at "&amp;C245&amp;". "&amp;I245</f>
        <v xml:space="preserve">Case 510 is a Local unlinked case, 52 years old female Singapore Citizen  and has been to Malaysia . She is currently admitted at KTPH . </v>
      </c>
      <c r="M245">
        <f t="shared" ref="M245:M293" si="27">IF(G245="","",A245)</f>
        <v>510</v>
      </c>
      <c r="N245" t="str">
        <f t="shared" ref="N245:N293" si="28">IF(G245="","",G245)</f>
        <v xml:space="preserve">Malaysia </v>
      </c>
      <c r="O245" t="str">
        <f t="shared" ref="O245:O293" si="29">IF(I245="","",A245)</f>
        <v/>
      </c>
      <c r="P245" t="str">
        <f t="shared" ref="P245:P293" si="30">IF(I245="","",I245)</f>
        <v/>
      </c>
    </row>
    <row r="246" spans="1:16" x14ac:dyDescent="0.3">
      <c r="A246">
        <v>511</v>
      </c>
      <c r="B246" s="24">
        <v>43913</v>
      </c>
      <c r="C246" t="s">
        <v>1058</v>
      </c>
      <c r="D246">
        <v>53</v>
      </c>
      <c r="E246" t="s">
        <v>1059</v>
      </c>
      <c r="F246" t="s">
        <v>1060</v>
      </c>
      <c r="G246" t="s">
        <v>360</v>
      </c>
      <c r="H246" t="s">
        <v>1061</v>
      </c>
      <c r="J246" t="str">
        <f t="shared" si="24"/>
        <v>Male</v>
      </c>
      <c r="K246" t="str">
        <f t="shared" si="25"/>
        <v>Singaporean</v>
      </c>
      <c r="L246" t="str">
        <f t="shared" si="26"/>
        <v xml:space="preserve">Case 511 is a Local unlinked case, 53 years old male Singapore Citizen  and has been to Malaysia . He is currently admitted at KTPH . </v>
      </c>
      <c r="M246">
        <f t="shared" si="27"/>
        <v>511</v>
      </c>
      <c r="N246" t="str">
        <f t="shared" si="28"/>
        <v xml:space="preserve">Malaysia </v>
      </c>
      <c r="O246" t="str">
        <f t="shared" si="29"/>
        <v/>
      </c>
      <c r="P246" t="str">
        <f t="shared" si="30"/>
        <v/>
      </c>
    </row>
    <row r="247" spans="1:16" x14ac:dyDescent="0.3">
      <c r="A247">
        <v>512</v>
      </c>
      <c r="B247" s="24">
        <v>43913</v>
      </c>
      <c r="C247" t="s">
        <v>1071</v>
      </c>
      <c r="D247">
        <v>21</v>
      </c>
      <c r="E247" t="s">
        <v>1073</v>
      </c>
      <c r="F247" t="s">
        <v>1060</v>
      </c>
      <c r="G247" t="s">
        <v>1063</v>
      </c>
      <c r="H247" t="s">
        <v>77</v>
      </c>
      <c r="J247" t="str">
        <f t="shared" si="24"/>
        <v>Female</v>
      </c>
      <c r="K247" t="str">
        <f t="shared" si="25"/>
        <v>Singaporean</v>
      </c>
      <c r="L247" t="str">
        <f t="shared" si="26"/>
        <v xml:space="preserve">Case 512 is a Imported case, 21 years old female Singapore Citizen  and has been to UK . She is currently admitted at NCID . </v>
      </c>
      <c r="M247">
        <f t="shared" si="27"/>
        <v>512</v>
      </c>
      <c r="N247" t="str">
        <f t="shared" si="28"/>
        <v xml:space="preserve">UK </v>
      </c>
      <c r="O247" t="str">
        <f t="shared" si="29"/>
        <v/>
      </c>
      <c r="P247" t="str">
        <f t="shared" si="30"/>
        <v/>
      </c>
    </row>
    <row r="248" spans="1:16" x14ac:dyDescent="0.3">
      <c r="A248">
        <v>513</v>
      </c>
      <c r="B248" s="24">
        <v>43913</v>
      </c>
      <c r="C248" t="s">
        <v>1071</v>
      </c>
      <c r="D248">
        <v>21</v>
      </c>
      <c r="E248" t="s">
        <v>1059</v>
      </c>
      <c r="F248" t="s">
        <v>1060</v>
      </c>
      <c r="G248" t="s">
        <v>1177</v>
      </c>
      <c r="H248" t="s">
        <v>77</v>
      </c>
      <c r="J248" t="str">
        <f t="shared" si="24"/>
        <v>Male</v>
      </c>
      <c r="K248" t="str">
        <f t="shared" si="25"/>
        <v>Singaporean</v>
      </c>
      <c r="L248" t="str">
        <f t="shared" si="26"/>
        <v xml:space="preserve">Case 513 is a Imported case, 21 years old male Singapore Citizen  and has been to Pending . He is currently admitted at NCID . </v>
      </c>
      <c r="M248">
        <f t="shared" si="27"/>
        <v>513</v>
      </c>
      <c r="N248" t="str">
        <f t="shared" si="28"/>
        <v xml:space="preserve">Pending </v>
      </c>
      <c r="O248" t="str">
        <f t="shared" si="29"/>
        <v/>
      </c>
      <c r="P248" t="str">
        <f t="shared" si="30"/>
        <v/>
      </c>
    </row>
    <row r="249" spans="1:16" x14ac:dyDescent="0.3">
      <c r="A249">
        <v>514</v>
      </c>
      <c r="B249" s="24">
        <v>43913</v>
      </c>
      <c r="C249" t="s">
        <v>1071</v>
      </c>
      <c r="D249">
        <v>18</v>
      </c>
      <c r="E249" t="s">
        <v>1073</v>
      </c>
      <c r="F249" t="s">
        <v>798</v>
      </c>
      <c r="G249" t="s">
        <v>1177</v>
      </c>
      <c r="H249" t="s">
        <v>77</v>
      </c>
      <c r="J249" t="str">
        <f t="shared" si="24"/>
        <v>Female</v>
      </c>
      <c r="K249" t="str">
        <f t="shared" si="25"/>
        <v xml:space="preserve">India </v>
      </c>
      <c r="L249" t="str">
        <f t="shared" si="26"/>
        <v xml:space="preserve">Case 514 is a Imported case, 18 years old female India  and has been to Pending . She is currently admitted at NCID . </v>
      </c>
      <c r="M249">
        <f t="shared" si="27"/>
        <v>514</v>
      </c>
      <c r="N249" t="str">
        <f t="shared" si="28"/>
        <v xml:space="preserve">Pending </v>
      </c>
      <c r="O249" t="str">
        <f t="shared" si="29"/>
        <v/>
      </c>
      <c r="P249" t="str">
        <f t="shared" si="30"/>
        <v/>
      </c>
    </row>
    <row r="250" spans="1:16" x14ac:dyDescent="0.3">
      <c r="A250">
        <v>515</v>
      </c>
      <c r="B250" s="24">
        <v>43913</v>
      </c>
      <c r="C250" t="s">
        <v>1062</v>
      </c>
      <c r="D250">
        <v>24</v>
      </c>
      <c r="E250" t="s">
        <v>1059</v>
      </c>
      <c r="F250" t="s">
        <v>1060</v>
      </c>
      <c r="G250" t="s">
        <v>1085</v>
      </c>
      <c r="H250" t="s">
        <v>77</v>
      </c>
      <c r="J250" t="str">
        <f t="shared" si="24"/>
        <v>Male</v>
      </c>
      <c r="K250" t="str">
        <f t="shared" si="25"/>
        <v>Singaporean</v>
      </c>
      <c r="L250" t="str">
        <f t="shared" si="26"/>
        <v xml:space="preserve">Case 515 is a Imported case, 24 years old male Singapore Citizen  and has been to US . He is currently admitted at NTFGH . </v>
      </c>
      <c r="M250">
        <f t="shared" si="27"/>
        <v>515</v>
      </c>
      <c r="N250" t="str">
        <f t="shared" si="28"/>
        <v xml:space="preserve">US </v>
      </c>
      <c r="O250" t="str">
        <f t="shared" si="29"/>
        <v/>
      </c>
      <c r="P250" t="str">
        <f t="shared" si="30"/>
        <v/>
      </c>
    </row>
    <row r="251" spans="1:16" x14ac:dyDescent="0.3">
      <c r="A251">
        <v>516</v>
      </c>
      <c r="B251" s="24">
        <v>43913</v>
      </c>
      <c r="C251" t="s">
        <v>1064</v>
      </c>
      <c r="D251">
        <v>42</v>
      </c>
      <c r="E251" t="s">
        <v>1073</v>
      </c>
      <c r="F251" t="s">
        <v>1060</v>
      </c>
      <c r="H251" t="s">
        <v>1061</v>
      </c>
      <c r="J251" t="str">
        <f t="shared" si="24"/>
        <v>Female</v>
      </c>
      <c r="K251" t="str">
        <f t="shared" si="25"/>
        <v>Singaporean</v>
      </c>
      <c r="L251" t="str">
        <f t="shared" si="26"/>
        <v xml:space="preserve">Case 516 is a Local unlinked case, 42 years old female Singapore Citizen  and has not been overseas. She is currently admitted at CGH . </v>
      </c>
      <c r="M251" t="str">
        <f t="shared" si="27"/>
        <v/>
      </c>
      <c r="N251" t="str">
        <f t="shared" si="28"/>
        <v/>
      </c>
      <c r="O251" t="str">
        <f t="shared" si="29"/>
        <v/>
      </c>
      <c r="P251" t="str">
        <f t="shared" si="30"/>
        <v/>
      </c>
    </row>
    <row r="252" spans="1:16" x14ac:dyDescent="0.3">
      <c r="A252">
        <v>517</v>
      </c>
      <c r="B252" s="24">
        <v>43913</v>
      </c>
      <c r="C252" t="s">
        <v>1071</v>
      </c>
      <c r="D252">
        <v>37</v>
      </c>
      <c r="E252" t="s">
        <v>1059</v>
      </c>
      <c r="F252" t="s">
        <v>1060</v>
      </c>
      <c r="G252" t="s">
        <v>1213</v>
      </c>
      <c r="H252" t="s">
        <v>1069</v>
      </c>
      <c r="I252" t="s">
        <v>1221</v>
      </c>
      <c r="J252" t="str">
        <f t="shared" si="24"/>
        <v>Male</v>
      </c>
      <c r="K252" t="str">
        <f t="shared" si="25"/>
        <v>Singaporean</v>
      </c>
      <c r="L252" t="str">
        <f t="shared" si="26"/>
        <v>Case 517 is a Imported  case, 37 years old male Singapore Citizen  and has been to France, UK . He is currently admitted at NCID . Family member of Case 459; Contact of Case 490</v>
      </c>
      <c r="M252">
        <f t="shared" si="27"/>
        <v>517</v>
      </c>
      <c r="N252" t="str">
        <f t="shared" si="28"/>
        <v xml:space="preserve">France, UK </v>
      </c>
      <c r="O252">
        <f t="shared" si="29"/>
        <v>517</v>
      </c>
      <c r="P252" t="str">
        <f t="shared" si="30"/>
        <v>Family member of Case 459; Contact of Case 490</v>
      </c>
    </row>
    <row r="253" spans="1:16" x14ac:dyDescent="0.3">
      <c r="A253">
        <v>518</v>
      </c>
      <c r="B253" s="24">
        <v>43913</v>
      </c>
      <c r="C253" t="s">
        <v>1138</v>
      </c>
      <c r="D253">
        <v>46</v>
      </c>
      <c r="E253" t="s">
        <v>1059</v>
      </c>
      <c r="F253" t="s">
        <v>1174</v>
      </c>
      <c r="G253" t="s">
        <v>1085</v>
      </c>
      <c r="H253" t="s">
        <v>77</v>
      </c>
      <c r="J253" t="str">
        <f t="shared" si="24"/>
        <v>Male</v>
      </c>
      <c r="K253" t="str">
        <f t="shared" si="25"/>
        <v>Australia</v>
      </c>
      <c r="L253" t="str">
        <f t="shared" si="26"/>
        <v xml:space="preserve">Case 518 is a Imported case, 46 years old male Australia (Long Term Pass holder)  and has been to US . He is currently admitted at SGH . </v>
      </c>
      <c r="M253">
        <f t="shared" si="27"/>
        <v>518</v>
      </c>
      <c r="N253" t="str">
        <f t="shared" si="28"/>
        <v xml:space="preserve">US </v>
      </c>
      <c r="O253" t="str">
        <f t="shared" si="29"/>
        <v/>
      </c>
      <c r="P253" t="str">
        <f t="shared" si="30"/>
        <v/>
      </c>
    </row>
    <row r="254" spans="1:16" x14ac:dyDescent="0.3">
      <c r="A254">
        <v>519</v>
      </c>
      <c r="B254" s="24">
        <v>43913</v>
      </c>
      <c r="C254" t="s">
        <v>1138</v>
      </c>
      <c r="D254">
        <v>44</v>
      </c>
      <c r="E254" t="s">
        <v>1059</v>
      </c>
      <c r="F254" t="s">
        <v>802</v>
      </c>
      <c r="G254" t="s">
        <v>802</v>
      </c>
      <c r="H254" t="s">
        <v>77</v>
      </c>
      <c r="J254" t="str">
        <f t="shared" si="24"/>
        <v>Male</v>
      </c>
      <c r="K254" t="str">
        <f t="shared" si="25"/>
        <v xml:space="preserve">Germany </v>
      </c>
      <c r="L254" t="str">
        <f t="shared" si="26"/>
        <v xml:space="preserve">Case 519 is a Imported case, 44 years old male Germany  and has been to Germany . He is currently admitted at SGH . </v>
      </c>
      <c r="M254">
        <f t="shared" si="27"/>
        <v>519</v>
      </c>
      <c r="N254" t="str">
        <f t="shared" si="28"/>
        <v xml:space="preserve">Germany </v>
      </c>
      <c r="O254" t="str">
        <f t="shared" si="29"/>
        <v/>
      </c>
      <c r="P254" t="str">
        <f t="shared" si="30"/>
        <v/>
      </c>
    </row>
    <row r="255" spans="1:16" x14ac:dyDescent="0.3">
      <c r="A255">
        <v>520</v>
      </c>
      <c r="B255" s="24">
        <v>43913</v>
      </c>
      <c r="D255">
        <v>71</v>
      </c>
      <c r="E255" t="s">
        <v>1059</v>
      </c>
      <c r="F255" t="s">
        <v>1060</v>
      </c>
      <c r="H255" t="s">
        <v>1086</v>
      </c>
      <c r="I255" t="s">
        <v>1222</v>
      </c>
      <c r="J255" t="str">
        <f t="shared" si="24"/>
        <v>Male</v>
      </c>
      <c r="K255" t="str">
        <f t="shared" si="25"/>
        <v>Singaporean</v>
      </c>
      <c r="L255" t="str">
        <f t="shared" si="26"/>
        <v>Case 520 is a Local linked  case, 71 years old male Singapore Citizen  and has not been overseas. He is currently admitted at . Contact of Case 94</v>
      </c>
      <c r="M255" t="str">
        <f t="shared" si="27"/>
        <v/>
      </c>
      <c r="N255" t="str">
        <f t="shared" si="28"/>
        <v/>
      </c>
      <c r="O255">
        <f t="shared" si="29"/>
        <v>520</v>
      </c>
      <c r="P255" t="str">
        <f t="shared" si="30"/>
        <v>Contact of Case 94</v>
      </c>
    </row>
    <row r="256" spans="1:16" x14ac:dyDescent="0.3">
      <c r="A256">
        <v>521</v>
      </c>
      <c r="B256" s="24">
        <v>43913</v>
      </c>
      <c r="C256" t="s">
        <v>1064</v>
      </c>
      <c r="D256">
        <v>37</v>
      </c>
      <c r="E256" t="s">
        <v>1073</v>
      </c>
      <c r="F256" t="s">
        <v>1060</v>
      </c>
      <c r="G256" t="s">
        <v>360</v>
      </c>
      <c r="H256" t="s">
        <v>1061</v>
      </c>
      <c r="J256" t="str">
        <f t="shared" si="24"/>
        <v>Female</v>
      </c>
      <c r="K256" t="str">
        <f t="shared" si="25"/>
        <v>Singaporean</v>
      </c>
      <c r="L256" t="str">
        <f t="shared" si="26"/>
        <v xml:space="preserve">Case 521 is a Local unlinked case, 37 years old female Singapore Citizen  and has been to Malaysia . She is currently admitted at CGH . </v>
      </c>
      <c r="M256">
        <f t="shared" si="27"/>
        <v>521</v>
      </c>
      <c r="N256" t="str">
        <f t="shared" si="28"/>
        <v xml:space="preserve">Malaysia </v>
      </c>
      <c r="O256" t="str">
        <f t="shared" si="29"/>
        <v/>
      </c>
      <c r="P256" t="str">
        <f t="shared" si="30"/>
        <v/>
      </c>
    </row>
    <row r="257" spans="1:16" x14ac:dyDescent="0.3">
      <c r="A257">
        <v>522</v>
      </c>
      <c r="B257" s="24">
        <v>43913</v>
      </c>
      <c r="C257" t="s">
        <v>1071</v>
      </c>
      <c r="D257">
        <v>45</v>
      </c>
      <c r="E257" t="s">
        <v>1073</v>
      </c>
      <c r="F257" t="s">
        <v>1072</v>
      </c>
      <c r="G257" t="s">
        <v>1085</v>
      </c>
      <c r="H257" t="s">
        <v>77</v>
      </c>
      <c r="J257" t="str">
        <f t="shared" si="24"/>
        <v>Female</v>
      </c>
      <c r="K257" t="str">
        <f t="shared" si="25"/>
        <v>Singaporean</v>
      </c>
      <c r="L257" t="str">
        <f t="shared" si="26"/>
        <v xml:space="preserve">Case 522 is a Imported case, 45 years old female Singapore Permanent Resident  and has been to US . She is currently admitted at NCID . </v>
      </c>
      <c r="M257">
        <f t="shared" si="27"/>
        <v>522</v>
      </c>
      <c r="N257" t="str">
        <f t="shared" si="28"/>
        <v xml:space="preserve">US </v>
      </c>
      <c r="O257" t="str">
        <f t="shared" si="29"/>
        <v/>
      </c>
      <c r="P257" t="str">
        <f t="shared" si="30"/>
        <v/>
      </c>
    </row>
    <row r="258" spans="1:16" x14ac:dyDescent="0.3">
      <c r="A258">
        <v>523</v>
      </c>
      <c r="B258" s="24">
        <v>43913</v>
      </c>
      <c r="C258" t="s">
        <v>1161</v>
      </c>
      <c r="D258">
        <v>9</v>
      </c>
      <c r="E258" t="s">
        <v>1059</v>
      </c>
      <c r="F258" t="s">
        <v>1165</v>
      </c>
      <c r="G258" t="s">
        <v>706</v>
      </c>
      <c r="H258" t="s">
        <v>1069</v>
      </c>
      <c r="I258" t="s">
        <v>1223</v>
      </c>
      <c r="J258" t="str">
        <f t="shared" si="24"/>
        <v>Male</v>
      </c>
      <c r="K258" t="str">
        <f t="shared" si="25"/>
        <v>Philippines</v>
      </c>
      <c r="L258" t="str">
        <f t="shared" si="26"/>
        <v>Case 523 is a Imported  case, 9 years old male Philippines (Long Term Pass holder)  and has been to Philippines . He is currently admitted at KKH . Family member of Case 394</v>
      </c>
      <c r="M258">
        <f t="shared" si="27"/>
        <v>523</v>
      </c>
      <c r="N258" t="str">
        <f t="shared" si="28"/>
        <v xml:space="preserve">Philippines </v>
      </c>
      <c r="O258">
        <f t="shared" si="29"/>
        <v>523</v>
      </c>
      <c r="P258" t="str">
        <f t="shared" si="30"/>
        <v>Family member of Case 394</v>
      </c>
    </row>
    <row r="259" spans="1:16" x14ac:dyDescent="0.3">
      <c r="A259">
        <v>524</v>
      </c>
      <c r="B259" s="24">
        <v>43913</v>
      </c>
      <c r="C259" t="s">
        <v>1071</v>
      </c>
      <c r="D259">
        <v>61</v>
      </c>
      <c r="E259" t="s">
        <v>1059</v>
      </c>
      <c r="F259" t="s">
        <v>1060</v>
      </c>
      <c r="H259" t="s">
        <v>1061</v>
      </c>
      <c r="J259" t="str">
        <f t="shared" si="24"/>
        <v>Male</v>
      </c>
      <c r="K259" t="str">
        <f t="shared" si="25"/>
        <v>Singaporean</v>
      </c>
      <c r="L259" t="str">
        <f t="shared" si="26"/>
        <v xml:space="preserve">Case 524 is a Local unlinked case, 61 years old male Singapore Citizen  and has not been overseas. He is currently admitted at NCID . </v>
      </c>
      <c r="M259" t="str">
        <f t="shared" si="27"/>
        <v/>
      </c>
      <c r="N259" t="str">
        <f t="shared" si="28"/>
        <v/>
      </c>
      <c r="O259" t="str">
        <f t="shared" si="29"/>
        <v/>
      </c>
      <c r="P259" t="str">
        <f t="shared" si="30"/>
        <v/>
      </c>
    </row>
    <row r="260" spans="1:16" x14ac:dyDescent="0.3">
      <c r="A260">
        <v>525</v>
      </c>
      <c r="B260" s="24">
        <v>43913</v>
      </c>
      <c r="C260" t="s">
        <v>1071</v>
      </c>
      <c r="D260">
        <v>64</v>
      </c>
      <c r="E260" t="s">
        <v>1073</v>
      </c>
      <c r="F260" t="s">
        <v>1060</v>
      </c>
      <c r="H260" t="s">
        <v>1061</v>
      </c>
      <c r="J260" t="str">
        <f t="shared" si="24"/>
        <v>Female</v>
      </c>
      <c r="K260" t="str">
        <f t="shared" si="25"/>
        <v>Singaporean</v>
      </c>
      <c r="L260" t="str">
        <f t="shared" si="26"/>
        <v xml:space="preserve">Case 525 is a Local unlinked case, 64 years old female Singapore Citizen  and has not been overseas. She is currently admitted at NCID . </v>
      </c>
      <c r="M260" t="str">
        <f t="shared" si="27"/>
        <v/>
      </c>
      <c r="N260" t="str">
        <f t="shared" si="28"/>
        <v/>
      </c>
      <c r="O260" t="str">
        <f t="shared" si="29"/>
        <v/>
      </c>
      <c r="P260" t="str">
        <f t="shared" si="30"/>
        <v/>
      </c>
    </row>
    <row r="261" spans="1:16" x14ac:dyDescent="0.3">
      <c r="A261">
        <v>526</v>
      </c>
      <c r="B261" s="24">
        <v>43913</v>
      </c>
      <c r="C261" t="s">
        <v>1071</v>
      </c>
      <c r="D261">
        <v>22</v>
      </c>
      <c r="E261" t="s">
        <v>1073</v>
      </c>
      <c r="F261" t="s">
        <v>1060</v>
      </c>
      <c r="G261" t="s">
        <v>1085</v>
      </c>
      <c r="H261" t="s">
        <v>77</v>
      </c>
      <c r="J261" t="str">
        <f t="shared" si="24"/>
        <v>Female</v>
      </c>
      <c r="K261" t="str">
        <f t="shared" si="25"/>
        <v>Singaporean</v>
      </c>
      <c r="L261" t="str">
        <f t="shared" si="26"/>
        <v xml:space="preserve">Case 526 is a Imported case, 22 years old female Singapore Citizen  and has been to US . She is currently admitted at NCID . </v>
      </c>
      <c r="M261">
        <f t="shared" si="27"/>
        <v>526</v>
      </c>
      <c r="N261" t="str">
        <f t="shared" si="28"/>
        <v xml:space="preserve">US </v>
      </c>
      <c r="O261" t="str">
        <f t="shared" si="29"/>
        <v/>
      </c>
      <c r="P261" t="str">
        <f t="shared" si="30"/>
        <v/>
      </c>
    </row>
    <row r="262" spans="1:16" x14ac:dyDescent="0.3">
      <c r="A262">
        <v>527</v>
      </c>
      <c r="B262" s="24">
        <v>43913</v>
      </c>
      <c r="C262" t="s">
        <v>1058</v>
      </c>
      <c r="D262">
        <v>44</v>
      </c>
      <c r="E262" t="s">
        <v>1059</v>
      </c>
      <c r="F262" t="s">
        <v>1060</v>
      </c>
      <c r="H262" t="s">
        <v>1061</v>
      </c>
      <c r="J262" t="str">
        <f t="shared" si="24"/>
        <v>Male</v>
      </c>
      <c r="K262" t="str">
        <f t="shared" si="25"/>
        <v>Singaporean</v>
      </c>
      <c r="L262" t="str">
        <f t="shared" si="26"/>
        <v xml:space="preserve">Case 527 is a Local unlinked case, 44 years old male Singapore Citizen  and has not been overseas. He is currently admitted at KTPH . </v>
      </c>
      <c r="M262" t="str">
        <f t="shared" si="27"/>
        <v/>
      </c>
      <c r="N262" t="str">
        <f t="shared" si="28"/>
        <v/>
      </c>
      <c r="O262" t="str">
        <f t="shared" si="29"/>
        <v/>
      </c>
      <c r="P262" t="str">
        <f t="shared" si="30"/>
        <v/>
      </c>
    </row>
    <row r="263" spans="1:16" x14ac:dyDescent="0.3">
      <c r="A263">
        <v>528</v>
      </c>
      <c r="B263" s="24">
        <v>43914</v>
      </c>
      <c r="C263" t="s">
        <v>1058</v>
      </c>
      <c r="D263">
        <v>50</v>
      </c>
      <c r="E263" t="s">
        <v>1059</v>
      </c>
      <c r="F263" t="s">
        <v>1060</v>
      </c>
      <c r="H263" t="s">
        <v>1061</v>
      </c>
      <c r="J263" t="str">
        <f t="shared" si="24"/>
        <v>Male</v>
      </c>
      <c r="K263" t="str">
        <f t="shared" si="25"/>
        <v>Singaporean</v>
      </c>
      <c r="L263" t="str">
        <f t="shared" si="26"/>
        <v xml:space="preserve">Case 528 is a Local unlinked case, 50 years old male Singapore Citizen  and has not been overseas. He is currently admitted at KTPH . </v>
      </c>
      <c r="M263" t="str">
        <f t="shared" si="27"/>
        <v/>
      </c>
      <c r="N263" t="str">
        <f t="shared" si="28"/>
        <v/>
      </c>
      <c r="O263" t="str">
        <f t="shared" si="29"/>
        <v/>
      </c>
      <c r="P263" t="str">
        <f t="shared" si="30"/>
        <v/>
      </c>
    </row>
    <row r="264" spans="1:16" x14ac:dyDescent="0.3">
      <c r="A264">
        <v>529</v>
      </c>
      <c r="B264" s="24">
        <v>43914</v>
      </c>
      <c r="C264" t="s">
        <v>1062</v>
      </c>
      <c r="D264">
        <v>19</v>
      </c>
      <c r="E264" t="s">
        <v>1073</v>
      </c>
      <c r="F264" t="s">
        <v>1060</v>
      </c>
      <c r="G264" t="s">
        <v>1051</v>
      </c>
      <c r="H264" t="s">
        <v>77</v>
      </c>
      <c r="J264" t="str">
        <f t="shared" si="24"/>
        <v>Female</v>
      </c>
      <c r="K264" t="str">
        <f t="shared" si="25"/>
        <v>Singaporean</v>
      </c>
      <c r="L264" t="str">
        <f t="shared" si="26"/>
        <v xml:space="preserve">Case 529 is a Imported case, 19 years old female Singapore Citizen  and has been to Europe . She is currently admitted at NTFGH . </v>
      </c>
      <c r="M264">
        <f t="shared" si="27"/>
        <v>529</v>
      </c>
      <c r="N264" t="str">
        <f t="shared" si="28"/>
        <v xml:space="preserve">Europe </v>
      </c>
      <c r="O264" t="str">
        <f t="shared" si="29"/>
        <v/>
      </c>
      <c r="P264" t="str">
        <f t="shared" si="30"/>
        <v/>
      </c>
    </row>
    <row r="265" spans="1:16" x14ac:dyDescent="0.3">
      <c r="A265">
        <v>530</v>
      </c>
      <c r="B265" s="24">
        <v>43914</v>
      </c>
      <c r="C265" t="s">
        <v>343</v>
      </c>
      <c r="D265">
        <v>35</v>
      </c>
      <c r="E265" t="s">
        <v>1059</v>
      </c>
      <c r="F265" t="s">
        <v>1060</v>
      </c>
      <c r="G265" t="s">
        <v>1085</v>
      </c>
      <c r="H265" t="s">
        <v>77</v>
      </c>
      <c r="J265" t="str">
        <f t="shared" si="24"/>
        <v>Male</v>
      </c>
      <c r="K265" t="str">
        <f t="shared" si="25"/>
        <v>Singaporean</v>
      </c>
      <c r="L265" t="str">
        <f t="shared" si="26"/>
        <v xml:space="preserve">Case 530 is a Imported case, 35 years old male Singapore Citizen  and has been to US . He is currently admitted at NUH . </v>
      </c>
      <c r="M265">
        <f t="shared" si="27"/>
        <v>530</v>
      </c>
      <c r="N265" t="str">
        <f t="shared" si="28"/>
        <v xml:space="preserve">US </v>
      </c>
      <c r="O265" t="str">
        <f t="shared" si="29"/>
        <v/>
      </c>
      <c r="P265" t="str">
        <f t="shared" si="30"/>
        <v/>
      </c>
    </row>
    <row r="266" spans="1:16" x14ac:dyDescent="0.3">
      <c r="A266">
        <v>531</v>
      </c>
      <c r="B266" s="24">
        <v>43914</v>
      </c>
      <c r="C266" t="s">
        <v>1066</v>
      </c>
      <c r="D266">
        <v>43</v>
      </c>
      <c r="E266" t="s">
        <v>1059</v>
      </c>
      <c r="F266" t="s">
        <v>1224</v>
      </c>
      <c r="H266" t="s">
        <v>1061</v>
      </c>
      <c r="J266" t="str">
        <f t="shared" si="24"/>
        <v>Male</v>
      </c>
      <c r="K266" t="str">
        <f t="shared" si="25"/>
        <v>India</v>
      </c>
      <c r="L266" t="str">
        <f t="shared" si="26"/>
        <v xml:space="preserve">Case 531 is a Local unlinked case, 43 years old male India (Singapore Work Pass holder)   and has not been overseas. He is currently admitted at SKH . </v>
      </c>
      <c r="M266" t="str">
        <f t="shared" si="27"/>
        <v/>
      </c>
      <c r="N266" t="str">
        <f t="shared" si="28"/>
        <v/>
      </c>
      <c r="O266" t="str">
        <f t="shared" si="29"/>
        <v/>
      </c>
      <c r="P266" t="str">
        <f t="shared" si="30"/>
        <v/>
      </c>
    </row>
    <row r="267" spans="1:16" x14ac:dyDescent="0.3">
      <c r="A267">
        <v>532</v>
      </c>
      <c r="B267" s="24">
        <v>43914</v>
      </c>
      <c r="C267" t="s">
        <v>1066</v>
      </c>
      <c r="D267">
        <v>44</v>
      </c>
      <c r="E267" t="s">
        <v>1059</v>
      </c>
      <c r="F267" t="s">
        <v>1060</v>
      </c>
      <c r="G267" t="s">
        <v>1225</v>
      </c>
      <c r="H267" t="s">
        <v>77</v>
      </c>
      <c r="J267" t="str">
        <f t="shared" si="24"/>
        <v>Male</v>
      </c>
      <c r="K267" t="str">
        <f t="shared" si="25"/>
        <v>Singaporean</v>
      </c>
      <c r="L267" t="str">
        <f t="shared" si="26"/>
        <v xml:space="preserve">Case 532 is a Imported case, 44 years old male Singapore Citizen  and has been to ASEAN . He is currently admitted at SKH . </v>
      </c>
      <c r="M267">
        <f t="shared" si="27"/>
        <v>532</v>
      </c>
      <c r="N267" t="str">
        <f t="shared" si="28"/>
        <v xml:space="preserve">ASEAN </v>
      </c>
      <c r="O267" t="str">
        <f t="shared" si="29"/>
        <v/>
      </c>
      <c r="P267" t="str">
        <f t="shared" si="30"/>
        <v/>
      </c>
    </row>
    <row r="268" spans="1:16" x14ac:dyDescent="0.3">
      <c r="A268">
        <v>533</v>
      </c>
      <c r="B268" s="24">
        <v>43914</v>
      </c>
      <c r="C268" t="s">
        <v>1066</v>
      </c>
      <c r="D268">
        <v>61</v>
      </c>
      <c r="E268" t="s">
        <v>1059</v>
      </c>
      <c r="F268" t="s">
        <v>1060</v>
      </c>
      <c r="H268" t="s">
        <v>1061</v>
      </c>
      <c r="J268" t="str">
        <f t="shared" si="24"/>
        <v>Male</v>
      </c>
      <c r="K268" t="str">
        <f t="shared" si="25"/>
        <v>Singaporean</v>
      </c>
      <c r="L268" t="str">
        <f t="shared" si="26"/>
        <v xml:space="preserve">Case 533 is a Local unlinked case, 61 years old male Singapore Citizen  and has not been overseas. He is currently admitted at SKH . </v>
      </c>
      <c r="M268" t="str">
        <f t="shared" si="27"/>
        <v/>
      </c>
      <c r="N268" t="str">
        <f t="shared" si="28"/>
        <v/>
      </c>
      <c r="O268" t="str">
        <f t="shared" si="29"/>
        <v/>
      </c>
      <c r="P268" t="str">
        <f t="shared" si="30"/>
        <v/>
      </c>
    </row>
    <row r="269" spans="1:16" x14ac:dyDescent="0.3">
      <c r="A269">
        <v>534</v>
      </c>
      <c r="B269" s="24">
        <v>43914</v>
      </c>
      <c r="C269" t="s">
        <v>1071</v>
      </c>
      <c r="D269">
        <v>34</v>
      </c>
      <c r="E269" t="s">
        <v>1059</v>
      </c>
      <c r="F269" t="s">
        <v>1186</v>
      </c>
      <c r="G269" t="s">
        <v>1051</v>
      </c>
      <c r="H269" t="s">
        <v>1069</v>
      </c>
      <c r="J269" t="str">
        <f t="shared" si="24"/>
        <v>Male</v>
      </c>
      <c r="K269" t="str">
        <f t="shared" si="25"/>
        <v>UK</v>
      </c>
      <c r="L269" t="str">
        <f t="shared" si="26"/>
        <v xml:space="preserve">Case 534 is a Imported  case, 34 years old male UK (Singapore Work Pass holder)  and has been to Europe . He is currently admitted at NCID . </v>
      </c>
      <c r="M269">
        <f t="shared" si="27"/>
        <v>534</v>
      </c>
      <c r="N269" t="str">
        <f t="shared" si="28"/>
        <v xml:space="preserve">Europe </v>
      </c>
      <c r="O269" t="str">
        <f t="shared" si="29"/>
        <v/>
      </c>
      <c r="P269" t="str">
        <f t="shared" si="30"/>
        <v/>
      </c>
    </row>
    <row r="270" spans="1:16" x14ac:dyDescent="0.3">
      <c r="A270">
        <v>535</v>
      </c>
      <c r="B270" s="24">
        <v>43914</v>
      </c>
      <c r="C270" t="s">
        <v>1062</v>
      </c>
      <c r="D270">
        <v>61</v>
      </c>
      <c r="E270" t="s">
        <v>1059</v>
      </c>
      <c r="F270" t="s">
        <v>1060</v>
      </c>
      <c r="H270" t="s">
        <v>936</v>
      </c>
      <c r="J270" t="str">
        <f t="shared" si="24"/>
        <v>Male</v>
      </c>
      <c r="K270" t="str">
        <f t="shared" si="25"/>
        <v>Singaporean</v>
      </c>
      <c r="L270" t="str">
        <f t="shared" si="26"/>
        <v xml:space="preserve">Case 535 is a Local Unlinked case, 61 years old male Singapore Citizen  and has not been overseas. He is currently admitted at NTFGH . </v>
      </c>
      <c r="M270" t="str">
        <f t="shared" si="27"/>
        <v/>
      </c>
      <c r="N270" t="str">
        <f t="shared" si="28"/>
        <v/>
      </c>
      <c r="O270" t="str">
        <f t="shared" si="29"/>
        <v/>
      </c>
      <c r="P270" t="str">
        <f t="shared" si="30"/>
        <v/>
      </c>
    </row>
    <row r="271" spans="1:16" x14ac:dyDescent="0.3">
      <c r="A271">
        <v>536</v>
      </c>
      <c r="B271" s="24">
        <v>43913</v>
      </c>
      <c r="C271" t="s">
        <v>1226</v>
      </c>
      <c r="D271">
        <v>86</v>
      </c>
      <c r="E271" t="s">
        <v>1073</v>
      </c>
      <c r="F271" t="s">
        <v>1060</v>
      </c>
      <c r="H271" t="s">
        <v>1061</v>
      </c>
      <c r="J271" t="str">
        <f t="shared" si="24"/>
        <v>Female</v>
      </c>
      <c r="K271" t="str">
        <f t="shared" si="25"/>
        <v>Singaporean</v>
      </c>
      <c r="L271" t="str">
        <f t="shared" si="26"/>
        <v xml:space="preserve">Case 536 is a Local unlinked case, 86 years old female Singapore Citizen  and has not been overseas. She is currently admitted at MAH . </v>
      </c>
      <c r="M271" t="str">
        <f t="shared" si="27"/>
        <v/>
      </c>
      <c r="N271" t="str">
        <f t="shared" si="28"/>
        <v/>
      </c>
      <c r="O271" t="str">
        <f t="shared" si="29"/>
        <v/>
      </c>
      <c r="P271" t="str">
        <f t="shared" si="30"/>
        <v/>
      </c>
    </row>
    <row r="272" spans="1:16" x14ac:dyDescent="0.3">
      <c r="A272">
        <v>537</v>
      </c>
      <c r="B272" s="24">
        <v>43913</v>
      </c>
      <c r="C272" t="s">
        <v>1071</v>
      </c>
      <c r="D272">
        <v>22</v>
      </c>
      <c r="E272" t="s">
        <v>1073</v>
      </c>
      <c r="F272" t="s">
        <v>1060</v>
      </c>
      <c r="G272" t="s">
        <v>1051</v>
      </c>
      <c r="H272" t="s">
        <v>77</v>
      </c>
      <c r="J272" t="str">
        <f t="shared" si="24"/>
        <v>Female</v>
      </c>
      <c r="K272" t="str">
        <f t="shared" si="25"/>
        <v>Singaporean</v>
      </c>
      <c r="L272" t="str">
        <f t="shared" si="26"/>
        <v xml:space="preserve">Case 537 is a Imported case, 22 years old female Singapore Citizen  and has been to Europe . She is currently admitted at NCID . </v>
      </c>
      <c r="M272">
        <f t="shared" si="27"/>
        <v>537</v>
      </c>
      <c r="N272" t="str">
        <f t="shared" si="28"/>
        <v xml:space="preserve">Europe </v>
      </c>
      <c r="O272" t="str">
        <f t="shared" si="29"/>
        <v/>
      </c>
      <c r="P272" t="str">
        <f t="shared" si="30"/>
        <v/>
      </c>
    </row>
    <row r="273" spans="1:16" x14ac:dyDescent="0.3">
      <c r="A273">
        <v>538</v>
      </c>
      <c r="B273" s="24">
        <v>43913</v>
      </c>
      <c r="C273" t="s">
        <v>1071</v>
      </c>
      <c r="D273">
        <v>50</v>
      </c>
      <c r="E273" t="s">
        <v>1059</v>
      </c>
      <c r="F273" t="s">
        <v>1060</v>
      </c>
      <c r="G273" t="s">
        <v>1225</v>
      </c>
      <c r="H273" t="s">
        <v>77</v>
      </c>
      <c r="J273" t="str">
        <f t="shared" si="24"/>
        <v>Male</v>
      </c>
      <c r="K273" t="str">
        <f t="shared" si="25"/>
        <v>Singaporean</v>
      </c>
      <c r="L273" t="str">
        <f t="shared" si="26"/>
        <v xml:space="preserve">Case 538 is a Imported case, 50 years old male Singapore Citizen  and has been to ASEAN . He is currently admitted at NCID . </v>
      </c>
      <c r="M273">
        <f t="shared" si="27"/>
        <v>538</v>
      </c>
      <c r="N273" t="str">
        <f t="shared" si="28"/>
        <v xml:space="preserve">ASEAN </v>
      </c>
      <c r="O273" t="str">
        <f t="shared" si="29"/>
        <v/>
      </c>
      <c r="P273" t="str">
        <f t="shared" si="30"/>
        <v/>
      </c>
    </row>
    <row r="274" spans="1:16" x14ac:dyDescent="0.3">
      <c r="A274">
        <v>539</v>
      </c>
      <c r="B274" s="24">
        <v>43914</v>
      </c>
      <c r="C274" t="s">
        <v>1138</v>
      </c>
      <c r="D274">
        <v>74</v>
      </c>
      <c r="E274" t="s">
        <v>1073</v>
      </c>
      <c r="F274" t="s">
        <v>1060</v>
      </c>
      <c r="H274" t="s">
        <v>1086</v>
      </c>
      <c r="I274" t="s">
        <v>1227</v>
      </c>
      <c r="J274" t="str">
        <f t="shared" si="24"/>
        <v>Female</v>
      </c>
      <c r="K274" t="str">
        <f t="shared" si="25"/>
        <v>Singaporean</v>
      </c>
      <c r="L274" t="str">
        <f t="shared" si="26"/>
        <v>Case 539 is a Local linked  case, 74 years old female Singapore Citizen  and has not been overseas. She is currently admitted at SGH . Contact of Cases 338 and 367</v>
      </c>
      <c r="M274" t="str">
        <f t="shared" si="27"/>
        <v/>
      </c>
      <c r="N274" t="str">
        <f t="shared" si="28"/>
        <v/>
      </c>
      <c r="O274">
        <f t="shared" si="29"/>
        <v>539</v>
      </c>
      <c r="P274" t="str">
        <f t="shared" si="30"/>
        <v>Contact of Cases 338 and 367</v>
      </c>
    </row>
    <row r="275" spans="1:16" x14ac:dyDescent="0.3">
      <c r="A275">
        <v>540</v>
      </c>
      <c r="B275" s="24">
        <v>43914</v>
      </c>
      <c r="C275" t="s">
        <v>343</v>
      </c>
      <c r="D275">
        <v>23</v>
      </c>
      <c r="E275" t="s">
        <v>1059</v>
      </c>
      <c r="F275" t="s">
        <v>1060</v>
      </c>
      <c r="G275" t="s">
        <v>1085</v>
      </c>
      <c r="H275" t="s">
        <v>77</v>
      </c>
      <c r="J275" t="str">
        <f t="shared" si="24"/>
        <v>Male</v>
      </c>
      <c r="K275" t="str">
        <f t="shared" si="25"/>
        <v>Singaporean</v>
      </c>
      <c r="L275" t="str">
        <f t="shared" si="26"/>
        <v xml:space="preserve">Case 540 is a Imported case, 23 years old male Singapore Citizen  and has been to US . He is currently admitted at NUH . </v>
      </c>
      <c r="M275">
        <f t="shared" si="27"/>
        <v>540</v>
      </c>
      <c r="N275" t="str">
        <f t="shared" si="28"/>
        <v xml:space="preserve">US </v>
      </c>
      <c r="O275" t="str">
        <f t="shared" si="29"/>
        <v/>
      </c>
      <c r="P275" t="str">
        <f t="shared" si="30"/>
        <v/>
      </c>
    </row>
    <row r="276" spans="1:16" x14ac:dyDescent="0.3">
      <c r="A276">
        <v>541</v>
      </c>
      <c r="B276" s="24">
        <v>43914</v>
      </c>
      <c r="C276" t="s">
        <v>1071</v>
      </c>
      <c r="D276">
        <v>20</v>
      </c>
      <c r="E276" t="s">
        <v>1073</v>
      </c>
      <c r="F276" t="s">
        <v>1060</v>
      </c>
      <c r="G276" t="s">
        <v>1051</v>
      </c>
      <c r="H276" t="s">
        <v>77</v>
      </c>
      <c r="J276" t="str">
        <f t="shared" si="24"/>
        <v>Female</v>
      </c>
      <c r="K276" t="str">
        <f t="shared" si="25"/>
        <v>Singaporean</v>
      </c>
      <c r="L276" t="str">
        <f t="shared" si="26"/>
        <v xml:space="preserve">Case 541 is a Imported case, 20 years old female Singapore Citizen  and has been to Europe . She is currently admitted at NCID . </v>
      </c>
      <c r="M276">
        <f t="shared" si="27"/>
        <v>541</v>
      </c>
      <c r="N276" t="str">
        <f t="shared" si="28"/>
        <v xml:space="preserve">Europe </v>
      </c>
      <c r="O276" t="str">
        <f t="shared" si="29"/>
        <v/>
      </c>
      <c r="P276" t="str">
        <f t="shared" si="30"/>
        <v/>
      </c>
    </row>
    <row r="277" spans="1:16" x14ac:dyDescent="0.3">
      <c r="A277">
        <v>542</v>
      </c>
      <c r="B277" s="24">
        <v>43914</v>
      </c>
      <c r="C277" t="s">
        <v>1071</v>
      </c>
      <c r="D277">
        <v>23</v>
      </c>
      <c r="E277" t="s">
        <v>1059</v>
      </c>
      <c r="F277" t="s">
        <v>1060</v>
      </c>
      <c r="G277" t="s">
        <v>1051</v>
      </c>
      <c r="H277" t="s">
        <v>77</v>
      </c>
      <c r="J277" t="str">
        <f t="shared" si="24"/>
        <v>Male</v>
      </c>
      <c r="K277" t="str">
        <f t="shared" si="25"/>
        <v>Singaporean</v>
      </c>
      <c r="L277" t="str">
        <f t="shared" si="26"/>
        <v xml:space="preserve">Case 542 is a Imported case, 23 years old male Singapore Citizen  and has been to Europe . He is currently admitted at NCID . </v>
      </c>
      <c r="M277">
        <f t="shared" si="27"/>
        <v>542</v>
      </c>
      <c r="N277" t="str">
        <f t="shared" si="28"/>
        <v xml:space="preserve">Europe </v>
      </c>
      <c r="O277" t="str">
        <f t="shared" si="29"/>
        <v/>
      </c>
      <c r="P277" t="str">
        <f t="shared" si="30"/>
        <v/>
      </c>
    </row>
    <row r="278" spans="1:16" x14ac:dyDescent="0.3">
      <c r="A278">
        <v>543</v>
      </c>
      <c r="B278" s="24">
        <v>43914</v>
      </c>
      <c r="C278" t="s">
        <v>1071</v>
      </c>
      <c r="D278">
        <v>19</v>
      </c>
      <c r="E278" t="s">
        <v>1073</v>
      </c>
      <c r="F278" t="s">
        <v>1060</v>
      </c>
      <c r="G278" t="s">
        <v>1051</v>
      </c>
      <c r="H278" t="s">
        <v>77</v>
      </c>
      <c r="J278" t="str">
        <f t="shared" si="24"/>
        <v>Female</v>
      </c>
      <c r="K278" t="str">
        <f t="shared" si="25"/>
        <v>Singaporean</v>
      </c>
      <c r="L278" t="str">
        <f t="shared" si="26"/>
        <v xml:space="preserve">Case 543 is a Imported case, 19 years old female Singapore Citizen  and has been to Europe . She is currently admitted at NCID . </v>
      </c>
      <c r="M278">
        <f t="shared" si="27"/>
        <v>543</v>
      </c>
      <c r="N278" t="str">
        <f t="shared" si="28"/>
        <v xml:space="preserve">Europe </v>
      </c>
      <c r="O278" t="str">
        <f t="shared" si="29"/>
        <v/>
      </c>
      <c r="P278" t="str">
        <f t="shared" si="30"/>
        <v/>
      </c>
    </row>
    <row r="279" spans="1:16" x14ac:dyDescent="0.3">
      <c r="A279">
        <v>544</v>
      </c>
      <c r="B279" s="24">
        <v>43914</v>
      </c>
      <c r="C279" t="s">
        <v>1071</v>
      </c>
      <c r="D279">
        <v>55</v>
      </c>
      <c r="E279" t="s">
        <v>1059</v>
      </c>
      <c r="F279" t="s">
        <v>1060</v>
      </c>
      <c r="G279" t="s">
        <v>1051</v>
      </c>
      <c r="H279" t="s">
        <v>77</v>
      </c>
      <c r="J279" t="str">
        <f t="shared" si="24"/>
        <v>Male</v>
      </c>
      <c r="K279" t="str">
        <f t="shared" si="25"/>
        <v>Singaporean</v>
      </c>
      <c r="L279" t="str">
        <f t="shared" si="26"/>
        <v xml:space="preserve">Case 544 is a Imported case, 55 years old male Singapore Citizen  and has been to Europe . He is currently admitted at NCID . </v>
      </c>
      <c r="M279">
        <f t="shared" si="27"/>
        <v>544</v>
      </c>
      <c r="N279" t="str">
        <f t="shared" si="28"/>
        <v xml:space="preserve">Europe </v>
      </c>
      <c r="O279" t="str">
        <f t="shared" si="29"/>
        <v/>
      </c>
      <c r="P279" t="str">
        <f t="shared" si="30"/>
        <v/>
      </c>
    </row>
    <row r="280" spans="1:16" x14ac:dyDescent="0.3">
      <c r="A280">
        <v>545</v>
      </c>
      <c r="B280" s="24">
        <v>43914</v>
      </c>
      <c r="C280" t="s">
        <v>1071</v>
      </c>
      <c r="D280">
        <v>75</v>
      </c>
      <c r="E280" t="s">
        <v>1073</v>
      </c>
      <c r="F280" t="s">
        <v>1173</v>
      </c>
      <c r="G280" t="s">
        <v>1225</v>
      </c>
      <c r="H280" t="s">
        <v>1069</v>
      </c>
      <c r="I280" t="s">
        <v>1228</v>
      </c>
      <c r="J280" t="str">
        <f t="shared" si="24"/>
        <v>Female</v>
      </c>
      <c r="K280" t="str">
        <f t="shared" si="25"/>
        <v>Indonesia</v>
      </c>
      <c r="L280" t="str">
        <f t="shared" si="26"/>
        <v>Case 545 is a Imported  case, 75 years old female Indonesia (Long Term Pass holder)  and has been to ASEAN . She is currently admitted at NCID . Family member of Case 403</v>
      </c>
      <c r="M280">
        <f t="shared" si="27"/>
        <v>545</v>
      </c>
      <c r="N280" t="str">
        <f t="shared" si="28"/>
        <v xml:space="preserve">ASEAN </v>
      </c>
      <c r="O280">
        <f t="shared" si="29"/>
        <v>545</v>
      </c>
      <c r="P280" t="str">
        <f t="shared" si="30"/>
        <v>Family member of Case 403</v>
      </c>
    </row>
    <row r="281" spans="1:16" x14ac:dyDescent="0.3">
      <c r="A281">
        <v>546</v>
      </c>
      <c r="B281" s="24">
        <v>43914</v>
      </c>
      <c r="C281" t="s">
        <v>1071</v>
      </c>
      <c r="D281">
        <v>27</v>
      </c>
      <c r="E281" t="s">
        <v>1059</v>
      </c>
      <c r="F281" t="s">
        <v>1060</v>
      </c>
      <c r="G281" t="s">
        <v>1063</v>
      </c>
      <c r="H281" t="s">
        <v>77</v>
      </c>
      <c r="J281" t="str">
        <f t="shared" si="24"/>
        <v>Male</v>
      </c>
      <c r="K281" t="str">
        <f t="shared" si="25"/>
        <v>Singaporean</v>
      </c>
      <c r="L281" t="str">
        <f t="shared" si="26"/>
        <v xml:space="preserve">Case 546 is a Imported case, 27 years old male Singapore Citizen  and has been to UK . He is currently admitted at NCID . </v>
      </c>
      <c r="M281">
        <f t="shared" si="27"/>
        <v>546</v>
      </c>
      <c r="N281" t="str">
        <f t="shared" si="28"/>
        <v xml:space="preserve">UK </v>
      </c>
      <c r="O281" t="str">
        <f t="shared" si="29"/>
        <v/>
      </c>
      <c r="P281" t="str">
        <f t="shared" si="30"/>
        <v/>
      </c>
    </row>
    <row r="282" spans="1:16" x14ac:dyDescent="0.3">
      <c r="A282">
        <v>547</v>
      </c>
      <c r="B282" s="24">
        <v>43914</v>
      </c>
      <c r="C282" t="s">
        <v>1071</v>
      </c>
      <c r="D282">
        <v>25</v>
      </c>
      <c r="E282" t="s">
        <v>1073</v>
      </c>
      <c r="F282" t="s">
        <v>1060</v>
      </c>
      <c r="G282" t="s">
        <v>1063</v>
      </c>
      <c r="H282" t="s">
        <v>77</v>
      </c>
      <c r="J282" t="str">
        <f t="shared" si="24"/>
        <v>Female</v>
      </c>
      <c r="K282" t="str">
        <f t="shared" si="25"/>
        <v>Singaporean</v>
      </c>
      <c r="L282" t="str">
        <f t="shared" si="26"/>
        <v xml:space="preserve">Case 547 is a Imported case, 25 years old female Singapore Citizen  and has been to UK . She is currently admitted at NCID . </v>
      </c>
      <c r="M282">
        <f t="shared" si="27"/>
        <v>547</v>
      </c>
      <c r="N282" t="str">
        <f t="shared" si="28"/>
        <v xml:space="preserve">UK </v>
      </c>
      <c r="O282" t="str">
        <f t="shared" si="29"/>
        <v/>
      </c>
      <c r="P282" t="str">
        <f t="shared" si="30"/>
        <v/>
      </c>
    </row>
    <row r="283" spans="1:16" x14ac:dyDescent="0.3">
      <c r="A283">
        <v>548</v>
      </c>
      <c r="B283" s="24">
        <v>43914</v>
      </c>
      <c r="C283" t="s">
        <v>1071</v>
      </c>
      <c r="D283">
        <v>44</v>
      </c>
      <c r="E283" t="s">
        <v>1073</v>
      </c>
      <c r="F283" t="s">
        <v>1060</v>
      </c>
      <c r="G283" t="s">
        <v>711</v>
      </c>
      <c r="H283" t="s">
        <v>77</v>
      </c>
      <c r="J283" t="str">
        <f t="shared" si="24"/>
        <v>Female</v>
      </c>
      <c r="K283" t="str">
        <f t="shared" si="25"/>
        <v>Singaporean</v>
      </c>
      <c r="L283" t="str">
        <f t="shared" si="26"/>
        <v xml:space="preserve">Case 548 is a Imported case, 44 years old female Singapore Citizen  and has been to Spain . She is currently admitted at NCID . </v>
      </c>
      <c r="M283">
        <f t="shared" si="27"/>
        <v>548</v>
      </c>
      <c r="N283" t="str">
        <f t="shared" si="28"/>
        <v xml:space="preserve">Spain </v>
      </c>
      <c r="O283" t="str">
        <f t="shared" si="29"/>
        <v/>
      </c>
      <c r="P283" t="str">
        <f t="shared" si="30"/>
        <v/>
      </c>
    </row>
    <row r="284" spans="1:16" x14ac:dyDescent="0.3">
      <c r="A284">
        <v>549</v>
      </c>
      <c r="B284" s="24">
        <v>43914</v>
      </c>
      <c r="C284" t="s">
        <v>1071</v>
      </c>
      <c r="D284">
        <v>21</v>
      </c>
      <c r="E284" t="s">
        <v>1073</v>
      </c>
      <c r="F284" t="s">
        <v>1060</v>
      </c>
      <c r="G284" t="s">
        <v>1063</v>
      </c>
      <c r="H284" t="s">
        <v>77</v>
      </c>
      <c r="J284" t="str">
        <f t="shared" si="24"/>
        <v>Female</v>
      </c>
      <c r="K284" t="str">
        <f t="shared" si="25"/>
        <v>Singaporean</v>
      </c>
      <c r="L284" t="str">
        <f t="shared" si="26"/>
        <v xml:space="preserve">Case 549 is a Imported case, 21 years old female Singapore Citizen  and has been to UK . She is currently admitted at NCID . </v>
      </c>
      <c r="M284">
        <f t="shared" si="27"/>
        <v>549</v>
      </c>
      <c r="N284" t="str">
        <f t="shared" si="28"/>
        <v xml:space="preserve">UK </v>
      </c>
      <c r="O284" t="str">
        <f t="shared" si="29"/>
        <v/>
      </c>
      <c r="P284" t="str">
        <f t="shared" si="30"/>
        <v/>
      </c>
    </row>
    <row r="285" spans="1:16" x14ac:dyDescent="0.3">
      <c r="A285">
        <v>550</v>
      </c>
      <c r="B285" s="24">
        <v>43914</v>
      </c>
      <c r="C285" t="s">
        <v>1071</v>
      </c>
      <c r="D285">
        <v>24</v>
      </c>
      <c r="E285" t="s">
        <v>1073</v>
      </c>
      <c r="F285" t="s">
        <v>1060</v>
      </c>
      <c r="H285" t="s">
        <v>1086</v>
      </c>
      <c r="I285" t="s">
        <v>1229</v>
      </c>
      <c r="J285" t="str">
        <f t="shared" si="24"/>
        <v>Female</v>
      </c>
      <c r="K285" t="str">
        <f t="shared" si="25"/>
        <v>Singaporean</v>
      </c>
      <c r="L285" t="str">
        <f t="shared" si="26"/>
        <v>Case 550 is a Local linked  case, 24 years old female Singapore Citizen  and has not been overseas. She is currently admitted at NCID . Family member of Case 451</v>
      </c>
      <c r="M285" t="str">
        <f t="shared" si="27"/>
        <v/>
      </c>
      <c r="N285" t="str">
        <f t="shared" si="28"/>
        <v/>
      </c>
      <c r="O285">
        <f t="shared" si="29"/>
        <v>550</v>
      </c>
      <c r="P285" t="str">
        <f t="shared" si="30"/>
        <v>Family member of Case 451</v>
      </c>
    </row>
    <row r="286" spans="1:16" x14ac:dyDescent="0.3">
      <c r="A286">
        <v>551</v>
      </c>
      <c r="B286" s="24">
        <v>43914</v>
      </c>
      <c r="C286" t="s">
        <v>1071</v>
      </c>
      <c r="D286">
        <v>22</v>
      </c>
      <c r="E286" t="s">
        <v>1073</v>
      </c>
      <c r="F286" t="s">
        <v>1060</v>
      </c>
      <c r="G286" t="s">
        <v>1063</v>
      </c>
      <c r="H286" t="s">
        <v>77</v>
      </c>
      <c r="J286" t="str">
        <f t="shared" si="24"/>
        <v>Female</v>
      </c>
      <c r="K286" t="str">
        <f t="shared" si="25"/>
        <v>Singaporean</v>
      </c>
      <c r="L286" t="str">
        <f t="shared" si="26"/>
        <v xml:space="preserve">Case 551 is a Imported case, 22 years old female Singapore Citizen  and has been to UK . She is currently admitted at NCID . </v>
      </c>
      <c r="M286">
        <f t="shared" si="27"/>
        <v>551</v>
      </c>
      <c r="N286" t="str">
        <f t="shared" si="28"/>
        <v xml:space="preserve">UK </v>
      </c>
      <c r="O286" t="str">
        <f t="shared" si="29"/>
        <v/>
      </c>
      <c r="P286" t="str">
        <f t="shared" si="30"/>
        <v/>
      </c>
    </row>
    <row r="287" spans="1:16" x14ac:dyDescent="0.3">
      <c r="A287">
        <v>552</v>
      </c>
      <c r="B287" s="24">
        <v>43914</v>
      </c>
      <c r="C287" t="s">
        <v>1071</v>
      </c>
      <c r="D287">
        <v>21</v>
      </c>
      <c r="E287" t="s">
        <v>1073</v>
      </c>
      <c r="F287" t="s">
        <v>1072</v>
      </c>
      <c r="G287" t="s">
        <v>1063</v>
      </c>
      <c r="H287" t="s">
        <v>77</v>
      </c>
      <c r="J287" t="str">
        <f t="shared" si="24"/>
        <v>Female</v>
      </c>
      <c r="K287" t="str">
        <f t="shared" si="25"/>
        <v>Singaporean</v>
      </c>
      <c r="L287" t="str">
        <f t="shared" si="26"/>
        <v xml:space="preserve">Case 552 is a Imported case, 21 years old female Singapore Permanent Resident  and has been to UK . She is currently admitted at NCID . </v>
      </c>
      <c r="M287">
        <f t="shared" si="27"/>
        <v>552</v>
      </c>
      <c r="N287" t="str">
        <f t="shared" si="28"/>
        <v xml:space="preserve">UK </v>
      </c>
      <c r="O287" t="str">
        <f t="shared" si="29"/>
        <v/>
      </c>
      <c r="P287" t="str">
        <f t="shared" si="30"/>
        <v/>
      </c>
    </row>
    <row r="288" spans="1:16" x14ac:dyDescent="0.3">
      <c r="A288">
        <v>553</v>
      </c>
      <c r="B288" s="24">
        <v>43914</v>
      </c>
      <c r="C288" t="s">
        <v>1071</v>
      </c>
      <c r="D288">
        <v>57</v>
      </c>
      <c r="E288" t="s">
        <v>1073</v>
      </c>
      <c r="F288" t="s">
        <v>1060</v>
      </c>
      <c r="H288" t="s">
        <v>1086</v>
      </c>
      <c r="I288" t="s">
        <v>1230</v>
      </c>
      <c r="J288" t="str">
        <f t="shared" si="24"/>
        <v>Female</v>
      </c>
      <c r="K288" t="str">
        <f t="shared" si="25"/>
        <v>Singaporean</v>
      </c>
      <c r="L288" t="str">
        <f t="shared" si="26"/>
        <v>Case 553 is a Local linked  case, 57 years old female Singapore Citizen  and has not been overseas. She is currently admitted at NCID . Contact of Case 384</v>
      </c>
      <c r="M288" t="str">
        <f t="shared" si="27"/>
        <v/>
      </c>
      <c r="N288" t="str">
        <f t="shared" si="28"/>
        <v/>
      </c>
      <c r="O288">
        <f t="shared" si="29"/>
        <v>553</v>
      </c>
      <c r="P288" t="str">
        <f t="shared" si="30"/>
        <v>Contact of Case 384</v>
      </c>
    </row>
    <row r="289" spans="1:16" x14ac:dyDescent="0.3">
      <c r="A289">
        <v>554</v>
      </c>
      <c r="B289" s="24">
        <v>43914</v>
      </c>
      <c r="C289" t="s">
        <v>1058</v>
      </c>
      <c r="D289">
        <v>24</v>
      </c>
      <c r="E289" t="s">
        <v>1073</v>
      </c>
      <c r="F289" t="s">
        <v>1231</v>
      </c>
      <c r="G289" t="s">
        <v>1232</v>
      </c>
      <c r="H289" t="s">
        <v>77</v>
      </c>
      <c r="J289" t="str">
        <f t="shared" si="24"/>
        <v>Female</v>
      </c>
      <c r="K289" t="str">
        <f t="shared" si="25"/>
        <v>Malaysia</v>
      </c>
      <c r="L289" t="str">
        <f t="shared" si="26"/>
        <v xml:space="preserve">Case 554 is a Imported case, 24 years old female Malaysia (Long Term Pass holder)  and has been to Turkey, United Arab Emirates . She is currently admitted at KTPH . </v>
      </c>
      <c r="M289">
        <f t="shared" si="27"/>
        <v>554</v>
      </c>
      <c r="N289" t="str">
        <f t="shared" si="28"/>
        <v xml:space="preserve">Turkey, United Arab Emirates </v>
      </c>
      <c r="O289" t="str">
        <f t="shared" si="29"/>
        <v/>
      </c>
      <c r="P289" t="str">
        <f t="shared" si="30"/>
        <v/>
      </c>
    </row>
    <row r="290" spans="1:16" x14ac:dyDescent="0.3">
      <c r="A290">
        <v>555</v>
      </c>
      <c r="B290" s="24">
        <v>43914</v>
      </c>
      <c r="C290" t="s">
        <v>1071</v>
      </c>
      <c r="D290">
        <v>24</v>
      </c>
      <c r="E290" t="s">
        <v>1059</v>
      </c>
      <c r="F290" t="s">
        <v>1060</v>
      </c>
      <c r="G290" t="s">
        <v>1063</v>
      </c>
      <c r="H290" t="s">
        <v>77</v>
      </c>
      <c r="J290" t="str">
        <f t="shared" si="24"/>
        <v>Male</v>
      </c>
      <c r="K290" t="str">
        <f t="shared" si="25"/>
        <v>Singaporean</v>
      </c>
      <c r="L290" t="str">
        <f t="shared" si="26"/>
        <v xml:space="preserve">Case 555 is a Imported case, 24 years old male Singapore Citizen  and has been to UK . He is currently admitted at NCID . </v>
      </c>
      <c r="M290">
        <f t="shared" si="27"/>
        <v>555</v>
      </c>
      <c r="N290" t="str">
        <f t="shared" si="28"/>
        <v xml:space="preserve">UK </v>
      </c>
      <c r="O290" t="str">
        <f t="shared" si="29"/>
        <v/>
      </c>
      <c r="P290" t="str">
        <f t="shared" si="30"/>
        <v/>
      </c>
    </row>
    <row r="291" spans="1:16" x14ac:dyDescent="0.3">
      <c r="A291">
        <v>556</v>
      </c>
      <c r="B291" s="24">
        <v>43914</v>
      </c>
      <c r="C291" t="s">
        <v>1071</v>
      </c>
      <c r="D291">
        <v>27</v>
      </c>
      <c r="E291" t="s">
        <v>1073</v>
      </c>
      <c r="F291" t="s">
        <v>1186</v>
      </c>
      <c r="G291" t="s">
        <v>844</v>
      </c>
      <c r="H291" t="s">
        <v>1061</v>
      </c>
      <c r="J291" t="str">
        <f t="shared" si="24"/>
        <v>Female</v>
      </c>
      <c r="K291" t="str">
        <f t="shared" si="25"/>
        <v>UK</v>
      </c>
      <c r="L291" t="str">
        <f t="shared" si="26"/>
        <v xml:space="preserve">Case 556 is a Local unlinked case, 27 years old female UK (Singapore Work Pass holder)  and has been to Australia . She is currently admitted at NCID . </v>
      </c>
      <c r="M291">
        <f t="shared" si="27"/>
        <v>556</v>
      </c>
      <c r="N291" t="str">
        <f t="shared" si="28"/>
        <v xml:space="preserve">Australia </v>
      </c>
      <c r="O291" t="str">
        <f t="shared" si="29"/>
        <v/>
      </c>
      <c r="P291" t="str">
        <f t="shared" si="30"/>
        <v/>
      </c>
    </row>
    <row r="292" spans="1:16" x14ac:dyDescent="0.3">
      <c r="A292">
        <v>557</v>
      </c>
      <c r="B292" s="24">
        <v>43914</v>
      </c>
      <c r="C292" t="s">
        <v>1071</v>
      </c>
      <c r="D292">
        <v>68</v>
      </c>
      <c r="E292" t="s">
        <v>1059</v>
      </c>
      <c r="F292" t="s">
        <v>1060</v>
      </c>
      <c r="G292" t="s">
        <v>1233</v>
      </c>
      <c r="H292" t="s">
        <v>77</v>
      </c>
      <c r="J292" t="str">
        <f t="shared" si="24"/>
        <v>Male</v>
      </c>
      <c r="K292" t="str">
        <f t="shared" si="25"/>
        <v>Singaporean</v>
      </c>
      <c r="L292" t="str">
        <f t="shared" si="26"/>
        <v xml:space="preserve">Case 557 is a Imported case, 68 years old male Singapore Citizen  and has been to Pakistan . He is currently admitted at NCID . </v>
      </c>
      <c r="M292">
        <f t="shared" si="27"/>
        <v>557</v>
      </c>
      <c r="N292" t="str">
        <f t="shared" si="28"/>
        <v xml:space="preserve">Pakistan </v>
      </c>
      <c r="O292" t="str">
        <f t="shared" si="29"/>
        <v/>
      </c>
      <c r="P292" t="str">
        <f t="shared" si="30"/>
        <v/>
      </c>
    </row>
    <row r="293" spans="1:16" x14ac:dyDescent="0.3">
      <c r="A293">
        <v>558</v>
      </c>
      <c r="B293" s="24">
        <v>43914</v>
      </c>
      <c r="C293" t="s">
        <v>1138</v>
      </c>
      <c r="D293">
        <v>17</v>
      </c>
      <c r="E293" t="s">
        <v>1059</v>
      </c>
      <c r="F293" t="s">
        <v>1060</v>
      </c>
      <c r="G293" t="s">
        <v>360</v>
      </c>
      <c r="H293" t="s">
        <v>1069</v>
      </c>
      <c r="J293" t="str">
        <f t="shared" si="24"/>
        <v>Male</v>
      </c>
      <c r="K293" t="str">
        <f t="shared" si="25"/>
        <v>Singaporean</v>
      </c>
      <c r="L293" t="str">
        <f t="shared" si="26"/>
        <v xml:space="preserve">Case 558 is a Imported  case, 17 years old male Singapore Citizen  and has been to Malaysia . He is currently admitted at SGH . </v>
      </c>
      <c r="M293">
        <f t="shared" si="27"/>
        <v>558</v>
      </c>
      <c r="N293" t="str">
        <f t="shared" si="28"/>
        <v xml:space="preserve">Malaysia </v>
      </c>
      <c r="O293" t="str">
        <f t="shared" si="29"/>
        <v/>
      </c>
      <c r="P293" t="str">
        <f t="shared" si="30"/>
        <v/>
      </c>
    </row>
    <row r="294" spans="1:16" x14ac:dyDescent="0.3">
      <c r="A294">
        <v>559</v>
      </c>
      <c r="B294" s="24">
        <v>43914</v>
      </c>
      <c r="C294" t="s">
        <v>1071</v>
      </c>
      <c r="D294">
        <v>22</v>
      </c>
      <c r="E294" t="s">
        <v>1059</v>
      </c>
      <c r="F294" t="s">
        <v>1060</v>
      </c>
      <c r="G294" t="s">
        <v>1063</v>
      </c>
      <c r="H294" t="s">
        <v>77</v>
      </c>
      <c r="J294" s="32" t="str">
        <f t="shared" ref="J294" si="31">IF(TRIM(E294)="M","Male",IF(TRIM(E294)="F","Female",""))</f>
        <v>Male</v>
      </c>
      <c r="K294" s="32" t="str">
        <f t="shared" ref="K294" si="32">IF(LEFT(F294,9)="Singapore","Singaporean",IF(ISERR(FIND("(",F294)),F294,LEFT(F294,FIND("(",F294)-2)))</f>
        <v>Singaporean</v>
      </c>
      <c r="L294" s="32" t="str">
        <f t="shared" ref="L294" si="33">"Case "&amp;A294&amp;" is a "&amp;H294&amp;" case, "&amp;D294&amp;" years old "&amp;LOWER(J294)&amp;" "&amp;F294 &amp;IF(G294=""," and has not been overseas"," and has been to "&amp;G294)&amp;". "&amp;IF(TRIM(E294)="F","She",IF(TRIM(E294)="M","He"))&amp;" is currently admitted at "&amp;C294&amp;". "&amp;I294</f>
        <v xml:space="preserve">Case 559 is a Imported case, 22 years old male Singapore Citizen  and has been to UK . He is currently admitted at NCID . </v>
      </c>
      <c r="M294" s="32">
        <f t="shared" ref="M294" si="34">IF(G294="","",A294)</f>
        <v>559</v>
      </c>
      <c r="N294" s="32" t="str">
        <f t="shared" ref="N294" si="35">IF(G294="","",G294)</f>
        <v xml:space="preserve">UK </v>
      </c>
      <c r="O294" s="32" t="str">
        <f t="shared" ref="O294" si="36">IF(I294="","",A294)</f>
        <v/>
      </c>
      <c r="P294" s="32" t="str">
        <f t="shared" ref="P294" si="37">IF(I294="","",I294)</f>
        <v/>
      </c>
    </row>
    <row r="295" spans="1:16" x14ac:dyDescent="0.3">
      <c r="A295">
        <v>560</v>
      </c>
      <c r="B295" s="24">
        <v>43914</v>
      </c>
      <c r="C295" t="s">
        <v>1071</v>
      </c>
      <c r="D295">
        <v>24</v>
      </c>
      <c r="E295" t="s">
        <v>1059</v>
      </c>
      <c r="F295" t="s">
        <v>1060</v>
      </c>
      <c r="G295" t="s">
        <v>1085</v>
      </c>
      <c r="H295" t="s">
        <v>77</v>
      </c>
      <c r="J295" s="32" t="str">
        <f t="shared" ref="J295:J358" si="38">IF(TRIM(E295)="M","Male",IF(TRIM(E295)="F","Female",""))</f>
        <v>Male</v>
      </c>
      <c r="K295" s="32" t="str">
        <f t="shared" ref="K295:K358" si="39">IF(LEFT(F295,9)="Singapore","Singaporean",IF(ISERR(FIND("(",F295)),F295,LEFT(F295,FIND("(",F295)-2)))</f>
        <v>Singaporean</v>
      </c>
      <c r="L295" s="32" t="str">
        <f t="shared" ref="L295:L358" si="40">"Case "&amp;A295&amp;" is a "&amp;H295&amp;" case, "&amp;D295&amp;" years old "&amp;LOWER(J295)&amp;" "&amp;F295 &amp;IF(G295=""," and has not been overseas"," and has been to "&amp;G295)&amp;". "&amp;IF(TRIM(E295)="F","She",IF(TRIM(E295)="M","He"))&amp;" is currently admitted at "&amp;C295&amp;". "&amp;I295</f>
        <v xml:space="preserve">Case 560 is a Imported case, 24 years old male Singapore Citizen  and has been to US . He is currently admitted at NCID . </v>
      </c>
      <c r="M295" s="32">
        <f t="shared" ref="M295:M358" si="41">IF(G295="","",A295)</f>
        <v>560</v>
      </c>
      <c r="N295" s="32" t="str">
        <f t="shared" ref="N295:N358" si="42">IF(G295="","",G295)</f>
        <v xml:space="preserve">US </v>
      </c>
      <c r="O295" s="32" t="str">
        <f t="shared" ref="O295:O358" si="43">IF(I295="","",A295)</f>
        <v/>
      </c>
      <c r="P295" s="32" t="str">
        <f t="shared" ref="P295:P358" si="44">IF(I295="","",I295)</f>
        <v/>
      </c>
    </row>
    <row r="296" spans="1:16" x14ac:dyDescent="0.3">
      <c r="A296">
        <v>561</v>
      </c>
      <c r="B296" s="24">
        <v>43914</v>
      </c>
      <c r="C296" t="s">
        <v>1071</v>
      </c>
      <c r="D296">
        <v>30</v>
      </c>
      <c r="E296" t="s">
        <v>1059</v>
      </c>
      <c r="F296" t="s">
        <v>1060</v>
      </c>
      <c r="G296" t="s">
        <v>703</v>
      </c>
      <c r="H296" t="s">
        <v>77</v>
      </c>
      <c r="J296" s="32" t="str">
        <f t="shared" si="38"/>
        <v>Male</v>
      </c>
      <c r="K296" s="32" t="str">
        <f t="shared" si="39"/>
        <v>Singaporean</v>
      </c>
      <c r="L296" s="32" t="str">
        <f t="shared" si="40"/>
        <v xml:space="preserve">Case 561 is a Imported case, 30 years old male Singapore Citizen  and has been to France . He is currently admitted at NCID . </v>
      </c>
      <c r="M296" s="32">
        <f t="shared" si="41"/>
        <v>561</v>
      </c>
      <c r="N296" s="32" t="str">
        <f t="shared" si="42"/>
        <v xml:space="preserve">France </v>
      </c>
      <c r="O296" s="32" t="str">
        <f t="shared" si="43"/>
        <v/>
      </c>
      <c r="P296" s="32" t="str">
        <f t="shared" si="44"/>
        <v/>
      </c>
    </row>
    <row r="297" spans="1:16" x14ac:dyDescent="0.3">
      <c r="A297">
        <v>562</v>
      </c>
      <c r="B297" s="24">
        <v>43914</v>
      </c>
      <c r="C297" t="s">
        <v>1062</v>
      </c>
      <c r="D297">
        <v>28</v>
      </c>
      <c r="E297" t="s">
        <v>1073</v>
      </c>
      <c r="F297" t="s">
        <v>1072</v>
      </c>
      <c r="G297" t="s">
        <v>687</v>
      </c>
      <c r="H297" t="s">
        <v>77</v>
      </c>
      <c r="J297" s="32" t="str">
        <f t="shared" si="38"/>
        <v>Female</v>
      </c>
      <c r="K297" s="32" t="str">
        <f t="shared" si="39"/>
        <v>Singaporean</v>
      </c>
      <c r="L297" s="32" t="str">
        <f t="shared" si="40"/>
        <v xml:space="preserve">Case 562 is a Imported case, 28 years old female Singapore Permanent Resident  and has been to Indonesia . She is currently admitted at NTFGH . </v>
      </c>
      <c r="M297" s="32">
        <f t="shared" si="41"/>
        <v>562</v>
      </c>
      <c r="N297" s="32" t="str">
        <f t="shared" si="42"/>
        <v xml:space="preserve">Indonesia </v>
      </c>
      <c r="O297" s="32" t="str">
        <f t="shared" si="43"/>
        <v/>
      </c>
      <c r="P297" s="32" t="str">
        <f t="shared" si="44"/>
        <v/>
      </c>
    </row>
    <row r="298" spans="1:16" x14ac:dyDescent="0.3">
      <c r="A298">
        <v>563</v>
      </c>
      <c r="B298" s="24">
        <v>43914</v>
      </c>
      <c r="C298" t="s">
        <v>1071</v>
      </c>
      <c r="D298">
        <v>25</v>
      </c>
      <c r="E298" t="s">
        <v>1059</v>
      </c>
      <c r="F298" t="s">
        <v>1060</v>
      </c>
      <c r="G298" t="s">
        <v>1063</v>
      </c>
      <c r="H298" t="s">
        <v>77</v>
      </c>
      <c r="J298" s="32" t="str">
        <f t="shared" si="38"/>
        <v>Male</v>
      </c>
      <c r="K298" s="32" t="str">
        <f t="shared" si="39"/>
        <v>Singaporean</v>
      </c>
      <c r="L298" s="32" t="str">
        <f t="shared" si="40"/>
        <v xml:space="preserve">Case 563 is a Imported case, 25 years old male Singapore Citizen  and has been to UK . He is currently admitted at NCID . </v>
      </c>
      <c r="M298" s="32">
        <f t="shared" si="41"/>
        <v>563</v>
      </c>
      <c r="N298" s="32" t="str">
        <f t="shared" si="42"/>
        <v xml:space="preserve">UK </v>
      </c>
      <c r="O298" s="32" t="str">
        <f t="shared" si="43"/>
        <v/>
      </c>
      <c r="P298" s="32" t="str">
        <f t="shared" si="44"/>
        <v/>
      </c>
    </row>
    <row r="299" spans="1:16" x14ac:dyDescent="0.3">
      <c r="A299">
        <v>564</v>
      </c>
      <c r="B299" s="24">
        <v>43914</v>
      </c>
      <c r="C299" t="s">
        <v>1071</v>
      </c>
      <c r="D299">
        <v>29</v>
      </c>
      <c r="E299" t="s">
        <v>1059</v>
      </c>
      <c r="F299" t="s">
        <v>1238</v>
      </c>
      <c r="G299" t="s">
        <v>1177</v>
      </c>
      <c r="H299" t="s">
        <v>77</v>
      </c>
      <c r="J299" s="32" t="str">
        <f t="shared" si="38"/>
        <v>Male</v>
      </c>
      <c r="K299" s="32" t="str">
        <f t="shared" si="39"/>
        <v>France</v>
      </c>
      <c r="L299" s="32" t="str">
        <f t="shared" si="40"/>
        <v xml:space="preserve">Case 564 is a Imported case, 29 years old male France (Singapore Work Pass holder)  and has been to Pending . He is currently admitted at NCID . </v>
      </c>
      <c r="M299" s="32">
        <f t="shared" si="41"/>
        <v>564</v>
      </c>
      <c r="N299" s="32" t="str">
        <f t="shared" si="42"/>
        <v xml:space="preserve">Pending </v>
      </c>
      <c r="O299" s="32" t="str">
        <f t="shared" si="43"/>
        <v/>
      </c>
      <c r="P299" s="32" t="str">
        <f t="shared" si="44"/>
        <v/>
      </c>
    </row>
    <row r="300" spans="1:16" x14ac:dyDescent="0.3">
      <c r="A300">
        <v>565</v>
      </c>
      <c r="B300" s="24">
        <v>43914</v>
      </c>
      <c r="C300" t="s">
        <v>1071</v>
      </c>
      <c r="D300">
        <v>46</v>
      </c>
      <c r="E300" t="s">
        <v>1073</v>
      </c>
      <c r="F300" t="s">
        <v>1072</v>
      </c>
      <c r="G300" t="s">
        <v>1063</v>
      </c>
      <c r="H300" t="s">
        <v>77</v>
      </c>
      <c r="J300" s="32" t="str">
        <f t="shared" si="38"/>
        <v>Female</v>
      </c>
      <c r="K300" s="32" t="str">
        <f t="shared" si="39"/>
        <v>Singaporean</v>
      </c>
      <c r="L300" s="32" t="str">
        <f t="shared" si="40"/>
        <v xml:space="preserve">Case 565 is a Imported case, 46 years old female Singapore Permanent Resident  and has been to UK . She is currently admitted at NCID . </v>
      </c>
      <c r="M300" s="32">
        <f t="shared" si="41"/>
        <v>565</v>
      </c>
      <c r="N300" s="32" t="str">
        <f t="shared" si="42"/>
        <v xml:space="preserve">UK </v>
      </c>
      <c r="O300" s="32" t="str">
        <f t="shared" si="43"/>
        <v/>
      </c>
      <c r="P300" s="32" t="str">
        <f t="shared" si="44"/>
        <v/>
      </c>
    </row>
    <row r="301" spans="1:16" x14ac:dyDescent="0.3">
      <c r="A301">
        <v>566</v>
      </c>
      <c r="B301" s="24">
        <v>43914</v>
      </c>
      <c r="C301" t="s">
        <v>135</v>
      </c>
      <c r="D301">
        <v>67</v>
      </c>
      <c r="E301" t="s">
        <v>1073</v>
      </c>
      <c r="F301" t="s">
        <v>1060</v>
      </c>
      <c r="G301" t="s">
        <v>360</v>
      </c>
      <c r="H301" t="s">
        <v>1086</v>
      </c>
      <c r="I301" t="s">
        <v>1239</v>
      </c>
      <c r="J301" s="32" t="str">
        <f t="shared" si="38"/>
        <v>Female</v>
      </c>
      <c r="K301" s="32" t="str">
        <f t="shared" si="39"/>
        <v>Singaporean</v>
      </c>
      <c r="L301" s="32" t="str">
        <f t="shared" si="40"/>
        <v>Case 566 is a Local linked  case, 67 years old female Singapore Citizen  and has been to Malaysia . She is currently admitted at CGH. Family member of Cases 521, 567, 572 and 601 PCF Fengshan</v>
      </c>
      <c r="M301" s="32">
        <f t="shared" si="41"/>
        <v>566</v>
      </c>
      <c r="N301" s="32" t="str">
        <f t="shared" si="42"/>
        <v xml:space="preserve">Malaysia </v>
      </c>
      <c r="O301" s="32">
        <f t="shared" si="43"/>
        <v>566</v>
      </c>
      <c r="P301" s="32" t="str">
        <f t="shared" si="44"/>
        <v>Family member of Cases 521, 567, 572 and 601 PCF Fengshan</v>
      </c>
    </row>
    <row r="302" spans="1:16" x14ac:dyDescent="0.3">
      <c r="A302">
        <v>567</v>
      </c>
      <c r="B302" s="24">
        <v>43914</v>
      </c>
      <c r="C302" t="s">
        <v>1064</v>
      </c>
      <c r="D302">
        <v>70</v>
      </c>
      <c r="E302" t="s">
        <v>1059</v>
      </c>
      <c r="F302" t="s">
        <v>1060</v>
      </c>
      <c r="G302" t="s">
        <v>360</v>
      </c>
      <c r="H302" t="s">
        <v>1086</v>
      </c>
      <c r="I302" t="s">
        <v>1240</v>
      </c>
      <c r="J302" s="32" t="str">
        <f t="shared" si="38"/>
        <v>Male</v>
      </c>
      <c r="K302" s="32" t="str">
        <f t="shared" si="39"/>
        <v>Singaporean</v>
      </c>
      <c r="L302" s="32" t="str">
        <f t="shared" si="40"/>
        <v>Case 567 is a Local linked  case, 70 years old male Singapore Citizen  and has been to Malaysia . He is currently admitted at CGH . Family member of Cases 521, 566, 572 and 601 PCF Fengshan</v>
      </c>
      <c r="M302" s="32">
        <f t="shared" si="41"/>
        <v>567</v>
      </c>
      <c r="N302" s="32" t="str">
        <f t="shared" si="42"/>
        <v xml:space="preserve">Malaysia </v>
      </c>
      <c r="O302" s="32">
        <f t="shared" si="43"/>
        <v>567</v>
      </c>
      <c r="P302" s="32" t="str">
        <f t="shared" si="44"/>
        <v>Family member of Cases 521, 566, 572 and 601 PCF Fengshan</v>
      </c>
    </row>
    <row r="303" spans="1:16" x14ac:dyDescent="0.3">
      <c r="A303">
        <v>568</v>
      </c>
      <c r="B303" s="24">
        <v>43914</v>
      </c>
      <c r="C303" t="s">
        <v>1071</v>
      </c>
      <c r="D303">
        <v>30</v>
      </c>
      <c r="E303" t="s">
        <v>1059</v>
      </c>
      <c r="F303" t="s">
        <v>1156</v>
      </c>
      <c r="G303" t="s">
        <v>360</v>
      </c>
      <c r="H303" t="s">
        <v>77</v>
      </c>
      <c r="J303" s="32" t="str">
        <f t="shared" si="38"/>
        <v>Male</v>
      </c>
      <c r="K303" s="32" t="str">
        <f t="shared" si="39"/>
        <v>Malaysia</v>
      </c>
      <c r="L303" s="32" t="str">
        <f t="shared" si="40"/>
        <v xml:space="preserve">Case 568 is a Imported case, 30 years old male Malaysia (Singapore Work Pass holder)  and has been to Malaysia . He is currently admitted at NCID . </v>
      </c>
      <c r="M303" s="32">
        <f t="shared" si="41"/>
        <v>568</v>
      </c>
      <c r="N303" s="32" t="str">
        <f t="shared" si="42"/>
        <v xml:space="preserve">Malaysia </v>
      </c>
      <c r="O303" s="32" t="str">
        <f t="shared" si="43"/>
        <v/>
      </c>
      <c r="P303" s="32" t="str">
        <f t="shared" si="44"/>
        <v/>
      </c>
    </row>
    <row r="304" spans="1:16" x14ac:dyDescent="0.3">
      <c r="A304">
        <v>569</v>
      </c>
      <c r="B304" s="24">
        <v>43914</v>
      </c>
      <c r="C304" t="s">
        <v>1071</v>
      </c>
      <c r="D304">
        <v>22</v>
      </c>
      <c r="E304" t="s">
        <v>1073</v>
      </c>
      <c r="F304" t="s">
        <v>1060</v>
      </c>
      <c r="G304" t="s">
        <v>1063</v>
      </c>
      <c r="H304" t="s">
        <v>77</v>
      </c>
      <c r="J304" s="32" t="str">
        <f t="shared" si="38"/>
        <v>Female</v>
      </c>
      <c r="K304" s="32" t="str">
        <f t="shared" si="39"/>
        <v>Singaporean</v>
      </c>
      <c r="L304" s="32" t="str">
        <f t="shared" si="40"/>
        <v xml:space="preserve">Case 569 is a Imported case, 22 years old female Singapore Citizen  and has been to UK . She is currently admitted at NCID . </v>
      </c>
      <c r="M304" s="32">
        <f t="shared" si="41"/>
        <v>569</v>
      </c>
      <c r="N304" s="32" t="str">
        <f t="shared" si="42"/>
        <v xml:space="preserve">UK </v>
      </c>
      <c r="O304" s="32" t="str">
        <f t="shared" si="43"/>
        <v/>
      </c>
      <c r="P304" s="32" t="str">
        <f t="shared" si="44"/>
        <v/>
      </c>
    </row>
    <row r="305" spans="1:16" x14ac:dyDescent="0.3">
      <c r="A305">
        <v>570</v>
      </c>
      <c r="B305" s="24">
        <v>43914</v>
      </c>
      <c r="C305" t="s">
        <v>1066</v>
      </c>
      <c r="D305">
        <v>50</v>
      </c>
      <c r="E305" t="s">
        <v>1059</v>
      </c>
      <c r="F305" t="s">
        <v>1060</v>
      </c>
      <c r="H305" t="s">
        <v>1086</v>
      </c>
      <c r="I305" t="s">
        <v>1241</v>
      </c>
      <c r="J305" s="32" t="str">
        <f t="shared" si="38"/>
        <v>Male</v>
      </c>
      <c r="K305" s="32" t="str">
        <f t="shared" si="39"/>
        <v>Singaporean</v>
      </c>
      <c r="L305" s="32" t="str">
        <f t="shared" si="40"/>
        <v>Case 570 is a Local linked  case, 50 years old male Singapore Citizen  and has not been overseas. He is currently admitted at SKH . Family member of Case 597</v>
      </c>
      <c r="M305" s="32" t="str">
        <f t="shared" si="41"/>
        <v/>
      </c>
      <c r="N305" s="32" t="str">
        <f t="shared" si="42"/>
        <v/>
      </c>
      <c r="O305" s="32">
        <f t="shared" si="43"/>
        <v>570</v>
      </c>
      <c r="P305" s="32" t="str">
        <f t="shared" si="44"/>
        <v>Family member of Case 597</v>
      </c>
    </row>
    <row r="306" spans="1:16" x14ac:dyDescent="0.3">
      <c r="A306">
        <v>571</v>
      </c>
      <c r="B306" s="24">
        <v>43914</v>
      </c>
      <c r="C306" t="s">
        <v>1172</v>
      </c>
      <c r="D306">
        <v>52</v>
      </c>
      <c r="E306" t="s">
        <v>1059</v>
      </c>
      <c r="F306" t="s">
        <v>1063</v>
      </c>
      <c r="G306" t="s">
        <v>1063</v>
      </c>
      <c r="H306" t="s">
        <v>77</v>
      </c>
      <c r="J306" s="32" t="str">
        <f t="shared" si="38"/>
        <v>Male</v>
      </c>
      <c r="K306" s="32" t="str">
        <f t="shared" si="39"/>
        <v xml:space="preserve">UK </v>
      </c>
      <c r="L306" s="32" t="str">
        <f t="shared" si="40"/>
        <v xml:space="preserve">Case 571 is a Imported case, 52 years old male UK  and has been to UK . He is currently admitted at MEH . </v>
      </c>
      <c r="M306" s="32">
        <f t="shared" si="41"/>
        <v>571</v>
      </c>
      <c r="N306" s="32" t="str">
        <f t="shared" si="42"/>
        <v xml:space="preserve">UK </v>
      </c>
      <c r="O306" s="32" t="str">
        <f t="shared" si="43"/>
        <v/>
      </c>
      <c r="P306" s="32" t="str">
        <f t="shared" si="44"/>
        <v/>
      </c>
    </row>
    <row r="307" spans="1:16" x14ac:dyDescent="0.3">
      <c r="A307">
        <v>572</v>
      </c>
      <c r="B307" s="24">
        <v>43914</v>
      </c>
      <c r="C307" t="s">
        <v>1064</v>
      </c>
      <c r="D307">
        <v>26</v>
      </c>
      <c r="E307" t="s">
        <v>1073</v>
      </c>
      <c r="F307" t="s">
        <v>1060</v>
      </c>
      <c r="H307" t="s">
        <v>1086</v>
      </c>
      <c r="I307" t="s">
        <v>1242</v>
      </c>
      <c r="J307" s="32" t="str">
        <f t="shared" si="38"/>
        <v>Female</v>
      </c>
      <c r="K307" s="32" t="str">
        <f t="shared" si="39"/>
        <v>Singaporean</v>
      </c>
      <c r="L307" s="32" t="str">
        <f t="shared" si="40"/>
        <v>Case 572 is a Local linked  case, 26 years old female Singapore Citizen  and has not been overseas. She is currently admitted at CGH . Family member of Cases 521, 566, 567 and 601 PCF Fengshan</v>
      </c>
      <c r="M307" s="32" t="str">
        <f t="shared" si="41"/>
        <v/>
      </c>
      <c r="N307" s="32" t="str">
        <f t="shared" si="42"/>
        <v/>
      </c>
      <c r="O307" s="32">
        <f t="shared" si="43"/>
        <v>572</v>
      </c>
      <c r="P307" s="32" t="str">
        <f t="shared" si="44"/>
        <v>Family member of Cases 521, 566, 567 and 601 PCF Fengshan</v>
      </c>
    </row>
    <row r="308" spans="1:16" x14ac:dyDescent="0.3">
      <c r="A308">
        <v>573</v>
      </c>
      <c r="B308" s="24">
        <v>43914</v>
      </c>
      <c r="C308" t="s">
        <v>1064</v>
      </c>
      <c r="D308">
        <v>45</v>
      </c>
      <c r="E308" t="s">
        <v>1059</v>
      </c>
      <c r="F308" t="s">
        <v>1060</v>
      </c>
      <c r="H308" t="s">
        <v>1061</v>
      </c>
      <c r="J308" s="32" t="str">
        <f t="shared" si="38"/>
        <v>Male</v>
      </c>
      <c r="K308" s="32" t="str">
        <f t="shared" si="39"/>
        <v>Singaporean</v>
      </c>
      <c r="L308" s="32" t="str">
        <f t="shared" si="40"/>
        <v xml:space="preserve">Case 573 is a Local unlinked case, 45 years old male Singapore Citizen  and has not been overseas. He is currently admitted at CGH . </v>
      </c>
      <c r="M308" s="32" t="str">
        <f t="shared" si="41"/>
        <v/>
      </c>
      <c r="N308" s="32" t="str">
        <f t="shared" si="42"/>
        <v/>
      </c>
      <c r="O308" s="32" t="str">
        <f t="shared" si="43"/>
        <v/>
      </c>
      <c r="P308" s="32" t="str">
        <f t="shared" si="44"/>
        <v/>
      </c>
    </row>
    <row r="309" spans="1:16" x14ac:dyDescent="0.3">
      <c r="A309">
        <v>574</v>
      </c>
      <c r="B309" s="24">
        <v>43914</v>
      </c>
      <c r="C309" t="s">
        <v>1071</v>
      </c>
      <c r="D309">
        <v>24</v>
      </c>
      <c r="E309" t="s">
        <v>1059</v>
      </c>
      <c r="F309" t="s">
        <v>1060</v>
      </c>
      <c r="G309" t="s">
        <v>1177</v>
      </c>
      <c r="H309" t="s">
        <v>77</v>
      </c>
      <c r="J309" s="32" t="str">
        <f t="shared" si="38"/>
        <v>Male</v>
      </c>
      <c r="K309" s="32" t="str">
        <f t="shared" si="39"/>
        <v>Singaporean</v>
      </c>
      <c r="L309" s="32" t="str">
        <f t="shared" si="40"/>
        <v xml:space="preserve">Case 574 is a Imported case, 24 years old male Singapore Citizen  and has been to Pending . He is currently admitted at NCID . </v>
      </c>
      <c r="M309" s="32">
        <f t="shared" si="41"/>
        <v>574</v>
      </c>
      <c r="N309" s="32" t="str">
        <f t="shared" si="42"/>
        <v xml:space="preserve">Pending </v>
      </c>
      <c r="O309" s="32" t="str">
        <f t="shared" si="43"/>
        <v/>
      </c>
      <c r="P309" s="32" t="str">
        <f t="shared" si="44"/>
        <v/>
      </c>
    </row>
    <row r="310" spans="1:16" x14ac:dyDescent="0.3">
      <c r="A310">
        <v>575</v>
      </c>
      <c r="B310" s="24">
        <v>43914</v>
      </c>
      <c r="C310" t="s">
        <v>1062</v>
      </c>
      <c r="D310">
        <v>28</v>
      </c>
      <c r="E310" t="s">
        <v>1059</v>
      </c>
      <c r="F310" t="s">
        <v>1072</v>
      </c>
      <c r="G310" t="s">
        <v>1177</v>
      </c>
      <c r="H310" t="s">
        <v>1069</v>
      </c>
      <c r="J310" s="32" t="str">
        <f t="shared" si="38"/>
        <v>Male</v>
      </c>
      <c r="K310" s="32" t="str">
        <f t="shared" si="39"/>
        <v>Singaporean</v>
      </c>
      <c r="L310" s="32" t="str">
        <f t="shared" si="40"/>
        <v xml:space="preserve">Case 575 is a Imported  case, 28 years old male Singapore Permanent Resident  and has been to Pending . He is currently admitted at NTFGH . </v>
      </c>
      <c r="M310" s="32">
        <f t="shared" si="41"/>
        <v>575</v>
      </c>
      <c r="N310" s="32" t="str">
        <f t="shared" si="42"/>
        <v xml:space="preserve">Pending </v>
      </c>
      <c r="O310" s="32" t="str">
        <f t="shared" si="43"/>
        <v/>
      </c>
      <c r="P310" s="32" t="str">
        <f t="shared" si="44"/>
        <v/>
      </c>
    </row>
    <row r="311" spans="1:16" x14ac:dyDescent="0.3">
      <c r="A311">
        <v>576</v>
      </c>
      <c r="B311" s="24">
        <v>43914</v>
      </c>
      <c r="C311" t="s">
        <v>343</v>
      </c>
      <c r="D311">
        <v>21</v>
      </c>
      <c r="E311" t="s">
        <v>1073</v>
      </c>
      <c r="F311" t="s">
        <v>1072</v>
      </c>
      <c r="G311" t="s">
        <v>1085</v>
      </c>
      <c r="H311" t="s">
        <v>77</v>
      </c>
      <c r="J311" s="32" t="str">
        <f t="shared" si="38"/>
        <v>Female</v>
      </c>
      <c r="K311" s="32" t="str">
        <f t="shared" si="39"/>
        <v>Singaporean</v>
      </c>
      <c r="L311" s="32" t="str">
        <f t="shared" si="40"/>
        <v xml:space="preserve">Case 576 is a Imported case, 21 years old female Singapore Permanent Resident  and has been to US . She is currently admitted at NUH . </v>
      </c>
      <c r="M311" s="32">
        <f t="shared" si="41"/>
        <v>576</v>
      </c>
      <c r="N311" s="32" t="str">
        <f t="shared" si="42"/>
        <v xml:space="preserve">US </v>
      </c>
      <c r="O311" s="32" t="str">
        <f t="shared" si="43"/>
        <v/>
      </c>
      <c r="P311" s="32" t="str">
        <f t="shared" si="44"/>
        <v/>
      </c>
    </row>
    <row r="312" spans="1:16" x14ac:dyDescent="0.3">
      <c r="A312">
        <v>577</v>
      </c>
      <c r="B312" s="24">
        <v>43914</v>
      </c>
      <c r="C312" t="s">
        <v>1058</v>
      </c>
      <c r="D312">
        <v>37</v>
      </c>
      <c r="E312" t="s">
        <v>1073</v>
      </c>
      <c r="F312" t="s">
        <v>1177</v>
      </c>
      <c r="H312" t="s">
        <v>1086</v>
      </c>
      <c r="I312" t="s">
        <v>1243</v>
      </c>
      <c r="J312" s="32" t="str">
        <f t="shared" si="38"/>
        <v>Female</v>
      </c>
      <c r="K312" s="32" t="str">
        <f t="shared" si="39"/>
        <v xml:space="preserve">Pending </v>
      </c>
      <c r="L312" s="32" t="str">
        <f t="shared" si="40"/>
        <v>Case 577 is a Local linked  case, 37 years old female Pending  and has not been overseas. She is currently admitted at KTPH . Contact of Case 527</v>
      </c>
      <c r="M312" s="32" t="str">
        <f t="shared" si="41"/>
        <v/>
      </c>
      <c r="N312" s="32" t="str">
        <f t="shared" si="42"/>
        <v/>
      </c>
      <c r="O312" s="32">
        <f t="shared" si="43"/>
        <v>577</v>
      </c>
      <c r="P312" s="32" t="str">
        <f t="shared" si="44"/>
        <v>Contact of Case 527</v>
      </c>
    </row>
    <row r="313" spans="1:16" x14ac:dyDescent="0.3">
      <c r="A313">
        <v>578</v>
      </c>
      <c r="B313" s="24">
        <v>43914</v>
      </c>
      <c r="C313" t="s">
        <v>1161</v>
      </c>
      <c r="D313">
        <v>11</v>
      </c>
      <c r="E313" t="s">
        <v>1059</v>
      </c>
      <c r="F313" t="s">
        <v>1060</v>
      </c>
      <c r="H313" t="s">
        <v>1086</v>
      </c>
      <c r="I313" t="s">
        <v>1244</v>
      </c>
      <c r="J313" s="32" t="str">
        <f t="shared" si="38"/>
        <v>Male</v>
      </c>
      <c r="K313" s="32" t="str">
        <f t="shared" si="39"/>
        <v>Singaporean</v>
      </c>
      <c r="L313" s="32" t="str">
        <f t="shared" si="40"/>
        <v>Case 578 is a Local linked  case, 11 years old male Singapore Citizen  and has not been overseas. He is currently admitted at KKH . Contact of Case 532</v>
      </c>
      <c r="M313" s="32" t="str">
        <f t="shared" si="41"/>
        <v/>
      </c>
      <c r="N313" s="32" t="str">
        <f t="shared" si="42"/>
        <v/>
      </c>
      <c r="O313" s="32">
        <f t="shared" si="43"/>
        <v>578</v>
      </c>
      <c r="P313" s="32" t="str">
        <f t="shared" si="44"/>
        <v>Contact of Case 532</v>
      </c>
    </row>
    <row r="314" spans="1:16" x14ac:dyDescent="0.3">
      <c r="A314">
        <v>579</v>
      </c>
      <c r="B314" s="24">
        <v>43914</v>
      </c>
      <c r="C314" t="s">
        <v>1138</v>
      </c>
      <c r="D314">
        <v>25</v>
      </c>
      <c r="E314" t="s">
        <v>1059</v>
      </c>
      <c r="F314" t="s">
        <v>1060</v>
      </c>
      <c r="G314" t="s">
        <v>1063</v>
      </c>
      <c r="H314" t="s">
        <v>77</v>
      </c>
      <c r="J314" s="32" t="str">
        <f t="shared" si="38"/>
        <v>Male</v>
      </c>
      <c r="K314" s="32" t="str">
        <f t="shared" si="39"/>
        <v>Singaporean</v>
      </c>
      <c r="L314" s="32" t="str">
        <f t="shared" si="40"/>
        <v xml:space="preserve">Case 579 is a Imported case, 25 years old male Singapore Citizen  and has been to UK . He is currently admitted at SGH . </v>
      </c>
      <c r="M314" s="32">
        <f t="shared" si="41"/>
        <v>579</v>
      </c>
      <c r="N314" s="32" t="str">
        <f t="shared" si="42"/>
        <v xml:space="preserve">UK </v>
      </c>
      <c r="O314" s="32" t="str">
        <f t="shared" si="43"/>
        <v/>
      </c>
      <c r="P314" s="32" t="str">
        <f t="shared" si="44"/>
        <v/>
      </c>
    </row>
    <row r="315" spans="1:16" x14ac:dyDescent="0.3">
      <c r="A315">
        <v>580</v>
      </c>
      <c r="B315" s="24">
        <v>43914</v>
      </c>
      <c r="C315" t="s">
        <v>1138</v>
      </c>
      <c r="D315">
        <v>35</v>
      </c>
      <c r="E315" t="s">
        <v>1073</v>
      </c>
      <c r="F315" t="s">
        <v>1245</v>
      </c>
      <c r="H315" t="s">
        <v>1086</v>
      </c>
      <c r="I315" t="s">
        <v>1246</v>
      </c>
      <c r="J315" s="32" t="str">
        <f t="shared" si="38"/>
        <v>Female</v>
      </c>
      <c r="K315" s="32" t="str">
        <f t="shared" si="39"/>
        <v>US</v>
      </c>
      <c r="L315" s="32" t="str">
        <f t="shared" si="40"/>
        <v>Case 580 is a Local linked  case, 35 years old female US (Singapore Work Pass holder)  and has not been overseas. She is currently admitted at SGH . Contact of Case 518</v>
      </c>
      <c r="M315" s="32" t="str">
        <f t="shared" si="41"/>
        <v/>
      </c>
      <c r="N315" s="32" t="str">
        <f t="shared" si="42"/>
        <v/>
      </c>
      <c r="O315" s="32">
        <f t="shared" si="43"/>
        <v>580</v>
      </c>
      <c r="P315" s="32" t="str">
        <f t="shared" si="44"/>
        <v>Contact of Case 518</v>
      </c>
    </row>
    <row r="316" spans="1:16" x14ac:dyDescent="0.3">
      <c r="A316">
        <v>581</v>
      </c>
      <c r="B316" s="24">
        <v>43914</v>
      </c>
      <c r="C316" t="s">
        <v>1138</v>
      </c>
      <c r="D316">
        <v>47</v>
      </c>
      <c r="E316" t="s">
        <v>1059</v>
      </c>
      <c r="F316" t="s">
        <v>1072</v>
      </c>
      <c r="H316" t="s">
        <v>1061</v>
      </c>
      <c r="J316" s="32" t="str">
        <f t="shared" si="38"/>
        <v>Male</v>
      </c>
      <c r="K316" s="32" t="str">
        <f t="shared" si="39"/>
        <v>Singaporean</v>
      </c>
      <c r="L316" s="32" t="str">
        <f t="shared" si="40"/>
        <v xml:space="preserve">Case 581 is a Local unlinked case, 47 years old male Singapore Permanent Resident  and has not been overseas. He is currently admitted at SGH . </v>
      </c>
      <c r="M316" s="32" t="str">
        <f t="shared" si="41"/>
        <v/>
      </c>
      <c r="N316" s="32" t="str">
        <f t="shared" si="42"/>
        <v/>
      </c>
      <c r="O316" s="32" t="str">
        <f t="shared" si="43"/>
        <v/>
      </c>
      <c r="P316" s="32" t="str">
        <f t="shared" si="44"/>
        <v/>
      </c>
    </row>
    <row r="317" spans="1:16" x14ac:dyDescent="0.3">
      <c r="A317">
        <v>582</v>
      </c>
      <c r="B317" s="24">
        <v>43914</v>
      </c>
      <c r="C317" t="s">
        <v>1161</v>
      </c>
      <c r="D317">
        <v>3</v>
      </c>
      <c r="E317" t="s">
        <v>1073</v>
      </c>
      <c r="F317" t="s">
        <v>1060</v>
      </c>
      <c r="G317" t="s">
        <v>1085</v>
      </c>
      <c r="H317" t="s">
        <v>1069</v>
      </c>
      <c r="I317" t="s">
        <v>1247</v>
      </c>
      <c r="J317" s="32" t="str">
        <f t="shared" si="38"/>
        <v>Female</v>
      </c>
      <c r="K317" s="32" t="str">
        <f t="shared" si="39"/>
        <v>Singaporean</v>
      </c>
      <c r="L317" s="32" t="str">
        <f t="shared" si="40"/>
        <v>Case 582 is a Imported  case, 3 years old female Singapore Citizen  and has been to US . She is currently admitted at KKH . Contact of Case 418</v>
      </c>
      <c r="M317" s="32">
        <f t="shared" si="41"/>
        <v>582</v>
      </c>
      <c r="N317" s="32" t="str">
        <f t="shared" si="42"/>
        <v xml:space="preserve">US </v>
      </c>
      <c r="O317" s="32">
        <f t="shared" si="43"/>
        <v>582</v>
      </c>
      <c r="P317" s="32" t="str">
        <f t="shared" si="44"/>
        <v>Contact of Case 418</v>
      </c>
    </row>
    <row r="318" spans="1:16" x14ac:dyDescent="0.3">
      <c r="A318">
        <v>583</v>
      </c>
      <c r="B318" s="24">
        <v>43914</v>
      </c>
      <c r="C318" t="s">
        <v>1071</v>
      </c>
      <c r="D318">
        <v>61</v>
      </c>
      <c r="E318" t="s">
        <v>1073</v>
      </c>
      <c r="F318" t="s">
        <v>1060</v>
      </c>
      <c r="H318" t="s">
        <v>1086</v>
      </c>
      <c r="I318" t="s">
        <v>1248</v>
      </c>
      <c r="J318" s="32" t="str">
        <f t="shared" si="38"/>
        <v>Female</v>
      </c>
      <c r="K318" s="32" t="str">
        <f t="shared" si="39"/>
        <v>Singaporean</v>
      </c>
      <c r="L318" s="32" t="str">
        <f t="shared" si="40"/>
        <v>Case 583 is a Local linked  case, 61 years old female Singapore Citizen  and has not been overseas. She is currently admitted at NCID . Contact of Cases 516 and 584 PCF Fengshan</v>
      </c>
      <c r="M318" s="32" t="str">
        <f t="shared" si="41"/>
        <v/>
      </c>
      <c r="N318" s="32" t="str">
        <f t="shared" si="42"/>
        <v/>
      </c>
      <c r="O318" s="32">
        <f t="shared" si="43"/>
        <v>583</v>
      </c>
      <c r="P318" s="32" t="str">
        <f t="shared" si="44"/>
        <v>Contact of Cases 516 and 584 PCF Fengshan</v>
      </c>
    </row>
    <row r="319" spans="1:16" x14ac:dyDescent="0.3">
      <c r="A319">
        <v>584</v>
      </c>
      <c r="B319" s="24">
        <v>43914</v>
      </c>
      <c r="C319" t="s">
        <v>1071</v>
      </c>
      <c r="D319">
        <v>37</v>
      </c>
      <c r="E319" t="s">
        <v>1073</v>
      </c>
      <c r="F319" t="s">
        <v>1072</v>
      </c>
      <c r="H319" t="s">
        <v>1086</v>
      </c>
      <c r="I319" t="s">
        <v>1249</v>
      </c>
      <c r="J319" s="32" t="str">
        <f t="shared" si="38"/>
        <v>Female</v>
      </c>
      <c r="K319" s="32" t="str">
        <f t="shared" si="39"/>
        <v>Singaporean</v>
      </c>
      <c r="L319" s="32" t="str">
        <f t="shared" si="40"/>
        <v>Case 584 is a Local linked  case, 37 years old female Singapore Permanent Resident  and has not been overseas. She is currently admitted at NCID . Contact of Cases 516 and 583 PCF Fengshan</v>
      </c>
      <c r="M319" s="32" t="str">
        <f t="shared" si="41"/>
        <v/>
      </c>
      <c r="N319" s="32" t="str">
        <f t="shared" si="42"/>
        <v/>
      </c>
      <c r="O319" s="32">
        <f t="shared" si="43"/>
        <v>584</v>
      </c>
      <c r="P319" s="32" t="str">
        <f t="shared" si="44"/>
        <v>Contact of Cases 516 and 583 PCF Fengshan</v>
      </c>
    </row>
    <row r="320" spans="1:16" x14ac:dyDescent="0.3">
      <c r="A320">
        <v>585</v>
      </c>
      <c r="B320" s="24">
        <v>43914</v>
      </c>
      <c r="C320" t="s">
        <v>1161</v>
      </c>
      <c r="D320">
        <v>38</v>
      </c>
      <c r="E320" t="s">
        <v>1073</v>
      </c>
      <c r="F320" t="s">
        <v>1250</v>
      </c>
      <c r="H320" t="s">
        <v>1086</v>
      </c>
      <c r="I320" t="s">
        <v>1251</v>
      </c>
      <c r="J320" s="32" t="str">
        <f t="shared" si="38"/>
        <v>Female</v>
      </c>
      <c r="K320" s="32" t="str">
        <f t="shared" si="39"/>
        <v>Philippines</v>
      </c>
      <c r="L320" s="32" t="str">
        <f t="shared" si="40"/>
        <v>Case 585 is a Local linked  case, 38 years old female Philippines (Singapore Work Pass holder)  and has not been overseas. She is currently admitted at KKH . Contact of Case 523</v>
      </c>
      <c r="M320" s="32" t="str">
        <f t="shared" si="41"/>
        <v/>
      </c>
      <c r="N320" s="32" t="str">
        <f t="shared" si="42"/>
        <v/>
      </c>
      <c r="O320" s="32">
        <f t="shared" si="43"/>
        <v>585</v>
      </c>
      <c r="P320" s="32" t="str">
        <f t="shared" si="44"/>
        <v>Contact of Case 523</v>
      </c>
    </row>
    <row r="321" spans="1:16" x14ac:dyDescent="0.3">
      <c r="A321">
        <v>586</v>
      </c>
      <c r="B321" s="24">
        <v>43914</v>
      </c>
      <c r="C321" t="s">
        <v>1062</v>
      </c>
      <c r="D321">
        <v>51</v>
      </c>
      <c r="E321" t="s">
        <v>1059</v>
      </c>
      <c r="F321" t="s">
        <v>1060</v>
      </c>
      <c r="H321" t="s">
        <v>1061</v>
      </c>
      <c r="J321" s="32" t="str">
        <f t="shared" si="38"/>
        <v>Male</v>
      </c>
      <c r="K321" s="32" t="str">
        <f t="shared" si="39"/>
        <v>Singaporean</v>
      </c>
      <c r="L321" s="32" t="str">
        <f t="shared" si="40"/>
        <v xml:space="preserve">Case 586 is a Local unlinked case, 51 years old male Singapore Citizen  and has not been overseas. He is currently admitted at NTFGH . </v>
      </c>
      <c r="M321" s="32" t="str">
        <f t="shared" si="41"/>
        <v/>
      </c>
      <c r="N321" s="32" t="str">
        <f t="shared" si="42"/>
        <v/>
      </c>
      <c r="O321" s="32" t="str">
        <f t="shared" si="43"/>
        <v/>
      </c>
      <c r="P321" s="32" t="str">
        <f t="shared" si="44"/>
        <v/>
      </c>
    </row>
    <row r="322" spans="1:16" x14ac:dyDescent="0.3">
      <c r="A322">
        <v>587</v>
      </c>
      <c r="B322" s="24">
        <v>43914</v>
      </c>
      <c r="C322" t="s">
        <v>1071</v>
      </c>
      <c r="D322">
        <v>25</v>
      </c>
      <c r="E322" t="s">
        <v>1059</v>
      </c>
      <c r="F322" t="s">
        <v>1060</v>
      </c>
      <c r="G322" t="s">
        <v>1063</v>
      </c>
      <c r="H322" t="s">
        <v>77</v>
      </c>
      <c r="J322" s="32" t="str">
        <f t="shared" si="38"/>
        <v>Male</v>
      </c>
      <c r="K322" s="32" t="str">
        <f t="shared" si="39"/>
        <v>Singaporean</v>
      </c>
      <c r="L322" s="32" t="str">
        <f t="shared" si="40"/>
        <v xml:space="preserve">Case 587 is a Imported case, 25 years old male Singapore Citizen  and has been to UK . He is currently admitted at NCID . </v>
      </c>
      <c r="M322" s="32">
        <f t="shared" si="41"/>
        <v>587</v>
      </c>
      <c r="N322" s="32" t="str">
        <f t="shared" si="42"/>
        <v xml:space="preserve">UK </v>
      </c>
      <c r="O322" s="32" t="str">
        <f t="shared" si="43"/>
        <v/>
      </c>
      <c r="P322" s="32" t="str">
        <f t="shared" si="44"/>
        <v/>
      </c>
    </row>
    <row r="323" spans="1:16" x14ac:dyDescent="0.3">
      <c r="A323">
        <v>588</v>
      </c>
      <c r="B323" s="24">
        <v>43914</v>
      </c>
      <c r="C323" t="s">
        <v>1071</v>
      </c>
      <c r="D323">
        <v>62</v>
      </c>
      <c r="E323" t="s">
        <v>1059</v>
      </c>
      <c r="F323" t="s">
        <v>1252</v>
      </c>
      <c r="G323" t="s">
        <v>1063</v>
      </c>
      <c r="H323" t="s">
        <v>77</v>
      </c>
      <c r="J323" s="32" t="str">
        <f t="shared" si="38"/>
        <v>Male</v>
      </c>
      <c r="K323" s="32" t="str">
        <f t="shared" si="39"/>
        <v>UK</v>
      </c>
      <c r="L323" s="32" t="str">
        <f t="shared" si="40"/>
        <v xml:space="preserve">Case 588 is a Imported case, 62 years old male UK (Singapore Work Pass holder) and has been to UK . He is currently admitted at NCID . </v>
      </c>
      <c r="M323" s="32">
        <f t="shared" si="41"/>
        <v>588</v>
      </c>
      <c r="N323" s="32" t="str">
        <f t="shared" si="42"/>
        <v xml:space="preserve">UK </v>
      </c>
      <c r="O323" s="32" t="str">
        <f t="shared" si="43"/>
        <v/>
      </c>
      <c r="P323" s="32" t="str">
        <f t="shared" si="44"/>
        <v/>
      </c>
    </row>
    <row r="324" spans="1:16" x14ac:dyDescent="0.3">
      <c r="A324">
        <v>589</v>
      </c>
      <c r="B324" s="24">
        <v>43914</v>
      </c>
      <c r="C324" t="s">
        <v>1071</v>
      </c>
      <c r="D324">
        <v>47</v>
      </c>
      <c r="E324" t="s">
        <v>1059</v>
      </c>
      <c r="F324" t="s">
        <v>1060</v>
      </c>
      <c r="H324" t="s">
        <v>1061</v>
      </c>
      <c r="J324" s="32" t="str">
        <f t="shared" si="38"/>
        <v>Male</v>
      </c>
      <c r="K324" s="32" t="str">
        <f t="shared" si="39"/>
        <v>Singaporean</v>
      </c>
      <c r="L324" s="32" t="str">
        <f t="shared" si="40"/>
        <v xml:space="preserve">Case 589 is a Local unlinked case, 47 years old male Singapore Citizen  and has not been overseas. He is currently admitted at NCID . </v>
      </c>
      <c r="M324" s="32" t="str">
        <f t="shared" si="41"/>
        <v/>
      </c>
      <c r="N324" s="32" t="str">
        <f t="shared" si="42"/>
        <v/>
      </c>
      <c r="O324" s="32" t="str">
        <f t="shared" si="43"/>
        <v/>
      </c>
      <c r="P324" s="32" t="str">
        <f t="shared" si="44"/>
        <v/>
      </c>
    </row>
    <row r="325" spans="1:16" x14ac:dyDescent="0.3">
      <c r="A325">
        <v>590</v>
      </c>
      <c r="B325" s="24">
        <v>43914</v>
      </c>
      <c r="C325" t="s">
        <v>343</v>
      </c>
      <c r="D325">
        <v>21</v>
      </c>
      <c r="E325" t="s">
        <v>1073</v>
      </c>
      <c r="F325" t="s">
        <v>1072</v>
      </c>
      <c r="G325" t="s">
        <v>1063</v>
      </c>
      <c r="H325" t="s">
        <v>77</v>
      </c>
      <c r="J325" s="32" t="str">
        <f t="shared" si="38"/>
        <v>Female</v>
      </c>
      <c r="K325" s="32" t="str">
        <f t="shared" si="39"/>
        <v>Singaporean</v>
      </c>
      <c r="L325" s="32" t="str">
        <f t="shared" si="40"/>
        <v xml:space="preserve">Case 590 is a Imported case, 21 years old female Singapore Permanent Resident  and has been to UK . She is currently admitted at NUH . </v>
      </c>
      <c r="M325" s="32">
        <f t="shared" si="41"/>
        <v>590</v>
      </c>
      <c r="N325" s="32" t="str">
        <f t="shared" si="42"/>
        <v xml:space="preserve">UK </v>
      </c>
      <c r="O325" s="32" t="str">
        <f t="shared" si="43"/>
        <v/>
      </c>
      <c r="P325" s="32" t="str">
        <f t="shared" si="44"/>
        <v/>
      </c>
    </row>
    <row r="326" spans="1:16" x14ac:dyDescent="0.3">
      <c r="A326">
        <v>591</v>
      </c>
      <c r="B326" s="24">
        <v>43914</v>
      </c>
      <c r="C326" t="s">
        <v>1138</v>
      </c>
      <c r="D326">
        <v>64</v>
      </c>
      <c r="E326" t="s">
        <v>1059</v>
      </c>
      <c r="F326" t="s">
        <v>1060</v>
      </c>
      <c r="G326" t="s">
        <v>355</v>
      </c>
      <c r="H326" t="s">
        <v>77</v>
      </c>
      <c r="J326" s="32" t="str">
        <f t="shared" si="38"/>
        <v>Male</v>
      </c>
      <c r="K326" s="32" t="str">
        <f t="shared" si="39"/>
        <v>Singaporean</v>
      </c>
      <c r="L326" s="32" t="str">
        <f t="shared" si="40"/>
        <v xml:space="preserve">Case 591 is a Imported case, 64 years old male Singapore Citizen  and has been to Portugal . He is currently admitted at SGH . </v>
      </c>
      <c r="M326" s="32">
        <f t="shared" si="41"/>
        <v>591</v>
      </c>
      <c r="N326" s="32" t="str">
        <f t="shared" si="42"/>
        <v xml:space="preserve">Portugal </v>
      </c>
      <c r="O326" s="32" t="str">
        <f t="shared" si="43"/>
        <v/>
      </c>
      <c r="P326" s="32" t="str">
        <f t="shared" si="44"/>
        <v/>
      </c>
    </row>
    <row r="327" spans="1:16" x14ac:dyDescent="0.3">
      <c r="A327">
        <v>592</v>
      </c>
      <c r="B327" s="24">
        <v>43914</v>
      </c>
      <c r="C327" t="s">
        <v>1071</v>
      </c>
      <c r="D327">
        <v>24</v>
      </c>
      <c r="E327" t="s">
        <v>1059</v>
      </c>
      <c r="F327" t="s">
        <v>1060</v>
      </c>
      <c r="G327" t="s">
        <v>1063</v>
      </c>
      <c r="H327" t="s">
        <v>77</v>
      </c>
      <c r="J327" s="32" t="str">
        <f t="shared" si="38"/>
        <v>Male</v>
      </c>
      <c r="K327" s="32" t="str">
        <f t="shared" si="39"/>
        <v>Singaporean</v>
      </c>
      <c r="L327" s="32" t="str">
        <f t="shared" si="40"/>
        <v xml:space="preserve">Case 592 is a Imported case, 24 years old male Singapore Citizen  and has been to UK . He is currently admitted at NCID . </v>
      </c>
      <c r="M327" s="32">
        <f t="shared" si="41"/>
        <v>592</v>
      </c>
      <c r="N327" s="32" t="str">
        <f t="shared" si="42"/>
        <v xml:space="preserve">UK </v>
      </c>
      <c r="O327" s="32" t="str">
        <f t="shared" si="43"/>
        <v/>
      </c>
      <c r="P327" s="32" t="str">
        <f t="shared" si="44"/>
        <v/>
      </c>
    </row>
    <row r="328" spans="1:16" x14ac:dyDescent="0.3">
      <c r="A328">
        <v>593</v>
      </c>
      <c r="B328" s="24">
        <v>43914</v>
      </c>
      <c r="C328" t="s">
        <v>1071</v>
      </c>
      <c r="D328">
        <v>24</v>
      </c>
      <c r="E328" t="s">
        <v>1059</v>
      </c>
      <c r="F328" t="s">
        <v>1060</v>
      </c>
      <c r="G328" t="s">
        <v>1085</v>
      </c>
      <c r="H328" t="s">
        <v>77</v>
      </c>
      <c r="J328" s="32" t="str">
        <f t="shared" si="38"/>
        <v>Male</v>
      </c>
      <c r="K328" s="32" t="str">
        <f t="shared" si="39"/>
        <v>Singaporean</v>
      </c>
      <c r="L328" s="32" t="str">
        <f t="shared" si="40"/>
        <v xml:space="preserve">Case 593 is a Imported case, 24 years old male Singapore Citizen  and has been to US . He is currently admitted at NCID . </v>
      </c>
      <c r="M328" s="32">
        <f t="shared" si="41"/>
        <v>593</v>
      </c>
      <c r="N328" s="32" t="str">
        <f t="shared" si="42"/>
        <v xml:space="preserve">US </v>
      </c>
      <c r="O328" s="32" t="str">
        <f t="shared" si="43"/>
        <v/>
      </c>
      <c r="P328" s="32" t="str">
        <f t="shared" si="44"/>
        <v/>
      </c>
    </row>
    <row r="329" spans="1:16" x14ac:dyDescent="0.3">
      <c r="A329">
        <v>594</v>
      </c>
      <c r="B329" s="24">
        <v>43914</v>
      </c>
      <c r="C329" t="s">
        <v>1071</v>
      </c>
      <c r="D329">
        <v>23</v>
      </c>
      <c r="E329" t="s">
        <v>1073</v>
      </c>
      <c r="F329" t="s">
        <v>1253</v>
      </c>
      <c r="H329" t="s">
        <v>1061</v>
      </c>
      <c r="J329" s="32" t="str">
        <f t="shared" si="38"/>
        <v>Female</v>
      </c>
      <c r="K329" s="32" t="str">
        <f t="shared" si="39"/>
        <v>China</v>
      </c>
      <c r="L329" s="32" t="str">
        <f t="shared" si="40"/>
        <v xml:space="preserve">Case 594 is a Local unlinked case, 23 years old female China (Long Term Pass holder)  and has not been overseas. She is currently admitted at NCID . </v>
      </c>
      <c r="M329" s="32" t="str">
        <f t="shared" si="41"/>
        <v/>
      </c>
      <c r="N329" s="32" t="str">
        <f t="shared" si="42"/>
        <v/>
      </c>
      <c r="O329" s="32" t="str">
        <f t="shared" si="43"/>
        <v/>
      </c>
      <c r="P329" s="32" t="str">
        <f t="shared" si="44"/>
        <v/>
      </c>
    </row>
    <row r="330" spans="1:16" x14ac:dyDescent="0.3">
      <c r="A330">
        <v>595</v>
      </c>
      <c r="B330" s="24">
        <v>43914</v>
      </c>
      <c r="C330" t="s">
        <v>1071</v>
      </c>
      <c r="D330">
        <v>19</v>
      </c>
      <c r="E330" t="s">
        <v>1073</v>
      </c>
      <c r="F330" t="s">
        <v>1060</v>
      </c>
      <c r="G330" t="s">
        <v>1177</v>
      </c>
      <c r="H330" t="s">
        <v>77</v>
      </c>
      <c r="J330" s="32" t="str">
        <f t="shared" si="38"/>
        <v>Female</v>
      </c>
      <c r="K330" s="32" t="str">
        <f t="shared" si="39"/>
        <v>Singaporean</v>
      </c>
      <c r="L330" s="32" t="str">
        <f t="shared" si="40"/>
        <v xml:space="preserve">Case 595 is a Imported case, 19 years old female Singapore Citizen  and has been to Pending . She is currently admitted at NCID . </v>
      </c>
      <c r="M330" s="32">
        <f t="shared" si="41"/>
        <v>595</v>
      </c>
      <c r="N330" s="32" t="str">
        <f t="shared" si="42"/>
        <v xml:space="preserve">Pending </v>
      </c>
      <c r="O330" s="32" t="str">
        <f t="shared" si="43"/>
        <v/>
      </c>
      <c r="P330" s="32" t="str">
        <f t="shared" si="44"/>
        <v/>
      </c>
    </row>
    <row r="331" spans="1:16" x14ac:dyDescent="0.3">
      <c r="A331">
        <v>596</v>
      </c>
      <c r="B331" s="24">
        <v>43915</v>
      </c>
      <c r="C331" t="s">
        <v>1071</v>
      </c>
      <c r="D331">
        <v>35</v>
      </c>
      <c r="E331" t="s">
        <v>1059</v>
      </c>
      <c r="F331" t="s">
        <v>1060</v>
      </c>
      <c r="G331" t="s">
        <v>1063</v>
      </c>
      <c r="H331" t="s">
        <v>77</v>
      </c>
      <c r="J331" s="32" t="str">
        <f t="shared" si="38"/>
        <v>Male</v>
      </c>
      <c r="K331" s="32" t="str">
        <f t="shared" si="39"/>
        <v>Singaporean</v>
      </c>
      <c r="L331" s="32" t="str">
        <f t="shared" si="40"/>
        <v xml:space="preserve">Case 596 is a Imported case, 35 years old male Singapore Citizen  and has been to UK . He is currently admitted at NCID . </v>
      </c>
      <c r="M331" s="32">
        <f t="shared" si="41"/>
        <v>596</v>
      </c>
      <c r="N331" s="32" t="str">
        <f t="shared" si="42"/>
        <v xml:space="preserve">UK </v>
      </c>
      <c r="O331" s="32" t="str">
        <f t="shared" si="43"/>
        <v/>
      </c>
      <c r="P331" s="32" t="str">
        <f t="shared" si="44"/>
        <v/>
      </c>
    </row>
    <row r="332" spans="1:16" x14ac:dyDescent="0.3">
      <c r="A332">
        <v>597</v>
      </c>
      <c r="B332" s="24">
        <v>43915</v>
      </c>
      <c r="C332" t="s">
        <v>1066</v>
      </c>
      <c r="D332">
        <v>50</v>
      </c>
      <c r="E332" t="s">
        <v>1073</v>
      </c>
      <c r="F332" t="s">
        <v>1060</v>
      </c>
      <c r="H332" t="s">
        <v>1086</v>
      </c>
      <c r="I332" t="s">
        <v>1254</v>
      </c>
      <c r="J332" s="32" t="str">
        <f t="shared" si="38"/>
        <v>Female</v>
      </c>
      <c r="K332" s="32" t="str">
        <f t="shared" si="39"/>
        <v>Singaporean</v>
      </c>
      <c r="L332" s="32" t="str">
        <f t="shared" si="40"/>
        <v>Case 597 is a Local linked  case, 50 years old female Singapore Citizen  and has not been overseas. She is currently admitted at SKH . Family member of Case 570</v>
      </c>
      <c r="M332" s="32" t="str">
        <f t="shared" si="41"/>
        <v/>
      </c>
      <c r="N332" s="32" t="str">
        <f t="shared" si="42"/>
        <v/>
      </c>
      <c r="O332" s="32">
        <f t="shared" si="43"/>
        <v>597</v>
      </c>
      <c r="P332" s="32" t="str">
        <f t="shared" si="44"/>
        <v>Family member of Case 570</v>
      </c>
    </row>
    <row r="333" spans="1:16" x14ac:dyDescent="0.3">
      <c r="A333">
        <v>598</v>
      </c>
      <c r="B333" s="24">
        <v>43915</v>
      </c>
      <c r="C333" t="s">
        <v>1066</v>
      </c>
      <c r="D333">
        <v>35</v>
      </c>
      <c r="E333" t="s">
        <v>1073</v>
      </c>
      <c r="F333" t="s">
        <v>1255</v>
      </c>
      <c r="H333" t="s">
        <v>1061</v>
      </c>
      <c r="J333" s="32" t="str">
        <f t="shared" si="38"/>
        <v>Female</v>
      </c>
      <c r="K333" s="32" t="str">
        <f t="shared" si="39"/>
        <v>India</v>
      </c>
      <c r="L333" s="32" t="str">
        <f t="shared" si="40"/>
        <v xml:space="preserve">Case 598 is a Local unlinked case, 35 years old female India (Singapore Work Pass holder)  and has not been overseas. She is currently admitted at SKH . </v>
      </c>
      <c r="M333" s="32" t="str">
        <f t="shared" si="41"/>
        <v/>
      </c>
      <c r="N333" s="32" t="str">
        <f t="shared" si="42"/>
        <v/>
      </c>
      <c r="O333" s="32" t="str">
        <f t="shared" si="43"/>
        <v/>
      </c>
      <c r="P333" s="32" t="str">
        <f t="shared" si="44"/>
        <v/>
      </c>
    </row>
    <row r="334" spans="1:16" x14ac:dyDescent="0.3">
      <c r="A334">
        <v>599</v>
      </c>
      <c r="B334" s="24">
        <v>43915</v>
      </c>
      <c r="C334" t="s">
        <v>1071</v>
      </c>
      <c r="D334">
        <v>32</v>
      </c>
      <c r="E334" t="s">
        <v>1059</v>
      </c>
      <c r="F334" t="s">
        <v>1060</v>
      </c>
      <c r="G334" t="s">
        <v>1063</v>
      </c>
      <c r="H334" t="s">
        <v>1069</v>
      </c>
      <c r="I334" t="s">
        <v>1256</v>
      </c>
      <c r="J334" s="32" t="str">
        <f t="shared" si="38"/>
        <v>Male</v>
      </c>
      <c r="K334" s="32" t="str">
        <f t="shared" si="39"/>
        <v>Singaporean</v>
      </c>
      <c r="L334" s="32" t="str">
        <f t="shared" si="40"/>
        <v>Case 599 is a Imported  case, 32 years old male Singapore Citizen  and has been to UK . He is currently admitted at NCID . Contact of Case 385</v>
      </c>
      <c r="M334" s="32">
        <f t="shared" si="41"/>
        <v>599</v>
      </c>
      <c r="N334" s="32" t="str">
        <f t="shared" si="42"/>
        <v xml:space="preserve">UK </v>
      </c>
      <c r="O334" s="32">
        <f t="shared" si="43"/>
        <v>599</v>
      </c>
      <c r="P334" s="32" t="str">
        <f t="shared" si="44"/>
        <v>Contact of Case 385</v>
      </c>
    </row>
    <row r="335" spans="1:16" x14ac:dyDescent="0.3">
      <c r="A335">
        <v>600</v>
      </c>
      <c r="B335" s="24">
        <v>43915</v>
      </c>
      <c r="C335" t="s">
        <v>1071</v>
      </c>
      <c r="D335">
        <v>66</v>
      </c>
      <c r="E335" t="s">
        <v>1059</v>
      </c>
      <c r="F335" t="s">
        <v>1072</v>
      </c>
      <c r="G335" t="s">
        <v>1177</v>
      </c>
      <c r="H335" t="s">
        <v>77</v>
      </c>
      <c r="J335" s="32" t="str">
        <f t="shared" si="38"/>
        <v>Male</v>
      </c>
      <c r="K335" s="32" t="str">
        <f t="shared" si="39"/>
        <v>Singaporean</v>
      </c>
      <c r="L335" s="32" t="str">
        <f t="shared" si="40"/>
        <v xml:space="preserve">Case 600 is a Imported case, 66 years old male Singapore Permanent Resident  and has been to Pending . He is currently admitted at NCID . </v>
      </c>
      <c r="M335" s="32">
        <f t="shared" si="41"/>
        <v>600</v>
      </c>
      <c r="N335" s="32" t="str">
        <f t="shared" si="42"/>
        <v xml:space="preserve">Pending </v>
      </c>
      <c r="O335" s="32" t="str">
        <f t="shared" si="43"/>
        <v/>
      </c>
      <c r="P335" s="32" t="str">
        <f t="shared" si="44"/>
        <v/>
      </c>
    </row>
    <row r="336" spans="1:16" x14ac:dyDescent="0.3">
      <c r="A336">
        <v>601</v>
      </c>
      <c r="B336" s="24">
        <v>43914</v>
      </c>
      <c r="C336" t="s">
        <v>1071</v>
      </c>
      <c r="D336">
        <v>47</v>
      </c>
      <c r="E336" t="s">
        <v>1073</v>
      </c>
      <c r="F336" t="s">
        <v>1060</v>
      </c>
      <c r="H336" t="s">
        <v>1086</v>
      </c>
      <c r="I336" t="s">
        <v>1257</v>
      </c>
      <c r="J336" s="32" t="str">
        <f t="shared" si="38"/>
        <v>Female</v>
      </c>
      <c r="K336" s="32" t="str">
        <f t="shared" si="39"/>
        <v>Singaporean</v>
      </c>
      <c r="L336" s="32" t="str">
        <f t="shared" si="40"/>
        <v>Case 601 is a Local linked  case, 47 years old female Singapore Citizen  and has not been overseas. She is currently admitted at NCID . Family member of Cases 521, 566, 567 and 572 PCF Fengshan</v>
      </c>
      <c r="M336" s="32" t="str">
        <f t="shared" si="41"/>
        <v/>
      </c>
      <c r="N336" s="32" t="str">
        <f t="shared" si="42"/>
        <v/>
      </c>
      <c r="O336" s="32">
        <f t="shared" si="43"/>
        <v>601</v>
      </c>
      <c r="P336" s="32" t="str">
        <f t="shared" si="44"/>
        <v>Family member of Cases 521, 566, 567 and 572 PCF Fengshan</v>
      </c>
    </row>
    <row r="337" spans="1:16" x14ac:dyDescent="0.3">
      <c r="A337">
        <v>602</v>
      </c>
      <c r="B337" s="24">
        <v>43914</v>
      </c>
      <c r="C337" t="s">
        <v>1071</v>
      </c>
      <c r="D337">
        <v>56</v>
      </c>
      <c r="E337" t="s">
        <v>1073</v>
      </c>
      <c r="F337" t="s">
        <v>1060</v>
      </c>
      <c r="H337" t="s">
        <v>1086</v>
      </c>
      <c r="I337" t="s">
        <v>1258</v>
      </c>
      <c r="J337" s="32" t="str">
        <f t="shared" si="38"/>
        <v>Female</v>
      </c>
      <c r="K337" s="32" t="str">
        <f t="shared" si="39"/>
        <v>Singaporean</v>
      </c>
      <c r="L337" s="32" t="str">
        <f t="shared" si="40"/>
        <v>Case 602 is a Local linked  case, 56 years old female Singapore Citizen  and has not been overseas. She is currently admitted at NCID . Contact of Case 516 PCF Fengshan</v>
      </c>
      <c r="M337" s="32" t="str">
        <f t="shared" si="41"/>
        <v/>
      </c>
      <c r="N337" s="32" t="str">
        <f t="shared" si="42"/>
        <v/>
      </c>
      <c r="O337" s="32">
        <f t="shared" si="43"/>
        <v>602</v>
      </c>
      <c r="P337" s="32" t="str">
        <f t="shared" si="44"/>
        <v>Contact of Case 516 PCF Fengshan</v>
      </c>
    </row>
    <row r="338" spans="1:16" x14ac:dyDescent="0.3">
      <c r="A338">
        <v>603</v>
      </c>
      <c r="B338" s="24">
        <v>43914</v>
      </c>
      <c r="C338" t="s">
        <v>1071</v>
      </c>
      <c r="D338">
        <v>23</v>
      </c>
      <c r="E338" t="s">
        <v>1073</v>
      </c>
      <c r="F338" t="s">
        <v>1060</v>
      </c>
      <c r="H338" t="s">
        <v>1086</v>
      </c>
      <c r="I338" t="s">
        <v>1259</v>
      </c>
      <c r="J338" s="32" t="str">
        <f t="shared" si="38"/>
        <v>Female</v>
      </c>
      <c r="K338" s="32" t="str">
        <f t="shared" si="39"/>
        <v>Singaporean</v>
      </c>
      <c r="L338" s="32" t="str">
        <f t="shared" si="40"/>
        <v>Case 603 is a Local linked  case, 23 years old female Singapore Citizen  and has not been overseas. She is currently admitted at NCID . PCF Fengshan</v>
      </c>
      <c r="M338" s="32" t="str">
        <f t="shared" si="41"/>
        <v/>
      </c>
      <c r="N338" s="32" t="str">
        <f t="shared" si="42"/>
        <v/>
      </c>
      <c r="O338" s="32">
        <f t="shared" si="43"/>
        <v>603</v>
      </c>
      <c r="P338" s="32" t="str">
        <f t="shared" si="44"/>
        <v>PCF Fengshan</v>
      </c>
    </row>
    <row r="339" spans="1:16" x14ac:dyDescent="0.3">
      <c r="A339">
        <v>604</v>
      </c>
      <c r="B339" s="24">
        <v>43914</v>
      </c>
      <c r="C339" t="s">
        <v>1071</v>
      </c>
      <c r="D339">
        <v>36</v>
      </c>
      <c r="E339" t="s">
        <v>1073</v>
      </c>
      <c r="F339" t="s">
        <v>1165</v>
      </c>
      <c r="H339" t="s">
        <v>1086</v>
      </c>
      <c r="I339" t="s">
        <v>1259</v>
      </c>
      <c r="J339" s="32" t="str">
        <f t="shared" si="38"/>
        <v>Female</v>
      </c>
      <c r="K339" s="32" t="str">
        <f t="shared" si="39"/>
        <v>Philippines</v>
      </c>
      <c r="L339" s="32" t="str">
        <f t="shared" si="40"/>
        <v>Case 604 is a Local linked  case, 36 years old female Philippines (Long Term Pass holder)  and has not been overseas. She is currently admitted at NCID . PCF Fengshan</v>
      </c>
      <c r="M339" s="32" t="str">
        <f t="shared" si="41"/>
        <v/>
      </c>
      <c r="N339" s="32" t="str">
        <f t="shared" si="42"/>
        <v/>
      </c>
      <c r="O339" s="32">
        <f t="shared" si="43"/>
        <v>604</v>
      </c>
      <c r="P339" s="32" t="str">
        <f t="shared" si="44"/>
        <v>PCF Fengshan</v>
      </c>
    </row>
    <row r="340" spans="1:16" x14ac:dyDescent="0.3">
      <c r="A340">
        <v>605</v>
      </c>
      <c r="B340" s="24">
        <v>43914</v>
      </c>
      <c r="C340" t="s">
        <v>1071</v>
      </c>
      <c r="D340">
        <v>29</v>
      </c>
      <c r="E340" t="s">
        <v>1073</v>
      </c>
      <c r="F340" t="s">
        <v>1060</v>
      </c>
      <c r="H340" t="s">
        <v>1086</v>
      </c>
      <c r="I340" t="s">
        <v>1259</v>
      </c>
      <c r="J340" s="32" t="str">
        <f t="shared" si="38"/>
        <v>Female</v>
      </c>
      <c r="K340" s="32" t="str">
        <f t="shared" si="39"/>
        <v>Singaporean</v>
      </c>
      <c r="L340" s="32" t="str">
        <f t="shared" si="40"/>
        <v>Case 605 is a Local linked  case, 29 years old female Singapore Citizen  and has not been overseas. She is currently admitted at NCID . PCF Fengshan</v>
      </c>
      <c r="M340" s="32" t="str">
        <f t="shared" si="41"/>
        <v/>
      </c>
      <c r="N340" s="32" t="str">
        <f t="shared" si="42"/>
        <v/>
      </c>
      <c r="O340" s="32">
        <f t="shared" si="43"/>
        <v>605</v>
      </c>
      <c r="P340" s="32" t="str">
        <f t="shared" si="44"/>
        <v>PCF Fengshan</v>
      </c>
    </row>
    <row r="341" spans="1:16" x14ac:dyDescent="0.3">
      <c r="A341">
        <v>606</v>
      </c>
      <c r="B341" s="24">
        <v>43915</v>
      </c>
      <c r="C341" t="s">
        <v>1071</v>
      </c>
      <c r="D341">
        <v>55</v>
      </c>
      <c r="E341" t="s">
        <v>1059</v>
      </c>
      <c r="F341" t="s">
        <v>1060</v>
      </c>
      <c r="H341" t="s">
        <v>1061</v>
      </c>
      <c r="J341" s="32" t="str">
        <f t="shared" si="38"/>
        <v>Male</v>
      </c>
      <c r="K341" s="32" t="str">
        <f t="shared" si="39"/>
        <v>Singaporean</v>
      </c>
      <c r="L341" s="32" t="str">
        <f t="shared" si="40"/>
        <v xml:space="preserve">Case 606 is a Local unlinked case, 55 years old male Singapore Citizen  and has not been overseas. He is currently admitted at NCID . </v>
      </c>
      <c r="M341" s="32" t="str">
        <f t="shared" si="41"/>
        <v/>
      </c>
      <c r="N341" s="32" t="str">
        <f t="shared" si="42"/>
        <v/>
      </c>
      <c r="O341" s="32" t="str">
        <f t="shared" si="43"/>
        <v/>
      </c>
      <c r="P341" s="32" t="str">
        <f t="shared" si="44"/>
        <v/>
      </c>
    </row>
    <row r="342" spans="1:16" x14ac:dyDescent="0.3">
      <c r="A342">
        <v>607</v>
      </c>
      <c r="B342" s="24">
        <v>43915</v>
      </c>
      <c r="C342" t="s">
        <v>1071</v>
      </c>
      <c r="D342">
        <v>40</v>
      </c>
      <c r="E342" t="s">
        <v>1073</v>
      </c>
      <c r="F342" t="s">
        <v>1060</v>
      </c>
      <c r="G342" t="s">
        <v>1063</v>
      </c>
      <c r="H342" t="s">
        <v>77</v>
      </c>
      <c r="J342" s="32" t="str">
        <f t="shared" si="38"/>
        <v>Female</v>
      </c>
      <c r="K342" s="32" t="str">
        <f t="shared" si="39"/>
        <v>Singaporean</v>
      </c>
      <c r="L342" s="32" t="str">
        <f t="shared" si="40"/>
        <v xml:space="preserve">Case 607 is a Imported case, 40 years old female Singapore Citizen  and has been to UK . She is currently admitted at NCID . </v>
      </c>
      <c r="M342" s="32">
        <f t="shared" si="41"/>
        <v>607</v>
      </c>
      <c r="N342" s="32" t="str">
        <f t="shared" si="42"/>
        <v xml:space="preserve">UK </v>
      </c>
      <c r="O342" s="32" t="str">
        <f t="shared" si="43"/>
        <v/>
      </c>
      <c r="P342" s="32" t="str">
        <f t="shared" si="44"/>
        <v/>
      </c>
    </row>
    <row r="343" spans="1:16" x14ac:dyDescent="0.3">
      <c r="A343">
        <v>608</v>
      </c>
      <c r="B343" s="24">
        <v>43915</v>
      </c>
      <c r="C343" t="s">
        <v>1071</v>
      </c>
      <c r="D343">
        <v>18</v>
      </c>
      <c r="E343" t="s">
        <v>1073</v>
      </c>
      <c r="F343" t="s">
        <v>1180</v>
      </c>
      <c r="G343" t="s">
        <v>809</v>
      </c>
      <c r="H343" t="s">
        <v>77</v>
      </c>
      <c r="J343" s="32" t="str">
        <f t="shared" si="38"/>
        <v>Female</v>
      </c>
      <c r="K343" s="32" t="str">
        <f t="shared" si="39"/>
        <v>France</v>
      </c>
      <c r="L343" s="32" t="str">
        <f t="shared" si="40"/>
        <v xml:space="preserve">Case 608 is a Imported case, 18 years old female France (Long Term Pass holder)  and has been to Canada . She is currently admitted at NCID . </v>
      </c>
      <c r="M343" s="32">
        <f t="shared" si="41"/>
        <v>608</v>
      </c>
      <c r="N343" s="32" t="str">
        <f t="shared" si="42"/>
        <v xml:space="preserve">Canada </v>
      </c>
      <c r="O343" s="32" t="str">
        <f t="shared" si="43"/>
        <v/>
      </c>
      <c r="P343" s="32" t="str">
        <f t="shared" si="44"/>
        <v/>
      </c>
    </row>
    <row r="344" spans="1:16" x14ac:dyDescent="0.3">
      <c r="A344">
        <v>609</v>
      </c>
      <c r="B344" s="24">
        <v>43914</v>
      </c>
      <c r="C344" t="s">
        <v>1071</v>
      </c>
      <c r="D344">
        <v>30</v>
      </c>
      <c r="E344" t="s">
        <v>1073</v>
      </c>
      <c r="F344" t="s">
        <v>1060</v>
      </c>
      <c r="H344" t="s">
        <v>1086</v>
      </c>
      <c r="I344" t="s">
        <v>1258</v>
      </c>
      <c r="J344" s="32" t="str">
        <f t="shared" si="38"/>
        <v>Female</v>
      </c>
      <c r="K344" s="32" t="str">
        <f t="shared" si="39"/>
        <v>Singaporean</v>
      </c>
      <c r="L344" s="32" t="str">
        <f t="shared" si="40"/>
        <v>Case 609 is a Local linked  case, 30 years old female Singapore Citizen  and has not been overseas. She is currently admitted at NCID . Contact of Case 516 PCF Fengshan</v>
      </c>
      <c r="M344" s="32" t="str">
        <f t="shared" si="41"/>
        <v/>
      </c>
      <c r="N344" s="32" t="str">
        <f t="shared" si="42"/>
        <v/>
      </c>
      <c r="O344" s="32">
        <f t="shared" si="43"/>
        <v>609</v>
      </c>
      <c r="P344" s="32" t="str">
        <f t="shared" si="44"/>
        <v>Contact of Case 516 PCF Fengshan</v>
      </c>
    </row>
    <row r="345" spans="1:16" x14ac:dyDescent="0.3">
      <c r="A345">
        <v>610</v>
      </c>
      <c r="B345" s="24">
        <v>43914</v>
      </c>
      <c r="C345" t="s">
        <v>1071</v>
      </c>
      <c r="D345">
        <v>25</v>
      </c>
      <c r="E345" t="s">
        <v>1073</v>
      </c>
      <c r="F345" t="s">
        <v>1060</v>
      </c>
      <c r="H345" t="s">
        <v>1086</v>
      </c>
      <c r="I345" t="s">
        <v>1258</v>
      </c>
      <c r="J345" s="32" t="str">
        <f t="shared" si="38"/>
        <v>Female</v>
      </c>
      <c r="K345" s="32" t="str">
        <f t="shared" si="39"/>
        <v>Singaporean</v>
      </c>
      <c r="L345" s="32" t="str">
        <f t="shared" si="40"/>
        <v>Case 610 is a Local linked  case, 25 years old female Singapore Citizen  and has not been overseas. She is currently admitted at NCID . Contact of Case 516 PCF Fengshan</v>
      </c>
      <c r="M345" s="32" t="str">
        <f t="shared" si="41"/>
        <v/>
      </c>
      <c r="N345" s="32" t="str">
        <f t="shared" si="42"/>
        <v/>
      </c>
      <c r="O345" s="32">
        <f t="shared" si="43"/>
        <v>610</v>
      </c>
      <c r="P345" s="32" t="str">
        <f t="shared" si="44"/>
        <v>Contact of Case 516 PCF Fengshan</v>
      </c>
    </row>
    <row r="346" spans="1:16" x14ac:dyDescent="0.3">
      <c r="A346">
        <v>611</v>
      </c>
      <c r="B346" s="24">
        <v>43915</v>
      </c>
      <c r="C346" t="s">
        <v>1071</v>
      </c>
      <c r="D346">
        <v>24</v>
      </c>
      <c r="E346" t="s">
        <v>1059</v>
      </c>
      <c r="F346" t="s">
        <v>1060</v>
      </c>
      <c r="G346" t="s">
        <v>1063</v>
      </c>
      <c r="H346" t="s">
        <v>77</v>
      </c>
      <c r="J346" s="32" t="str">
        <f t="shared" si="38"/>
        <v>Male</v>
      </c>
      <c r="K346" s="32" t="str">
        <f t="shared" si="39"/>
        <v>Singaporean</v>
      </c>
      <c r="L346" s="32" t="str">
        <f t="shared" si="40"/>
        <v xml:space="preserve">Case 611 is a Imported case, 24 years old male Singapore Citizen  and has been to UK . He is currently admitted at NCID . </v>
      </c>
      <c r="M346" s="32">
        <f t="shared" si="41"/>
        <v>611</v>
      </c>
      <c r="N346" s="32" t="str">
        <f t="shared" si="42"/>
        <v xml:space="preserve">UK </v>
      </c>
      <c r="O346" s="32" t="str">
        <f t="shared" si="43"/>
        <v/>
      </c>
      <c r="P346" s="32" t="str">
        <f t="shared" si="44"/>
        <v/>
      </c>
    </row>
    <row r="347" spans="1:16" x14ac:dyDescent="0.3">
      <c r="A347">
        <v>612</v>
      </c>
      <c r="B347" s="24">
        <v>43914</v>
      </c>
      <c r="C347" t="s">
        <v>1071</v>
      </c>
      <c r="D347">
        <v>22</v>
      </c>
      <c r="E347" t="s">
        <v>1073</v>
      </c>
      <c r="F347" t="s">
        <v>1060</v>
      </c>
      <c r="H347" t="s">
        <v>1086</v>
      </c>
      <c r="I347" t="s">
        <v>1259</v>
      </c>
      <c r="J347" s="32" t="str">
        <f t="shared" si="38"/>
        <v>Female</v>
      </c>
      <c r="K347" s="32" t="str">
        <f t="shared" si="39"/>
        <v>Singaporean</v>
      </c>
      <c r="L347" s="32" t="str">
        <f t="shared" si="40"/>
        <v>Case 612 is a Local linked  case, 22 years old female Singapore Citizen  and has not been overseas. She is currently admitted at NCID . PCF Fengshan</v>
      </c>
      <c r="M347" s="32" t="str">
        <f t="shared" si="41"/>
        <v/>
      </c>
      <c r="N347" s="32" t="str">
        <f t="shared" si="42"/>
        <v/>
      </c>
      <c r="O347" s="32">
        <f t="shared" si="43"/>
        <v>612</v>
      </c>
      <c r="P347" s="32" t="str">
        <f t="shared" si="44"/>
        <v>PCF Fengshan</v>
      </c>
    </row>
    <row r="348" spans="1:16" x14ac:dyDescent="0.3">
      <c r="A348">
        <v>613</v>
      </c>
      <c r="B348" s="24">
        <v>43915</v>
      </c>
      <c r="C348" t="s">
        <v>1071</v>
      </c>
      <c r="D348">
        <v>62</v>
      </c>
      <c r="E348" t="s">
        <v>1073</v>
      </c>
      <c r="F348" t="s">
        <v>1060</v>
      </c>
      <c r="G348" t="s">
        <v>794</v>
      </c>
      <c r="H348" t="s">
        <v>77</v>
      </c>
      <c r="J348" s="32" t="str">
        <f t="shared" si="38"/>
        <v>Female</v>
      </c>
      <c r="K348" s="32" t="str">
        <f t="shared" si="39"/>
        <v>Singaporean</v>
      </c>
      <c r="L348" s="32" t="str">
        <f t="shared" si="40"/>
        <v xml:space="preserve">Case 613 is a Imported case, 62 years old female Singapore Citizen  and has been to Thailand . She is currently admitted at NCID . </v>
      </c>
      <c r="M348" s="32">
        <f t="shared" si="41"/>
        <v>613</v>
      </c>
      <c r="N348" s="32" t="str">
        <f t="shared" si="42"/>
        <v xml:space="preserve">Thailand </v>
      </c>
      <c r="O348" s="32" t="str">
        <f t="shared" si="43"/>
        <v/>
      </c>
      <c r="P348" s="32" t="str">
        <f t="shared" si="44"/>
        <v/>
      </c>
    </row>
    <row r="349" spans="1:16" x14ac:dyDescent="0.3">
      <c r="A349">
        <v>614</v>
      </c>
      <c r="B349" s="24">
        <v>43915</v>
      </c>
      <c r="C349" t="s">
        <v>1071</v>
      </c>
      <c r="D349">
        <v>62</v>
      </c>
      <c r="E349" t="s">
        <v>1073</v>
      </c>
      <c r="F349" t="s">
        <v>1060</v>
      </c>
      <c r="H349" t="s">
        <v>1086</v>
      </c>
      <c r="I349" t="s">
        <v>1259</v>
      </c>
      <c r="J349" s="32" t="str">
        <f t="shared" si="38"/>
        <v>Female</v>
      </c>
      <c r="K349" s="32" t="str">
        <f t="shared" si="39"/>
        <v>Singaporean</v>
      </c>
      <c r="L349" s="32" t="str">
        <f t="shared" si="40"/>
        <v>Case 614 is a Local linked  case, 62 years old female Singapore Citizen  and has not been overseas. She is currently admitted at NCID . PCF Fengshan</v>
      </c>
      <c r="M349" s="32" t="str">
        <f t="shared" si="41"/>
        <v/>
      </c>
      <c r="N349" s="32" t="str">
        <f t="shared" si="42"/>
        <v/>
      </c>
      <c r="O349" s="32">
        <f t="shared" si="43"/>
        <v>614</v>
      </c>
      <c r="P349" s="32" t="str">
        <f t="shared" si="44"/>
        <v>PCF Fengshan</v>
      </c>
    </row>
    <row r="350" spans="1:16" x14ac:dyDescent="0.3">
      <c r="A350">
        <v>615</v>
      </c>
      <c r="B350" s="24">
        <v>43915</v>
      </c>
      <c r="C350" t="s">
        <v>1071</v>
      </c>
      <c r="D350">
        <v>44</v>
      </c>
      <c r="E350" t="s">
        <v>1073</v>
      </c>
      <c r="F350" t="s">
        <v>1060</v>
      </c>
      <c r="G350" t="s">
        <v>802</v>
      </c>
      <c r="H350" t="s">
        <v>77</v>
      </c>
      <c r="J350" s="32" t="str">
        <f t="shared" si="38"/>
        <v>Female</v>
      </c>
      <c r="K350" s="32" t="str">
        <f t="shared" si="39"/>
        <v>Singaporean</v>
      </c>
      <c r="L350" s="32" t="str">
        <f t="shared" si="40"/>
        <v xml:space="preserve">Case 615 is a Imported case, 44 years old female Singapore Citizen  and has been to Germany . She is currently admitted at NCID . </v>
      </c>
      <c r="M350" s="32">
        <f t="shared" si="41"/>
        <v>615</v>
      </c>
      <c r="N350" s="32" t="str">
        <f t="shared" si="42"/>
        <v xml:space="preserve">Germany </v>
      </c>
      <c r="O350" s="32" t="str">
        <f t="shared" si="43"/>
        <v/>
      </c>
      <c r="P350" s="32" t="str">
        <f t="shared" si="44"/>
        <v/>
      </c>
    </row>
    <row r="351" spans="1:16" x14ac:dyDescent="0.3">
      <c r="A351">
        <v>616</v>
      </c>
      <c r="B351" s="24">
        <v>43915</v>
      </c>
      <c r="C351" t="s">
        <v>1071</v>
      </c>
      <c r="D351">
        <v>39</v>
      </c>
      <c r="E351" t="s">
        <v>1059</v>
      </c>
      <c r="F351" t="s">
        <v>1156</v>
      </c>
      <c r="G351" t="s">
        <v>360</v>
      </c>
      <c r="H351" t="s">
        <v>77</v>
      </c>
      <c r="J351" s="32" t="str">
        <f t="shared" si="38"/>
        <v>Male</v>
      </c>
      <c r="K351" s="32" t="str">
        <f t="shared" si="39"/>
        <v>Malaysia</v>
      </c>
      <c r="L351" s="32" t="str">
        <f t="shared" si="40"/>
        <v xml:space="preserve">Case 616 is a Imported case, 39 years old male Malaysia (Singapore Work Pass holder)  and has been to Malaysia . He is currently admitted at NCID . </v>
      </c>
      <c r="M351" s="32">
        <f t="shared" si="41"/>
        <v>616</v>
      </c>
      <c r="N351" s="32" t="str">
        <f t="shared" si="42"/>
        <v xml:space="preserve">Malaysia </v>
      </c>
      <c r="O351" s="32" t="str">
        <f t="shared" si="43"/>
        <v/>
      </c>
      <c r="P351" s="32" t="str">
        <f t="shared" si="44"/>
        <v/>
      </c>
    </row>
    <row r="352" spans="1:16" x14ac:dyDescent="0.3">
      <c r="A352">
        <v>617</v>
      </c>
      <c r="B352" s="24">
        <v>43915</v>
      </c>
      <c r="C352" t="s">
        <v>1071</v>
      </c>
      <c r="D352">
        <v>26</v>
      </c>
      <c r="E352" t="s">
        <v>1073</v>
      </c>
      <c r="F352" t="s">
        <v>1250</v>
      </c>
      <c r="H352" t="s">
        <v>1086</v>
      </c>
      <c r="I352" t="s">
        <v>1259</v>
      </c>
      <c r="J352" s="32" t="str">
        <f t="shared" si="38"/>
        <v>Female</v>
      </c>
      <c r="K352" s="32" t="str">
        <f t="shared" si="39"/>
        <v>Philippines</v>
      </c>
      <c r="L352" s="32" t="str">
        <f t="shared" si="40"/>
        <v>Case 617 is a Local linked  case, 26 years old female Philippines (Singapore Work Pass holder)  and has not been overseas. She is currently admitted at NCID . PCF Fengshan</v>
      </c>
      <c r="M352" s="32" t="str">
        <f t="shared" si="41"/>
        <v/>
      </c>
      <c r="N352" s="32" t="str">
        <f t="shared" si="42"/>
        <v/>
      </c>
      <c r="O352" s="32">
        <f t="shared" si="43"/>
        <v>617</v>
      </c>
      <c r="P352" s="32" t="str">
        <f t="shared" si="44"/>
        <v>PCF Fengshan</v>
      </c>
    </row>
    <row r="353" spans="1:16" x14ac:dyDescent="0.3">
      <c r="A353">
        <v>618</v>
      </c>
      <c r="B353" s="24">
        <v>43915</v>
      </c>
      <c r="C353" t="s">
        <v>1071</v>
      </c>
      <c r="D353">
        <v>29</v>
      </c>
      <c r="E353" t="s">
        <v>1073</v>
      </c>
      <c r="F353" t="s">
        <v>1186</v>
      </c>
      <c r="H353" t="s">
        <v>1086</v>
      </c>
      <c r="I353" t="s">
        <v>1260</v>
      </c>
      <c r="J353" s="32" t="str">
        <f t="shared" si="38"/>
        <v>Female</v>
      </c>
      <c r="K353" s="32" t="str">
        <f t="shared" si="39"/>
        <v>UK</v>
      </c>
      <c r="L353" s="32" t="str">
        <f t="shared" si="40"/>
        <v>Case 618 is a Local linked  case, 29 years old female UK (Singapore Work Pass holder)  and has not been overseas. She is currently admitted at NCID . Contact of Case 556 Dover Court International School</v>
      </c>
      <c r="M353" s="32" t="str">
        <f t="shared" si="41"/>
        <v/>
      </c>
      <c r="N353" s="32" t="str">
        <f t="shared" si="42"/>
        <v/>
      </c>
      <c r="O353" s="32">
        <f t="shared" si="43"/>
        <v>618</v>
      </c>
      <c r="P353" s="32" t="str">
        <f t="shared" si="44"/>
        <v>Contact of Case 556 Dover Court International School</v>
      </c>
    </row>
    <row r="354" spans="1:16" x14ac:dyDescent="0.3">
      <c r="A354">
        <v>619</v>
      </c>
      <c r="B354" s="24">
        <v>43915</v>
      </c>
      <c r="C354" t="s">
        <v>1071</v>
      </c>
      <c r="D354">
        <v>65</v>
      </c>
      <c r="E354" t="s">
        <v>1073</v>
      </c>
      <c r="F354" t="s">
        <v>1060</v>
      </c>
      <c r="H354" t="s">
        <v>1086</v>
      </c>
      <c r="I354" t="s">
        <v>1261</v>
      </c>
      <c r="J354" s="32" t="str">
        <f t="shared" si="38"/>
        <v>Female</v>
      </c>
      <c r="K354" s="32" t="str">
        <f t="shared" si="39"/>
        <v>Singaporean</v>
      </c>
      <c r="L354" s="32" t="str">
        <f t="shared" si="40"/>
        <v>Case 619 is a Local linked  case, 65 years old female Singapore Citizen  and has not been overseas. She is currently admitted at NCID . Family member of Case 557</v>
      </c>
      <c r="M354" s="32" t="str">
        <f t="shared" si="41"/>
        <v/>
      </c>
      <c r="N354" s="32" t="str">
        <f t="shared" si="42"/>
        <v/>
      </c>
      <c r="O354" s="32">
        <f t="shared" si="43"/>
        <v>619</v>
      </c>
      <c r="P354" s="32" t="str">
        <f t="shared" si="44"/>
        <v>Family member of Case 557</v>
      </c>
    </row>
    <row r="355" spans="1:16" x14ac:dyDescent="0.3">
      <c r="A355">
        <v>620</v>
      </c>
      <c r="B355" s="24">
        <v>43915</v>
      </c>
      <c r="C355" t="s">
        <v>1071</v>
      </c>
      <c r="D355">
        <v>18</v>
      </c>
      <c r="E355" t="s">
        <v>1073</v>
      </c>
      <c r="F355" t="s">
        <v>1060</v>
      </c>
      <c r="G355" t="s">
        <v>1063</v>
      </c>
      <c r="H355" t="s">
        <v>77</v>
      </c>
      <c r="J355" s="32" t="str">
        <f t="shared" si="38"/>
        <v>Female</v>
      </c>
      <c r="K355" s="32" t="str">
        <f t="shared" si="39"/>
        <v>Singaporean</v>
      </c>
      <c r="L355" s="32" t="str">
        <f t="shared" si="40"/>
        <v xml:space="preserve">Case 620 is a Imported case, 18 years old female Singapore Citizen  and has been to UK . She is currently admitted at NCID . </v>
      </c>
      <c r="M355" s="32">
        <f t="shared" si="41"/>
        <v>620</v>
      </c>
      <c r="N355" s="32" t="str">
        <f t="shared" si="42"/>
        <v xml:space="preserve">UK </v>
      </c>
      <c r="O355" s="32" t="str">
        <f t="shared" si="43"/>
        <v/>
      </c>
      <c r="P355" s="32" t="str">
        <f t="shared" si="44"/>
        <v/>
      </c>
    </row>
    <row r="356" spans="1:16" x14ac:dyDescent="0.3">
      <c r="A356">
        <v>621</v>
      </c>
      <c r="B356" s="24">
        <v>43915</v>
      </c>
      <c r="C356" t="s">
        <v>1071</v>
      </c>
      <c r="D356">
        <v>50</v>
      </c>
      <c r="E356" t="s">
        <v>1059</v>
      </c>
      <c r="F356" t="s">
        <v>1072</v>
      </c>
      <c r="H356" t="s">
        <v>1061</v>
      </c>
      <c r="J356" s="32" t="str">
        <f t="shared" si="38"/>
        <v>Male</v>
      </c>
      <c r="K356" s="32" t="str">
        <f t="shared" si="39"/>
        <v>Singaporean</v>
      </c>
      <c r="L356" s="32" t="str">
        <f t="shared" si="40"/>
        <v xml:space="preserve">Case 621 is a Local unlinked case, 50 years old male Singapore Permanent Resident  and has not been overseas. He is currently admitted at NCID . </v>
      </c>
      <c r="M356" s="32" t="str">
        <f t="shared" si="41"/>
        <v/>
      </c>
      <c r="N356" s="32" t="str">
        <f t="shared" si="42"/>
        <v/>
      </c>
      <c r="O356" s="32" t="str">
        <f t="shared" si="43"/>
        <v/>
      </c>
      <c r="P356" s="32" t="str">
        <f t="shared" si="44"/>
        <v/>
      </c>
    </row>
    <row r="357" spans="1:16" x14ac:dyDescent="0.3">
      <c r="A357">
        <v>622</v>
      </c>
      <c r="B357" s="24">
        <v>43915</v>
      </c>
      <c r="C357" t="s">
        <v>1071</v>
      </c>
      <c r="D357">
        <v>27</v>
      </c>
      <c r="E357" t="s">
        <v>1073</v>
      </c>
      <c r="F357" t="s">
        <v>1060</v>
      </c>
      <c r="G357" t="s">
        <v>1063</v>
      </c>
      <c r="H357" t="s">
        <v>77</v>
      </c>
      <c r="J357" s="32" t="str">
        <f t="shared" si="38"/>
        <v>Female</v>
      </c>
      <c r="K357" s="32" t="str">
        <f t="shared" si="39"/>
        <v>Singaporean</v>
      </c>
      <c r="L357" s="32" t="str">
        <f t="shared" si="40"/>
        <v xml:space="preserve">Case 622 is a Imported case, 27 years old female Singapore Citizen  and has been to UK . She is currently admitted at NCID . </v>
      </c>
      <c r="M357" s="32">
        <f t="shared" si="41"/>
        <v>622</v>
      </c>
      <c r="N357" s="32" t="str">
        <f t="shared" si="42"/>
        <v xml:space="preserve">UK </v>
      </c>
      <c r="O357" s="32" t="str">
        <f t="shared" si="43"/>
        <v/>
      </c>
      <c r="P357" s="32" t="str">
        <f t="shared" si="44"/>
        <v/>
      </c>
    </row>
    <row r="358" spans="1:16" x14ac:dyDescent="0.3">
      <c r="A358">
        <v>623</v>
      </c>
      <c r="B358" s="24">
        <v>43915</v>
      </c>
      <c r="C358" t="s">
        <v>1071</v>
      </c>
      <c r="D358">
        <v>58</v>
      </c>
      <c r="E358" t="s">
        <v>1073</v>
      </c>
      <c r="F358" t="s">
        <v>1173</v>
      </c>
      <c r="G358" t="s">
        <v>687</v>
      </c>
      <c r="H358" t="s">
        <v>77</v>
      </c>
      <c r="J358" s="32" t="str">
        <f t="shared" si="38"/>
        <v>Female</v>
      </c>
      <c r="K358" s="32" t="str">
        <f t="shared" si="39"/>
        <v>Indonesia</v>
      </c>
      <c r="L358" s="32" t="str">
        <f t="shared" si="40"/>
        <v xml:space="preserve">Case 623 is a Imported case, 58 years old female Indonesia (Long Term Pass holder)  and has been to Indonesia . She is currently admitted at NCID . </v>
      </c>
      <c r="M358" s="32">
        <f t="shared" si="41"/>
        <v>623</v>
      </c>
      <c r="N358" s="32" t="str">
        <f t="shared" si="42"/>
        <v xml:space="preserve">Indonesia </v>
      </c>
      <c r="O358" s="32" t="str">
        <f t="shared" si="43"/>
        <v/>
      </c>
      <c r="P358" s="32" t="str">
        <f t="shared" si="44"/>
        <v/>
      </c>
    </row>
    <row r="359" spans="1:16" x14ac:dyDescent="0.3">
      <c r="A359">
        <v>624</v>
      </c>
      <c r="B359" s="24">
        <v>43915</v>
      </c>
      <c r="C359" t="s">
        <v>1071</v>
      </c>
      <c r="D359">
        <v>48</v>
      </c>
      <c r="E359" t="s">
        <v>1073</v>
      </c>
      <c r="F359" t="s">
        <v>1060</v>
      </c>
      <c r="H359" t="s">
        <v>1086</v>
      </c>
      <c r="I359" t="s">
        <v>1259</v>
      </c>
      <c r="J359" s="32" t="str">
        <f t="shared" ref="J359:J366" si="45">IF(TRIM(E359)="M","Male",IF(TRIM(E359)="F","Female",""))</f>
        <v>Female</v>
      </c>
      <c r="K359" s="32" t="str">
        <f t="shared" ref="K359:K366" si="46">IF(LEFT(F359,9)="Singapore","Singaporean",IF(ISERR(FIND("(",F359)),F359,LEFT(F359,FIND("(",F359)-2)))</f>
        <v>Singaporean</v>
      </c>
      <c r="L359" s="32" t="str">
        <f t="shared" ref="L359:L366" si="47">"Case "&amp;A359&amp;" is a "&amp;H359&amp;" case, "&amp;D359&amp;" years old "&amp;LOWER(J359)&amp;" "&amp;F359 &amp;IF(G359=""," and has not been overseas"," and has been to "&amp;G359)&amp;". "&amp;IF(TRIM(E359)="F","She",IF(TRIM(E359)="M","He"))&amp;" is currently admitted at "&amp;C359&amp;". "&amp;I359</f>
        <v>Case 624 is a Local linked  case, 48 years old female Singapore Citizen  and has not been overseas. She is currently admitted at NCID . PCF Fengshan</v>
      </c>
      <c r="M359" s="32" t="str">
        <f t="shared" ref="M359:M366" si="48">IF(G359="","",A359)</f>
        <v/>
      </c>
      <c r="N359" s="32" t="str">
        <f t="shared" ref="N359:N366" si="49">IF(G359="","",G359)</f>
        <v/>
      </c>
      <c r="O359" s="32">
        <f t="shared" ref="O359:O366" si="50">IF(I359="","",A359)</f>
        <v>624</v>
      </c>
      <c r="P359" s="32" t="str">
        <f t="shared" ref="P359:P366" si="51">IF(I359="","",I359)</f>
        <v>PCF Fengshan</v>
      </c>
    </row>
    <row r="360" spans="1:16" x14ac:dyDescent="0.3">
      <c r="A360">
        <v>625</v>
      </c>
      <c r="B360" s="24">
        <v>43915</v>
      </c>
      <c r="C360" t="s">
        <v>1064</v>
      </c>
      <c r="D360">
        <v>27</v>
      </c>
      <c r="E360" t="s">
        <v>1059</v>
      </c>
      <c r="F360" t="s">
        <v>1250</v>
      </c>
      <c r="G360" t="s">
        <v>706</v>
      </c>
      <c r="H360" t="s">
        <v>77</v>
      </c>
      <c r="J360" s="32" t="str">
        <f t="shared" si="45"/>
        <v>Male</v>
      </c>
      <c r="K360" s="32" t="str">
        <f t="shared" si="46"/>
        <v>Philippines</v>
      </c>
      <c r="L360" s="32" t="str">
        <f t="shared" si="47"/>
        <v xml:space="preserve">Case 625 is a Imported case, 27 years old male Philippines (Singapore Work Pass holder)  and has been to Philippines . He is currently admitted at CGH . </v>
      </c>
      <c r="M360" s="32">
        <f t="shared" si="48"/>
        <v>625</v>
      </c>
      <c r="N360" s="32" t="str">
        <f t="shared" si="49"/>
        <v xml:space="preserve">Philippines </v>
      </c>
      <c r="O360" s="32" t="str">
        <f t="shared" si="50"/>
        <v/>
      </c>
      <c r="P360" s="32" t="str">
        <f t="shared" si="51"/>
        <v/>
      </c>
    </row>
    <row r="361" spans="1:16" x14ac:dyDescent="0.3">
      <c r="A361">
        <v>626</v>
      </c>
      <c r="B361" s="24">
        <v>43915</v>
      </c>
      <c r="C361" t="s">
        <v>343</v>
      </c>
      <c r="D361">
        <v>44</v>
      </c>
      <c r="E361" t="s">
        <v>1073</v>
      </c>
      <c r="F361" t="s">
        <v>1186</v>
      </c>
      <c r="H361" t="s">
        <v>1086</v>
      </c>
      <c r="I361" t="s">
        <v>1260</v>
      </c>
      <c r="J361" s="32" t="str">
        <f t="shared" si="45"/>
        <v>Female</v>
      </c>
      <c r="K361" s="32" t="str">
        <f t="shared" si="46"/>
        <v>UK</v>
      </c>
      <c r="L361" s="32" t="str">
        <f t="shared" si="47"/>
        <v>Case 626 is a Local linked  case, 44 years old female UK (Singapore Work Pass holder)  and has not been overseas. She is currently admitted at NUH . Contact of Case 556 Dover Court International School</v>
      </c>
      <c r="M361" s="32" t="str">
        <f t="shared" si="48"/>
        <v/>
      </c>
      <c r="N361" s="32" t="str">
        <f t="shared" si="49"/>
        <v/>
      </c>
      <c r="O361" s="32">
        <f t="shared" si="50"/>
        <v>626</v>
      </c>
      <c r="P361" s="32" t="str">
        <f t="shared" si="51"/>
        <v>Contact of Case 556 Dover Court International School</v>
      </c>
    </row>
    <row r="362" spans="1:16" x14ac:dyDescent="0.3">
      <c r="A362">
        <v>627</v>
      </c>
      <c r="B362" s="24">
        <v>43915</v>
      </c>
      <c r="C362" t="s">
        <v>1066</v>
      </c>
      <c r="D362">
        <v>18</v>
      </c>
      <c r="E362" t="s">
        <v>1073</v>
      </c>
      <c r="F362" t="s">
        <v>1060</v>
      </c>
      <c r="G362" t="s">
        <v>1063</v>
      </c>
      <c r="H362" t="s">
        <v>1069</v>
      </c>
      <c r="J362" s="32" t="str">
        <f t="shared" si="45"/>
        <v>Female</v>
      </c>
      <c r="K362" s="32" t="str">
        <f t="shared" si="46"/>
        <v>Singaporean</v>
      </c>
      <c r="L362" s="32" t="str">
        <f t="shared" si="47"/>
        <v xml:space="preserve">Case 627 is a Imported  case, 18 years old female Singapore Citizen  and has been to UK . She is currently admitted at SKH . </v>
      </c>
      <c r="M362" s="32">
        <f t="shared" si="48"/>
        <v>627</v>
      </c>
      <c r="N362" s="32" t="str">
        <f t="shared" si="49"/>
        <v xml:space="preserve">UK </v>
      </c>
      <c r="O362" s="32" t="str">
        <f t="shared" si="50"/>
        <v/>
      </c>
      <c r="P362" s="32" t="str">
        <f t="shared" si="51"/>
        <v/>
      </c>
    </row>
    <row r="363" spans="1:16" x14ac:dyDescent="0.3">
      <c r="A363">
        <v>628</v>
      </c>
      <c r="B363" s="24">
        <v>43915</v>
      </c>
      <c r="C363" t="s">
        <v>1071</v>
      </c>
      <c r="D363">
        <v>23</v>
      </c>
      <c r="E363" t="s">
        <v>1059</v>
      </c>
      <c r="F363" t="s">
        <v>1060</v>
      </c>
      <c r="G363" t="s">
        <v>1063</v>
      </c>
      <c r="H363" t="s">
        <v>77</v>
      </c>
      <c r="J363" s="32" t="str">
        <f t="shared" si="45"/>
        <v>Male</v>
      </c>
      <c r="K363" s="32" t="str">
        <f t="shared" si="46"/>
        <v>Singaporean</v>
      </c>
      <c r="L363" s="32" t="str">
        <f t="shared" si="47"/>
        <v xml:space="preserve">Case 628 is a Imported case, 23 years old male Singapore Citizen  and has been to UK . He is currently admitted at NCID . </v>
      </c>
      <c r="M363" s="32">
        <f t="shared" si="48"/>
        <v>628</v>
      </c>
      <c r="N363" s="32" t="str">
        <f t="shared" si="49"/>
        <v xml:space="preserve">UK </v>
      </c>
      <c r="O363" s="32" t="str">
        <f t="shared" si="50"/>
        <v/>
      </c>
      <c r="P363" s="32" t="str">
        <f t="shared" si="51"/>
        <v/>
      </c>
    </row>
    <row r="364" spans="1:16" x14ac:dyDescent="0.3">
      <c r="A364">
        <v>629</v>
      </c>
      <c r="B364" s="24">
        <v>43915</v>
      </c>
      <c r="C364" t="s">
        <v>1138</v>
      </c>
      <c r="D364">
        <v>46</v>
      </c>
      <c r="E364" t="s">
        <v>1059</v>
      </c>
      <c r="F364" t="s">
        <v>1060</v>
      </c>
      <c r="G364" t="s">
        <v>1233</v>
      </c>
      <c r="H364" t="s">
        <v>1069</v>
      </c>
      <c r="I364" t="s">
        <v>1262</v>
      </c>
      <c r="J364" s="32" t="str">
        <f t="shared" si="45"/>
        <v>Male</v>
      </c>
      <c r="K364" s="32" t="str">
        <f t="shared" si="46"/>
        <v>Singaporean</v>
      </c>
      <c r="L364" s="32" t="str">
        <f t="shared" si="47"/>
        <v>Case 629 is a Imported  case, 46 years old male Singapore Citizen  and has been to Pakistan . He is currently admitted at SGH . Contact of Case 557</v>
      </c>
      <c r="M364" s="32">
        <f t="shared" si="48"/>
        <v>629</v>
      </c>
      <c r="N364" s="32" t="str">
        <f t="shared" si="49"/>
        <v xml:space="preserve">Pakistan </v>
      </c>
      <c r="O364" s="32">
        <f t="shared" si="50"/>
        <v>629</v>
      </c>
      <c r="P364" s="32" t="str">
        <f t="shared" si="51"/>
        <v>Contact of Case 557</v>
      </c>
    </row>
    <row r="365" spans="1:16" x14ac:dyDescent="0.3">
      <c r="A365">
        <v>630</v>
      </c>
      <c r="B365" s="24">
        <v>43915</v>
      </c>
      <c r="C365" t="s">
        <v>1138</v>
      </c>
      <c r="D365">
        <v>43</v>
      </c>
      <c r="E365" t="s">
        <v>1073</v>
      </c>
      <c r="F365" t="s">
        <v>1060</v>
      </c>
      <c r="H365" t="s">
        <v>1086</v>
      </c>
      <c r="I365" t="s">
        <v>1244</v>
      </c>
      <c r="J365" s="32" t="str">
        <f t="shared" si="45"/>
        <v>Female</v>
      </c>
      <c r="K365" s="32" t="str">
        <f t="shared" si="46"/>
        <v>Singaporean</v>
      </c>
      <c r="L365" s="32" t="str">
        <f t="shared" si="47"/>
        <v>Case 630 is a Local linked  case, 43 years old female Singapore Citizen  and has not been overseas. She is currently admitted at SGH . Contact of Case 532</v>
      </c>
      <c r="M365" s="32" t="str">
        <f t="shared" si="48"/>
        <v/>
      </c>
      <c r="N365" s="32" t="str">
        <f t="shared" si="49"/>
        <v/>
      </c>
      <c r="O365" s="32">
        <f t="shared" si="50"/>
        <v>630</v>
      </c>
      <c r="P365" s="32" t="str">
        <f t="shared" si="51"/>
        <v>Contact of Case 532</v>
      </c>
    </row>
    <row r="366" spans="1:16" x14ac:dyDescent="0.3">
      <c r="A366">
        <v>631</v>
      </c>
      <c r="B366" s="24">
        <v>43915</v>
      </c>
      <c r="C366" t="s">
        <v>1161</v>
      </c>
      <c r="D366">
        <v>3</v>
      </c>
      <c r="E366" t="s">
        <v>1073</v>
      </c>
      <c r="F366" t="s">
        <v>1194</v>
      </c>
      <c r="H366" t="s">
        <v>1086</v>
      </c>
      <c r="I366" t="s">
        <v>1263</v>
      </c>
      <c r="J366" s="32" t="str">
        <f t="shared" si="45"/>
        <v>Female</v>
      </c>
      <c r="K366" s="32" t="str">
        <f t="shared" si="46"/>
        <v>India</v>
      </c>
      <c r="L366" s="32" t="str">
        <f t="shared" si="47"/>
        <v>Case 631 is a Local linked  case, 3 years old female India (Long Term Pass holder)  and has not been overseas. She is currently admitted at KKH . Contact of Case 453</v>
      </c>
      <c r="M366" s="32" t="str">
        <f t="shared" si="48"/>
        <v/>
      </c>
      <c r="N366" s="32" t="str">
        <f t="shared" si="49"/>
        <v/>
      </c>
      <c r="O366" s="32">
        <f t="shared" si="50"/>
        <v>631</v>
      </c>
      <c r="P366" s="32" t="str">
        <f t="shared" si="51"/>
        <v>Contact of Case 453</v>
      </c>
    </row>
    <row r="367" spans="1:16" x14ac:dyDescent="0.3">
      <c r="A367">
        <v>632</v>
      </c>
      <c r="B367" s="24">
        <v>43915</v>
      </c>
      <c r="C367" t="s">
        <v>1058</v>
      </c>
      <c r="D367">
        <v>32</v>
      </c>
      <c r="E367" t="s">
        <v>1059</v>
      </c>
      <c r="F367" t="s">
        <v>1060</v>
      </c>
      <c r="H367" t="s">
        <v>1086</v>
      </c>
      <c r="I367" t="s">
        <v>1265</v>
      </c>
      <c r="J367" s="33" t="str">
        <f t="shared" ref="J367" si="52">IF(TRIM(E367)="M","Male",IF(TRIM(E367)="F","Female",""))</f>
        <v>Male</v>
      </c>
      <c r="K367" s="33" t="str">
        <f t="shared" ref="K367" si="53">IF(LEFT(F367,9)="Singapore","Singaporean",IF(ISERR(FIND("(",F367)),F367,LEFT(F367,FIND("(",F367)-2)))</f>
        <v>Singaporean</v>
      </c>
      <c r="L367" s="33" t="str">
        <f t="shared" ref="L367" si="54">"Case "&amp;A367&amp;" is a "&amp;H367&amp;" case, "&amp;D367&amp;" years old "&amp;LOWER(J367)&amp;" "&amp;F367 &amp;IF(G367=""," and has not been overseas"," and has been to "&amp;G367)&amp;". "&amp;IF(TRIM(E367)="F","She",IF(TRIM(E367)="M","He"))&amp;" is currently admitted at "&amp;C367&amp;". "&amp;I367</f>
        <v>Case 632 is a Local linked  case, 32 years old male Singapore Citizen  and has not been overseas. He is currently admitted at KTPH . Contact of Case 644</v>
      </c>
      <c r="M367" s="33" t="str">
        <f t="shared" ref="M367" si="55">IF(G367="","",A367)</f>
        <v/>
      </c>
      <c r="N367" s="33" t="str">
        <f t="shared" ref="N367" si="56">IF(G367="","",G367)</f>
        <v/>
      </c>
      <c r="O367" s="33">
        <f t="shared" ref="O367" si="57">IF(I367="","",A367)</f>
        <v>632</v>
      </c>
      <c r="P367" s="33" t="str">
        <f t="shared" ref="P367" si="58">IF(I367="","",I367)</f>
        <v>Contact of Case 644</v>
      </c>
    </row>
    <row r="368" spans="1:16" x14ac:dyDescent="0.3">
      <c r="A368">
        <v>633</v>
      </c>
      <c r="B368" s="24">
        <v>43915</v>
      </c>
      <c r="C368" t="s">
        <v>1071</v>
      </c>
      <c r="D368">
        <v>35</v>
      </c>
      <c r="E368" t="s">
        <v>1059</v>
      </c>
      <c r="F368" t="s">
        <v>1060</v>
      </c>
      <c r="G368" t="s">
        <v>1063</v>
      </c>
      <c r="H368" t="s">
        <v>77</v>
      </c>
      <c r="J368" s="33" t="str">
        <f t="shared" ref="J368:J418" si="59">IF(TRIM(E368)="M","Male",IF(TRIM(E368)="F","Female",""))</f>
        <v>Male</v>
      </c>
      <c r="K368" s="33" t="str">
        <f t="shared" ref="K368:K418" si="60">IF(LEFT(F368,9)="Singapore","Singaporean",IF(ISERR(FIND("(",F368)),F368,LEFT(F368,FIND("(",F368)-2)))</f>
        <v>Singaporean</v>
      </c>
      <c r="L368" s="33" t="str">
        <f t="shared" ref="L368:L418" si="61">"Case "&amp;A368&amp;" is a "&amp;H368&amp;" case, "&amp;D368&amp;" years old "&amp;LOWER(J368)&amp;" "&amp;F368 &amp;IF(G368=""," and has not been overseas"," and has been to "&amp;G368)&amp;". "&amp;IF(TRIM(E368)="F","She",IF(TRIM(E368)="M","He"))&amp;" is currently admitted at "&amp;C368&amp;". "&amp;I368</f>
        <v xml:space="preserve">Case 633 is a Imported case, 35 years old male Singapore Citizen  and has been to UK . He is currently admitted at NCID . </v>
      </c>
      <c r="M368" s="33">
        <f t="shared" ref="M368:M418" si="62">IF(G368="","",A368)</f>
        <v>633</v>
      </c>
      <c r="N368" s="33" t="str">
        <f t="shared" ref="N368:N418" si="63">IF(G368="","",G368)</f>
        <v xml:space="preserve">UK </v>
      </c>
      <c r="O368" s="33" t="str">
        <f t="shared" ref="O368:O418" si="64">IF(I368="","",A368)</f>
        <v/>
      </c>
      <c r="P368" s="33" t="str">
        <f t="shared" ref="P368:P418" si="65">IF(I368="","",I368)</f>
        <v/>
      </c>
    </row>
    <row r="369" spans="1:16" x14ac:dyDescent="0.3">
      <c r="A369">
        <v>634</v>
      </c>
      <c r="B369" s="24">
        <v>43915</v>
      </c>
      <c r="C369" t="s">
        <v>1071</v>
      </c>
      <c r="D369">
        <v>42</v>
      </c>
      <c r="E369" t="s">
        <v>1073</v>
      </c>
      <c r="F369" t="s">
        <v>1060</v>
      </c>
      <c r="G369" t="s">
        <v>1266</v>
      </c>
      <c r="H369" t="s">
        <v>1069</v>
      </c>
      <c r="I369" t="s">
        <v>1267</v>
      </c>
      <c r="J369" s="33" t="str">
        <f t="shared" si="59"/>
        <v>Female</v>
      </c>
      <c r="K369" s="33" t="str">
        <f t="shared" si="60"/>
        <v>Singaporean</v>
      </c>
      <c r="L369" s="33" t="str">
        <f t="shared" si="61"/>
        <v>Case 634 is a Imported  case, 42 years old female Singapore Citizen  and has been to Taiwan, Philippines . She is currently admitted at NCID . Contact of Case 222</v>
      </c>
      <c r="M369" s="33">
        <f t="shared" si="62"/>
        <v>634</v>
      </c>
      <c r="N369" s="33" t="str">
        <f t="shared" si="63"/>
        <v xml:space="preserve">Taiwan, Philippines </v>
      </c>
      <c r="O369" s="33">
        <f t="shared" si="64"/>
        <v>634</v>
      </c>
      <c r="P369" s="33" t="str">
        <f t="shared" si="65"/>
        <v>Contact of Case 222</v>
      </c>
    </row>
    <row r="370" spans="1:16" x14ac:dyDescent="0.3">
      <c r="A370">
        <v>635</v>
      </c>
      <c r="B370" s="24">
        <v>43915</v>
      </c>
      <c r="C370" t="s">
        <v>1071</v>
      </c>
      <c r="D370">
        <v>21</v>
      </c>
      <c r="E370" t="s">
        <v>1073</v>
      </c>
      <c r="F370" t="s">
        <v>1060</v>
      </c>
      <c r="G370" t="s">
        <v>1085</v>
      </c>
      <c r="H370" t="s">
        <v>77</v>
      </c>
      <c r="J370" s="33" t="str">
        <f t="shared" si="59"/>
        <v>Female</v>
      </c>
      <c r="K370" s="33" t="str">
        <f t="shared" si="60"/>
        <v>Singaporean</v>
      </c>
      <c r="L370" s="33" t="str">
        <f t="shared" si="61"/>
        <v xml:space="preserve">Case 635 is a Imported case, 21 years old female Singapore Citizen  and has been to US . She is currently admitted at NCID . </v>
      </c>
      <c r="M370" s="33">
        <f t="shared" si="62"/>
        <v>635</v>
      </c>
      <c r="N370" s="33" t="str">
        <f t="shared" si="63"/>
        <v xml:space="preserve">US </v>
      </c>
      <c r="O370" s="33" t="str">
        <f t="shared" si="64"/>
        <v/>
      </c>
      <c r="P370" s="33" t="str">
        <f t="shared" si="65"/>
        <v/>
      </c>
    </row>
    <row r="371" spans="1:16" x14ac:dyDescent="0.3">
      <c r="A371">
        <v>636</v>
      </c>
      <c r="B371" s="24">
        <v>43915</v>
      </c>
      <c r="C371" t="s">
        <v>1071</v>
      </c>
      <c r="D371">
        <v>22</v>
      </c>
      <c r="E371" t="s">
        <v>1073</v>
      </c>
      <c r="F371" t="s">
        <v>1060</v>
      </c>
      <c r="G371" t="s">
        <v>1063</v>
      </c>
      <c r="H371" t="s">
        <v>77</v>
      </c>
      <c r="J371" s="33" t="str">
        <f t="shared" si="59"/>
        <v>Female</v>
      </c>
      <c r="K371" s="33" t="str">
        <f t="shared" si="60"/>
        <v>Singaporean</v>
      </c>
      <c r="L371" s="33" t="str">
        <f t="shared" si="61"/>
        <v xml:space="preserve">Case 636 is a Imported case, 22 years old female Singapore Citizen  and has been to UK . She is currently admitted at NCID . </v>
      </c>
      <c r="M371" s="33">
        <f t="shared" si="62"/>
        <v>636</v>
      </c>
      <c r="N371" s="33" t="str">
        <f t="shared" si="63"/>
        <v xml:space="preserve">UK </v>
      </c>
      <c r="O371" s="33" t="str">
        <f t="shared" si="64"/>
        <v/>
      </c>
      <c r="P371" s="33" t="str">
        <f t="shared" si="65"/>
        <v/>
      </c>
    </row>
    <row r="372" spans="1:16" x14ac:dyDescent="0.3">
      <c r="A372">
        <v>637</v>
      </c>
      <c r="B372" s="24">
        <v>43915</v>
      </c>
      <c r="C372" t="s">
        <v>1071</v>
      </c>
      <c r="D372">
        <v>24</v>
      </c>
      <c r="E372" t="s">
        <v>1059</v>
      </c>
      <c r="F372" t="s">
        <v>1253</v>
      </c>
      <c r="H372" t="s">
        <v>1061</v>
      </c>
      <c r="J372" s="33" t="str">
        <f t="shared" si="59"/>
        <v>Male</v>
      </c>
      <c r="K372" s="33" t="str">
        <f t="shared" si="60"/>
        <v>China</v>
      </c>
      <c r="L372" s="33" t="str">
        <f t="shared" si="61"/>
        <v xml:space="preserve">Case 637 is a Local unlinked case, 24 years old male China (Long Term Pass holder)  and has not been overseas. He is currently admitted at NCID . </v>
      </c>
      <c r="M372" s="33" t="str">
        <f t="shared" si="62"/>
        <v/>
      </c>
      <c r="N372" s="33" t="str">
        <f t="shared" si="63"/>
        <v/>
      </c>
      <c r="O372" s="33" t="str">
        <f t="shared" si="64"/>
        <v/>
      </c>
      <c r="P372" s="33" t="str">
        <f t="shared" si="65"/>
        <v/>
      </c>
    </row>
    <row r="373" spans="1:16" x14ac:dyDescent="0.3">
      <c r="A373">
        <v>638</v>
      </c>
      <c r="B373" s="24">
        <v>43915</v>
      </c>
      <c r="C373" t="s">
        <v>1064</v>
      </c>
      <c r="D373">
        <v>49</v>
      </c>
      <c r="E373" t="s">
        <v>1059</v>
      </c>
      <c r="F373" t="s">
        <v>1060</v>
      </c>
      <c r="H373" t="s">
        <v>1086</v>
      </c>
      <c r="I373" t="s">
        <v>1259</v>
      </c>
      <c r="J373" s="33" t="str">
        <f t="shared" si="59"/>
        <v>Male</v>
      </c>
      <c r="K373" s="33" t="str">
        <f t="shared" si="60"/>
        <v>Singaporean</v>
      </c>
      <c r="L373" s="33" t="str">
        <f t="shared" si="61"/>
        <v>Case 638 is a Local linked  case, 49 years old male Singapore Citizen  and has not been overseas. He is currently admitted at CGH . PCF Fengshan</v>
      </c>
      <c r="M373" s="33" t="str">
        <f t="shared" si="62"/>
        <v/>
      </c>
      <c r="N373" s="33" t="str">
        <f t="shared" si="63"/>
        <v/>
      </c>
      <c r="O373" s="33">
        <f t="shared" si="64"/>
        <v>638</v>
      </c>
      <c r="P373" s="33" t="str">
        <f t="shared" si="65"/>
        <v>PCF Fengshan</v>
      </c>
    </row>
    <row r="374" spans="1:16" x14ac:dyDescent="0.3">
      <c r="A374">
        <v>639</v>
      </c>
      <c r="B374" s="24">
        <v>43915</v>
      </c>
      <c r="C374" t="s">
        <v>1062</v>
      </c>
      <c r="D374">
        <v>40</v>
      </c>
      <c r="E374" t="s">
        <v>1059</v>
      </c>
      <c r="F374" t="s">
        <v>1060</v>
      </c>
      <c r="G374" t="s">
        <v>1063</v>
      </c>
      <c r="H374" t="s">
        <v>1069</v>
      </c>
      <c r="I374" t="s">
        <v>1268</v>
      </c>
      <c r="J374" s="33" t="str">
        <f t="shared" si="59"/>
        <v>Male</v>
      </c>
      <c r="K374" s="33" t="str">
        <f t="shared" si="60"/>
        <v>Singaporean</v>
      </c>
      <c r="L374" s="33" t="str">
        <f t="shared" si="61"/>
        <v>Case 639 is a Imported  case, 40 years old male Singapore Citizen  and has been to UK . He is currently admitted at NTFGH . Contact of Case 233</v>
      </c>
      <c r="M374" s="33">
        <f t="shared" si="62"/>
        <v>639</v>
      </c>
      <c r="N374" s="33" t="str">
        <f t="shared" si="63"/>
        <v xml:space="preserve">UK </v>
      </c>
      <c r="O374" s="33">
        <f t="shared" si="64"/>
        <v>639</v>
      </c>
      <c r="P374" s="33" t="str">
        <f t="shared" si="65"/>
        <v>Contact of Case 233</v>
      </c>
    </row>
    <row r="375" spans="1:16" x14ac:dyDescent="0.3">
      <c r="A375">
        <v>640</v>
      </c>
      <c r="B375" s="24">
        <v>43915</v>
      </c>
      <c r="C375" t="s">
        <v>1062</v>
      </c>
      <c r="D375">
        <v>18</v>
      </c>
      <c r="E375" t="s">
        <v>1059</v>
      </c>
      <c r="F375" t="s">
        <v>1060</v>
      </c>
      <c r="G375" t="s">
        <v>1269</v>
      </c>
      <c r="H375" t="s">
        <v>1069</v>
      </c>
      <c r="I375" t="s">
        <v>1270</v>
      </c>
      <c r="J375" s="33" t="str">
        <f t="shared" si="59"/>
        <v>Male</v>
      </c>
      <c r="K375" s="33" t="str">
        <f t="shared" si="60"/>
        <v>Singaporean</v>
      </c>
      <c r="L375" s="33" t="str">
        <f t="shared" si="61"/>
        <v>Case 640 is a Imported  case, 18 years old male Singapore Citizen  and has been to UAE, UK, Germany . He is currently admitted at NTFGH . Family member of Case 641</v>
      </c>
      <c r="M375" s="33">
        <f t="shared" si="62"/>
        <v>640</v>
      </c>
      <c r="N375" s="33" t="str">
        <f t="shared" si="63"/>
        <v xml:space="preserve">UAE, UK, Germany </v>
      </c>
      <c r="O375" s="33">
        <f t="shared" si="64"/>
        <v>640</v>
      </c>
      <c r="P375" s="33" t="str">
        <f t="shared" si="65"/>
        <v>Family member of Case 641</v>
      </c>
    </row>
    <row r="376" spans="1:16" x14ac:dyDescent="0.3">
      <c r="A376">
        <v>641</v>
      </c>
      <c r="B376" s="24">
        <v>43915</v>
      </c>
      <c r="C376" t="s">
        <v>1062</v>
      </c>
      <c r="D376">
        <v>55</v>
      </c>
      <c r="E376" t="s">
        <v>1059</v>
      </c>
      <c r="F376" t="s">
        <v>1060</v>
      </c>
      <c r="G376" t="s">
        <v>1269</v>
      </c>
      <c r="H376" t="s">
        <v>1069</v>
      </c>
      <c r="I376" t="s">
        <v>1271</v>
      </c>
      <c r="J376" s="33" t="str">
        <f t="shared" si="59"/>
        <v>Male</v>
      </c>
      <c r="K376" s="33" t="str">
        <f t="shared" si="60"/>
        <v>Singaporean</v>
      </c>
      <c r="L376" s="33" t="str">
        <f t="shared" si="61"/>
        <v>Case 641 is a Imported  case, 55 years old male Singapore Citizen  and has been to UAE, UK, Germany . He is currently admitted at NTFGH . Family member of Case 640</v>
      </c>
      <c r="M376" s="33">
        <f t="shared" si="62"/>
        <v>641</v>
      </c>
      <c r="N376" s="33" t="str">
        <f t="shared" si="63"/>
        <v xml:space="preserve">UAE, UK, Germany </v>
      </c>
      <c r="O376" s="33">
        <f t="shared" si="64"/>
        <v>641</v>
      </c>
      <c r="P376" s="33" t="str">
        <f t="shared" si="65"/>
        <v>Family member of Case 640</v>
      </c>
    </row>
    <row r="377" spans="1:16" x14ac:dyDescent="0.3">
      <c r="A377">
        <v>642</v>
      </c>
      <c r="B377" s="24">
        <v>43915</v>
      </c>
      <c r="C377" t="s">
        <v>1062</v>
      </c>
      <c r="D377">
        <v>19</v>
      </c>
      <c r="E377" t="s">
        <v>1059</v>
      </c>
      <c r="F377" t="s">
        <v>1060</v>
      </c>
      <c r="G377" t="s">
        <v>1063</v>
      </c>
      <c r="H377" t="s">
        <v>77</v>
      </c>
      <c r="J377" s="33" t="str">
        <f t="shared" si="59"/>
        <v>Male</v>
      </c>
      <c r="K377" s="33" t="str">
        <f t="shared" si="60"/>
        <v>Singaporean</v>
      </c>
      <c r="L377" s="33" t="str">
        <f t="shared" si="61"/>
        <v xml:space="preserve">Case 642 is a Imported case, 19 years old male Singapore Citizen  and has been to UK . He is currently admitted at NTFGH . </v>
      </c>
      <c r="M377" s="33">
        <f t="shared" si="62"/>
        <v>642</v>
      </c>
      <c r="N377" s="33" t="str">
        <f t="shared" si="63"/>
        <v xml:space="preserve">UK </v>
      </c>
      <c r="O377" s="33" t="str">
        <f t="shared" si="64"/>
        <v/>
      </c>
      <c r="P377" s="33" t="str">
        <f t="shared" si="65"/>
        <v/>
      </c>
    </row>
    <row r="378" spans="1:16" x14ac:dyDescent="0.3">
      <c r="A378">
        <v>643</v>
      </c>
      <c r="B378" s="24">
        <v>43915</v>
      </c>
      <c r="C378" t="s">
        <v>1062</v>
      </c>
      <c r="D378">
        <v>51</v>
      </c>
      <c r="E378" t="s">
        <v>1073</v>
      </c>
      <c r="F378" t="s">
        <v>1072</v>
      </c>
      <c r="H378" t="s">
        <v>1061</v>
      </c>
      <c r="J378" s="33" t="str">
        <f t="shared" si="59"/>
        <v>Female</v>
      </c>
      <c r="K378" s="33" t="str">
        <f t="shared" si="60"/>
        <v>Singaporean</v>
      </c>
      <c r="L378" s="33" t="str">
        <f t="shared" si="61"/>
        <v xml:space="preserve">Case 643 is a Local unlinked case, 51 years old female Singapore Permanent Resident  and has not been overseas. She is currently admitted at NTFGH . </v>
      </c>
      <c r="M378" s="33" t="str">
        <f t="shared" si="62"/>
        <v/>
      </c>
      <c r="N378" s="33" t="str">
        <f t="shared" si="63"/>
        <v/>
      </c>
      <c r="O378" s="33" t="str">
        <f t="shared" si="64"/>
        <v/>
      </c>
      <c r="P378" s="33" t="str">
        <f t="shared" si="65"/>
        <v/>
      </c>
    </row>
    <row r="379" spans="1:16" x14ac:dyDescent="0.3">
      <c r="A379">
        <v>644</v>
      </c>
      <c r="B379" s="24">
        <v>43915</v>
      </c>
      <c r="C379" t="s">
        <v>1064</v>
      </c>
      <c r="D379">
        <v>52</v>
      </c>
      <c r="E379" t="s">
        <v>1059</v>
      </c>
      <c r="F379" t="s">
        <v>1060</v>
      </c>
      <c r="H379" t="s">
        <v>1086</v>
      </c>
      <c r="I379" t="s">
        <v>1272</v>
      </c>
      <c r="J379" s="33" t="str">
        <f t="shared" si="59"/>
        <v>Male</v>
      </c>
      <c r="K379" s="33" t="str">
        <f t="shared" si="60"/>
        <v>Singaporean</v>
      </c>
      <c r="L379" s="33" t="str">
        <f t="shared" si="61"/>
        <v>Case 644 is a Local linked  case, 52 years old male Singapore Citizen  and has not been overseas. He is currently admitted at CGH . Contact of Case 632</v>
      </c>
      <c r="M379" s="33" t="str">
        <f t="shared" si="62"/>
        <v/>
      </c>
      <c r="N379" s="33" t="str">
        <f t="shared" si="63"/>
        <v/>
      </c>
      <c r="O379" s="33">
        <f t="shared" si="64"/>
        <v>644</v>
      </c>
      <c r="P379" s="33" t="str">
        <f t="shared" si="65"/>
        <v>Contact of Case 632</v>
      </c>
    </row>
    <row r="380" spans="1:16" x14ac:dyDescent="0.3">
      <c r="A380">
        <v>645</v>
      </c>
      <c r="B380" s="24">
        <v>43915</v>
      </c>
      <c r="C380" t="s">
        <v>1138</v>
      </c>
      <c r="D380">
        <v>27</v>
      </c>
      <c r="E380" t="s">
        <v>1059</v>
      </c>
      <c r="F380" t="s">
        <v>1060</v>
      </c>
      <c r="G380" t="s">
        <v>1273</v>
      </c>
      <c r="H380" t="s">
        <v>1086</v>
      </c>
      <c r="J380" s="33" t="str">
        <f t="shared" si="59"/>
        <v>Male</v>
      </c>
      <c r="K380" s="33" t="str">
        <f t="shared" si="60"/>
        <v>Singaporean</v>
      </c>
      <c r="L380" s="33" t="str">
        <f t="shared" si="61"/>
        <v xml:space="preserve">Case 645 is a Local linked  case, 27 years old male Singapore Citizen  and has been to Thailand, Malaysia . He is currently admitted at SGH . </v>
      </c>
      <c r="M380" s="33">
        <f t="shared" si="62"/>
        <v>645</v>
      </c>
      <c r="N380" s="33" t="str">
        <f t="shared" si="63"/>
        <v xml:space="preserve">Thailand, Malaysia </v>
      </c>
      <c r="O380" s="33">
        <f>IF(H380="","",A380)</f>
        <v>645</v>
      </c>
      <c r="P380" s="33" t="str">
        <f>IF(H380="","",H380)</f>
        <v xml:space="preserve">Local linked </v>
      </c>
    </row>
    <row r="381" spans="1:16" x14ac:dyDescent="0.3">
      <c r="A381">
        <v>646</v>
      </c>
      <c r="B381" s="24">
        <v>43915</v>
      </c>
      <c r="C381" t="s">
        <v>1138</v>
      </c>
      <c r="D381">
        <v>56</v>
      </c>
      <c r="E381" t="s">
        <v>1073</v>
      </c>
      <c r="F381" t="s">
        <v>1072</v>
      </c>
      <c r="G381" t="s">
        <v>687</v>
      </c>
      <c r="H381" t="s">
        <v>77</v>
      </c>
      <c r="J381" s="33" t="str">
        <f t="shared" si="59"/>
        <v>Female</v>
      </c>
      <c r="K381" s="33" t="str">
        <f t="shared" si="60"/>
        <v>Singaporean</v>
      </c>
      <c r="L381" s="33" t="str">
        <f t="shared" si="61"/>
        <v xml:space="preserve">Case 646 is a Imported case, 56 years old female Singapore Permanent Resident  and has been to Indonesia . She is currently admitted at SGH . </v>
      </c>
      <c r="M381" s="33">
        <f t="shared" si="62"/>
        <v>646</v>
      </c>
      <c r="N381" s="33" t="str">
        <f t="shared" si="63"/>
        <v xml:space="preserve">Indonesia </v>
      </c>
      <c r="O381" s="33" t="str">
        <f t="shared" si="64"/>
        <v/>
      </c>
      <c r="P381" s="33" t="str">
        <f t="shared" si="65"/>
        <v/>
      </c>
    </row>
    <row r="382" spans="1:16" x14ac:dyDescent="0.3">
      <c r="A382">
        <v>647</v>
      </c>
      <c r="B382" s="24">
        <v>43915</v>
      </c>
      <c r="C382" t="s">
        <v>1161</v>
      </c>
      <c r="D382">
        <v>46</v>
      </c>
      <c r="E382" t="s">
        <v>1073</v>
      </c>
      <c r="F382" t="s">
        <v>1060</v>
      </c>
      <c r="G382" t="s">
        <v>1085</v>
      </c>
      <c r="H382" t="s">
        <v>1069</v>
      </c>
      <c r="I382" t="s">
        <v>1274</v>
      </c>
      <c r="J382" s="33" t="str">
        <f t="shared" si="59"/>
        <v>Female</v>
      </c>
      <c r="K382" s="33" t="str">
        <f t="shared" si="60"/>
        <v>Singaporean</v>
      </c>
      <c r="L382" s="33" t="str">
        <f t="shared" si="61"/>
        <v>Case 647 is a Imported  case, 46 years old female Singapore Citizen  and has been to US . She is currently admitted at KKH . Contact of Cases 418 and 582</v>
      </c>
      <c r="M382" s="33">
        <f t="shared" si="62"/>
        <v>647</v>
      </c>
      <c r="N382" s="33" t="str">
        <f t="shared" si="63"/>
        <v xml:space="preserve">US </v>
      </c>
      <c r="O382" s="33">
        <f t="shared" si="64"/>
        <v>647</v>
      </c>
      <c r="P382" s="33" t="str">
        <f t="shared" si="65"/>
        <v>Contact of Cases 418 and 582</v>
      </c>
    </row>
    <row r="383" spans="1:16" x14ac:dyDescent="0.3">
      <c r="A383">
        <v>648</v>
      </c>
      <c r="B383" s="24">
        <v>43915</v>
      </c>
      <c r="C383" t="s">
        <v>1071</v>
      </c>
      <c r="D383">
        <v>26</v>
      </c>
      <c r="E383" t="s">
        <v>1059</v>
      </c>
      <c r="F383" t="s">
        <v>1238</v>
      </c>
      <c r="G383" t="s">
        <v>1275</v>
      </c>
      <c r="H383" t="s">
        <v>77</v>
      </c>
      <c r="J383" s="33" t="str">
        <f t="shared" si="59"/>
        <v>Male</v>
      </c>
      <c r="K383" s="33" t="str">
        <f t="shared" si="60"/>
        <v>France</v>
      </c>
      <c r="L383" s="33" t="str">
        <f t="shared" si="61"/>
        <v xml:space="preserve">Case 648 is a Imported case, 26 years old male France (Singapore Work Pass holder)  and has been to Sri Lanka . He is currently admitted at NCID . </v>
      </c>
      <c r="M383" s="33">
        <f t="shared" si="62"/>
        <v>648</v>
      </c>
      <c r="N383" s="33" t="str">
        <f t="shared" si="63"/>
        <v xml:space="preserve">Sri Lanka </v>
      </c>
      <c r="O383" s="33" t="str">
        <f t="shared" si="64"/>
        <v/>
      </c>
      <c r="P383" s="33" t="str">
        <f t="shared" si="65"/>
        <v/>
      </c>
    </row>
    <row r="384" spans="1:16" x14ac:dyDescent="0.3">
      <c r="A384">
        <v>649</v>
      </c>
      <c r="B384" s="24">
        <v>43915</v>
      </c>
      <c r="C384" t="s">
        <v>1071</v>
      </c>
      <c r="D384">
        <v>36</v>
      </c>
      <c r="E384" t="s">
        <v>1059</v>
      </c>
      <c r="F384" t="s">
        <v>1060</v>
      </c>
      <c r="G384" t="s">
        <v>844</v>
      </c>
      <c r="H384" t="s">
        <v>77</v>
      </c>
      <c r="J384" s="33" t="str">
        <f t="shared" si="59"/>
        <v>Male</v>
      </c>
      <c r="K384" s="33" t="str">
        <f t="shared" si="60"/>
        <v>Singaporean</v>
      </c>
      <c r="L384" s="33" t="str">
        <f t="shared" si="61"/>
        <v xml:space="preserve">Case 649 is a Imported case, 36 years old male Singapore Citizen  and has been to Australia . He is currently admitted at NCID . </v>
      </c>
      <c r="M384" s="33">
        <f t="shared" si="62"/>
        <v>649</v>
      </c>
      <c r="N384" s="33" t="str">
        <f t="shared" si="63"/>
        <v xml:space="preserve">Australia </v>
      </c>
      <c r="O384" s="33" t="str">
        <f t="shared" si="64"/>
        <v/>
      </c>
      <c r="P384" s="33" t="str">
        <f t="shared" si="65"/>
        <v/>
      </c>
    </row>
    <row r="385" spans="1:16" x14ac:dyDescent="0.3">
      <c r="A385">
        <v>650</v>
      </c>
      <c r="B385" s="24">
        <v>43915</v>
      </c>
      <c r="C385" t="s">
        <v>1071</v>
      </c>
      <c r="D385">
        <v>19</v>
      </c>
      <c r="E385" t="s">
        <v>1059</v>
      </c>
      <c r="F385" t="s">
        <v>1072</v>
      </c>
      <c r="G385" t="s">
        <v>1063</v>
      </c>
      <c r="H385" t="s">
        <v>77</v>
      </c>
      <c r="J385" s="33" t="str">
        <f t="shared" si="59"/>
        <v>Male</v>
      </c>
      <c r="K385" s="33" t="str">
        <f t="shared" si="60"/>
        <v>Singaporean</v>
      </c>
      <c r="L385" s="33" t="str">
        <f t="shared" si="61"/>
        <v xml:space="preserve">Case 650 is a Imported case, 19 years old male Singapore Permanent Resident  and has been to UK . He is currently admitted at NCID . </v>
      </c>
      <c r="M385" s="33">
        <f t="shared" si="62"/>
        <v>650</v>
      </c>
      <c r="N385" s="33" t="str">
        <f t="shared" si="63"/>
        <v xml:space="preserve">UK </v>
      </c>
      <c r="O385" s="33" t="str">
        <f t="shared" si="64"/>
        <v/>
      </c>
      <c r="P385" s="33" t="str">
        <f t="shared" si="65"/>
        <v/>
      </c>
    </row>
    <row r="386" spans="1:16" x14ac:dyDescent="0.3">
      <c r="A386">
        <v>651</v>
      </c>
      <c r="B386" s="24">
        <v>43915</v>
      </c>
      <c r="C386" t="s">
        <v>1071</v>
      </c>
      <c r="D386">
        <v>31</v>
      </c>
      <c r="E386" t="s">
        <v>1059</v>
      </c>
      <c r="F386" t="s">
        <v>1156</v>
      </c>
      <c r="G386" t="s">
        <v>794</v>
      </c>
      <c r="H386" t="s">
        <v>77</v>
      </c>
      <c r="J386" s="33" t="str">
        <f t="shared" si="59"/>
        <v>Male</v>
      </c>
      <c r="K386" s="33" t="str">
        <f t="shared" si="60"/>
        <v>Malaysia</v>
      </c>
      <c r="L386" s="33" t="str">
        <f t="shared" si="61"/>
        <v xml:space="preserve">Case 651 is a Imported case, 31 years old male Malaysia (Singapore Work Pass holder)  and has been to Thailand . He is currently admitted at NCID . </v>
      </c>
      <c r="M386" s="33">
        <f t="shared" si="62"/>
        <v>651</v>
      </c>
      <c r="N386" s="33" t="str">
        <f t="shared" si="63"/>
        <v xml:space="preserve">Thailand </v>
      </c>
      <c r="O386" s="33" t="str">
        <f t="shared" si="64"/>
        <v/>
      </c>
      <c r="P386" s="33" t="str">
        <f t="shared" si="65"/>
        <v/>
      </c>
    </row>
    <row r="387" spans="1:16" x14ac:dyDescent="0.3">
      <c r="A387">
        <v>652</v>
      </c>
      <c r="B387" s="24">
        <v>43915</v>
      </c>
      <c r="C387" t="s">
        <v>1071</v>
      </c>
      <c r="D387">
        <v>37</v>
      </c>
      <c r="E387" t="s">
        <v>1059</v>
      </c>
      <c r="F387" t="s">
        <v>1218</v>
      </c>
      <c r="H387" t="s">
        <v>1061</v>
      </c>
      <c r="J387" s="33" t="str">
        <f t="shared" si="59"/>
        <v>Male</v>
      </c>
      <c r="K387" s="33" t="str">
        <f t="shared" si="60"/>
        <v>Australia</v>
      </c>
      <c r="L387" s="33" t="str">
        <f t="shared" si="61"/>
        <v xml:space="preserve">Case 652 is a Local unlinked case, 37 years old male Australia (Singapore Work Pass holder)  and has not been overseas. He is currently admitted at NCID . </v>
      </c>
      <c r="M387" s="33" t="str">
        <f t="shared" si="62"/>
        <v/>
      </c>
      <c r="N387" s="33" t="str">
        <f t="shared" si="63"/>
        <v/>
      </c>
      <c r="O387" s="33" t="str">
        <f t="shared" si="64"/>
        <v/>
      </c>
      <c r="P387" s="33" t="str">
        <f t="shared" si="65"/>
        <v/>
      </c>
    </row>
    <row r="388" spans="1:16" x14ac:dyDescent="0.3">
      <c r="A388">
        <v>653</v>
      </c>
      <c r="B388" s="24">
        <v>43915</v>
      </c>
      <c r="C388" t="s">
        <v>1138</v>
      </c>
      <c r="D388">
        <v>25</v>
      </c>
      <c r="E388" t="s">
        <v>1073</v>
      </c>
      <c r="F388" t="s">
        <v>1060</v>
      </c>
      <c r="G388" t="s">
        <v>1085</v>
      </c>
      <c r="H388" t="s">
        <v>77</v>
      </c>
      <c r="J388" s="33" t="str">
        <f t="shared" si="59"/>
        <v>Female</v>
      </c>
      <c r="K388" s="33" t="str">
        <f t="shared" si="60"/>
        <v>Singaporean</v>
      </c>
      <c r="L388" s="33" t="str">
        <f t="shared" si="61"/>
        <v xml:space="preserve">Case 653 is a Imported case, 25 years old female Singapore Citizen  and has been to US . She is currently admitted at SGH . </v>
      </c>
      <c r="M388" s="33">
        <f t="shared" si="62"/>
        <v>653</v>
      </c>
      <c r="N388" s="33" t="str">
        <f t="shared" si="63"/>
        <v xml:space="preserve">US </v>
      </c>
      <c r="O388" s="33" t="str">
        <f t="shared" si="64"/>
        <v/>
      </c>
      <c r="P388" s="33" t="str">
        <f t="shared" si="65"/>
        <v/>
      </c>
    </row>
    <row r="389" spans="1:16" x14ac:dyDescent="0.3">
      <c r="A389">
        <v>654</v>
      </c>
      <c r="B389" s="24">
        <v>43915</v>
      </c>
      <c r="C389" t="s">
        <v>1074</v>
      </c>
      <c r="D389">
        <v>66</v>
      </c>
      <c r="E389" t="s">
        <v>1073</v>
      </c>
      <c r="F389" t="s">
        <v>1060</v>
      </c>
      <c r="G389" t="s">
        <v>1276</v>
      </c>
      <c r="H389" t="s">
        <v>1069</v>
      </c>
      <c r="I389" t="s">
        <v>1277</v>
      </c>
      <c r="J389" s="33" t="str">
        <f t="shared" si="59"/>
        <v>Female</v>
      </c>
      <c r="K389" s="33" t="str">
        <f t="shared" si="60"/>
        <v>Singaporean</v>
      </c>
      <c r="L389" s="33" t="str">
        <f t="shared" si="61"/>
        <v>Case 654 is a Imported  case, 66 years old female Singapore Citizen  and has been to Italy, Switzerland . She is currently admitted at AH . Family member of Cases 459 and 517</v>
      </c>
      <c r="M389" s="33">
        <f t="shared" si="62"/>
        <v>654</v>
      </c>
      <c r="N389" s="33" t="str">
        <f t="shared" si="63"/>
        <v xml:space="preserve">Italy, Switzerland </v>
      </c>
      <c r="O389" s="33">
        <f t="shared" si="64"/>
        <v>654</v>
      </c>
      <c r="P389" s="33" t="str">
        <f t="shared" si="65"/>
        <v>Family member of Cases 459 and 517</v>
      </c>
    </row>
    <row r="390" spans="1:16" x14ac:dyDescent="0.3">
      <c r="A390">
        <v>655</v>
      </c>
      <c r="B390" s="24">
        <v>43915</v>
      </c>
      <c r="C390" t="s">
        <v>1071</v>
      </c>
      <c r="D390">
        <v>30</v>
      </c>
      <c r="E390" t="s">
        <v>1059</v>
      </c>
      <c r="F390" t="s">
        <v>1194</v>
      </c>
      <c r="H390" t="s">
        <v>1061</v>
      </c>
      <c r="J390" s="33" t="str">
        <f t="shared" si="59"/>
        <v>Male</v>
      </c>
      <c r="K390" s="33" t="str">
        <f t="shared" si="60"/>
        <v>India</v>
      </c>
      <c r="L390" s="33" t="str">
        <f t="shared" si="61"/>
        <v xml:space="preserve">Case 655 is a Local unlinked case, 30 years old male India (Long Term Pass holder)  and has not been overseas. He is currently admitted at NCID . </v>
      </c>
      <c r="M390" s="33" t="str">
        <f t="shared" si="62"/>
        <v/>
      </c>
      <c r="N390" s="33" t="str">
        <f t="shared" si="63"/>
        <v/>
      </c>
      <c r="O390" s="33" t="str">
        <f t="shared" si="64"/>
        <v/>
      </c>
      <c r="P390" s="33" t="str">
        <f t="shared" si="65"/>
        <v/>
      </c>
    </row>
    <row r="391" spans="1:16" x14ac:dyDescent="0.3">
      <c r="A391">
        <v>656</v>
      </c>
      <c r="B391" s="24">
        <v>43915</v>
      </c>
      <c r="C391" t="s">
        <v>1071</v>
      </c>
      <c r="D391">
        <v>30</v>
      </c>
      <c r="E391" t="s">
        <v>1059</v>
      </c>
      <c r="F391" t="s">
        <v>1060</v>
      </c>
      <c r="G391" t="s">
        <v>1177</v>
      </c>
      <c r="H391" t="s">
        <v>77</v>
      </c>
      <c r="J391" s="33" t="str">
        <f t="shared" si="59"/>
        <v>Male</v>
      </c>
      <c r="K391" s="33" t="str">
        <f t="shared" si="60"/>
        <v>Singaporean</v>
      </c>
      <c r="L391" s="33" t="str">
        <f t="shared" si="61"/>
        <v xml:space="preserve">Case 656 is a Imported case, 30 years old male Singapore Citizen  and has been to Pending . He is currently admitted at NCID . </v>
      </c>
      <c r="M391" s="33">
        <f t="shared" si="62"/>
        <v>656</v>
      </c>
      <c r="N391" s="33" t="str">
        <f t="shared" si="63"/>
        <v xml:space="preserve">Pending </v>
      </c>
      <c r="O391" s="33" t="str">
        <f t="shared" si="64"/>
        <v/>
      </c>
      <c r="P391" s="33" t="str">
        <f t="shared" si="65"/>
        <v/>
      </c>
    </row>
    <row r="392" spans="1:16" x14ac:dyDescent="0.3">
      <c r="A392">
        <v>657</v>
      </c>
      <c r="B392" s="24">
        <v>43915</v>
      </c>
      <c r="C392" t="s">
        <v>1071</v>
      </c>
      <c r="D392">
        <v>46</v>
      </c>
      <c r="E392" t="s">
        <v>1059</v>
      </c>
      <c r="F392" t="s">
        <v>1186</v>
      </c>
      <c r="H392" t="s">
        <v>1061</v>
      </c>
      <c r="J392" s="33" t="str">
        <f t="shared" si="59"/>
        <v>Male</v>
      </c>
      <c r="K392" s="33" t="str">
        <f t="shared" si="60"/>
        <v>UK</v>
      </c>
      <c r="L392" s="33" t="str">
        <f t="shared" si="61"/>
        <v xml:space="preserve">Case 657 is a Local unlinked case, 46 years old male UK (Singapore Work Pass holder)  and has not been overseas. He is currently admitted at NCID . </v>
      </c>
      <c r="M392" s="33" t="str">
        <f t="shared" si="62"/>
        <v/>
      </c>
      <c r="N392" s="33" t="str">
        <f t="shared" si="63"/>
        <v/>
      </c>
      <c r="O392" s="33" t="str">
        <f t="shared" si="64"/>
        <v/>
      </c>
      <c r="P392" s="33" t="str">
        <f t="shared" si="65"/>
        <v/>
      </c>
    </row>
    <row r="393" spans="1:16" x14ac:dyDescent="0.3">
      <c r="A393">
        <v>658</v>
      </c>
      <c r="B393" s="24">
        <v>43915</v>
      </c>
      <c r="C393" t="s">
        <v>1071</v>
      </c>
      <c r="D393">
        <v>28</v>
      </c>
      <c r="E393" t="s">
        <v>1059</v>
      </c>
      <c r="F393" t="s">
        <v>1278</v>
      </c>
      <c r="H393" t="s">
        <v>1061</v>
      </c>
      <c r="J393" s="33" t="str">
        <f t="shared" si="59"/>
        <v>Male</v>
      </c>
      <c r="K393" s="33" t="str">
        <f t="shared" si="60"/>
        <v>Bangladesh</v>
      </c>
      <c r="L393" s="33" t="str">
        <f t="shared" si="61"/>
        <v xml:space="preserve">Case 658 is a Local unlinked case, 28 years old male Bangladesh (Long Term Pass holder)  and has not been overseas. He is currently admitted at NCID . </v>
      </c>
      <c r="M393" s="33" t="str">
        <f t="shared" si="62"/>
        <v/>
      </c>
      <c r="N393" s="33" t="str">
        <f t="shared" si="63"/>
        <v/>
      </c>
      <c r="O393" s="33" t="str">
        <f t="shared" si="64"/>
        <v/>
      </c>
      <c r="P393" s="33" t="str">
        <f t="shared" si="65"/>
        <v/>
      </c>
    </row>
    <row r="394" spans="1:16" x14ac:dyDescent="0.3">
      <c r="A394">
        <v>659</v>
      </c>
      <c r="B394" s="24">
        <v>43915</v>
      </c>
      <c r="C394" t="s">
        <v>1161</v>
      </c>
      <c r="D394">
        <v>27</v>
      </c>
      <c r="E394" t="s">
        <v>1073</v>
      </c>
      <c r="F394" t="s">
        <v>1060</v>
      </c>
      <c r="H394" t="s">
        <v>1061</v>
      </c>
      <c r="J394" s="33" t="str">
        <f t="shared" si="59"/>
        <v>Female</v>
      </c>
      <c r="K394" s="33" t="str">
        <f t="shared" si="60"/>
        <v>Singaporean</v>
      </c>
      <c r="L394" s="33" t="str">
        <f t="shared" si="61"/>
        <v xml:space="preserve">Case 659 is a Local unlinked case, 27 years old female Singapore Citizen  and has not been overseas. She is currently admitted at KKH . </v>
      </c>
      <c r="M394" s="33" t="str">
        <f t="shared" si="62"/>
        <v/>
      </c>
      <c r="N394" s="33" t="str">
        <f t="shared" si="63"/>
        <v/>
      </c>
      <c r="O394" s="33" t="str">
        <f t="shared" si="64"/>
        <v/>
      </c>
      <c r="P394" s="33" t="str">
        <f t="shared" si="65"/>
        <v/>
      </c>
    </row>
    <row r="395" spans="1:16" x14ac:dyDescent="0.3">
      <c r="A395">
        <v>660</v>
      </c>
      <c r="B395" s="24">
        <v>43915</v>
      </c>
      <c r="C395" t="s">
        <v>1071</v>
      </c>
      <c r="D395">
        <v>22</v>
      </c>
      <c r="E395" t="s">
        <v>1073</v>
      </c>
      <c r="F395" t="s">
        <v>1250</v>
      </c>
      <c r="H395" t="s">
        <v>1086</v>
      </c>
      <c r="I395" t="s">
        <v>1259</v>
      </c>
      <c r="J395" s="33" t="str">
        <f t="shared" si="59"/>
        <v>Female</v>
      </c>
      <c r="K395" s="33" t="str">
        <f t="shared" si="60"/>
        <v>Philippines</v>
      </c>
      <c r="L395" s="33" t="str">
        <f t="shared" si="61"/>
        <v>Case 660 is a Local linked  case, 22 years old female Philippines (Singapore Work Pass holder)  and has not been overseas. She is currently admitted at NCID . PCF Fengshan</v>
      </c>
      <c r="M395" s="33" t="str">
        <f t="shared" si="62"/>
        <v/>
      </c>
      <c r="N395" s="33" t="str">
        <f t="shared" si="63"/>
        <v/>
      </c>
      <c r="O395" s="33">
        <f t="shared" si="64"/>
        <v>660</v>
      </c>
      <c r="P395" s="33" t="str">
        <f t="shared" si="65"/>
        <v>PCF Fengshan</v>
      </c>
    </row>
    <row r="396" spans="1:16" x14ac:dyDescent="0.3">
      <c r="A396">
        <v>661</v>
      </c>
      <c r="B396" s="24">
        <v>43916</v>
      </c>
      <c r="C396" t="s">
        <v>1071</v>
      </c>
      <c r="D396">
        <v>44</v>
      </c>
      <c r="E396" t="s">
        <v>1073</v>
      </c>
      <c r="F396" t="s">
        <v>1060</v>
      </c>
      <c r="H396" t="s">
        <v>1061</v>
      </c>
      <c r="J396" s="33" t="str">
        <f t="shared" si="59"/>
        <v>Female</v>
      </c>
      <c r="K396" s="33" t="str">
        <f t="shared" si="60"/>
        <v>Singaporean</v>
      </c>
      <c r="L396" s="33" t="str">
        <f t="shared" si="61"/>
        <v xml:space="preserve">Case 661 is a Local unlinked case, 44 years old female Singapore Citizen  and has not been overseas. She is currently admitted at NCID . </v>
      </c>
      <c r="M396" s="33" t="str">
        <f t="shared" si="62"/>
        <v/>
      </c>
      <c r="N396" s="33" t="str">
        <f t="shared" si="63"/>
        <v/>
      </c>
      <c r="O396" s="33" t="str">
        <f t="shared" si="64"/>
        <v/>
      </c>
      <c r="P396" s="33" t="str">
        <f t="shared" si="65"/>
        <v/>
      </c>
    </row>
    <row r="397" spans="1:16" x14ac:dyDescent="0.3">
      <c r="A397">
        <v>662</v>
      </c>
      <c r="B397" s="24">
        <v>43916</v>
      </c>
      <c r="C397" t="s">
        <v>1071</v>
      </c>
      <c r="D397">
        <v>42</v>
      </c>
      <c r="E397" t="s">
        <v>1059</v>
      </c>
      <c r="F397" t="s">
        <v>1186</v>
      </c>
      <c r="G397" t="s">
        <v>360</v>
      </c>
      <c r="H397" t="s">
        <v>1086</v>
      </c>
      <c r="I397" t="s">
        <v>1236</v>
      </c>
      <c r="J397" s="33" t="str">
        <f t="shared" si="59"/>
        <v>Male</v>
      </c>
      <c r="K397" s="33" t="str">
        <f t="shared" si="60"/>
        <v>UK</v>
      </c>
      <c r="L397" s="33" t="str">
        <f t="shared" si="61"/>
        <v>Case 662 is a Local linked  case, 42 years old male UK (Singapore Work Pass holder)  and has been to Malaysia . He is currently admitted at NCID . Dover Court International School</v>
      </c>
      <c r="M397" s="33">
        <f t="shared" si="62"/>
        <v>662</v>
      </c>
      <c r="N397" s="33" t="str">
        <f t="shared" si="63"/>
        <v xml:space="preserve">Malaysia </v>
      </c>
      <c r="O397" s="33">
        <f t="shared" si="64"/>
        <v>662</v>
      </c>
      <c r="P397" s="33" t="str">
        <f t="shared" si="65"/>
        <v>Dover Court International School</v>
      </c>
    </row>
    <row r="398" spans="1:16" x14ac:dyDescent="0.3">
      <c r="A398">
        <v>663</v>
      </c>
      <c r="B398" s="24">
        <v>43916</v>
      </c>
      <c r="C398" t="s">
        <v>1071</v>
      </c>
      <c r="D398">
        <v>21</v>
      </c>
      <c r="E398" t="s">
        <v>1073</v>
      </c>
      <c r="F398" t="s">
        <v>1060</v>
      </c>
      <c r="G398" t="s">
        <v>1063</v>
      </c>
      <c r="H398" t="s">
        <v>77</v>
      </c>
      <c r="J398" s="33" t="str">
        <f t="shared" si="59"/>
        <v>Female</v>
      </c>
      <c r="K398" s="33" t="str">
        <f t="shared" si="60"/>
        <v>Singaporean</v>
      </c>
      <c r="L398" s="33" t="str">
        <f t="shared" si="61"/>
        <v xml:space="preserve">Case 663 is a Imported case, 21 years old female Singapore Citizen  and has been to UK . She is currently admitted at NCID . </v>
      </c>
      <c r="M398" s="33">
        <f t="shared" si="62"/>
        <v>663</v>
      </c>
      <c r="N398" s="33" t="str">
        <f t="shared" si="63"/>
        <v xml:space="preserve">UK </v>
      </c>
      <c r="O398" s="33" t="str">
        <f t="shared" si="64"/>
        <v/>
      </c>
      <c r="P398" s="33" t="str">
        <f t="shared" si="65"/>
        <v/>
      </c>
    </row>
    <row r="399" spans="1:16" x14ac:dyDescent="0.3">
      <c r="A399">
        <v>664</v>
      </c>
      <c r="B399" s="24">
        <v>43916</v>
      </c>
      <c r="C399" t="s">
        <v>1071</v>
      </c>
      <c r="D399">
        <v>38</v>
      </c>
      <c r="E399" t="s">
        <v>1073</v>
      </c>
      <c r="F399" t="s">
        <v>1085</v>
      </c>
      <c r="G399" t="s">
        <v>1177</v>
      </c>
      <c r="H399" t="s">
        <v>77</v>
      </c>
      <c r="J399" s="33" t="str">
        <f t="shared" si="59"/>
        <v>Female</v>
      </c>
      <c r="K399" s="33" t="str">
        <f t="shared" si="60"/>
        <v xml:space="preserve">US </v>
      </c>
      <c r="L399" s="33" t="str">
        <f t="shared" si="61"/>
        <v xml:space="preserve">Case 664 is a Imported case, 38 years old female US  and has been to Pending . She is currently admitted at NCID . </v>
      </c>
      <c r="M399" s="33">
        <f t="shared" si="62"/>
        <v>664</v>
      </c>
      <c r="N399" s="33" t="str">
        <f t="shared" si="63"/>
        <v xml:space="preserve">Pending </v>
      </c>
      <c r="O399" s="33" t="str">
        <f t="shared" si="64"/>
        <v/>
      </c>
      <c r="P399" s="33" t="str">
        <f t="shared" si="65"/>
        <v/>
      </c>
    </row>
    <row r="400" spans="1:16" x14ac:dyDescent="0.3">
      <c r="A400">
        <v>665</v>
      </c>
      <c r="B400" s="24">
        <v>43916</v>
      </c>
      <c r="C400" t="s">
        <v>1071</v>
      </c>
      <c r="D400">
        <v>21</v>
      </c>
      <c r="E400" t="s">
        <v>1073</v>
      </c>
      <c r="F400" t="s">
        <v>1060</v>
      </c>
      <c r="G400" t="s">
        <v>1085</v>
      </c>
      <c r="H400" t="s">
        <v>77</v>
      </c>
      <c r="J400" s="33" t="str">
        <f t="shared" si="59"/>
        <v>Female</v>
      </c>
      <c r="K400" s="33" t="str">
        <f t="shared" si="60"/>
        <v>Singaporean</v>
      </c>
      <c r="L400" s="33" t="str">
        <f t="shared" si="61"/>
        <v xml:space="preserve">Case 665 is a Imported case, 21 years old female Singapore Citizen  and has been to US . She is currently admitted at NCID . </v>
      </c>
      <c r="M400" s="33">
        <f t="shared" si="62"/>
        <v>665</v>
      </c>
      <c r="N400" s="33" t="str">
        <f t="shared" si="63"/>
        <v xml:space="preserve">US </v>
      </c>
      <c r="O400" s="33" t="str">
        <f t="shared" si="64"/>
        <v/>
      </c>
      <c r="P400" s="33" t="str">
        <f t="shared" si="65"/>
        <v/>
      </c>
    </row>
    <row r="401" spans="1:16" x14ac:dyDescent="0.3">
      <c r="A401">
        <v>666</v>
      </c>
      <c r="B401" s="24">
        <v>43916</v>
      </c>
      <c r="C401" t="s">
        <v>1138</v>
      </c>
      <c r="D401">
        <v>32</v>
      </c>
      <c r="E401" t="s">
        <v>1073</v>
      </c>
      <c r="F401" t="s">
        <v>1060</v>
      </c>
      <c r="H401" t="s">
        <v>1061</v>
      </c>
      <c r="J401" s="33" t="str">
        <f t="shared" si="59"/>
        <v>Female</v>
      </c>
      <c r="K401" s="33" t="str">
        <f t="shared" si="60"/>
        <v>Singaporean</v>
      </c>
      <c r="L401" s="33" t="str">
        <f t="shared" si="61"/>
        <v xml:space="preserve">Case 666 is a Local unlinked case, 32 years old female Singapore Citizen  and has not been overseas. She is currently admitted at SGH . </v>
      </c>
      <c r="M401" s="33" t="str">
        <f t="shared" si="62"/>
        <v/>
      </c>
      <c r="N401" s="33" t="str">
        <f t="shared" si="63"/>
        <v/>
      </c>
      <c r="O401" s="33" t="str">
        <f t="shared" si="64"/>
        <v/>
      </c>
      <c r="P401" s="33" t="str">
        <f t="shared" si="65"/>
        <v/>
      </c>
    </row>
    <row r="402" spans="1:16" x14ac:dyDescent="0.3">
      <c r="A402">
        <v>667</v>
      </c>
      <c r="B402" s="24">
        <v>43916</v>
      </c>
      <c r="C402" t="s">
        <v>1071</v>
      </c>
      <c r="D402">
        <v>40</v>
      </c>
      <c r="E402" t="s">
        <v>1073</v>
      </c>
      <c r="F402" t="s">
        <v>1060</v>
      </c>
      <c r="G402" t="s">
        <v>1085</v>
      </c>
      <c r="H402" t="s">
        <v>77</v>
      </c>
      <c r="J402" s="33" t="str">
        <f t="shared" si="59"/>
        <v>Female</v>
      </c>
      <c r="K402" s="33" t="str">
        <f t="shared" si="60"/>
        <v>Singaporean</v>
      </c>
      <c r="L402" s="33" t="str">
        <f t="shared" si="61"/>
        <v xml:space="preserve">Case 667 is a Imported case, 40 years old female Singapore Citizen  and has been to US . She is currently admitted at NCID . </v>
      </c>
      <c r="M402" s="33">
        <f t="shared" si="62"/>
        <v>667</v>
      </c>
      <c r="N402" s="33" t="str">
        <f t="shared" si="63"/>
        <v xml:space="preserve">US </v>
      </c>
      <c r="O402" s="33" t="str">
        <f t="shared" si="64"/>
        <v/>
      </c>
      <c r="P402" s="33" t="str">
        <f t="shared" si="65"/>
        <v/>
      </c>
    </row>
    <row r="403" spans="1:16" x14ac:dyDescent="0.3">
      <c r="A403">
        <v>668</v>
      </c>
      <c r="B403" s="24">
        <v>43916</v>
      </c>
      <c r="C403" t="s">
        <v>1071</v>
      </c>
      <c r="D403">
        <v>31</v>
      </c>
      <c r="E403" t="s">
        <v>1073</v>
      </c>
      <c r="F403" t="s">
        <v>1255</v>
      </c>
      <c r="G403" t="s">
        <v>798</v>
      </c>
      <c r="H403" t="s">
        <v>1086</v>
      </c>
      <c r="I403" t="s">
        <v>1279</v>
      </c>
      <c r="J403" s="33" t="str">
        <f t="shared" si="59"/>
        <v>Female</v>
      </c>
      <c r="K403" s="33" t="str">
        <f t="shared" si="60"/>
        <v>India</v>
      </c>
      <c r="L403" s="33" t="str">
        <f t="shared" si="61"/>
        <v>Case 668 is a Local linked  case, 31 years old female India (Singapore Work Pass holder)  and has been to India . She is currently admitted at NCID . Contact of Case 600</v>
      </c>
      <c r="M403" s="33">
        <f t="shared" si="62"/>
        <v>668</v>
      </c>
      <c r="N403" s="33" t="str">
        <f t="shared" si="63"/>
        <v xml:space="preserve">India </v>
      </c>
      <c r="O403" s="33">
        <f t="shared" si="64"/>
        <v>668</v>
      </c>
      <c r="P403" s="33" t="str">
        <f t="shared" si="65"/>
        <v>Contact of Case 600</v>
      </c>
    </row>
    <row r="404" spans="1:16" x14ac:dyDescent="0.3">
      <c r="A404">
        <v>669</v>
      </c>
      <c r="B404" s="24">
        <v>43916</v>
      </c>
      <c r="C404" t="s">
        <v>1071</v>
      </c>
      <c r="D404">
        <v>54</v>
      </c>
      <c r="E404" t="s">
        <v>1059</v>
      </c>
      <c r="F404" t="s">
        <v>1186</v>
      </c>
      <c r="G404" t="s">
        <v>703</v>
      </c>
      <c r="H404" t="s">
        <v>77</v>
      </c>
      <c r="J404" s="33" t="str">
        <f t="shared" si="59"/>
        <v>Male</v>
      </c>
      <c r="K404" s="33" t="str">
        <f t="shared" si="60"/>
        <v>UK</v>
      </c>
      <c r="L404" s="33" t="str">
        <f t="shared" si="61"/>
        <v xml:space="preserve">Case 669 is a Imported case, 54 years old male UK (Singapore Work Pass holder)  and has been to France . He is currently admitted at NCID . </v>
      </c>
      <c r="M404" s="33">
        <f t="shared" si="62"/>
        <v>669</v>
      </c>
      <c r="N404" s="33" t="str">
        <f t="shared" si="63"/>
        <v xml:space="preserve">France </v>
      </c>
      <c r="O404" s="33" t="str">
        <f t="shared" si="64"/>
        <v/>
      </c>
      <c r="P404" s="33" t="str">
        <f t="shared" si="65"/>
        <v/>
      </c>
    </row>
    <row r="405" spans="1:16" x14ac:dyDescent="0.3">
      <c r="A405">
        <v>670</v>
      </c>
      <c r="B405" s="24">
        <v>43916</v>
      </c>
      <c r="C405" t="s">
        <v>1071</v>
      </c>
      <c r="D405">
        <v>34</v>
      </c>
      <c r="E405" t="s">
        <v>1059</v>
      </c>
      <c r="F405" t="s">
        <v>1218</v>
      </c>
      <c r="H405" t="s">
        <v>1061</v>
      </c>
      <c r="J405" s="33" t="str">
        <f t="shared" si="59"/>
        <v>Male</v>
      </c>
      <c r="K405" s="33" t="str">
        <f t="shared" si="60"/>
        <v>Australia</v>
      </c>
      <c r="L405" s="33" t="str">
        <f t="shared" si="61"/>
        <v xml:space="preserve">Case 670 is a Local unlinked case, 34 years old male Australia (Singapore Work Pass holder)  and has not been overseas. He is currently admitted at NCID . </v>
      </c>
      <c r="M405" s="33" t="str">
        <f t="shared" si="62"/>
        <v/>
      </c>
      <c r="N405" s="33" t="str">
        <f t="shared" si="63"/>
        <v/>
      </c>
      <c r="O405" s="33" t="str">
        <f t="shared" si="64"/>
        <v/>
      </c>
      <c r="P405" s="33" t="str">
        <f t="shared" si="65"/>
        <v/>
      </c>
    </row>
    <row r="406" spans="1:16" x14ac:dyDescent="0.3">
      <c r="A406">
        <v>671</v>
      </c>
      <c r="B406" s="24">
        <v>43916</v>
      </c>
      <c r="C406" t="s">
        <v>1071</v>
      </c>
      <c r="D406">
        <v>29</v>
      </c>
      <c r="E406" t="s">
        <v>1073</v>
      </c>
      <c r="F406" t="s">
        <v>1060</v>
      </c>
      <c r="G406" t="s">
        <v>1085</v>
      </c>
      <c r="H406" t="s">
        <v>77</v>
      </c>
      <c r="J406" s="33" t="str">
        <f t="shared" si="59"/>
        <v>Female</v>
      </c>
      <c r="K406" s="33" t="str">
        <f t="shared" si="60"/>
        <v>Singaporean</v>
      </c>
      <c r="L406" s="33" t="str">
        <f t="shared" si="61"/>
        <v xml:space="preserve">Case 671 is a Imported case, 29 years old female Singapore Citizen  and has been to US . She is currently admitted at NCID . </v>
      </c>
      <c r="M406" s="33">
        <f t="shared" si="62"/>
        <v>671</v>
      </c>
      <c r="N406" s="33" t="str">
        <f t="shared" si="63"/>
        <v xml:space="preserve">US </v>
      </c>
      <c r="O406" s="33" t="str">
        <f t="shared" si="64"/>
        <v/>
      </c>
      <c r="P406" s="33" t="str">
        <f t="shared" si="65"/>
        <v/>
      </c>
    </row>
    <row r="407" spans="1:16" x14ac:dyDescent="0.3">
      <c r="A407">
        <v>672</v>
      </c>
      <c r="B407" s="24">
        <v>43916</v>
      </c>
      <c r="C407" t="s">
        <v>1071</v>
      </c>
      <c r="D407">
        <v>24</v>
      </c>
      <c r="E407" t="s">
        <v>1073</v>
      </c>
      <c r="F407" t="s">
        <v>1060</v>
      </c>
      <c r="G407" t="s">
        <v>1085</v>
      </c>
      <c r="H407" t="s">
        <v>77</v>
      </c>
      <c r="J407" s="33" t="str">
        <f t="shared" si="59"/>
        <v>Female</v>
      </c>
      <c r="K407" s="33" t="str">
        <f t="shared" si="60"/>
        <v>Singaporean</v>
      </c>
      <c r="L407" s="33" t="str">
        <f t="shared" si="61"/>
        <v xml:space="preserve">Case 672 is a Imported case, 24 years old female Singapore Citizen  and has been to US . She is currently admitted at NCID . </v>
      </c>
      <c r="M407" s="33">
        <f t="shared" si="62"/>
        <v>672</v>
      </c>
      <c r="N407" s="33" t="str">
        <f t="shared" si="63"/>
        <v xml:space="preserve">US </v>
      </c>
      <c r="O407" s="33" t="str">
        <f t="shared" si="64"/>
        <v/>
      </c>
      <c r="P407" s="33" t="str">
        <f t="shared" si="65"/>
        <v/>
      </c>
    </row>
    <row r="408" spans="1:16" x14ac:dyDescent="0.3">
      <c r="A408">
        <v>673</v>
      </c>
      <c r="B408" s="24">
        <v>43916</v>
      </c>
      <c r="C408" t="s">
        <v>1071</v>
      </c>
      <c r="D408">
        <v>27</v>
      </c>
      <c r="E408" t="s">
        <v>1059</v>
      </c>
      <c r="F408" t="s">
        <v>1060</v>
      </c>
      <c r="G408" t="s">
        <v>1085</v>
      </c>
      <c r="H408" t="s">
        <v>77</v>
      </c>
      <c r="J408" s="33" t="str">
        <f t="shared" si="59"/>
        <v>Male</v>
      </c>
      <c r="K408" s="33" t="str">
        <f t="shared" si="60"/>
        <v>Singaporean</v>
      </c>
      <c r="L408" s="33" t="str">
        <f t="shared" si="61"/>
        <v xml:space="preserve">Case 673 is a Imported case, 27 years old male Singapore Citizen  and has been to US . He is currently admitted at NCID . </v>
      </c>
      <c r="M408" s="33">
        <f t="shared" si="62"/>
        <v>673</v>
      </c>
      <c r="N408" s="33" t="str">
        <f t="shared" si="63"/>
        <v xml:space="preserve">US </v>
      </c>
      <c r="O408" s="33" t="str">
        <f t="shared" si="64"/>
        <v/>
      </c>
      <c r="P408" s="33" t="str">
        <f t="shared" si="65"/>
        <v/>
      </c>
    </row>
    <row r="409" spans="1:16" x14ac:dyDescent="0.3">
      <c r="A409">
        <v>674</v>
      </c>
      <c r="B409" s="24">
        <v>43916</v>
      </c>
      <c r="C409" t="s">
        <v>1071</v>
      </c>
      <c r="D409">
        <v>59</v>
      </c>
      <c r="E409" t="s">
        <v>1059</v>
      </c>
      <c r="F409" t="s">
        <v>1060</v>
      </c>
      <c r="G409" t="s">
        <v>1063</v>
      </c>
      <c r="H409" t="s">
        <v>77</v>
      </c>
      <c r="J409" s="33" t="str">
        <f t="shared" si="59"/>
        <v>Male</v>
      </c>
      <c r="K409" s="33" t="str">
        <f t="shared" si="60"/>
        <v>Singaporean</v>
      </c>
      <c r="L409" s="33" t="str">
        <f t="shared" si="61"/>
        <v xml:space="preserve">Case 674 is a Imported case, 59 years old male Singapore Citizen  and has been to UK . He is currently admitted at NCID . </v>
      </c>
      <c r="M409" s="33">
        <f t="shared" si="62"/>
        <v>674</v>
      </c>
      <c r="N409" s="33" t="str">
        <f t="shared" si="63"/>
        <v xml:space="preserve">UK </v>
      </c>
      <c r="O409" s="33" t="str">
        <f t="shared" si="64"/>
        <v/>
      </c>
      <c r="P409" s="33" t="str">
        <f t="shared" si="65"/>
        <v/>
      </c>
    </row>
    <row r="410" spans="1:16" x14ac:dyDescent="0.3">
      <c r="A410">
        <v>675</v>
      </c>
      <c r="B410" s="24">
        <v>43916</v>
      </c>
      <c r="C410" t="s">
        <v>1071</v>
      </c>
      <c r="D410">
        <v>51</v>
      </c>
      <c r="E410" t="s">
        <v>1073</v>
      </c>
      <c r="F410" t="s">
        <v>1060</v>
      </c>
      <c r="H410" t="s">
        <v>1086</v>
      </c>
      <c r="I410" t="s">
        <v>1280</v>
      </c>
      <c r="J410" s="33" t="str">
        <f t="shared" si="59"/>
        <v>Female</v>
      </c>
      <c r="K410" s="33" t="str">
        <f t="shared" si="60"/>
        <v>Singaporean</v>
      </c>
      <c r="L410" s="33" t="str">
        <f t="shared" si="61"/>
        <v>Case 675 is a Local linked  case, 51 years old female Singapore Citizen  and has not been overseas. She is currently admitted at NCID . Family member of Case 528, 645 and 676</v>
      </c>
      <c r="M410" s="33" t="str">
        <f t="shared" si="62"/>
        <v/>
      </c>
      <c r="N410" s="33" t="str">
        <f t="shared" si="63"/>
        <v/>
      </c>
      <c r="O410" s="33">
        <f t="shared" si="64"/>
        <v>675</v>
      </c>
      <c r="P410" s="33" t="str">
        <f t="shared" si="65"/>
        <v>Family member of Case 528, 645 and 676</v>
      </c>
    </row>
    <row r="411" spans="1:16" x14ac:dyDescent="0.3">
      <c r="A411">
        <v>676</v>
      </c>
      <c r="B411" s="24">
        <v>43916</v>
      </c>
      <c r="C411" t="s">
        <v>1071</v>
      </c>
      <c r="D411">
        <v>29</v>
      </c>
      <c r="E411" t="s">
        <v>1059</v>
      </c>
      <c r="F411" t="s">
        <v>1060</v>
      </c>
      <c r="G411" t="s">
        <v>794</v>
      </c>
      <c r="H411" t="s">
        <v>1086</v>
      </c>
      <c r="I411" t="s">
        <v>1281</v>
      </c>
      <c r="J411" s="33" t="str">
        <f t="shared" si="59"/>
        <v>Male</v>
      </c>
      <c r="K411" s="33" t="str">
        <f t="shared" si="60"/>
        <v>Singaporean</v>
      </c>
      <c r="L411" s="33" t="str">
        <f t="shared" si="61"/>
        <v>Case 676 is a Local linked  case, 29 years old male Singapore Citizen  and has been to Thailand . He is currently admitted at NCID . Family member of Case 528, 645 and 675</v>
      </c>
      <c r="M411" s="33">
        <f t="shared" si="62"/>
        <v>676</v>
      </c>
      <c r="N411" s="33" t="str">
        <f t="shared" si="63"/>
        <v xml:space="preserve">Thailand </v>
      </c>
      <c r="O411" s="33">
        <f t="shared" si="64"/>
        <v>676</v>
      </c>
      <c r="P411" s="33" t="str">
        <f t="shared" si="65"/>
        <v>Family member of Case 528, 645 and 675</v>
      </c>
    </row>
    <row r="412" spans="1:16" x14ac:dyDescent="0.3">
      <c r="A412">
        <v>677</v>
      </c>
      <c r="B412" s="24">
        <v>43916</v>
      </c>
      <c r="C412" t="s">
        <v>1071</v>
      </c>
      <c r="D412">
        <v>40</v>
      </c>
      <c r="E412" t="s">
        <v>1073</v>
      </c>
      <c r="F412" t="s">
        <v>1060</v>
      </c>
      <c r="H412" t="s">
        <v>1061</v>
      </c>
      <c r="J412" s="33" t="str">
        <f t="shared" si="59"/>
        <v>Female</v>
      </c>
      <c r="K412" s="33" t="str">
        <f t="shared" si="60"/>
        <v>Singaporean</v>
      </c>
      <c r="L412" s="33" t="str">
        <f t="shared" si="61"/>
        <v xml:space="preserve">Case 677 is a Local unlinked case, 40 years old female Singapore Citizen  and has not been overseas. She is currently admitted at NCID . </v>
      </c>
      <c r="M412" s="33" t="str">
        <f t="shared" si="62"/>
        <v/>
      </c>
      <c r="N412" s="33" t="str">
        <f t="shared" si="63"/>
        <v/>
      </c>
      <c r="O412" s="33" t="str">
        <f t="shared" si="64"/>
        <v/>
      </c>
      <c r="P412" s="33" t="str">
        <f t="shared" si="65"/>
        <v/>
      </c>
    </row>
    <row r="413" spans="1:16" x14ac:dyDescent="0.3">
      <c r="A413">
        <v>678</v>
      </c>
      <c r="B413" s="24">
        <v>43916</v>
      </c>
      <c r="C413" t="s">
        <v>1071</v>
      </c>
      <c r="D413">
        <v>71</v>
      </c>
      <c r="E413" t="s">
        <v>1059</v>
      </c>
      <c r="F413" t="s">
        <v>1072</v>
      </c>
      <c r="H413" t="s">
        <v>1061</v>
      </c>
      <c r="J413" s="33" t="str">
        <f t="shared" si="59"/>
        <v>Male</v>
      </c>
      <c r="K413" s="33" t="str">
        <f t="shared" si="60"/>
        <v>Singaporean</v>
      </c>
      <c r="L413" s="33" t="str">
        <f t="shared" si="61"/>
        <v xml:space="preserve">Case 678 is a Local unlinked case, 71 years old male Singapore Permanent Resident  and has not been overseas. He is currently admitted at NCID . </v>
      </c>
      <c r="M413" s="33" t="str">
        <f t="shared" si="62"/>
        <v/>
      </c>
      <c r="N413" s="33" t="str">
        <f t="shared" si="63"/>
        <v/>
      </c>
      <c r="O413" s="33" t="str">
        <f t="shared" si="64"/>
        <v/>
      </c>
      <c r="P413" s="33" t="str">
        <f t="shared" si="65"/>
        <v/>
      </c>
    </row>
    <row r="414" spans="1:16" x14ac:dyDescent="0.3">
      <c r="A414">
        <v>679</v>
      </c>
      <c r="B414" s="24">
        <v>43916</v>
      </c>
      <c r="C414" t="s">
        <v>1071</v>
      </c>
      <c r="D414">
        <v>45</v>
      </c>
      <c r="E414" t="s">
        <v>1059</v>
      </c>
      <c r="F414" t="s">
        <v>1245</v>
      </c>
      <c r="H414" t="s">
        <v>1061</v>
      </c>
      <c r="J414" s="33" t="str">
        <f t="shared" si="59"/>
        <v>Male</v>
      </c>
      <c r="K414" s="33" t="str">
        <f t="shared" si="60"/>
        <v>US</v>
      </c>
      <c r="L414" s="33" t="str">
        <f t="shared" si="61"/>
        <v xml:space="preserve">Case 679 is a Local unlinked case, 45 years old male US (Singapore Work Pass holder)  and has not been overseas. He is currently admitted at NCID . </v>
      </c>
      <c r="M414" s="33" t="str">
        <f t="shared" si="62"/>
        <v/>
      </c>
      <c r="N414" s="33" t="str">
        <f t="shared" si="63"/>
        <v/>
      </c>
      <c r="O414" s="33" t="str">
        <f t="shared" si="64"/>
        <v/>
      </c>
      <c r="P414" s="33" t="str">
        <f t="shared" si="65"/>
        <v/>
      </c>
    </row>
    <row r="415" spans="1:16" x14ac:dyDescent="0.3">
      <c r="A415">
        <v>680</v>
      </c>
      <c r="B415" s="24">
        <v>43916</v>
      </c>
      <c r="C415" t="s">
        <v>1071</v>
      </c>
      <c r="D415">
        <v>19</v>
      </c>
      <c r="E415" t="s">
        <v>1059</v>
      </c>
      <c r="F415" t="s">
        <v>1063</v>
      </c>
      <c r="G415" t="s">
        <v>1177</v>
      </c>
      <c r="H415" t="s">
        <v>77</v>
      </c>
      <c r="J415" s="33" t="str">
        <f t="shared" si="59"/>
        <v>Male</v>
      </c>
      <c r="K415" s="33" t="str">
        <f t="shared" si="60"/>
        <v xml:space="preserve">UK </v>
      </c>
      <c r="L415" s="33" t="str">
        <f t="shared" si="61"/>
        <v xml:space="preserve">Case 680 is a Imported case, 19 years old male UK  and has been to Pending . He is currently admitted at NCID . </v>
      </c>
      <c r="M415" s="33">
        <f t="shared" si="62"/>
        <v>680</v>
      </c>
      <c r="N415" s="33" t="str">
        <f t="shared" si="63"/>
        <v xml:space="preserve">Pending </v>
      </c>
      <c r="O415" s="33" t="str">
        <f t="shared" si="64"/>
        <v/>
      </c>
      <c r="P415" s="33" t="str">
        <f t="shared" si="65"/>
        <v/>
      </c>
    </row>
    <row r="416" spans="1:16" x14ac:dyDescent="0.3">
      <c r="A416">
        <v>681</v>
      </c>
      <c r="B416" s="24">
        <v>43916</v>
      </c>
      <c r="C416" t="s">
        <v>1071</v>
      </c>
      <c r="D416">
        <v>42</v>
      </c>
      <c r="E416" t="s">
        <v>1059</v>
      </c>
      <c r="F416" t="s">
        <v>1282</v>
      </c>
      <c r="G416" t="s">
        <v>687</v>
      </c>
      <c r="H416" t="s">
        <v>1086</v>
      </c>
      <c r="I416" t="s">
        <v>1283</v>
      </c>
      <c r="J416" s="33" t="str">
        <f t="shared" si="59"/>
        <v>Male</v>
      </c>
      <c r="K416" s="33" t="str">
        <f t="shared" si="60"/>
        <v>New Zealand</v>
      </c>
      <c r="L416" s="33" t="str">
        <f t="shared" si="61"/>
        <v>Case 681 is a Local linked  case, 42 years old male New Zealand (Singapore Work Pass holder)  and has been to Indonesia . He is currently admitted at NCID . Contact of Case 477</v>
      </c>
      <c r="M416" s="33">
        <f t="shared" si="62"/>
        <v>681</v>
      </c>
      <c r="N416" s="33" t="str">
        <f t="shared" si="63"/>
        <v xml:space="preserve">Indonesia </v>
      </c>
      <c r="O416" s="33">
        <f t="shared" si="64"/>
        <v>681</v>
      </c>
      <c r="P416" s="33" t="str">
        <f t="shared" si="65"/>
        <v>Contact of Case 477</v>
      </c>
    </row>
    <row r="417" spans="1:16" x14ac:dyDescent="0.3">
      <c r="A417">
        <v>682</v>
      </c>
      <c r="B417" s="24">
        <v>43916</v>
      </c>
      <c r="C417" t="s">
        <v>1071</v>
      </c>
      <c r="D417">
        <v>22</v>
      </c>
      <c r="E417" t="s">
        <v>1059</v>
      </c>
      <c r="F417" t="s">
        <v>1060</v>
      </c>
      <c r="H417" t="s">
        <v>1061</v>
      </c>
      <c r="J417" s="33" t="str">
        <f t="shared" si="59"/>
        <v>Male</v>
      </c>
      <c r="K417" s="33" t="str">
        <f t="shared" si="60"/>
        <v>Singaporean</v>
      </c>
      <c r="L417" s="33" t="str">
        <f t="shared" si="61"/>
        <v xml:space="preserve">Case 682 is a Local unlinked case, 22 years old male Singapore Citizen  and has not been overseas. He is currently admitted at NCID . </v>
      </c>
      <c r="M417" s="33" t="str">
        <f t="shared" si="62"/>
        <v/>
      </c>
      <c r="N417" s="33" t="str">
        <f t="shared" si="63"/>
        <v/>
      </c>
      <c r="O417" s="33" t="str">
        <f t="shared" si="64"/>
        <v/>
      </c>
      <c r="P417" s="33" t="str">
        <f t="shared" si="65"/>
        <v/>
      </c>
    </row>
    <row r="418" spans="1:16" x14ac:dyDescent="0.3">
      <c r="A418">
        <v>683</v>
      </c>
      <c r="B418" s="24">
        <v>43916</v>
      </c>
      <c r="C418" t="s">
        <v>1071</v>
      </c>
      <c r="D418">
        <v>40</v>
      </c>
      <c r="E418" t="s">
        <v>1073</v>
      </c>
      <c r="F418" t="s">
        <v>1060</v>
      </c>
      <c r="G418" t="s">
        <v>1177</v>
      </c>
      <c r="H418" t="s">
        <v>77</v>
      </c>
      <c r="J418" s="33" t="str">
        <f t="shared" si="59"/>
        <v>Female</v>
      </c>
      <c r="K418" s="33" t="str">
        <f t="shared" si="60"/>
        <v>Singaporean</v>
      </c>
      <c r="L418" s="33" t="str">
        <f t="shared" si="61"/>
        <v xml:space="preserve">Case 683 is a Imported case, 40 years old female Singapore Citizen  and has been to Pending . She is currently admitted at NCID . </v>
      </c>
      <c r="M418" s="33">
        <f t="shared" si="62"/>
        <v>683</v>
      </c>
      <c r="N418" s="33" t="str">
        <f t="shared" si="63"/>
        <v xml:space="preserve">Pending </v>
      </c>
      <c r="O418" s="33" t="str">
        <f t="shared" si="64"/>
        <v/>
      </c>
      <c r="P418" s="33" t="str">
        <f t="shared" si="65"/>
        <v/>
      </c>
    </row>
    <row r="419" spans="1:16" x14ac:dyDescent="0.3">
      <c r="A419" s="34">
        <v>684</v>
      </c>
      <c r="B419" s="38">
        <v>43916</v>
      </c>
      <c r="C419" s="34" t="s">
        <v>1071</v>
      </c>
      <c r="D419" s="34">
        <v>21</v>
      </c>
      <c r="E419" s="34" t="s">
        <v>1059</v>
      </c>
      <c r="F419" s="34" t="s">
        <v>1072</v>
      </c>
      <c r="G419" s="34" t="s">
        <v>1063</v>
      </c>
      <c r="H419" s="34" t="s">
        <v>77</v>
      </c>
      <c r="I419" s="34"/>
      <c r="J419" s="34" t="str">
        <f t="shared" ref="J419:J467" si="66">IF(TRIM(E419)="M","Male",IF(TRIM(E419)="F","Female",""))</f>
        <v>Male</v>
      </c>
      <c r="K419" s="34" t="str">
        <f t="shared" ref="K419:K467" si="67">IF(LEFT(F419,9)="Singapore","Singaporean",IF(ISERR(FIND("(",F419)),F419,LEFT(F419,FIND("(",F419)-2)))</f>
        <v>Singaporean</v>
      </c>
      <c r="L419" s="34" t="str">
        <f t="shared" ref="L419:L467" si="68">"Case "&amp;A419&amp;" is a "&amp;H419&amp;" case, "&amp;D419&amp;" years old "&amp;LOWER(J419)&amp;" "&amp;F419 &amp;IF(G419=""," and has not been overseas"," and has been to "&amp;G419)&amp;". "&amp;IF(TRIM(E419)="F","She",IF(TRIM(E419)="M","He"))&amp;" is currently admitted at "&amp;C419&amp;". "&amp;I419</f>
        <v xml:space="preserve">Case 684 is a Imported case, 21 years old male Singapore Permanent Resident  and has been to UK . He is currently admitted at NCID . </v>
      </c>
      <c r="M419" s="34">
        <f t="shared" ref="M419:M467" si="69">IF(G419="","",A419)</f>
        <v>684</v>
      </c>
      <c r="N419" s="34" t="str">
        <f t="shared" ref="N419:N467" si="70">IF(G419="","",G419)</f>
        <v xml:space="preserve">UK </v>
      </c>
      <c r="O419" s="34" t="str">
        <f t="shared" ref="O419:O467" si="71">IF(I419="","",A419)</f>
        <v/>
      </c>
      <c r="P419" s="34" t="str">
        <f t="shared" ref="P419:P467" si="72">IF(I419="","",I419)</f>
        <v/>
      </c>
    </row>
    <row r="420" spans="1:16" x14ac:dyDescent="0.3">
      <c r="A420" s="34">
        <v>685</v>
      </c>
      <c r="B420" s="38">
        <v>43916</v>
      </c>
      <c r="C420" s="34" t="s">
        <v>1071</v>
      </c>
      <c r="D420" s="34">
        <v>59</v>
      </c>
      <c r="E420" s="34" t="s">
        <v>1059</v>
      </c>
      <c r="F420" s="34" t="s">
        <v>1288</v>
      </c>
      <c r="G420" s="34"/>
      <c r="H420" s="34" t="s">
        <v>1086</v>
      </c>
      <c r="I420" s="34" t="s">
        <v>1289</v>
      </c>
      <c r="J420" s="34" t="str">
        <f t="shared" si="66"/>
        <v>Male</v>
      </c>
      <c r="K420" s="34" t="str">
        <f t="shared" si="67"/>
        <v>New Zealand</v>
      </c>
      <c r="L420" s="34" t="str">
        <f t="shared" si="68"/>
        <v>Case 685 is a Local linked  case, 59 years old male New Zealand (Long Term Pass holder)  and has not been overseas. He is currently admitted at NCID . Contact of Case 588</v>
      </c>
      <c r="M420" s="34" t="str">
        <f t="shared" si="69"/>
        <v/>
      </c>
      <c r="N420" s="34" t="str">
        <f t="shared" si="70"/>
        <v/>
      </c>
      <c r="O420" s="34">
        <f t="shared" si="71"/>
        <v>685</v>
      </c>
      <c r="P420" s="34" t="str">
        <f t="shared" si="72"/>
        <v>Contact of Case 588</v>
      </c>
    </row>
    <row r="421" spans="1:16" x14ac:dyDescent="0.3">
      <c r="A421" s="34">
        <v>686</v>
      </c>
      <c r="B421" s="38">
        <v>43916</v>
      </c>
      <c r="C421" s="34" t="s">
        <v>1138</v>
      </c>
      <c r="D421" s="34">
        <v>37</v>
      </c>
      <c r="E421" s="34" t="s">
        <v>1059</v>
      </c>
      <c r="F421" s="34" t="s">
        <v>1186</v>
      </c>
      <c r="G421" s="34"/>
      <c r="H421" s="34" t="s">
        <v>1086</v>
      </c>
      <c r="I421" s="34" t="s">
        <v>1236</v>
      </c>
      <c r="J421" s="34" t="str">
        <f t="shared" si="66"/>
        <v>Male</v>
      </c>
      <c r="K421" s="34" t="str">
        <f t="shared" si="67"/>
        <v>UK</v>
      </c>
      <c r="L421" s="34" t="str">
        <f t="shared" si="68"/>
        <v>Case 686 is a Local linked  case, 37 years old male UK (Singapore Work Pass holder)  and has not been overseas. He is currently admitted at SGH . Dover Court International School</v>
      </c>
      <c r="M421" s="34" t="str">
        <f t="shared" si="69"/>
        <v/>
      </c>
      <c r="N421" s="34" t="str">
        <f t="shared" si="70"/>
        <v/>
      </c>
      <c r="O421" s="34">
        <f t="shared" si="71"/>
        <v>686</v>
      </c>
      <c r="P421" s="34" t="str">
        <f t="shared" si="72"/>
        <v>Dover Court International School</v>
      </c>
    </row>
    <row r="422" spans="1:16" x14ac:dyDescent="0.3">
      <c r="A422" s="34">
        <v>687</v>
      </c>
      <c r="B422" s="38">
        <v>43916</v>
      </c>
      <c r="C422" s="34" t="s">
        <v>1071</v>
      </c>
      <c r="D422" s="34">
        <v>77</v>
      </c>
      <c r="E422" s="34" t="s">
        <v>1059</v>
      </c>
      <c r="F422" s="34" t="s">
        <v>1060</v>
      </c>
      <c r="G422" s="34"/>
      <c r="H422" s="34" t="s">
        <v>1086</v>
      </c>
      <c r="I422" s="34" t="s">
        <v>1290</v>
      </c>
      <c r="J422" s="34" t="str">
        <f t="shared" si="66"/>
        <v>Male</v>
      </c>
      <c r="K422" s="34" t="str">
        <f t="shared" si="67"/>
        <v>Singaporean</v>
      </c>
      <c r="L422" s="34" t="str">
        <f t="shared" si="68"/>
        <v>Case 687 is a Local linked  case, 77 years old male Singapore Citizen  and has not been overseas. He is currently admitted at NCID . Family member of Case 196</v>
      </c>
      <c r="M422" s="34" t="str">
        <f t="shared" si="69"/>
        <v/>
      </c>
      <c r="N422" s="34" t="str">
        <f t="shared" si="70"/>
        <v/>
      </c>
      <c r="O422" s="34">
        <f t="shared" si="71"/>
        <v>687</v>
      </c>
      <c r="P422" s="34" t="str">
        <f t="shared" si="72"/>
        <v>Family member of Case 196</v>
      </c>
    </row>
    <row r="423" spans="1:16" x14ac:dyDescent="0.3">
      <c r="A423" s="34">
        <v>688</v>
      </c>
      <c r="B423" s="38">
        <v>43916</v>
      </c>
      <c r="C423" s="34" t="s">
        <v>1064</v>
      </c>
      <c r="D423" s="34">
        <v>76</v>
      </c>
      <c r="E423" s="34" t="s">
        <v>1073</v>
      </c>
      <c r="F423" s="34" t="s">
        <v>1060</v>
      </c>
      <c r="G423" s="34"/>
      <c r="H423" s="34" t="s">
        <v>1061</v>
      </c>
      <c r="I423" s="34"/>
      <c r="J423" s="34" t="str">
        <f t="shared" si="66"/>
        <v>Female</v>
      </c>
      <c r="K423" s="34" t="str">
        <f t="shared" si="67"/>
        <v>Singaporean</v>
      </c>
      <c r="L423" s="34" t="str">
        <f t="shared" si="68"/>
        <v xml:space="preserve">Case 688 is a Local unlinked case, 76 years old female Singapore Citizen  and has not been overseas. She is currently admitted at CGH . </v>
      </c>
      <c r="M423" s="34" t="str">
        <f t="shared" si="69"/>
        <v/>
      </c>
      <c r="N423" s="34" t="str">
        <f t="shared" si="70"/>
        <v/>
      </c>
      <c r="O423" s="34" t="str">
        <f t="shared" si="71"/>
        <v/>
      </c>
      <c r="P423" s="34" t="str">
        <f t="shared" si="72"/>
        <v/>
      </c>
    </row>
    <row r="424" spans="1:16" x14ac:dyDescent="0.3">
      <c r="A424" s="34">
        <v>689</v>
      </c>
      <c r="B424" s="38">
        <v>43916</v>
      </c>
      <c r="C424" s="34" t="s">
        <v>1064</v>
      </c>
      <c r="D424" s="34">
        <v>76</v>
      </c>
      <c r="E424" s="34" t="s">
        <v>1073</v>
      </c>
      <c r="F424" s="34" t="s">
        <v>1060</v>
      </c>
      <c r="G424" s="34" t="s">
        <v>360</v>
      </c>
      <c r="H424" s="34" t="s">
        <v>1086</v>
      </c>
      <c r="I424" s="34" t="s">
        <v>1287</v>
      </c>
      <c r="J424" s="34" t="str">
        <f t="shared" si="66"/>
        <v>Female</v>
      </c>
      <c r="K424" s="34" t="str">
        <f t="shared" si="67"/>
        <v>Singaporean</v>
      </c>
      <c r="L424" s="34" t="str">
        <f t="shared" si="68"/>
        <v>Case 689 is a Local linked  case, 76 years old female Singapore Citizen  and has been to Malaysia . She is currently admitted at CGH . SingPost Centre</v>
      </c>
      <c r="M424" s="34">
        <f t="shared" si="69"/>
        <v>689</v>
      </c>
      <c r="N424" s="34" t="str">
        <f t="shared" si="70"/>
        <v xml:space="preserve">Malaysia </v>
      </c>
      <c r="O424" s="34">
        <f t="shared" si="71"/>
        <v>689</v>
      </c>
      <c r="P424" s="34" t="str">
        <f t="shared" si="72"/>
        <v>SingPost Centre</v>
      </c>
    </row>
    <row r="425" spans="1:16" x14ac:dyDescent="0.3">
      <c r="A425" s="34">
        <v>690</v>
      </c>
      <c r="B425" s="38">
        <v>43916</v>
      </c>
      <c r="C425" s="34" t="s">
        <v>1064</v>
      </c>
      <c r="D425" s="34">
        <v>31</v>
      </c>
      <c r="E425" s="34" t="s">
        <v>1073</v>
      </c>
      <c r="F425" s="34" t="s">
        <v>1072</v>
      </c>
      <c r="G425" s="34" t="s">
        <v>1273</v>
      </c>
      <c r="H425" s="34" t="s">
        <v>77</v>
      </c>
      <c r="I425" s="34"/>
      <c r="J425" s="34" t="str">
        <f t="shared" si="66"/>
        <v>Female</v>
      </c>
      <c r="K425" s="34" t="str">
        <f t="shared" si="67"/>
        <v>Singaporean</v>
      </c>
      <c r="L425" s="34" t="str">
        <f t="shared" si="68"/>
        <v xml:space="preserve">Case 690 is a Imported case, 31 years old female Singapore Permanent Resident  and has been to Thailand, Malaysia . She is currently admitted at CGH . </v>
      </c>
      <c r="M425" s="34">
        <f t="shared" si="69"/>
        <v>690</v>
      </c>
      <c r="N425" s="34" t="str">
        <f t="shared" si="70"/>
        <v xml:space="preserve">Thailand, Malaysia </v>
      </c>
      <c r="O425" s="34" t="str">
        <f t="shared" si="71"/>
        <v/>
      </c>
      <c r="P425" s="34" t="str">
        <f t="shared" si="72"/>
        <v/>
      </c>
    </row>
    <row r="426" spans="1:16" x14ac:dyDescent="0.3">
      <c r="A426" s="34">
        <v>691</v>
      </c>
      <c r="B426" s="38">
        <v>43916</v>
      </c>
      <c r="C426" s="34" t="s">
        <v>1138</v>
      </c>
      <c r="D426" s="34">
        <v>39</v>
      </c>
      <c r="E426" s="34" t="s">
        <v>1073</v>
      </c>
      <c r="F426" s="34" t="s">
        <v>1186</v>
      </c>
      <c r="G426" s="34"/>
      <c r="H426" s="34" t="s">
        <v>1061</v>
      </c>
      <c r="I426" s="34"/>
      <c r="J426" s="34" t="str">
        <f t="shared" si="66"/>
        <v>Female</v>
      </c>
      <c r="K426" s="34" t="str">
        <f t="shared" si="67"/>
        <v>UK</v>
      </c>
      <c r="L426" s="34" t="str">
        <f t="shared" si="68"/>
        <v xml:space="preserve">Case 691 is a Local unlinked case, 39 years old female UK (Singapore Work Pass holder)  and has not been overseas. She is currently admitted at SGH . </v>
      </c>
      <c r="M426" s="34" t="str">
        <f t="shared" si="69"/>
        <v/>
      </c>
      <c r="N426" s="34" t="str">
        <f t="shared" si="70"/>
        <v/>
      </c>
      <c r="O426" s="34" t="str">
        <f t="shared" si="71"/>
        <v/>
      </c>
      <c r="P426" s="34" t="str">
        <f t="shared" si="72"/>
        <v/>
      </c>
    </row>
    <row r="427" spans="1:16" x14ac:dyDescent="0.3">
      <c r="A427" s="34">
        <v>692</v>
      </c>
      <c r="B427" s="38">
        <v>43916</v>
      </c>
      <c r="C427" s="34" t="s">
        <v>1071</v>
      </c>
      <c r="D427" s="34">
        <v>67</v>
      </c>
      <c r="E427" s="34" t="s">
        <v>1073</v>
      </c>
      <c r="F427" s="34" t="s">
        <v>1060</v>
      </c>
      <c r="G427" s="34" t="s">
        <v>360</v>
      </c>
      <c r="H427" s="34" t="s">
        <v>77</v>
      </c>
      <c r="I427" s="34"/>
      <c r="J427" s="34" t="str">
        <f t="shared" si="66"/>
        <v>Female</v>
      </c>
      <c r="K427" s="34" t="str">
        <f t="shared" si="67"/>
        <v>Singaporean</v>
      </c>
      <c r="L427" s="34" t="str">
        <f t="shared" si="68"/>
        <v xml:space="preserve">Case 692 is a Imported case, 67 years old female Singapore Citizen  and has been to Malaysia . She is currently admitted at NCID . </v>
      </c>
      <c r="M427" s="34">
        <f t="shared" si="69"/>
        <v>692</v>
      </c>
      <c r="N427" s="34" t="str">
        <f t="shared" si="70"/>
        <v xml:space="preserve">Malaysia </v>
      </c>
      <c r="O427" s="34" t="str">
        <f t="shared" si="71"/>
        <v/>
      </c>
      <c r="P427" s="34" t="str">
        <f t="shared" si="72"/>
        <v/>
      </c>
    </row>
    <row r="428" spans="1:16" x14ac:dyDescent="0.3">
      <c r="A428" s="34">
        <v>693</v>
      </c>
      <c r="B428" s="38">
        <v>43916</v>
      </c>
      <c r="C428" s="34" t="s">
        <v>1071</v>
      </c>
      <c r="D428" s="34">
        <v>30</v>
      </c>
      <c r="E428" s="34" t="s">
        <v>1073</v>
      </c>
      <c r="F428" s="34" t="s">
        <v>1060</v>
      </c>
      <c r="G428" s="34" t="s">
        <v>1177</v>
      </c>
      <c r="H428" s="34" t="s">
        <v>77</v>
      </c>
      <c r="I428" s="34"/>
      <c r="J428" s="34" t="str">
        <f t="shared" si="66"/>
        <v>Female</v>
      </c>
      <c r="K428" s="34" t="str">
        <f t="shared" si="67"/>
        <v>Singaporean</v>
      </c>
      <c r="L428" s="34" t="str">
        <f t="shared" si="68"/>
        <v xml:space="preserve">Case 693 is a Imported case, 30 years old female Singapore Citizen  and has been to Pending . She is currently admitted at NCID . </v>
      </c>
      <c r="M428" s="34">
        <f t="shared" si="69"/>
        <v>693</v>
      </c>
      <c r="N428" s="34" t="str">
        <f t="shared" si="70"/>
        <v xml:space="preserve">Pending </v>
      </c>
      <c r="O428" s="34" t="str">
        <f t="shared" si="71"/>
        <v/>
      </c>
      <c r="P428" s="34" t="str">
        <f t="shared" si="72"/>
        <v/>
      </c>
    </row>
    <row r="429" spans="1:16" x14ac:dyDescent="0.3">
      <c r="A429" s="34">
        <v>694</v>
      </c>
      <c r="B429" s="38">
        <v>43916</v>
      </c>
      <c r="C429" s="34" t="s">
        <v>1071</v>
      </c>
      <c r="D429" s="34">
        <v>41</v>
      </c>
      <c r="E429" s="34" t="s">
        <v>1059</v>
      </c>
      <c r="F429" s="34" t="s">
        <v>1060</v>
      </c>
      <c r="G429" s="34" t="s">
        <v>1177</v>
      </c>
      <c r="H429" s="34" t="s">
        <v>77</v>
      </c>
      <c r="I429" s="34"/>
      <c r="J429" s="34" t="str">
        <f t="shared" si="66"/>
        <v>Male</v>
      </c>
      <c r="K429" s="34" t="str">
        <f t="shared" si="67"/>
        <v>Singaporean</v>
      </c>
      <c r="L429" s="34" t="str">
        <f t="shared" si="68"/>
        <v xml:space="preserve">Case 694 is a Imported case, 41 years old male Singapore Citizen  and has been to Pending . He is currently admitted at NCID . </v>
      </c>
      <c r="M429" s="34">
        <f t="shared" si="69"/>
        <v>694</v>
      </c>
      <c r="N429" s="34" t="str">
        <f t="shared" si="70"/>
        <v xml:space="preserve">Pending </v>
      </c>
      <c r="O429" s="34" t="str">
        <f t="shared" si="71"/>
        <v/>
      </c>
      <c r="P429" s="34" t="str">
        <f t="shared" si="72"/>
        <v/>
      </c>
    </row>
    <row r="430" spans="1:16" x14ac:dyDescent="0.3">
      <c r="A430" s="34">
        <v>695</v>
      </c>
      <c r="B430" s="38">
        <v>43916</v>
      </c>
      <c r="C430" s="34" t="s">
        <v>1161</v>
      </c>
      <c r="D430" s="34">
        <v>1</v>
      </c>
      <c r="E430" s="34" t="s">
        <v>1073</v>
      </c>
      <c r="F430" s="34" t="s">
        <v>798</v>
      </c>
      <c r="G430" s="34" t="s">
        <v>1177</v>
      </c>
      <c r="H430" s="34" t="s">
        <v>77</v>
      </c>
      <c r="I430" s="34"/>
      <c r="J430" s="34" t="str">
        <f t="shared" si="66"/>
        <v>Female</v>
      </c>
      <c r="K430" s="34" t="str">
        <f t="shared" si="67"/>
        <v xml:space="preserve">India </v>
      </c>
      <c r="L430" s="34" t="str">
        <f t="shared" si="68"/>
        <v xml:space="preserve">Case 695 is a Imported case, 1 years old female India  and has been to Pending . She is currently admitted at KKH . </v>
      </c>
      <c r="M430" s="34">
        <f t="shared" si="69"/>
        <v>695</v>
      </c>
      <c r="N430" s="34" t="str">
        <f t="shared" si="70"/>
        <v xml:space="preserve">Pending </v>
      </c>
      <c r="O430" s="34" t="str">
        <f t="shared" si="71"/>
        <v/>
      </c>
      <c r="P430" s="34" t="str">
        <f t="shared" si="72"/>
        <v/>
      </c>
    </row>
    <row r="431" spans="1:16" x14ac:dyDescent="0.3">
      <c r="A431" s="34">
        <v>696</v>
      </c>
      <c r="B431" s="38">
        <v>43916</v>
      </c>
      <c r="C431" s="34" t="s">
        <v>1138</v>
      </c>
      <c r="D431" s="34">
        <v>54</v>
      </c>
      <c r="E431" s="34" t="s">
        <v>1059</v>
      </c>
      <c r="F431" s="34" t="s">
        <v>1072</v>
      </c>
      <c r="G431" s="34"/>
      <c r="H431" s="34" t="s">
        <v>1061</v>
      </c>
      <c r="I431" s="34"/>
      <c r="J431" s="34" t="str">
        <f t="shared" si="66"/>
        <v>Male</v>
      </c>
      <c r="K431" s="34" t="str">
        <f t="shared" si="67"/>
        <v>Singaporean</v>
      </c>
      <c r="L431" s="34" t="str">
        <f t="shared" si="68"/>
        <v xml:space="preserve">Case 696 is a Local unlinked case, 54 years old male Singapore Permanent Resident  and has not been overseas. He is currently admitted at SGH . </v>
      </c>
      <c r="M431" s="34" t="str">
        <f t="shared" si="69"/>
        <v/>
      </c>
      <c r="N431" s="34" t="str">
        <f t="shared" si="70"/>
        <v/>
      </c>
      <c r="O431" s="34" t="str">
        <f t="shared" si="71"/>
        <v/>
      </c>
      <c r="P431" s="34" t="str">
        <f t="shared" si="72"/>
        <v/>
      </c>
    </row>
    <row r="432" spans="1:16" x14ac:dyDescent="0.3">
      <c r="A432" s="34">
        <v>697</v>
      </c>
      <c r="B432" s="38">
        <v>43916</v>
      </c>
      <c r="C432" s="34" t="s">
        <v>1172</v>
      </c>
      <c r="D432" s="34">
        <v>57</v>
      </c>
      <c r="E432" s="34" t="s">
        <v>1073</v>
      </c>
      <c r="F432" s="34" t="s">
        <v>1072</v>
      </c>
      <c r="G432" s="34"/>
      <c r="H432" s="34" t="s">
        <v>1086</v>
      </c>
      <c r="I432" s="34" t="s">
        <v>1291</v>
      </c>
      <c r="J432" s="34" t="str">
        <f t="shared" si="66"/>
        <v>Female</v>
      </c>
      <c r="K432" s="34" t="str">
        <f t="shared" si="67"/>
        <v>Singaporean</v>
      </c>
      <c r="L432" s="34" t="str">
        <f t="shared" si="68"/>
        <v>Case 697 is a Local linked  case, 57 years old female Singapore Permanent Resident  and has not been overseas. She is currently admitted at MEH . Family member of Case 698</v>
      </c>
      <c r="M432" s="34" t="str">
        <f t="shared" si="69"/>
        <v/>
      </c>
      <c r="N432" s="34" t="str">
        <f t="shared" si="70"/>
        <v/>
      </c>
      <c r="O432" s="34">
        <f t="shared" si="71"/>
        <v>697</v>
      </c>
      <c r="P432" s="34" t="str">
        <f t="shared" si="72"/>
        <v>Family member of Case 698</v>
      </c>
    </row>
    <row r="433" spans="1:16" x14ac:dyDescent="0.3">
      <c r="A433" s="34">
        <v>698</v>
      </c>
      <c r="B433" s="38">
        <v>43916</v>
      </c>
      <c r="C433" s="34" t="s">
        <v>1172</v>
      </c>
      <c r="D433" s="34">
        <v>60</v>
      </c>
      <c r="E433" s="34" t="s">
        <v>1059</v>
      </c>
      <c r="F433" s="34" t="s">
        <v>1060</v>
      </c>
      <c r="G433" s="34"/>
      <c r="H433" s="34" t="s">
        <v>1086</v>
      </c>
      <c r="I433" s="34" t="s">
        <v>1292</v>
      </c>
      <c r="J433" s="34" t="str">
        <f t="shared" si="66"/>
        <v>Male</v>
      </c>
      <c r="K433" s="34" t="str">
        <f t="shared" si="67"/>
        <v>Singaporean</v>
      </c>
      <c r="L433" s="34" t="str">
        <f t="shared" si="68"/>
        <v>Case 698 is a Local linked  case, 60 years old male Singapore Citizen  and has not been overseas. He is currently admitted at MEH . Family member of Case 697</v>
      </c>
      <c r="M433" s="34" t="str">
        <f t="shared" si="69"/>
        <v/>
      </c>
      <c r="N433" s="34" t="str">
        <f t="shared" si="70"/>
        <v/>
      </c>
      <c r="O433" s="34">
        <f t="shared" si="71"/>
        <v>698</v>
      </c>
      <c r="P433" s="34" t="str">
        <f t="shared" si="72"/>
        <v>Family member of Case 697</v>
      </c>
    </row>
    <row r="434" spans="1:16" x14ac:dyDescent="0.3">
      <c r="A434" s="34">
        <v>699</v>
      </c>
      <c r="B434" s="38">
        <v>43916</v>
      </c>
      <c r="C434" s="34" t="s">
        <v>1074</v>
      </c>
      <c r="D434" s="34">
        <v>53</v>
      </c>
      <c r="E434" s="34" t="s">
        <v>1059</v>
      </c>
      <c r="F434" s="34" t="s">
        <v>1072</v>
      </c>
      <c r="G434" s="34" t="s">
        <v>1177</v>
      </c>
      <c r="H434" s="34" t="s">
        <v>77</v>
      </c>
      <c r="I434" s="34"/>
      <c r="J434" s="34" t="str">
        <f t="shared" si="66"/>
        <v>Male</v>
      </c>
      <c r="K434" s="34" t="str">
        <f t="shared" si="67"/>
        <v>Singaporean</v>
      </c>
      <c r="L434" s="34" t="str">
        <f t="shared" si="68"/>
        <v xml:space="preserve">Case 699 is a Imported case, 53 years old male Singapore Permanent Resident  and has been to Pending . He is currently admitted at AH . </v>
      </c>
      <c r="M434" s="34">
        <f t="shared" si="69"/>
        <v>699</v>
      </c>
      <c r="N434" s="34" t="str">
        <f t="shared" si="70"/>
        <v xml:space="preserve">Pending </v>
      </c>
      <c r="O434" s="34" t="str">
        <f t="shared" si="71"/>
        <v/>
      </c>
      <c r="P434" s="34" t="str">
        <f t="shared" si="72"/>
        <v/>
      </c>
    </row>
    <row r="435" spans="1:16" x14ac:dyDescent="0.3">
      <c r="A435" s="34">
        <v>700</v>
      </c>
      <c r="B435" s="38">
        <v>43916</v>
      </c>
      <c r="C435" s="34" t="s">
        <v>343</v>
      </c>
      <c r="D435" s="34">
        <v>55</v>
      </c>
      <c r="E435" s="34" t="s">
        <v>1073</v>
      </c>
      <c r="F435" s="34" t="s">
        <v>1060</v>
      </c>
      <c r="G435" s="34" t="s">
        <v>1051</v>
      </c>
      <c r="H435" s="34" t="s">
        <v>77</v>
      </c>
      <c r="I435" s="34"/>
      <c r="J435" s="34" t="str">
        <f t="shared" si="66"/>
        <v>Female</v>
      </c>
      <c r="K435" s="34" t="str">
        <f t="shared" si="67"/>
        <v>Singaporean</v>
      </c>
      <c r="L435" s="34" t="str">
        <f t="shared" si="68"/>
        <v xml:space="preserve">Case 700 is a Imported case, 55 years old female Singapore Citizen  and has been to Europe . She is currently admitted at NUH . </v>
      </c>
      <c r="M435" s="34">
        <f t="shared" si="69"/>
        <v>700</v>
      </c>
      <c r="N435" s="34" t="str">
        <f t="shared" si="70"/>
        <v xml:space="preserve">Europe </v>
      </c>
      <c r="O435" s="34" t="str">
        <f t="shared" si="71"/>
        <v/>
      </c>
      <c r="P435" s="34" t="str">
        <f t="shared" si="72"/>
        <v/>
      </c>
    </row>
    <row r="436" spans="1:16" x14ac:dyDescent="0.3">
      <c r="A436" s="34">
        <v>701</v>
      </c>
      <c r="B436" s="38">
        <v>43916</v>
      </c>
      <c r="C436" s="34" t="s">
        <v>343</v>
      </c>
      <c r="D436" s="34">
        <v>50</v>
      </c>
      <c r="E436" s="34" t="s">
        <v>1059</v>
      </c>
      <c r="F436" s="34" t="s">
        <v>1060</v>
      </c>
      <c r="G436" s="34" t="s">
        <v>1085</v>
      </c>
      <c r="H436" s="34" t="s">
        <v>77</v>
      </c>
      <c r="I436" s="34"/>
      <c r="J436" s="34" t="str">
        <f t="shared" si="66"/>
        <v>Male</v>
      </c>
      <c r="K436" s="34" t="str">
        <f t="shared" si="67"/>
        <v>Singaporean</v>
      </c>
      <c r="L436" s="34" t="str">
        <f t="shared" si="68"/>
        <v xml:space="preserve">Case 701 is a Imported case, 50 years old male Singapore Citizen  and has been to US . He is currently admitted at NUH . </v>
      </c>
      <c r="M436" s="34">
        <f t="shared" si="69"/>
        <v>701</v>
      </c>
      <c r="N436" s="34" t="str">
        <f t="shared" si="70"/>
        <v xml:space="preserve">US </v>
      </c>
      <c r="O436" s="34" t="str">
        <f t="shared" si="71"/>
        <v/>
      </c>
      <c r="P436" s="34" t="str">
        <f t="shared" si="72"/>
        <v/>
      </c>
    </row>
    <row r="437" spans="1:16" x14ac:dyDescent="0.3">
      <c r="A437" s="34">
        <v>702</v>
      </c>
      <c r="B437" s="38">
        <v>43916</v>
      </c>
      <c r="C437" s="34" t="s">
        <v>1062</v>
      </c>
      <c r="D437" s="34">
        <v>61</v>
      </c>
      <c r="E437" s="34" t="s">
        <v>1059</v>
      </c>
      <c r="F437" s="34" t="s">
        <v>1060</v>
      </c>
      <c r="G437" s="34" t="s">
        <v>1051</v>
      </c>
      <c r="H437" s="34" t="s">
        <v>1069</v>
      </c>
      <c r="I437" s="34" t="s">
        <v>1293</v>
      </c>
      <c r="J437" s="34" t="str">
        <f t="shared" si="66"/>
        <v>Male</v>
      </c>
      <c r="K437" s="34" t="str">
        <f t="shared" si="67"/>
        <v>Singaporean</v>
      </c>
      <c r="L437" s="34" t="str">
        <f t="shared" si="68"/>
        <v>Case 702 is a Imported  case, 61 years old male Singapore Citizen  and has been to Europe . He is currently admitted at NTFGH . Family member of Cases 682 and 703</v>
      </c>
      <c r="M437" s="34">
        <f t="shared" si="69"/>
        <v>702</v>
      </c>
      <c r="N437" s="34" t="str">
        <f t="shared" si="70"/>
        <v xml:space="preserve">Europe </v>
      </c>
      <c r="O437" s="34">
        <f t="shared" si="71"/>
        <v>702</v>
      </c>
      <c r="P437" s="34" t="str">
        <f t="shared" si="72"/>
        <v>Family member of Cases 682 and 703</v>
      </c>
    </row>
    <row r="438" spans="1:16" x14ac:dyDescent="0.3">
      <c r="A438" s="34">
        <v>703</v>
      </c>
      <c r="B438" s="38">
        <v>43916</v>
      </c>
      <c r="C438" s="34" t="s">
        <v>1062</v>
      </c>
      <c r="D438" s="34">
        <v>58</v>
      </c>
      <c r="E438" s="34" t="s">
        <v>1073</v>
      </c>
      <c r="F438" s="34" t="s">
        <v>1060</v>
      </c>
      <c r="G438" s="34" t="s">
        <v>1051</v>
      </c>
      <c r="H438" s="34" t="s">
        <v>1069</v>
      </c>
      <c r="I438" s="34" t="s">
        <v>1294</v>
      </c>
      <c r="J438" s="34" t="str">
        <f t="shared" si="66"/>
        <v>Female</v>
      </c>
      <c r="K438" s="34" t="str">
        <f t="shared" si="67"/>
        <v>Singaporean</v>
      </c>
      <c r="L438" s="34" t="str">
        <f t="shared" si="68"/>
        <v>Case 703 is a Imported  case, 58 years old female Singapore Citizen  and has been to Europe . She is currently admitted at NTFGH . Family member of Cases 682 and 702</v>
      </c>
      <c r="M438" s="34">
        <f t="shared" si="69"/>
        <v>703</v>
      </c>
      <c r="N438" s="34" t="str">
        <f t="shared" si="70"/>
        <v xml:space="preserve">Europe </v>
      </c>
      <c r="O438" s="34">
        <f t="shared" si="71"/>
        <v>703</v>
      </c>
      <c r="P438" s="34" t="str">
        <f t="shared" si="72"/>
        <v>Family member of Cases 682 and 702</v>
      </c>
    </row>
    <row r="439" spans="1:16" x14ac:dyDescent="0.3">
      <c r="A439" s="34">
        <v>704</v>
      </c>
      <c r="B439" s="38">
        <v>43916</v>
      </c>
      <c r="C439" s="34" t="s">
        <v>1066</v>
      </c>
      <c r="D439" s="34">
        <v>19</v>
      </c>
      <c r="E439" s="34" t="s">
        <v>1059</v>
      </c>
      <c r="F439" s="34" t="s">
        <v>1060</v>
      </c>
      <c r="G439" s="34" t="s">
        <v>1051</v>
      </c>
      <c r="H439" s="34" t="s">
        <v>77</v>
      </c>
      <c r="I439" s="34"/>
      <c r="J439" s="34" t="str">
        <f t="shared" si="66"/>
        <v>Male</v>
      </c>
      <c r="K439" s="34" t="str">
        <f t="shared" si="67"/>
        <v>Singaporean</v>
      </c>
      <c r="L439" s="34" t="str">
        <f t="shared" si="68"/>
        <v xml:space="preserve">Case 704 is a Imported case, 19 years old male Singapore Citizen  and has been to Europe . He is currently admitted at SKH . </v>
      </c>
      <c r="M439" s="34">
        <f t="shared" si="69"/>
        <v>704</v>
      </c>
      <c r="N439" s="34" t="str">
        <f t="shared" si="70"/>
        <v xml:space="preserve">Europe </v>
      </c>
      <c r="O439" s="34" t="str">
        <f t="shared" si="71"/>
        <v/>
      </c>
      <c r="P439" s="34" t="str">
        <f t="shared" si="72"/>
        <v/>
      </c>
    </row>
    <row r="440" spans="1:16" x14ac:dyDescent="0.3">
      <c r="A440" s="34">
        <v>705</v>
      </c>
      <c r="B440" s="38">
        <v>43916</v>
      </c>
      <c r="C440" s="34" t="s">
        <v>1161</v>
      </c>
      <c r="D440" s="34">
        <v>2</v>
      </c>
      <c r="E440" s="34" t="s">
        <v>1073</v>
      </c>
      <c r="F440" s="34" t="s">
        <v>1060</v>
      </c>
      <c r="G440" s="34"/>
      <c r="H440" s="34" t="s">
        <v>1086</v>
      </c>
      <c r="I440" s="34" t="s">
        <v>1259</v>
      </c>
      <c r="J440" s="34" t="str">
        <f t="shared" si="66"/>
        <v>Female</v>
      </c>
      <c r="K440" s="34" t="str">
        <f t="shared" si="67"/>
        <v>Singaporean</v>
      </c>
      <c r="L440" s="34" t="str">
        <f t="shared" si="68"/>
        <v>Case 705 is a Local linked  case, 2 years old female Singapore Citizen  and has not been overseas. She is currently admitted at KKH . PCF Fengshan</v>
      </c>
      <c r="M440" s="34" t="str">
        <f t="shared" si="69"/>
        <v/>
      </c>
      <c r="N440" s="34" t="str">
        <f t="shared" si="70"/>
        <v/>
      </c>
      <c r="O440" s="34">
        <f t="shared" si="71"/>
        <v>705</v>
      </c>
      <c r="P440" s="34" t="str">
        <f t="shared" si="72"/>
        <v>PCF Fengshan</v>
      </c>
    </row>
    <row r="441" spans="1:16" x14ac:dyDescent="0.3">
      <c r="A441" s="34">
        <v>706</v>
      </c>
      <c r="B441" s="38">
        <v>43916</v>
      </c>
      <c r="C441" s="34" t="s">
        <v>1161</v>
      </c>
      <c r="D441" s="34">
        <v>6</v>
      </c>
      <c r="E441" s="34" t="s">
        <v>1073</v>
      </c>
      <c r="F441" s="34" t="s">
        <v>1060</v>
      </c>
      <c r="G441" s="34"/>
      <c r="H441" s="34" t="s">
        <v>1086</v>
      </c>
      <c r="I441" s="34" t="s">
        <v>1259</v>
      </c>
      <c r="J441" s="34" t="str">
        <f t="shared" si="66"/>
        <v>Female</v>
      </c>
      <c r="K441" s="34" t="str">
        <f t="shared" si="67"/>
        <v>Singaporean</v>
      </c>
      <c r="L441" s="34" t="str">
        <f t="shared" si="68"/>
        <v>Case 706 is a Local linked  case, 6 years old female Singapore Citizen  and has not been overseas. She is currently admitted at KKH . PCF Fengshan</v>
      </c>
      <c r="M441" s="34" t="str">
        <f t="shared" si="69"/>
        <v/>
      </c>
      <c r="N441" s="34" t="str">
        <f t="shared" si="70"/>
        <v/>
      </c>
      <c r="O441" s="34">
        <f t="shared" si="71"/>
        <v>706</v>
      </c>
      <c r="P441" s="34" t="str">
        <f t="shared" si="72"/>
        <v>PCF Fengshan</v>
      </c>
    </row>
    <row r="442" spans="1:16" x14ac:dyDescent="0.3">
      <c r="A442" s="34">
        <v>707</v>
      </c>
      <c r="B442" s="38">
        <v>43916</v>
      </c>
      <c r="C442" s="34" t="s">
        <v>1161</v>
      </c>
      <c r="D442" s="34">
        <v>11</v>
      </c>
      <c r="E442" s="34" t="s">
        <v>1059</v>
      </c>
      <c r="F442" s="34" t="s">
        <v>1060</v>
      </c>
      <c r="G442" s="34"/>
      <c r="H442" s="34" t="s">
        <v>1086</v>
      </c>
      <c r="I442" s="34" t="s">
        <v>1259</v>
      </c>
      <c r="J442" s="34" t="str">
        <f t="shared" si="66"/>
        <v>Male</v>
      </c>
      <c r="K442" s="34" t="str">
        <f t="shared" si="67"/>
        <v>Singaporean</v>
      </c>
      <c r="L442" s="34" t="str">
        <f t="shared" si="68"/>
        <v>Case 707 is a Local linked  case, 11 years old male Singapore Citizen  and has not been overseas. He is currently admitted at KKH . PCF Fengshan</v>
      </c>
      <c r="M442" s="34" t="str">
        <f t="shared" si="69"/>
        <v/>
      </c>
      <c r="N442" s="34" t="str">
        <f t="shared" si="70"/>
        <v/>
      </c>
      <c r="O442" s="34">
        <f t="shared" si="71"/>
        <v>707</v>
      </c>
      <c r="P442" s="34" t="str">
        <f t="shared" si="72"/>
        <v>PCF Fengshan</v>
      </c>
    </row>
    <row r="443" spans="1:16" x14ac:dyDescent="0.3">
      <c r="A443" s="34">
        <v>708</v>
      </c>
      <c r="B443" s="38">
        <v>43916</v>
      </c>
      <c r="C443" s="34" t="s">
        <v>1161</v>
      </c>
      <c r="D443" s="34">
        <v>13</v>
      </c>
      <c r="E443" s="34" t="s">
        <v>1073</v>
      </c>
      <c r="F443" s="34" t="s">
        <v>1060</v>
      </c>
      <c r="G443" s="34"/>
      <c r="H443" s="34" t="s">
        <v>1086</v>
      </c>
      <c r="I443" s="34" t="s">
        <v>1259</v>
      </c>
      <c r="J443" s="34" t="str">
        <f t="shared" si="66"/>
        <v>Female</v>
      </c>
      <c r="K443" s="34" t="str">
        <f t="shared" si="67"/>
        <v>Singaporean</v>
      </c>
      <c r="L443" s="34" t="str">
        <f t="shared" si="68"/>
        <v>Case 708 is a Local linked  case, 13 years old female Singapore Citizen  and has not been overseas. She is currently admitted at KKH . PCF Fengshan</v>
      </c>
      <c r="M443" s="34" t="str">
        <f t="shared" si="69"/>
        <v/>
      </c>
      <c r="N443" s="34" t="str">
        <f t="shared" si="70"/>
        <v/>
      </c>
      <c r="O443" s="34">
        <f t="shared" si="71"/>
        <v>708</v>
      </c>
      <c r="P443" s="34" t="str">
        <f t="shared" si="72"/>
        <v>PCF Fengshan</v>
      </c>
    </row>
    <row r="444" spans="1:16" x14ac:dyDescent="0.3">
      <c r="A444" s="34">
        <v>709</v>
      </c>
      <c r="B444" s="38">
        <v>43916</v>
      </c>
      <c r="C444" s="34" t="s">
        <v>1071</v>
      </c>
      <c r="D444" s="34">
        <v>26</v>
      </c>
      <c r="E444" s="34" t="s">
        <v>1059</v>
      </c>
      <c r="F444" s="34" t="s">
        <v>1060</v>
      </c>
      <c r="G444" s="34"/>
      <c r="H444" s="34" t="s">
        <v>1061</v>
      </c>
      <c r="I444" s="34"/>
      <c r="J444" s="34" t="str">
        <f t="shared" si="66"/>
        <v>Male</v>
      </c>
      <c r="K444" s="34" t="str">
        <f t="shared" si="67"/>
        <v>Singaporean</v>
      </c>
      <c r="L444" s="34" t="str">
        <f t="shared" si="68"/>
        <v xml:space="preserve">Case 709 is a Local unlinked case, 26 years old male Singapore Citizen  and has not been overseas. He is currently admitted at NCID . </v>
      </c>
      <c r="M444" s="34" t="str">
        <f t="shared" si="69"/>
        <v/>
      </c>
      <c r="N444" s="34" t="str">
        <f t="shared" si="70"/>
        <v/>
      </c>
      <c r="O444" s="34" t="str">
        <f t="shared" si="71"/>
        <v/>
      </c>
      <c r="P444" s="34" t="str">
        <f t="shared" si="72"/>
        <v/>
      </c>
    </row>
    <row r="445" spans="1:16" x14ac:dyDescent="0.3">
      <c r="A445" s="34">
        <v>710</v>
      </c>
      <c r="B445" s="38">
        <v>43916</v>
      </c>
      <c r="C445" s="34" t="s">
        <v>1071</v>
      </c>
      <c r="D445" s="34">
        <v>28</v>
      </c>
      <c r="E445" s="34" t="s">
        <v>1059</v>
      </c>
      <c r="F445" s="34" t="s">
        <v>1278</v>
      </c>
      <c r="G445" s="34"/>
      <c r="H445" s="34" t="s">
        <v>1086</v>
      </c>
      <c r="I445" s="34" t="s">
        <v>1295</v>
      </c>
      <c r="J445" s="34" t="str">
        <f t="shared" si="66"/>
        <v>Male</v>
      </c>
      <c r="K445" s="34" t="str">
        <f t="shared" si="67"/>
        <v>Bangladesh</v>
      </c>
      <c r="L445" s="34" t="str">
        <f t="shared" si="68"/>
        <v>Case 710 is a Local linked  case, 28 years old male Bangladesh (Long Term Pass holder)  and has not been overseas. He is currently admitted at NCID . Contact of Cases 404 and 456</v>
      </c>
      <c r="M445" s="34" t="str">
        <f t="shared" si="69"/>
        <v/>
      </c>
      <c r="N445" s="34" t="str">
        <f t="shared" si="70"/>
        <v/>
      </c>
      <c r="O445" s="34">
        <f t="shared" si="71"/>
        <v>710</v>
      </c>
      <c r="P445" s="34" t="str">
        <f t="shared" si="72"/>
        <v>Contact of Cases 404 and 456</v>
      </c>
    </row>
    <row r="446" spans="1:16" x14ac:dyDescent="0.3">
      <c r="A446" s="34">
        <v>711</v>
      </c>
      <c r="B446" s="38">
        <v>43916</v>
      </c>
      <c r="C446" s="34" t="s">
        <v>1071</v>
      </c>
      <c r="D446" s="34">
        <v>21</v>
      </c>
      <c r="E446" s="34" t="s">
        <v>1073</v>
      </c>
      <c r="F446" s="34" t="s">
        <v>1072</v>
      </c>
      <c r="G446" s="34" t="s">
        <v>1051</v>
      </c>
      <c r="H446" s="34" t="s">
        <v>77</v>
      </c>
      <c r="I446" s="34"/>
      <c r="J446" s="34" t="str">
        <f t="shared" si="66"/>
        <v>Female</v>
      </c>
      <c r="K446" s="34" t="str">
        <f t="shared" si="67"/>
        <v>Singaporean</v>
      </c>
      <c r="L446" s="34" t="str">
        <f t="shared" si="68"/>
        <v xml:space="preserve">Case 711 is a Imported case, 21 years old female Singapore Permanent Resident  and has been to Europe . She is currently admitted at NCID . </v>
      </c>
      <c r="M446" s="34">
        <f t="shared" si="69"/>
        <v>711</v>
      </c>
      <c r="N446" s="34" t="str">
        <f t="shared" si="70"/>
        <v xml:space="preserve">Europe </v>
      </c>
      <c r="O446" s="34" t="str">
        <f t="shared" si="71"/>
        <v/>
      </c>
      <c r="P446" s="34" t="str">
        <f t="shared" si="72"/>
        <v/>
      </c>
    </row>
    <row r="447" spans="1:16" x14ac:dyDescent="0.3">
      <c r="A447" s="34">
        <v>712</v>
      </c>
      <c r="B447" s="38">
        <v>43916</v>
      </c>
      <c r="C447" s="34" t="s">
        <v>1071</v>
      </c>
      <c r="D447" s="34">
        <v>38</v>
      </c>
      <c r="E447" s="34" t="s">
        <v>1073</v>
      </c>
      <c r="F447" s="34" t="s">
        <v>1060</v>
      </c>
      <c r="G447" s="34" t="s">
        <v>1051</v>
      </c>
      <c r="H447" s="34" t="s">
        <v>77</v>
      </c>
      <c r="I447" s="34"/>
      <c r="J447" s="34" t="str">
        <f t="shared" si="66"/>
        <v>Female</v>
      </c>
      <c r="K447" s="34" t="str">
        <f t="shared" si="67"/>
        <v>Singaporean</v>
      </c>
      <c r="L447" s="34" t="str">
        <f t="shared" si="68"/>
        <v xml:space="preserve">Case 712 is a Imported case, 38 years old female Singapore Citizen  and has been to Europe . She is currently admitted at NCID . </v>
      </c>
      <c r="M447" s="34">
        <f t="shared" si="69"/>
        <v>712</v>
      </c>
      <c r="N447" s="34" t="str">
        <f t="shared" si="70"/>
        <v xml:space="preserve">Europe </v>
      </c>
      <c r="O447" s="34" t="str">
        <f t="shared" si="71"/>
        <v/>
      </c>
      <c r="P447" s="34" t="str">
        <f t="shared" si="72"/>
        <v/>
      </c>
    </row>
    <row r="448" spans="1:16" x14ac:dyDescent="0.3">
      <c r="A448" s="34">
        <v>713</v>
      </c>
      <c r="B448" s="38">
        <v>43916</v>
      </c>
      <c r="C448" s="34" t="s">
        <v>1071</v>
      </c>
      <c r="D448" s="34">
        <v>59</v>
      </c>
      <c r="E448" s="34" t="s">
        <v>1073</v>
      </c>
      <c r="F448" s="34" t="s">
        <v>1185</v>
      </c>
      <c r="G448" s="34"/>
      <c r="H448" s="34" t="s">
        <v>1086</v>
      </c>
      <c r="I448" s="34" t="s">
        <v>1236</v>
      </c>
      <c r="J448" s="34" t="str">
        <f t="shared" si="66"/>
        <v>Female</v>
      </c>
      <c r="K448" s="34" t="str">
        <f t="shared" si="67"/>
        <v>UK</v>
      </c>
      <c r="L448" s="34" t="str">
        <f t="shared" si="68"/>
        <v>Case 713 is a Local linked  case, 59 years old female UK (Long Term Pass holder)  and has not been overseas. She is currently admitted at NCID . Dover Court International School</v>
      </c>
      <c r="M448" s="34" t="str">
        <f t="shared" si="69"/>
        <v/>
      </c>
      <c r="N448" s="34" t="str">
        <f t="shared" si="70"/>
        <v/>
      </c>
      <c r="O448" s="34">
        <f t="shared" si="71"/>
        <v>713</v>
      </c>
      <c r="P448" s="34" t="str">
        <f t="shared" si="72"/>
        <v>Dover Court International School</v>
      </c>
    </row>
    <row r="449" spans="1:16" x14ac:dyDescent="0.3">
      <c r="A449" s="34">
        <v>714</v>
      </c>
      <c r="B449" s="38">
        <v>43916</v>
      </c>
      <c r="C449" s="34" t="s">
        <v>1071</v>
      </c>
      <c r="D449" s="34">
        <v>27</v>
      </c>
      <c r="E449" s="34" t="s">
        <v>1073</v>
      </c>
      <c r="F449" s="34" t="s">
        <v>1296</v>
      </c>
      <c r="G449" s="34"/>
      <c r="H449" s="34" t="s">
        <v>1086</v>
      </c>
      <c r="I449" s="34" t="s">
        <v>1297</v>
      </c>
      <c r="J449" s="34" t="str">
        <f t="shared" si="66"/>
        <v>Female</v>
      </c>
      <c r="K449" s="34" t="str">
        <f t="shared" si="67"/>
        <v>South Korea</v>
      </c>
      <c r="L449" s="34" t="str">
        <f t="shared" si="68"/>
        <v>Case 714 is a Local linked  case, 27 years old female South Korea (Singapore Work Pass holder)  and has not been overseas. She is currently admitted at NCID . Contact of Case 670</v>
      </c>
      <c r="M449" s="34" t="str">
        <f t="shared" si="69"/>
        <v/>
      </c>
      <c r="N449" s="34" t="str">
        <f t="shared" si="70"/>
        <v/>
      </c>
      <c r="O449" s="34">
        <f t="shared" si="71"/>
        <v>714</v>
      </c>
      <c r="P449" s="34" t="str">
        <f t="shared" si="72"/>
        <v>Contact of Case 670</v>
      </c>
    </row>
    <row r="450" spans="1:16" x14ac:dyDescent="0.3">
      <c r="A450" s="34">
        <v>715</v>
      </c>
      <c r="B450" s="38">
        <v>43917</v>
      </c>
      <c r="C450" s="34" t="s">
        <v>1071</v>
      </c>
      <c r="D450" s="34">
        <v>71</v>
      </c>
      <c r="E450" s="34" t="s">
        <v>1059</v>
      </c>
      <c r="F450" s="34" t="s">
        <v>1060</v>
      </c>
      <c r="G450" s="34" t="s">
        <v>360</v>
      </c>
      <c r="H450" s="34" t="s">
        <v>77</v>
      </c>
      <c r="I450" s="34"/>
      <c r="J450" s="34" t="str">
        <f t="shared" si="66"/>
        <v>Male</v>
      </c>
      <c r="K450" s="34" t="str">
        <f t="shared" si="67"/>
        <v>Singaporean</v>
      </c>
      <c r="L450" s="34" t="str">
        <f t="shared" si="68"/>
        <v xml:space="preserve">Case 715 is a Imported case, 71 years old male Singapore Citizen  and has been to Malaysia . He is currently admitted at NCID . </v>
      </c>
      <c r="M450" s="34">
        <f t="shared" si="69"/>
        <v>715</v>
      </c>
      <c r="N450" s="34" t="str">
        <f t="shared" si="70"/>
        <v xml:space="preserve">Malaysia </v>
      </c>
      <c r="O450" s="34" t="str">
        <f t="shared" si="71"/>
        <v/>
      </c>
      <c r="P450" s="34" t="str">
        <f t="shared" si="72"/>
        <v/>
      </c>
    </row>
    <row r="451" spans="1:16" x14ac:dyDescent="0.3">
      <c r="A451" s="34">
        <v>716</v>
      </c>
      <c r="B451" s="38">
        <v>43917</v>
      </c>
      <c r="C451" s="34" t="s">
        <v>1071</v>
      </c>
      <c r="D451" s="34">
        <v>67</v>
      </c>
      <c r="E451" s="34" t="s">
        <v>1073</v>
      </c>
      <c r="F451" s="34" t="s">
        <v>1060</v>
      </c>
      <c r="G451" s="34"/>
      <c r="H451" s="34" t="s">
        <v>1086</v>
      </c>
      <c r="I451" s="34" t="s">
        <v>1259</v>
      </c>
      <c r="J451" s="34" t="str">
        <f t="shared" si="66"/>
        <v>Female</v>
      </c>
      <c r="K451" s="34" t="str">
        <f t="shared" si="67"/>
        <v>Singaporean</v>
      </c>
      <c r="L451" s="34" t="str">
        <f t="shared" si="68"/>
        <v>Case 716 is a Local linked  case, 67 years old female Singapore Citizen  and has not been overseas. She is currently admitted at NCID . PCF Fengshan</v>
      </c>
      <c r="M451" s="34" t="str">
        <f t="shared" si="69"/>
        <v/>
      </c>
      <c r="N451" s="34" t="str">
        <f t="shared" si="70"/>
        <v/>
      </c>
      <c r="O451" s="34">
        <f t="shared" si="71"/>
        <v>716</v>
      </c>
      <c r="P451" s="34" t="str">
        <f t="shared" si="72"/>
        <v>PCF Fengshan</v>
      </c>
    </row>
    <row r="452" spans="1:16" x14ac:dyDescent="0.3">
      <c r="A452" s="34">
        <v>717</v>
      </c>
      <c r="B452" s="38">
        <v>43917</v>
      </c>
      <c r="C452" s="34" t="s">
        <v>1071</v>
      </c>
      <c r="D452" s="34">
        <v>19</v>
      </c>
      <c r="E452" s="34" t="s">
        <v>1073</v>
      </c>
      <c r="F452" s="34" t="s">
        <v>1298</v>
      </c>
      <c r="G452" s="34" t="s">
        <v>1177</v>
      </c>
      <c r="H452" s="34" t="s">
        <v>1069</v>
      </c>
      <c r="I452" s="34"/>
      <c r="J452" s="34" t="str">
        <f t="shared" si="66"/>
        <v>Female</v>
      </c>
      <c r="K452" s="34" t="str">
        <f t="shared" si="67"/>
        <v>Indi</v>
      </c>
      <c r="L452" s="34" t="str">
        <f t="shared" si="68"/>
        <v xml:space="preserve">Case 717 is a Imported  case, 19 years old female India(Long Term Pass holder)  and has been to Pending . She is currently admitted at NCID . </v>
      </c>
      <c r="M452" s="34">
        <f t="shared" si="69"/>
        <v>717</v>
      </c>
      <c r="N452" s="34" t="str">
        <f t="shared" si="70"/>
        <v xml:space="preserve">Pending </v>
      </c>
      <c r="O452" s="34" t="str">
        <f t="shared" si="71"/>
        <v/>
      </c>
      <c r="P452" s="34" t="str">
        <f t="shared" si="72"/>
        <v/>
      </c>
    </row>
    <row r="453" spans="1:16" x14ac:dyDescent="0.3">
      <c r="A453" s="34">
        <v>718</v>
      </c>
      <c r="B453" s="38">
        <v>43917</v>
      </c>
      <c r="C453" s="34" t="s">
        <v>1071</v>
      </c>
      <c r="D453" s="34">
        <v>33</v>
      </c>
      <c r="E453" s="34" t="s">
        <v>1059</v>
      </c>
      <c r="F453" s="34" t="s">
        <v>1278</v>
      </c>
      <c r="G453" s="34"/>
      <c r="H453" s="34" t="s">
        <v>1086</v>
      </c>
      <c r="I453" s="34" t="s">
        <v>1299</v>
      </c>
      <c r="J453" s="34" t="str">
        <f t="shared" si="66"/>
        <v>Male</v>
      </c>
      <c r="K453" s="34" t="str">
        <f t="shared" si="67"/>
        <v>Bangladesh</v>
      </c>
      <c r="L453" s="34" t="str">
        <f t="shared" si="68"/>
        <v>Case 718 is a Local linked  case, 33 years old male Bangladesh (Long Term Pass holder)  and has not been overseas. He is currently admitted at NCID . Contact of Case 658</v>
      </c>
      <c r="M453" s="34" t="str">
        <f t="shared" si="69"/>
        <v/>
      </c>
      <c r="N453" s="34" t="str">
        <f t="shared" si="70"/>
        <v/>
      </c>
      <c r="O453" s="34">
        <f t="shared" si="71"/>
        <v>718</v>
      </c>
      <c r="P453" s="34" t="str">
        <f t="shared" si="72"/>
        <v>Contact of Case 658</v>
      </c>
    </row>
    <row r="454" spans="1:16" x14ac:dyDescent="0.3">
      <c r="A454" s="34">
        <v>719</v>
      </c>
      <c r="B454" s="38">
        <v>43917</v>
      </c>
      <c r="C454" s="34" t="s">
        <v>1071</v>
      </c>
      <c r="D454" s="34">
        <v>29</v>
      </c>
      <c r="E454" s="34" t="s">
        <v>1059</v>
      </c>
      <c r="F454" s="34" t="s">
        <v>1060</v>
      </c>
      <c r="G454" s="34" t="s">
        <v>1063</v>
      </c>
      <c r="H454" s="34" t="s">
        <v>77</v>
      </c>
      <c r="I454" s="34"/>
      <c r="J454" s="34" t="str">
        <f t="shared" si="66"/>
        <v>Male</v>
      </c>
      <c r="K454" s="34" t="str">
        <f t="shared" si="67"/>
        <v>Singaporean</v>
      </c>
      <c r="L454" s="34" t="str">
        <f t="shared" si="68"/>
        <v xml:space="preserve">Case 719 is a Imported case, 29 years old male Singapore Citizen  and has been to UK . He is currently admitted at NCID . </v>
      </c>
      <c r="M454" s="34">
        <f t="shared" si="69"/>
        <v>719</v>
      </c>
      <c r="N454" s="34" t="str">
        <f t="shared" si="70"/>
        <v xml:space="preserve">UK </v>
      </c>
      <c r="O454" s="34" t="str">
        <f t="shared" si="71"/>
        <v/>
      </c>
      <c r="P454" s="34" t="str">
        <f t="shared" si="72"/>
        <v/>
      </c>
    </row>
    <row r="455" spans="1:16" x14ac:dyDescent="0.3">
      <c r="A455" s="34">
        <v>720</v>
      </c>
      <c r="B455" s="38">
        <v>43917</v>
      </c>
      <c r="C455" s="34" t="s">
        <v>1071</v>
      </c>
      <c r="D455" s="34">
        <v>20</v>
      </c>
      <c r="E455" s="34" t="s">
        <v>1059</v>
      </c>
      <c r="F455" s="34" t="s">
        <v>687</v>
      </c>
      <c r="G455" s="34" t="s">
        <v>1085</v>
      </c>
      <c r="H455" s="34" t="s">
        <v>77</v>
      </c>
      <c r="I455" s="34"/>
      <c r="J455" s="34" t="str">
        <f t="shared" si="66"/>
        <v>Male</v>
      </c>
      <c r="K455" s="34" t="str">
        <f t="shared" si="67"/>
        <v xml:space="preserve">Indonesia </v>
      </c>
      <c r="L455" s="34" t="str">
        <f t="shared" si="68"/>
        <v xml:space="preserve">Case 720 is a Imported case, 20 years old male Indonesia  and has been to US . He is currently admitted at NCID . </v>
      </c>
      <c r="M455" s="34">
        <f t="shared" si="69"/>
        <v>720</v>
      </c>
      <c r="N455" s="34" t="str">
        <f t="shared" si="70"/>
        <v xml:space="preserve">US </v>
      </c>
      <c r="O455" s="34" t="str">
        <f t="shared" si="71"/>
        <v/>
      </c>
      <c r="P455" s="34" t="str">
        <f t="shared" si="72"/>
        <v/>
      </c>
    </row>
    <row r="456" spans="1:16" x14ac:dyDescent="0.3">
      <c r="A456" s="34">
        <v>721</v>
      </c>
      <c r="B456" s="38">
        <v>43917</v>
      </c>
      <c r="C456" s="34" t="s">
        <v>1071</v>
      </c>
      <c r="D456" s="34">
        <v>68</v>
      </c>
      <c r="E456" s="34" t="s">
        <v>1073</v>
      </c>
      <c r="F456" s="34" t="s">
        <v>1060</v>
      </c>
      <c r="G456" s="34"/>
      <c r="H456" s="34" t="s">
        <v>1061</v>
      </c>
      <c r="I456" s="34"/>
      <c r="J456" s="34" t="str">
        <f t="shared" si="66"/>
        <v>Female</v>
      </c>
      <c r="K456" s="34" t="str">
        <f t="shared" si="67"/>
        <v>Singaporean</v>
      </c>
      <c r="L456" s="34" t="str">
        <f t="shared" si="68"/>
        <v xml:space="preserve">Case 721 is a Local unlinked case, 68 years old female Singapore Citizen  and has not been overseas. She is currently admitted at NCID . </v>
      </c>
      <c r="M456" s="34" t="str">
        <f t="shared" si="69"/>
        <v/>
      </c>
      <c r="N456" s="34" t="str">
        <f t="shared" si="70"/>
        <v/>
      </c>
      <c r="O456" s="34" t="str">
        <f t="shared" si="71"/>
        <v/>
      </c>
      <c r="P456" s="34" t="str">
        <f t="shared" si="72"/>
        <v/>
      </c>
    </row>
    <row r="457" spans="1:16" x14ac:dyDescent="0.3">
      <c r="A457" s="34">
        <v>722</v>
      </c>
      <c r="B457" s="38">
        <v>43917</v>
      </c>
      <c r="C457" s="34" t="s">
        <v>1071</v>
      </c>
      <c r="D457" s="34">
        <v>56</v>
      </c>
      <c r="E457" s="34" t="s">
        <v>1059</v>
      </c>
      <c r="F457" s="34" t="s">
        <v>1060</v>
      </c>
      <c r="G457" s="34"/>
      <c r="H457" s="34" t="s">
        <v>1061</v>
      </c>
      <c r="I457" s="34"/>
      <c r="J457" s="34" t="str">
        <f t="shared" si="66"/>
        <v>Male</v>
      </c>
      <c r="K457" s="34" t="str">
        <f t="shared" si="67"/>
        <v>Singaporean</v>
      </c>
      <c r="L457" s="34" t="str">
        <f t="shared" si="68"/>
        <v xml:space="preserve">Case 722 is a Local unlinked case, 56 years old male Singapore Citizen  and has not been overseas. He is currently admitted at NCID . </v>
      </c>
      <c r="M457" s="34" t="str">
        <f t="shared" si="69"/>
        <v/>
      </c>
      <c r="N457" s="34" t="str">
        <f t="shared" si="70"/>
        <v/>
      </c>
      <c r="O457" s="34" t="str">
        <f t="shared" si="71"/>
        <v/>
      </c>
      <c r="P457" s="34" t="str">
        <f t="shared" si="72"/>
        <v/>
      </c>
    </row>
    <row r="458" spans="1:16" x14ac:dyDescent="0.3">
      <c r="A458" s="34">
        <v>723</v>
      </c>
      <c r="B458" s="38">
        <v>43917</v>
      </c>
      <c r="C458" s="34" t="s">
        <v>1071</v>
      </c>
      <c r="D458" s="34">
        <v>27</v>
      </c>
      <c r="E458" s="34" t="s">
        <v>1073</v>
      </c>
      <c r="F458" s="34" t="s">
        <v>1060</v>
      </c>
      <c r="G458" s="34" t="s">
        <v>1063</v>
      </c>
      <c r="H458" s="34" t="s">
        <v>77</v>
      </c>
      <c r="I458" s="34"/>
      <c r="J458" s="34" t="str">
        <f t="shared" si="66"/>
        <v>Female</v>
      </c>
      <c r="K458" s="34" t="str">
        <f t="shared" si="67"/>
        <v>Singaporean</v>
      </c>
      <c r="L458" s="34" t="str">
        <f t="shared" si="68"/>
        <v xml:space="preserve">Case 723 is a Imported case, 27 years old female Singapore Citizen  and has been to UK . She is currently admitted at NCID . </v>
      </c>
      <c r="M458" s="34">
        <f t="shared" si="69"/>
        <v>723</v>
      </c>
      <c r="N458" s="34" t="str">
        <f t="shared" si="70"/>
        <v xml:space="preserve">UK </v>
      </c>
      <c r="O458" s="34" t="str">
        <f t="shared" si="71"/>
        <v/>
      </c>
      <c r="P458" s="34" t="str">
        <f t="shared" si="72"/>
        <v/>
      </c>
    </row>
    <row r="459" spans="1:16" x14ac:dyDescent="0.3">
      <c r="A459" s="34">
        <v>724</v>
      </c>
      <c r="B459" s="38">
        <v>43917</v>
      </c>
      <c r="C459" s="34" t="s">
        <v>1071</v>
      </c>
      <c r="D459" s="34">
        <v>29</v>
      </c>
      <c r="E459" s="34" t="s">
        <v>1059</v>
      </c>
      <c r="F459" s="34" t="s">
        <v>1156</v>
      </c>
      <c r="G459" s="34"/>
      <c r="H459" s="34" t="s">
        <v>1086</v>
      </c>
      <c r="I459" s="34" t="s">
        <v>1287</v>
      </c>
      <c r="J459" s="34" t="str">
        <f t="shared" si="66"/>
        <v>Male</v>
      </c>
      <c r="K459" s="34" t="str">
        <f t="shared" si="67"/>
        <v>Malaysia</v>
      </c>
      <c r="L459" s="34" t="str">
        <f t="shared" si="68"/>
        <v>Case 724 is a Local linked  case, 29 years old male Malaysia (Singapore Work Pass holder)  and has not been overseas. He is currently admitted at NCID . SingPost Centre</v>
      </c>
      <c r="M459" s="34" t="str">
        <f t="shared" si="69"/>
        <v/>
      </c>
      <c r="N459" s="34" t="str">
        <f t="shared" si="70"/>
        <v/>
      </c>
      <c r="O459" s="34">
        <f t="shared" si="71"/>
        <v>724</v>
      </c>
      <c r="P459" s="34" t="str">
        <f t="shared" si="72"/>
        <v>SingPost Centre</v>
      </c>
    </row>
    <row r="460" spans="1:16" x14ac:dyDescent="0.3">
      <c r="A460" s="34">
        <v>725</v>
      </c>
      <c r="B460" s="38">
        <v>43917</v>
      </c>
      <c r="C460" s="34" t="s">
        <v>1062</v>
      </c>
      <c r="D460" s="34">
        <v>23</v>
      </c>
      <c r="E460" s="34" t="s">
        <v>1059</v>
      </c>
      <c r="F460" s="34" t="s">
        <v>1060</v>
      </c>
      <c r="G460" s="34" t="s">
        <v>1063</v>
      </c>
      <c r="H460" s="34" t="s">
        <v>77</v>
      </c>
      <c r="I460" s="34"/>
      <c r="J460" s="34" t="str">
        <f t="shared" si="66"/>
        <v>Male</v>
      </c>
      <c r="K460" s="34" t="str">
        <f t="shared" si="67"/>
        <v>Singaporean</v>
      </c>
      <c r="L460" s="34" t="str">
        <f t="shared" si="68"/>
        <v xml:space="preserve">Case 725 is a Imported case, 23 years old male Singapore Citizen  and has been to UK . He is currently admitted at NTFGH . </v>
      </c>
      <c r="M460" s="34">
        <f t="shared" si="69"/>
        <v>725</v>
      </c>
      <c r="N460" s="34" t="str">
        <f t="shared" si="70"/>
        <v xml:space="preserve">UK </v>
      </c>
      <c r="O460" s="34" t="str">
        <f t="shared" si="71"/>
        <v/>
      </c>
      <c r="P460" s="34" t="str">
        <f t="shared" si="72"/>
        <v/>
      </c>
    </row>
    <row r="461" spans="1:16" x14ac:dyDescent="0.3">
      <c r="A461" s="34">
        <v>726</v>
      </c>
      <c r="B461" s="38">
        <v>43917</v>
      </c>
      <c r="C461" s="34" t="s">
        <v>1071</v>
      </c>
      <c r="D461" s="34">
        <v>59</v>
      </c>
      <c r="E461" s="34" t="s">
        <v>1059</v>
      </c>
      <c r="F461" s="34" t="s">
        <v>1060</v>
      </c>
      <c r="G461" s="34"/>
      <c r="H461" s="34" t="s">
        <v>1086</v>
      </c>
      <c r="I461" s="34" t="s">
        <v>1300</v>
      </c>
      <c r="J461" s="34" t="str">
        <f t="shared" si="66"/>
        <v>Male</v>
      </c>
      <c r="K461" s="34" t="str">
        <f t="shared" si="67"/>
        <v>Singaporean</v>
      </c>
      <c r="L461" s="34" t="str">
        <f t="shared" si="68"/>
        <v>Case 726 is a Local linked  case, 59 years old male Singapore Citizen  and has not been overseas. He is currently admitted at NCID . Contact of Cases 557 and 629</v>
      </c>
      <c r="M461" s="34" t="str">
        <f t="shared" si="69"/>
        <v/>
      </c>
      <c r="N461" s="34" t="str">
        <f t="shared" si="70"/>
        <v/>
      </c>
      <c r="O461" s="34">
        <f t="shared" si="71"/>
        <v>726</v>
      </c>
      <c r="P461" s="34" t="str">
        <f t="shared" si="72"/>
        <v>Contact of Cases 557 and 629</v>
      </c>
    </row>
    <row r="462" spans="1:16" x14ac:dyDescent="0.3">
      <c r="A462" s="34">
        <v>727</v>
      </c>
      <c r="B462" s="38">
        <v>43917</v>
      </c>
      <c r="C462" s="34" t="s">
        <v>1071</v>
      </c>
      <c r="D462" s="34">
        <v>59</v>
      </c>
      <c r="E462" s="34" t="s">
        <v>1059</v>
      </c>
      <c r="F462" s="34" t="s">
        <v>1060</v>
      </c>
      <c r="G462" s="34" t="s">
        <v>1063</v>
      </c>
      <c r="H462" s="34" t="s">
        <v>77</v>
      </c>
      <c r="I462" s="34"/>
      <c r="J462" s="34" t="str">
        <f t="shared" si="66"/>
        <v>Male</v>
      </c>
      <c r="K462" s="34" t="str">
        <f t="shared" si="67"/>
        <v>Singaporean</v>
      </c>
      <c r="L462" s="34" t="str">
        <f t="shared" si="68"/>
        <v xml:space="preserve">Case 727 is a Imported case, 59 years old male Singapore Citizen  and has been to UK . He is currently admitted at NCID . </v>
      </c>
      <c r="M462" s="34">
        <f t="shared" si="69"/>
        <v>727</v>
      </c>
      <c r="N462" s="34" t="str">
        <f t="shared" si="70"/>
        <v xml:space="preserve">UK </v>
      </c>
      <c r="O462" s="34" t="str">
        <f t="shared" si="71"/>
        <v/>
      </c>
      <c r="P462" s="34" t="str">
        <f t="shared" si="72"/>
        <v/>
      </c>
    </row>
    <row r="463" spans="1:16" x14ac:dyDescent="0.3">
      <c r="A463" s="34">
        <v>728</v>
      </c>
      <c r="B463" s="38">
        <v>43917</v>
      </c>
      <c r="C463" s="34" t="s">
        <v>1064</v>
      </c>
      <c r="D463" s="34">
        <v>22</v>
      </c>
      <c r="E463" s="34" t="s">
        <v>1059</v>
      </c>
      <c r="F463" s="34" t="s">
        <v>1060</v>
      </c>
      <c r="G463" s="34"/>
      <c r="H463" s="34" t="s">
        <v>1061</v>
      </c>
      <c r="I463" s="34"/>
      <c r="J463" s="34" t="str">
        <f t="shared" si="66"/>
        <v>Male</v>
      </c>
      <c r="K463" s="34" t="str">
        <f t="shared" si="67"/>
        <v>Singaporean</v>
      </c>
      <c r="L463" s="34" t="str">
        <f t="shared" si="68"/>
        <v xml:space="preserve">Case 728 is a Local unlinked case, 22 years old male Singapore Citizen  and has not been overseas. He is currently admitted at CGH . </v>
      </c>
      <c r="M463" s="34" t="str">
        <f t="shared" si="69"/>
        <v/>
      </c>
      <c r="N463" s="34" t="str">
        <f t="shared" si="70"/>
        <v/>
      </c>
      <c r="O463" s="34" t="str">
        <f t="shared" si="71"/>
        <v/>
      </c>
      <c r="P463" s="34" t="str">
        <f t="shared" si="72"/>
        <v/>
      </c>
    </row>
    <row r="464" spans="1:16" x14ac:dyDescent="0.3">
      <c r="A464" s="34">
        <v>729</v>
      </c>
      <c r="B464" s="38">
        <v>43917</v>
      </c>
      <c r="C464" s="34" t="s">
        <v>1138</v>
      </c>
      <c r="D464" s="34">
        <v>53</v>
      </c>
      <c r="E464" s="34" t="s">
        <v>1059</v>
      </c>
      <c r="F464" s="34" t="s">
        <v>1072</v>
      </c>
      <c r="G464" s="34"/>
      <c r="H464" s="34" t="s">
        <v>1086</v>
      </c>
      <c r="I464" s="34" t="s">
        <v>1236</v>
      </c>
      <c r="J464" s="34" t="str">
        <f t="shared" si="66"/>
        <v>Male</v>
      </c>
      <c r="K464" s="34" t="str">
        <f t="shared" si="67"/>
        <v>Singaporean</v>
      </c>
      <c r="L464" s="34" t="str">
        <f t="shared" si="68"/>
        <v>Case 729 is a Local linked  case, 53 years old male Singapore Permanent Resident  and has not been overseas. He is currently admitted at SGH . Dover Court International School</v>
      </c>
      <c r="M464" s="34" t="str">
        <f t="shared" si="69"/>
        <v/>
      </c>
      <c r="N464" s="34" t="str">
        <f t="shared" si="70"/>
        <v/>
      </c>
      <c r="O464" s="34">
        <f t="shared" si="71"/>
        <v>729</v>
      </c>
      <c r="P464" s="34" t="str">
        <f t="shared" si="72"/>
        <v>Dover Court International School</v>
      </c>
    </row>
    <row r="465" spans="1:16" x14ac:dyDescent="0.3">
      <c r="A465" s="34">
        <v>730</v>
      </c>
      <c r="B465" s="38">
        <v>43917</v>
      </c>
      <c r="C465" s="34" t="s">
        <v>1071</v>
      </c>
      <c r="D465" s="34">
        <v>26</v>
      </c>
      <c r="E465" s="34" t="s">
        <v>1059</v>
      </c>
      <c r="F465" s="34" t="s">
        <v>1072</v>
      </c>
      <c r="G465" s="34"/>
      <c r="H465" s="34" t="s">
        <v>1061</v>
      </c>
      <c r="I465" s="34"/>
      <c r="J465" s="34" t="str">
        <f t="shared" si="66"/>
        <v>Male</v>
      </c>
      <c r="K465" s="34" t="str">
        <f t="shared" si="67"/>
        <v>Singaporean</v>
      </c>
      <c r="L465" s="34" t="str">
        <f t="shared" si="68"/>
        <v xml:space="preserve">Case 730 is a Local unlinked case, 26 years old male Singapore Permanent Resident  and has not been overseas. He is currently admitted at NCID . </v>
      </c>
      <c r="M465" s="34" t="str">
        <f t="shared" si="69"/>
        <v/>
      </c>
      <c r="N465" s="34" t="str">
        <f t="shared" si="70"/>
        <v/>
      </c>
      <c r="O465" s="34" t="str">
        <f t="shared" si="71"/>
        <v/>
      </c>
      <c r="P465" s="34" t="str">
        <f t="shared" si="72"/>
        <v/>
      </c>
    </row>
    <row r="466" spans="1:16" x14ac:dyDescent="0.3">
      <c r="A466" s="34">
        <v>731</v>
      </c>
      <c r="B466" s="38">
        <v>43917</v>
      </c>
      <c r="C466" s="34" t="s">
        <v>1064</v>
      </c>
      <c r="D466" s="34">
        <v>32</v>
      </c>
      <c r="E466" s="34" t="s">
        <v>1059</v>
      </c>
      <c r="F466" s="34" t="s">
        <v>1060</v>
      </c>
      <c r="G466" s="34"/>
      <c r="H466" s="34" t="s">
        <v>1061</v>
      </c>
      <c r="I466" s="34"/>
      <c r="J466" s="34" t="str">
        <f t="shared" si="66"/>
        <v>Male</v>
      </c>
      <c r="K466" s="34" t="str">
        <f t="shared" si="67"/>
        <v>Singaporean</v>
      </c>
      <c r="L466" s="34" t="str">
        <f t="shared" si="68"/>
        <v xml:space="preserve">Case 731 is a Local unlinked case, 32 years old male Singapore Citizen  and has not been overseas. He is currently admitted at CGH . </v>
      </c>
      <c r="M466" s="34" t="str">
        <f t="shared" si="69"/>
        <v/>
      </c>
      <c r="N466" s="34" t="str">
        <f t="shared" si="70"/>
        <v/>
      </c>
      <c r="O466" s="34" t="str">
        <f t="shared" si="71"/>
        <v/>
      </c>
      <c r="P466" s="34" t="str">
        <f t="shared" si="72"/>
        <v/>
      </c>
    </row>
    <row r="467" spans="1:16" x14ac:dyDescent="0.3">
      <c r="A467" s="34">
        <v>732</v>
      </c>
      <c r="B467" s="38">
        <v>43917</v>
      </c>
      <c r="C467" s="34" t="s">
        <v>1064</v>
      </c>
      <c r="D467" s="34">
        <v>23</v>
      </c>
      <c r="E467" s="34" t="s">
        <v>1073</v>
      </c>
      <c r="F467" s="34" t="s">
        <v>1060</v>
      </c>
      <c r="G467" s="34" t="s">
        <v>1063</v>
      </c>
      <c r="H467" s="34" t="s">
        <v>77</v>
      </c>
      <c r="I467" s="34"/>
      <c r="J467" s="34" t="str">
        <f t="shared" si="66"/>
        <v>Female</v>
      </c>
      <c r="K467" s="34" t="str">
        <f t="shared" si="67"/>
        <v>Singaporean</v>
      </c>
      <c r="L467" s="34" t="str">
        <f t="shared" si="68"/>
        <v xml:space="preserve">Case 732 is a Imported case, 23 years old female Singapore Citizen  and has been to UK . She is currently admitted at CGH . </v>
      </c>
      <c r="M467" s="34">
        <f t="shared" si="69"/>
        <v>732</v>
      </c>
      <c r="N467" s="34" t="str">
        <f t="shared" si="70"/>
        <v xml:space="preserve">UK </v>
      </c>
      <c r="O467" s="34" t="str">
        <f t="shared" si="71"/>
        <v/>
      </c>
      <c r="P467" s="34" t="str">
        <f t="shared" si="72"/>
        <v/>
      </c>
    </row>
    <row r="468" spans="1:16" x14ac:dyDescent="0.3">
      <c r="A468" s="40">
        <v>733</v>
      </c>
      <c r="B468" s="41">
        <v>43917</v>
      </c>
      <c r="C468" s="40" t="s">
        <v>1071</v>
      </c>
      <c r="D468" s="40">
        <v>52</v>
      </c>
      <c r="E468" s="40" t="s">
        <v>1059</v>
      </c>
      <c r="F468" s="40" t="s">
        <v>844</v>
      </c>
      <c r="G468" s="40" t="s">
        <v>1303</v>
      </c>
      <c r="H468" s="40" t="s">
        <v>77</v>
      </c>
      <c r="I468" s="40"/>
      <c r="J468" s="40" t="str">
        <f t="shared" ref="J468:J531" si="73">IF(TRIM(E468)="M","Male",IF(TRIM(E468)="F","Female",""))</f>
        <v>Male</v>
      </c>
      <c r="K468" s="40" t="str">
        <f t="shared" ref="K468:K531" si="74">IF(LEFT(F468,9)="Singapore","Singaporean",IF(ISERR(FIND("(",F468)),F468,LEFT(F468,FIND("(",F468)-2)))</f>
        <v xml:space="preserve">Australia </v>
      </c>
      <c r="L468" s="40" t="str">
        <f t="shared" ref="L468:L531" si="75">"Case "&amp;A468&amp;" is a "&amp;H468&amp;" case, "&amp;D468&amp;" years old "&amp;LOWER(J468)&amp;" "&amp;F468 &amp;IF(G468=""," and has not been overseas"," and has been to "&amp;G468)&amp;". "&amp;IF(TRIM(E468)="F","She",IF(TRIM(E468)="M","He"))&amp;" is currently admitted at "&amp;C468&amp;". "&amp;I468</f>
        <v xml:space="preserve">Case 733 is a Imported case, 52 years old male Australia  and has been to US, UK . He is currently admitted at NCID . </v>
      </c>
      <c r="M468" s="40">
        <f t="shared" ref="M468:M531" si="76">IF(G468="","",A468)</f>
        <v>733</v>
      </c>
      <c r="N468" s="40" t="str">
        <f t="shared" ref="N468:N531" si="77">IF(G468="","",G468)</f>
        <v xml:space="preserve">US, UK </v>
      </c>
      <c r="O468" s="40" t="str">
        <f t="shared" ref="O468:O531" si="78">IF(I468="","",A468)</f>
        <v/>
      </c>
      <c r="P468" s="40" t="str">
        <f t="shared" ref="P468:P531" si="79">IF(I468="","",I468)</f>
        <v/>
      </c>
    </row>
    <row r="469" spans="1:16" x14ac:dyDescent="0.3">
      <c r="A469" s="40">
        <v>734</v>
      </c>
      <c r="B469" s="41">
        <v>43917</v>
      </c>
      <c r="C469" s="40" t="s">
        <v>1071</v>
      </c>
      <c r="D469" s="40">
        <v>31</v>
      </c>
      <c r="E469" s="40" t="s">
        <v>1073</v>
      </c>
      <c r="F469" s="40" t="s">
        <v>1060</v>
      </c>
      <c r="G469" s="40"/>
      <c r="H469" s="40" t="s">
        <v>1086</v>
      </c>
      <c r="I469" s="40" t="s">
        <v>1304</v>
      </c>
      <c r="J469" s="40" t="str">
        <f t="shared" si="73"/>
        <v>Female</v>
      </c>
      <c r="K469" s="40" t="str">
        <f t="shared" si="74"/>
        <v>Singaporean</v>
      </c>
      <c r="L469" s="40" t="str">
        <f t="shared" si="75"/>
        <v>Case 734 is a Local linked  case, 31 years old female Singapore Citizen  and has not been overseas. She is currently admitted at NCID . Contact of Cases 533 and 659</v>
      </c>
      <c r="M469" s="40" t="str">
        <f t="shared" si="76"/>
        <v/>
      </c>
      <c r="N469" s="40" t="str">
        <f t="shared" si="77"/>
        <v/>
      </c>
      <c r="O469" s="40">
        <f t="shared" si="78"/>
        <v>734</v>
      </c>
      <c r="P469" s="40" t="str">
        <f t="shared" si="79"/>
        <v>Contact of Cases 533 and 659</v>
      </c>
    </row>
    <row r="470" spans="1:16" x14ac:dyDescent="0.3">
      <c r="A470" s="40">
        <v>735</v>
      </c>
      <c r="B470" s="41">
        <v>43917</v>
      </c>
      <c r="C470" s="40" t="s">
        <v>1138</v>
      </c>
      <c r="D470" s="40">
        <v>29</v>
      </c>
      <c r="E470" s="40" t="s">
        <v>1073</v>
      </c>
      <c r="F470" s="40" t="s">
        <v>1166</v>
      </c>
      <c r="G470" s="40" t="s">
        <v>1305</v>
      </c>
      <c r="H470" s="40" t="s">
        <v>77</v>
      </c>
      <c r="I470" s="40"/>
      <c r="J470" s="40" t="str">
        <f t="shared" si="73"/>
        <v>Female</v>
      </c>
      <c r="K470" s="40" t="str">
        <f t="shared" si="74"/>
        <v>Ireland</v>
      </c>
      <c r="L470" s="40" t="str">
        <f t="shared" si="75"/>
        <v xml:space="preserve">Case 735 is a Imported case, 29 years old female Ireland (Singapore Work Pass holder)  and has been to Vietnam . She is currently admitted at SGH . </v>
      </c>
      <c r="M470" s="40">
        <f t="shared" si="76"/>
        <v>735</v>
      </c>
      <c r="N470" s="40" t="str">
        <f t="shared" si="77"/>
        <v xml:space="preserve">Vietnam </v>
      </c>
      <c r="O470" s="40" t="str">
        <f t="shared" si="78"/>
        <v/>
      </c>
      <c r="P470" s="40" t="str">
        <f t="shared" si="79"/>
        <v/>
      </c>
    </row>
    <row r="471" spans="1:16" x14ac:dyDescent="0.3">
      <c r="A471" s="40">
        <v>736</v>
      </c>
      <c r="B471" s="41">
        <v>43917</v>
      </c>
      <c r="C471" s="40" t="s">
        <v>1071</v>
      </c>
      <c r="D471" s="40">
        <v>43</v>
      </c>
      <c r="E471" s="40" t="s">
        <v>1059</v>
      </c>
      <c r="F471" s="40" t="s">
        <v>1180</v>
      </c>
      <c r="G471" s="40" t="s">
        <v>687</v>
      </c>
      <c r="H471" s="40" t="s">
        <v>77</v>
      </c>
      <c r="I471" s="40"/>
      <c r="J471" s="40" t="str">
        <f t="shared" si="73"/>
        <v>Male</v>
      </c>
      <c r="K471" s="40" t="str">
        <f t="shared" si="74"/>
        <v>France</v>
      </c>
      <c r="L471" s="40" t="str">
        <f t="shared" si="75"/>
        <v xml:space="preserve">Case 736 is a Imported case, 43 years old male France (Long Term Pass holder)  and has been to Indonesia . He is currently admitted at NCID . </v>
      </c>
      <c r="M471" s="40">
        <f t="shared" si="76"/>
        <v>736</v>
      </c>
      <c r="N471" s="40" t="str">
        <f t="shared" si="77"/>
        <v xml:space="preserve">Indonesia </v>
      </c>
      <c r="O471" s="40" t="str">
        <f t="shared" si="78"/>
        <v/>
      </c>
      <c r="P471" s="40" t="str">
        <f t="shared" si="79"/>
        <v/>
      </c>
    </row>
    <row r="472" spans="1:16" x14ac:dyDescent="0.3">
      <c r="A472" s="40">
        <v>737</v>
      </c>
      <c r="B472" s="41">
        <v>43917</v>
      </c>
      <c r="C472" s="40" t="s">
        <v>1062</v>
      </c>
      <c r="D472" s="40">
        <v>28</v>
      </c>
      <c r="E472" s="40" t="s">
        <v>1059</v>
      </c>
      <c r="F472" s="40" t="s">
        <v>1156</v>
      </c>
      <c r="G472" s="40" t="s">
        <v>360</v>
      </c>
      <c r="H472" s="40" t="s">
        <v>77</v>
      </c>
      <c r="I472" s="40"/>
      <c r="J472" s="40" t="str">
        <f t="shared" si="73"/>
        <v>Male</v>
      </c>
      <c r="K472" s="40" t="str">
        <f t="shared" si="74"/>
        <v>Malaysia</v>
      </c>
      <c r="L472" s="40" t="str">
        <f t="shared" si="75"/>
        <v xml:space="preserve">Case 737 is a Imported case, 28 years old male Malaysia (Singapore Work Pass holder)  and has been to Malaysia . He is currently admitted at NTFGH . </v>
      </c>
      <c r="M472" s="40">
        <f t="shared" si="76"/>
        <v>737</v>
      </c>
      <c r="N472" s="40" t="str">
        <f t="shared" si="77"/>
        <v xml:space="preserve">Malaysia </v>
      </c>
      <c r="O472" s="40" t="str">
        <f t="shared" si="78"/>
        <v/>
      </c>
      <c r="P472" s="40" t="str">
        <f t="shared" si="79"/>
        <v/>
      </c>
    </row>
    <row r="473" spans="1:16" x14ac:dyDescent="0.3">
      <c r="A473" s="40">
        <v>738</v>
      </c>
      <c r="B473" s="41">
        <v>43917</v>
      </c>
      <c r="C473" s="40" t="s">
        <v>1062</v>
      </c>
      <c r="D473" s="40">
        <v>57</v>
      </c>
      <c r="E473" s="40" t="s">
        <v>1073</v>
      </c>
      <c r="F473" s="40" t="s">
        <v>1060</v>
      </c>
      <c r="G473" s="40" t="s">
        <v>1063</v>
      </c>
      <c r="H473" s="40" t="s">
        <v>77</v>
      </c>
      <c r="I473" s="40"/>
      <c r="J473" s="40" t="str">
        <f t="shared" si="73"/>
        <v>Female</v>
      </c>
      <c r="K473" s="40" t="str">
        <f t="shared" si="74"/>
        <v>Singaporean</v>
      </c>
      <c r="L473" s="40" t="str">
        <f t="shared" si="75"/>
        <v xml:space="preserve">Case 738 is a Imported case, 57 years old female Singapore Citizen  and has been to UK . She is currently admitted at NTFGH . </v>
      </c>
      <c r="M473" s="40">
        <f t="shared" si="76"/>
        <v>738</v>
      </c>
      <c r="N473" s="40" t="str">
        <f t="shared" si="77"/>
        <v xml:space="preserve">UK </v>
      </c>
      <c r="O473" s="40" t="str">
        <f t="shared" si="78"/>
        <v/>
      </c>
      <c r="P473" s="40" t="str">
        <f t="shared" si="79"/>
        <v/>
      </c>
    </row>
    <row r="474" spans="1:16" x14ac:dyDescent="0.3">
      <c r="A474" s="40">
        <v>739</v>
      </c>
      <c r="B474" s="41">
        <v>43917</v>
      </c>
      <c r="C474" s="40" t="s">
        <v>343</v>
      </c>
      <c r="D474" s="40">
        <v>30</v>
      </c>
      <c r="E474" s="40" t="s">
        <v>1073</v>
      </c>
      <c r="F474" s="40" t="s">
        <v>1060</v>
      </c>
      <c r="G474" s="40" t="s">
        <v>1063</v>
      </c>
      <c r="H474" s="40" t="s">
        <v>77</v>
      </c>
      <c r="I474" s="40"/>
      <c r="J474" s="40" t="str">
        <f t="shared" si="73"/>
        <v>Female</v>
      </c>
      <c r="K474" s="40" t="str">
        <f t="shared" si="74"/>
        <v>Singaporean</v>
      </c>
      <c r="L474" s="40" t="str">
        <f t="shared" si="75"/>
        <v xml:space="preserve">Case 739 is a Imported case, 30 years old female Singapore Citizen  and has been to UK . She is currently admitted at NUH . </v>
      </c>
      <c r="M474" s="40">
        <f t="shared" si="76"/>
        <v>739</v>
      </c>
      <c r="N474" s="40" t="str">
        <f t="shared" si="77"/>
        <v xml:space="preserve">UK </v>
      </c>
      <c r="O474" s="40" t="str">
        <f t="shared" si="78"/>
        <v/>
      </c>
      <c r="P474" s="40" t="str">
        <f t="shared" si="79"/>
        <v/>
      </c>
    </row>
    <row r="475" spans="1:16" x14ac:dyDescent="0.3">
      <c r="A475" s="40">
        <v>740</v>
      </c>
      <c r="B475" s="41">
        <v>43917</v>
      </c>
      <c r="C475" s="40" t="s">
        <v>1064</v>
      </c>
      <c r="D475" s="40">
        <v>25</v>
      </c>
      <c r="E475" s="40" t="s">
        <v>1059</v>
      </c>
      <c r="F475" s="40" t="s">
        <v>1306</v>
      </c>
      <c r="G475" s="40"/>
      <c r="H475" s="40" t="s">
        <v>1086</v>
      </c>
      <c r="I475" s="40" t="s">
        <v>1287</v>
      </c>
      <c r="J475" s="40" t="str">
        <f t="shared" si="73"/>
        <v>Male</v>
      </c>
      <c r="K475" s="40" t="str">
        <f t="shared" si="74"/>
        <v>China</v>
      </c>
      <c r="L475" s="40" t="str">
        <f t="shared" si="75"/>
        <v>Case 740 is a Local linked  case, 25 years old male China (Singapore Work Pass holder)  and has not been overseas. He is currently admitted at CGH . SingPost Centre</v>
      </c>
      <c r="M475" s="40" t="str">
        <f t="shared" si="76"/>
        <v/>
      </c>
      <c r="N475" s="40" t="str">
        <f t="shared" si="77"/>
        <v/>
      </c>
      <c r="O475" s="40">
        <f t="shared" si="78"/>
        <v>740</v>
      </c>
      <c r="P475" s="40" t="str">
        <f t="shared" si="79"/>
        <v>SingPost Centre</v>
      </c>
    </row>
    <row r="476" spans="1:16" x14ac:dyDescent="0.3">
      <c r="A476" s="40">
        <v>741</v>
      </c>
      <c r="B476" s="41">
        <v>43917</v>
      </c>
      <c r="C476" s="40" t="s">
        <v>1066</v>
      </c>
      <c r="D476" s="40">
        <v>42</v>
      </c>
      <c r="E476" s="40" t="s">
        <v>1073</v>
      </c>
      <c r="F476" s="40" t="s">
        <v>1072</v>
      </c>
      <c r="G476" s="40"/>
      <c r="H476" s="40" t="s">
        <v>1061</v>
      </c>
      <c r="I476" s="40"/>
      <c r="J476" s="40" t="str">
        <f t="shared" si="73"/>
        <v>Female</v>
      </c>
      <c r="K476" s="40" t="str">
        <f t="shared" si="74"/>
        <v>Singaporean</v>
      </c>
      <c r="L476" s="40" t="str">
        <f t="shared" si="75"/>
        <v xml:space="preserve">Case 741 is a Local unlinked case, 42 years old female Singapore Permanent Resident  and has not been overseas. She is currently admitted at SKH . </v>
      </c>
      <c r="M476" s="40" t="str">
        <f t="shared" si="76"/>
        <v/>
      </c>
      <c r="N476" s="40" t="str">
        <f t="shared" si="77"/>
        <v/>
      </c>
      <c r="O476" s="40" t="str">
        <f t="shared" si="78"/>
        <v/>
      </c>
      <c r="P476" s="40" t="str">
        <f t="shared" si="79"/>
        <v/>
      </c>
    </row>
    <row r="477" spans="1:16" x14ac:dyDescent="0.3">
      <c r="A477" s="40">
        <v>742</v>
      </c>
      <c r="B477" s="41">
        <v>43917</v>
      </c>
      <c r="C477" s="40" t="s">
        <v>1066</v>
      </c>
      <c r="D477" s="40">
        <v>39</v>
      </c>
      <c r="E477" s="40" t="s">
        <v>1059</v>
      </c>
      <c r="F477" s="40" t="s">
        <v>1060</v>
      </c>
      <c r="G477" s="40"/>
      <c r="H477" s="40" t="s">
        <v>1061</v>
      </c>
      <c r="I477" s="40"/>
      <c r="J477" s="40" t="str">
        <f t="shared" si="73"/>
        <v>Male</v>
      </c>
      <c r="K477" s="40" t="str">
        <f t="shared" si="74"/>
        <v>Singaporean</v>
      </c>
      <c r="L477" s="40" t="str">
        <f t="shared" si="75"/>
        <v xml:space="preserve">Case 742 is a Local unlinked case, 39 years old male Singapore Citizen  and has not been overseas. He is currently admitted at SKH . </v>
      </c>
      <c r="M477" s="40" t="str">
        <f t="shared" si="76"/>
        <v/>
      </c>
      <c r="N477" s="40" t="str">
        <f t="shared" si="77"/>
        <v/>
      </c>
      <c r="O477" s="40" t="str">
        <f t="shared" si="78"/>
        <v/>
      </c>
      <c r="P477" s="40" t="str">
        <f t="shared" si="79"/>
        <v/>
      </c>
    </row>
    <row r="478" spans="1:16" x14ac:dyDescent="0.3">
      <c r="A478" s="40">
        <v>743</v>
      </c>
      <c r="B478" s="41">
        <v>43917</v>
      </c>
      <c r="C478" s="40" t="s">
        <v>1071</v>
      </c>
      <c r="D478" s="40">
        <v>69</v>
      </c>
      <c r="E478" s="40" t="s">
        <v>1059</v>
      </c>
      <c r="F478" s="40" t="s">
        <v>1060</v>
      </c>
      <c r="G478" s="40" t="s">
        <v>360</v>
      </c>
      <c r="H478" s="40" t="s">
        <v>77</v>
      </c>
      <c r="I478" s="40"/>
      <c r="J478" s="40" t="str">
        <f t="shared" si="73"/>
        <v>Male</v>
      </c>
      <c r="K478" s="40" t="str">
        <f t="shared" si="74"/>
        <v>Singaporean</v>
      </c>
      <c r="L478" s="40" t="str">
        <f t="shared" si="75"/>
        <v xml:space="preserve">Case 743 is a Imported case, 69 years old male Singapore Citizen  and has been to Malaysia . He is currently admitted at NCID . </v>
      </c>
      <c r="M478" s="40">
        <f t="shared" si="76"/>
        <v>743</v>
      </c>
      <c r="N478" s="40" t="str">
        <f t="shared" si="77"/>
        <v xml:space="preserve">Malaysia </v>
      </c>
      <c r="O478" s="40" t="str">
        <f t="shared" si="78"/>
        <v/>
      </c>
      <c r="P478" s="40" t="str">
        <f t="shared" si="79"/>
        <v/>
      </c>
    </row>
    <row r="479" spans="1:16" x14ac:dyDescent="0.3">
      <c r="A479" s="40">
        <v>744</v>
      </c>
      <c r="B479" s="41">
        <v>43917</v>
      </c>
      <c r="C479" s="40" t="s">
        <v>1064</v>
      </c>
      <c r="D479" s="40">
        <v>40</v>
      </c>
      <c r="E479" s="40" t="s">
        <v>1073</v>
      </c>
      <c r="F479" s="40" t="s">
        <v>1072</v>
      </c>
      <c r="G479" s="40" t="s">
        <v>1063</v>
      </c>
      <c r="H479" s="40" t="s">
        <v>77</v>
      </c>
      <c r="I479" s="40"/>
      <c r="J479" s="40" t="str">
        <f t="shared" si="73"/>
        <v>Female</v>
      </c>
      <c r="K479" s="40" t="str">
        <f t="shared" si="74"/>
        <v>Singaporean</v>
      </c>
      <c r="L479" s="40" t="str">
        <f t="shared" si="75"/>
        <v xml:space="preserve">Case 744 is a Imported case, 40 years old female Singapore Permanent Resident  and has been to UK . She is currently admitted at CGH . </v>
      </c>
      <c r="M479" s="40">
        <f t="shared" si="76"/>
        <v>744</v>
      </c>
      <c r="N479" s="40" t="str">
        <f t="shared" si="77"/>
        <v xml:space="preserve">UK </v>
      </c>
      <c r="O479" s="40" t="str">
        <f t="shared" si="78"/>
        <v/>
      </c>
      <c r="P479" s="40" t="str">
        <f t="shared" si="79"/>
        <v/>
      </c>
    </row>
    <row r="480" spans="1:16" x14ac:dyDescent="0.3">
      <c r="A480" s="40">
        <v>745</v>
      </c>
      <c r="B480" s="41">
        <v>43917</v>
      </c>
      <c r="C480" s="40" t="s">
        <v>1058</v>
      </c>
      <c r="D480" s="40">
        <v>36</v>
      </c>
      <c r="E480" s="40" t="s">
        <v>1073</v>
      </c>
      <c r="F480" s="40" t="s">
        <v>1060</v>
      </c>
      <c r="G480" s="40"/>
      <c r="H480" s="40" t="s">
        <v>1061</v>
      </c>
      <c r="I480" s="40"/>
      <c r="J480" s="40" t="str">
        <f t="shared" si="73"/>
        <v>Female</v>
      </c>
      <c r="K480" s="40" t="str">
        <f t="shared" si="74"/>
        <v>Singaporean</v>
      </c>
      <c r="L480" s="40" t="str">
        <f t="shared" si="75"/>
        <v xml:space="preserve">Case 745 is a Local unlinked case, 36 years old female Singapore Citizen  and has not been overseas. She is currently admitted at KTPH . </v>
      </c>
      <c r="M480" s="40" t="str">
        <f t="shared" si="76"/>
        <v/>
      </c>
      <c r="N480" s="40" t="str">
        <f t="shared" si="77"/>
        <v/>
      </c>
      <c r="O480" s="40" t="str">
        <f t="shared" si="78"/>
        <v/>
      </c>
      <c r="P480" s="40" t="str">
        <f t="shared" si="79"/>
        <v/>
      </c>
    </row>
    <row r="481" spans="1:16" x14ac:dyDescent="0.3">
      <c r="A481" s="40">
        <v>746</v>
      </c>
      <c r="B481" s="41">
        <v>43917</v>
      </c>
      <c r="C481" s="40" t="s">
        <v>1161</v>
      </c>
      <c r="D481" s="40">
        <v>38</v>
      </c>
      <c r="E481" s="40" t="s">
        <v>1059</v>
      </c>
      <c r="F481" s="40" t="s">
        <v>1060</v>
      </c>
      <c r="G481" s="40" t="s">
        <v>360</v>
      </c>
      <c r="H481" s="40" t="s">
        <v>1086</v>
      </c>
      <c r="I481" s="40" t="s">
        <v>1259</v>
      </c>
      <c r="J481" s="40" t="str">
        <f t="shared" si="73"/>
        <v>Male</v>
      </c>
      <c r="K481" s="40" t="str">
        <f t="shared" si="74"/>
        <v>Singaporean</v>
      </c>
      <c r="L481" s="40" t="str">
        <f t="shared" si="75"/>
        <v>Case 746 is a Local linked  case, 38 years old male Singapore Citizen  and has been to Malaysia . He is currently admitted at KKH . PCF Fengshan</v>
      </c>
      <c r="M481" s="40">
        <f t="shared" si="76"/>
        <v>746</v>
      </c>
      <c r="N481" s="40" t="str">
        <f t="shared" si="77"/>
        <v xml:space="preserve">Malaysia </v>
      </c>
      <c r="O481" s="40">
        <f t="shared" si="78"/>
        <v>746</v>
      </c>
      <c r="P481" s="40" t="str">
        <f t="shared" si="79"/>
        <v>PCF Fengshan</v>
      </c>
    </row>
    <row r="482" spans="1:16" x14ac:dyDescent="0.3">
      <c r="A482" s="40">
        <v>747</v>
      </c>
      <c r="B482" s="41">
        <v>43917</v>
      </c>
      <c r="C482" s="40" t="s">
        <v>1071</v>
      </c>
      <c r="D482" s="40">
        <v>51</v>
      </c>
      <c r="E482" s="40" t="s">
        <v>1059</v>
      </c>
      <c r="F482" s="40" t="s">
        <v>1060</v>
      </c>
      <c r="G482" s="40"/>
      <c r="H482" s="40" t="s">
        <v>1061</v>
      </c>
      <c r="I482" s="40"/>
      <c r="J482" s="40" t="str">
        <f t="shared" si="73"/>
        <v>Male</v>
      </c>
      <c r="K482" s="40" t="str">
        <f t="shared" si="74"/>
        <v>Singaporean</v>
      </c>
      <c r="L482" s="40" t="str">
        <f t="shared" si="75"/>
        <v xml:space="preserve">Case 747 is a Local unlinked case, 51 years old male Singapore Citizen  and has not been overseas. He is currently admitted at NCID . </v>
      </c>
      <c r="M482" s="40" t="str">
        <f t="shared" si="76"/>
        <v/>
      </c>
      <c r="N482" s="40" t="str">
        <f t="shared" si="77"/>
        <v/>
      </c>
      <c r="O482" s="40" t="str">
        <f t="shared" si="78"/>
        <v/>
      </c>
      <c r="P482" s="40" t="str">
        <f t="shared" si="79"/>
        <v/>
      </c>
    </row>
    <row r="483" spans="1:16" x14ac:dyDescent="0.3">
      <c r="A483" s="40">
        <v>748</v>
      </c>
      <c r="B483" s="41">
        <v>43917</v>
      </c>
      <c r="C483" s="40" t="s">
        <v>1058</v>
      </c>
      <c r="D483" s="40">
        <v>36</v>
      </c>
      <c r="E483" s="40" t="s">
        <v>1073</v>
      </c>
      <c r="F483" s="40" t="s">
        <v>1156</v>
      </c>
      <c r="G483" s="40"/>
      <c r="H483" s="40" t="s">
        <v>1061</v>
      </c>
      <c r="I483" s="40"/>
      <c r="J483" s="40" t="str">
        <f t="shared" si="73"/>
        <v>Female</v>
      </c>
      <c r="K483" s="40" t="str">
        <f t="shared" si="74"/>
        <v>Malaysia</v>
      </c>
      <c r="L483" s="40" t="str">
        <f t="shared" si="75"/>
        <v xml:space="preserve">Case 748 is a Local unlinked case, 36 years old female Malaysia (Singapore Work Pass holder)  and has not been overseas. She is currently admitted at KTPH . </v>
      </c>
      <c r="M483" s="40" t="str">
        <f t="shared" si="76"/>
        <v/>
      </c>
      <c r="N483" s="40" t="str">
        <f t="shared" si="77"/>
        <v/>
      </c>
      <c r="O483" s="40" t="str">
        <f t="shared" si="78"/>
        <v/>
      </c>
      <c r="P483" s="40" t="str">
        <f t="shared" si="79"/>
        <v/>
      </c>
    </row>
    <row r="484" spans="1:16" x14ac:dyDescent="0.3">
      <c r="A484" s="40">
        <v>749</v>
      </c>
      <c r="B484" s="41">
        <v>43917</v>
      </c>
      <c r="C484" s="40" t="s">
        <v>1058</v>
      </c>
      <c r="D484" s="40">
        <v>24</v>
      </c>
      <c r="E484" s="40" t="s">
        <v>1073</v>
      </c>
      <c r="F484" s="40" t="s">
        <v>1060</v>
      </c>
      <c r="G484" s="40" t="s">
        <v>1063</v>
      </c>
      <c r="H484" s="40" t="s">
        <v>77</v>
      </c>
      <c r="I484" s="40"/>
      <c r="J484" s="40" t="str">
        <f t="shared" si="73"/>
        <v>Female</v>
      </c>
      <c r="K484" s="40" t="str">
        <f t="shared" si="74"/>
        <v>Singaporean</v>
      </c>
      <c r="L484" s="40" t="str">
        <f t="shared" si="75"/>
        <v xml:space="preserve">Case 749 is a Imported case, 24 years old female Singapore Citizen  and has been to UK . She is currently admitted at KTPH . </v>
      </c>
      <c r="M484" s="40">
        <f t="shared" si="76"/>
        <v>749</v>
      </c>
      <c r="N484" s="40" t="str">
        <f t="shared" si="77"/>
        <v xml:space="preserve">UK </v>
      </c>
      <c r="O484" s="40" t="str">
        <f t="shared" si="78"/>
        <v/>
      </c>
      <c r="P484" s="40" t="str">
        <f t="shared" si="79"/>
        <v/>
      </c>
    </row>
    <row r="485" spans="1:16" x14ac:dyDescent="0.3">
      <c r="A485" s="40">
        <v>750</v>
      </c>
      <c r="B485" s="41">
        <v>43917</v>
      </c>
      <c r="C485" s="40" t="s">
        <v>1071</v>
      </c>
      <c r="D485" s="40">
        <v>22</v>
      </c>
      <c r="E485" s="40" t="s">
        <v>1073</v>
      </c>
      <c r="F485" s="40" t="s">
        <v>1060</v>
      </c>
      <c r="G485" s="40" t="s">
        <v>1177</v>
      </c>
      <c r="H485" s="40" t="s">
        <v>77</v>
      </c>
      <c r="I485" s="40"/>
      <c r="J485" s="40" t="str">
        <f t="shared" si="73"/>
        <v>Female</v>
      </c>
      <c r="K485" s="40" t="str">
        <f t="shared" si="74"/>
        <v>Singaporean</v>
      </c>
      <c r="L485" s="40" t="str">
        <f t="shared" si="75"/>
        <v xml:space="preserve">Case 750 is a Imported case, 22 years old female Singapore Citizen  and has been to Pending . She is currently admitted at NCID . </v>
      </c>
      <c r="M485" s="40">
        <f t="shared" si="76"/>
        <v>750</v>
      </c>
      <c r="N485" s="40" t="str">
        <f t="shared" si="77"/>
        <v xml:space="preserve">Pending </v>
      </c>
      <c r="O485" s="40" t="str">
        <f t="shared" si="78"/>
        <v/>
      </c>
      <c r="P485" s="40" t="str">
        <f t="shared" si="79"/>
        <v/>
      </c>
    </row>
    <row r="486" spans="1:16" x14ac:dyDescent="0.3">
      <c r="A486" s="40">
        <v>751</v>
      </c>
      <c r="B486" s="41">
        <v>43917</v>
      </c>
      <c r="C486" s="40" t="s">
        <v>1066</v>
      </c>
      <c r="D486" s="40">
        <v>71</v>
      </c>
      <c r="E486" s="40" t="s">
        <v>1059</v>
      </c>
      <c r="F486" s="40" t="s">
        <v>1060</v>
      </c>
      <c r="G486" s="40" t="s">
        <v>1177</v>
      </c>
      <c r="H486" s="40" t="s">
        <v>77</v>
      </c>
      <c r="I486" s="40"/>
      <c r="J486" s="40" t="str">
        <f t="shared" si="73"/>
        <v>Male</v>
      </c>
      <c r="K486" s="40" t="str">
        <f t="shared" si="74"/>
        <v>Singaporean</v>
      </c>
      <c r="L486" s="40" t="str">
        <f t="shared" si="75"/>
        <v xml:space="preserve">Case 751 is a Imported case, 71 years old male Singapore Citizen  and has been to Pending . He is currently admitted at SKH . </v>
      </c>
      <c r="M486" s="40">
        <f t="shared" si="76"/>
        <v>751</v>
      </c>
      <c r="N486" s="40" t="str">
        <f t="shared" si="77"/>
        <v xml:space="preserve">Pending </v>
      </c>
      <c r="O486" s="40" t="str">
        <f t="shared" si="78"/>
        <v/>
      </c>
      <c r="P486" s="40" t="str">
        <f t="shared" si="79"/>
        <v/>
      </c>
    </row>
    <row r="487" spans="1:16" x14ac:dyDescent="0.3">
      <c r="A487" s="40">
        <v>752</v>
      </c>
      <c r="B487" s="41">
        <v>43917</v>
      </c>
      <c r="C487" s="40" t="s">
        <v>1066</v>
      </c>
      <c r="D487" s="40">
        <v>70</v>
      </c>
      <c r="E487" s="40" t="s">
        <v>1073</v>
      </c>
      <c r="F487" s="40" t="s">
        <v>1060</v>
      </c>
      <c r="G487" s="40" t="s">
        <v>1177</v>
      </c>
      <c r="H487" s="40" t="s">
        <v>77</v>
      </c>
      <c r="I487" s="40"/>
      <c r="J487" s="40" t="str">
        <f t="shared" si="73"/>
        <v>Female</v>
      </c>
      <c r="K487" s="40" t="str">
        <f t="shared" si="74"/>
        <v>Singaporean</v>
      </c>
      <c r="L487" s="40" t="str">
        <f t="shared" si="75"/>
        <v xml:space="preserve">Case 752 is a Imported case, 70 years old female Singapore Citizen  and has been to Pending . She is currently admitted at SKH . </v>
      </c>
      <c r="M487" s="40">
        <f t="shared" si="76"/>
        <v>752</v>
      </c>
      <c r="N487" s="40" t="str">
        <f t="shared" si="77"/>
        <v xml:space="preserve">Pending </v>
      </c>
      <c r="O487" s="40" t="str">
        <f t="shared" si="78"/>
        <v/>
      </c>
      <c r="P487" s="40" t="str">
        <f t="shared" si="79"/>
        <v/>
      </c>
    </row>
    <row r="488" spans="1:16" x14ac:dyDescent="0.3">
      <c r="A488" s="40">
        <v>753</v>
      </c>
      <c r="B488" s="41">
        <v>43917</v>
      </c>
      <c r="C488" s="40" t="s">
        <v>1066</v>
      </c>
      <c r="D488" s="40">
        <v>24</v>
      </c>
      <c r="E488" s="40" t="s">
        <v>1059</v>
      </c>
      <c r="F488" s="40" t="s">
        <v>1060</v>
      </c>
      <c r="G488" s="40" t="s">
        <v>809</v>
      </c>
      <c r="H488" s="40" t="s">
        <v>77</v>
      </c>
      <c r="I488" s="40"/>
      <c r="J488" s="40" t="str">
        <f t="shared" si="73"/>
        <v>Male</v>
      </c>
      <c r="K488" s="40" t="str">
        <f t="shared" si="74"/>
        <v>Singaporean</v>
      </c>
      <c r="L488" s="40" t="str">
        <f t="shared" si="75"/>
        <v xml:space="preserve">Case 753 is a Imported case, 24 years old male Singapore Citizen  and has been to Canada . He is currently admitted at SKH . </v>
      </c>
      <c r="M488" s="40">
        <f t="shared" si="76"/>
        <v>753</v>
      </c>
      <c r="N488" s="40" t="str">
        <f t="shared" si="77"/>
        <v xml:space="preserve">Canada </v>
      </c>
      <c r="O488" s="40" t="str">
        <f t="shared" si="78"/>
        <v/>
      </c>
      <c r="P488" s="40" t="str">
        <f t="shared" si="79"/>
        <v/>
      </c>
    </row>
    <row r="489" spans="1:16" x14ac:dyDescent="0.3">
      <c r="A489" s="40">
        <v>754</v>
      </c>
      <c r="B489" s="41">
        <v>43917</v>
      </c>
      <c r="C489" s="40" t="s">
        <v>1071</v>
      </c>
      <c r="D489" s="40">
        <v>22</v>
      </c>
      <c r="E489" s="40" t="s">
        <v>1059</v>
      </c>
      <c r="F489" s="40" t="s">
        <v>1060</v>
      </c>
      <c r="G489" s="40" t="s">
        <v>1063</v>
      </c>
      <c r="H489" s="40" t="s">
        <v>77</v>
      </c>
      <c r="I489" s="40"/>
      <c r="J489" s="40" t="str">
        <f t="shared" si="73"/>
        <v>Male</v>
      </c>
      <c r="K489" s="40" t="str">
        <f t="shared" si="74"/>
        <v>Singaporean</v>
      </c>
      <c r="L489" s="40" t="str">
        <f t="shared" si="75"/>
        <v xml:space="preserve">Case 754 is a Imported case, 22 years old male Singapore Citizen  and has been to UK . He is currently admitted at NCID . </v>
      </c>
      <c r="M489" s="40">
        <f t="shared" si="76"/>
        <v>754</v>
      </c>
      <c r="N489" s="40" t="str">
        <f t="shared" si="77"/>
        <v xml:space="preserve">UK </v>
      </c>
      <c r="O489" s="40" t="str">
        <f t="shared" si="78"/>
        <v/>
      </c>
      <c r="P489" s="40" t="str">
        <f t="shared" si="79"/>
        <v/>
      </c>
    </row>
    <row r="490" spans="1:16" x14ac:dyDescent="0.3">
      <c r="A490" s="40">
        <v>755</v>
      </c>
      <c r="B490" s="41">
        <v>43917</v>
      </c>
      <c r="C490" s="40" t="s">
        <v>1071</v>
      </c>
      <c r="D490" s="40">
        <v>25</v>
      </c>
      <c r="E490" s="40" t="s">
        <v>1059</v>
      </c>
      <c r="F490" s="40" t="s">
        <v>1060</v>
      </c>
      <c r="G490" s="40" t="s">
        <v>1307</v>
      </c>
      <c r="H490" s="40" t="s">
        <v>77</v>
      </c>
      <c r="I490" s="40"/>
      <c r="J490" s="40" t="str">
        <f t="shared" si="73"/>
        <v>Male</v>
      </c>
      <c r="K490" s="40" t="str">
        <f t="shared" si="74"/>
        <v>Singaporean</v>
      </c>
      <c r="L490" s="40" t="str">
        <f t="shared" si="75"/>
        <v xml:space="preserve">Case 755 is a Imported case, 25 years old male Singapore Citizen  and has been to Laos . He is currently admitted at NCID . </v>
      </c>
      <c r="M490" s="40">
        <f t="shared" si="76"/>
        <v>755</v>
      </c>
      <c r="N490" s="40" t="str">
        <f t="shared" si="77"/>
        <v xml:space="preserve">Laos </v>
      </c>
      <c r="O490" s="40" t="str">
        <f t="shared" si="78"/>
        <v/>
      </c>
      <c r="P490" s="40" t="str">
        <f t="shared" si="79"/>
        <v/>
      </c>
    </row>
    <row r="491" spans="1:16" x14ac:dyDescent="0.3">
      <c r="A491" s="40">
        <v>756</v>
      </c>
      <c r="B491" s="41">
        <v>43917</v>
      </c>
      <c r="C491" s="40" t="s">
        <v>1071</v>
      </c>
      <c r="D491" s="40">
        <v>42</v>
      </c>
      <c r="E491" s="40" t="s">
        <v>1059</v>
      </c>
      <c r="F491" s="40" t="s">
        <v>1060</v>
      </c>
      <c r="G491" s="40"/>
      <c r="H491" s="40" t="s">
        <v>1061</v>
      </c>
      <c r="I491" s="40"/>
      <c r="J491" s="40" t="str">
        <f t="shared" si="73"/>
        <v>Male</v>
      </c>
      <c r="K491" s="40" t="str">
        <f t="shared" si="74"/>
        <v>Singaporean</v>
      </c>
      <c r="L491" s="40" t="str">
        <f t="shared" si="75"/>
        <v xml:space="preserve">Case 756 is a Local unlinked case, 42 years old male Singapore Citizen  and has not been overseas. He is currently admitted at NCID . </v>
      </c>
      <c r="M491" s="40" t="str">
        <f t="shared" si="76"/>
        <v/>
      </c>
      <c r="N491" s="40" t="str">
        <f t="shared" si="77"/>
        <v/>
      </c>
      <c r="O491" s="40" t="str">
        <f t="shared" si="78"/>
        <v/>
      </c>
      <c r="P491" s="40" t="str">
        <f t="shared" si="79"/>
        <v/>
      </c>
    </row>
    <row r="492" spans="1:16" x14ac:dyDescent="0.3">
      <c r="A492" s="40">
        <v>757</v>
      </c>
      <c r="B492" s="41">
        <v>43917</v>
      </c>
      <c r="C492" s="40" t="s">
        <v>1064</v>
      </c>
      <c r="D492" s="40">
        <v>22</v>
      </c>
      <c r="E492" s="40" t="s">
        <v>1073</v>
      </c>
      <c r="F492" s="40" t="s">
        <v>1060</v>
      </c>
      <c r="G492" s="40"/>
      <c r="H492" s="40" t="s">
        <v>1061</v>
      </c>
      <c r="I492" s="40"/>
      <c r="J492" s="40" t="str">
        <f t="shared" si="73"/>
        <v>Female</v>
      </c>
      <c r="K492" s="40" t="str">
        <f t="shared" si="74"/>
        <v>Singaporean</v>
      </c>
      <c r="L492" s="40" t="str">
        <f t="shared" si="75"/>
        <v xml:space="preserve">Case 757 is a Local unlinked case, 22 years old female Singapore Citizen  and has not been overseas. She is currently admitted at CGH . </v>
      </c>
      <c r="M492" s="40" t="str">
        <f t="shared" si="76"/>
        <v/>
      </c>
      <c r="N492" s="40" t="str">
        <f t="shared" si="77"/>
        <v/>
      </c>
      <c r="O492" s="40" t="str">
        <f t="shared" si="78"/>
        <v/>
      </c>
      <c r="P492" s="40" t="str">
        <f t="shared" si="79"/>
        <v/>
      </c>
    </row>
    <row r="493" spans="1:16" x14ac:dyDescent="0.3">
      <c r="A493" s="40">
        <v>758</v>
      </c>
      <c r="B493" s="41">
        <v>43917</v>
      </c>
      <c r="C493" s="40" t="s">
        <v>1062</v>
      </c>
      <c r="D493" s="40">
        <v>23</v>
      </c>
      <c r="E493" s="40" t="s">
        <v>1059</v>
      </c>
      <c r="F493" s="40" t="s">
        <v>1060</v>
      </c>
      <c r="G493" s="40" t="s">
        <v>1085</v>
      </c>
      <c r="H493" s="40" t="s">
        <v>77</v>
      </c>
      <c r="I493" s="40"/>
      <c r="J493" s="40" t="str">
        <f t="shared" si="73"/>
        <v>Male</v>
      </c>
      <c r="K493" s="40" t="str">
        <f t="shared" si="74"/>
        <v>Singaporean</v>
      </c>
      <c r="L493" s="40" t="str">
        <f t="shared" si="75"/>
        <v xml:space="preserve">Case 758 is a Imported case, 23 years old male Singapore Citizen  and has been to US . He is currently admitted at NTFGH . </v>
      </c>
      <c r="M493" s="40">
        <f t="shared" si="76"/>
        <v>758</v>
      </c>
      <c r="N493" s="40" t="str">
        <f t="shared" si="77"/>
        <v xml:space="preserve">US </v>
      </c>
      <c r="O493" s="40" t="str">
        <f t="shared" si="78"/>
        <v/>
      </c>
      <c r="P493" s="40" t="str">
        <f t="shared" si="79"/>
        <v/>
      </c>
    </row>
    <row r="494" spans="1:16" x14ac:dyDescent="0.3">
      <c r="A494" s="40">
        <v>759</v>
      </c>
      <c r="B494" s="41">
        <v>43917</v>
      </c>
      <c r="C494" s="40" t="s">
        <v>343</v>
      </c>
      <c r="D494" s="40">
        <v>1</v>
      </c>
      <c r="E494" s="40" t="s">
        <v>1073</v>
      </c>
      <c r="F494" s="40" t="s">
        <v>1060</v>
      </c>
      <c r="G494" s="40" t="s">
        <v>1308</v>
      </c>
      <c r="H494" s="40" t="s">
        <v>77</v>
      </c>
      <c r="I494" s="40"/>
      <c r="J494" s="40" t="str">
        <f t="shared" si="73"/>
        <v>Female</v>
      </c>
      <c r="K494" s="40" t="str">
        <f t="shared" si="74"/>
        <v>Singaporean</v>
      </c>
      <c r="L494" s="40" t="str">
        <f t="shared" si="75"/>
        <v xml:space="preserve">Case 759 is a Imported case, 1 years old female Singapore Citizen  and has been to UK, France . She is currently admitted at NUH . </v>
      </c>
      <c r="M494" s="40">
        <f t="shared" si="76"/>
        <v>759</v>
      </c>
      <c r="N494" s="40" t="str">
        <f t="shared" si="77"/>
        <v xml:space="preserve">UK, France </v>
      </c>
      <c r="O494" s="40" t="str">
        <f t="shared" si="78"/>
        <v/>
      </c>
      <c r="P494" s="40" t="str">
        <f t="shared" si="79"/>
        <v/>
      </c>
    </row>
    <row r="495" spans="1:16" x14ac:dyDescent="0.3">
      <c r="A495" s="40">
        <v>760</v>
      </c>
      <c r="B495" s="41">
        <v>43917</v>
      </c>
      <c r="C495" s="40" t="s">
        <v>1058</v>
      </c>
      <c r="D495" s="40">
        <v>64</v>
      </c>
      <c r="E495" s="40" t="s">
        <v>1059</v>
      </c>
      <c r="F495" s="40" t="s">
        <v>1060</v>
      </c>
      <c r="G495" s="40" t="s">
        <v>1081</v>
      </c>
      <c r="H495" s="40" t="s">
        <v>1069</v>
      </c>
      <c r="I495" s="40" t="s">
        <v>1309</v>
      </c>
      <c r="J495" s="40" t="str">
        <f t="shared" si="73"/>
        <v>Male</v>
      </c>
      <c r="K495" s="40" t="str">
        <f t="shared" si="74"/>
        <v>Singaporean</v>
      </c>
      <c r="L495" s="40" t="str">
        <f t="shared" si="75"/>
        <v>Case 760 is a Imported  case, 64 years old male Singapore Citizen  and has been to Turkey . He is currently admitted at KTPH . Contact of Case 683, 700, 702, 703 and 798</v>
      </c>
      <c r="M495" s="40">
        <f t="shared" si="76"/>
        <v>760</v>
      </c>
      <c r="N495" s="40" t="str">
        <f t="shared" si="77"/>
        <v xml:space="preserve">Turkey </v>
      </c>
      <c r="O495" s="40">
        <f t="shared" si="78"/>
        <v>760</v>
      </c>
      <c r="P495" s="40" t="str">
        <f t="shared" si="79"/>
        <v>Contact of Case 683, 700, 702, 703 and 798</v>
      </c>
    </row>
    <row r="496" spans="1:16" x14ac:dyDescent="0.3">
      <c r="A496" s="40">
        <v>761</v>
      </c>
      <c r="B496" s="41">
        <v>43917</v>
      </c>
      <c r="C496" s="40" t="s">
        <v>343</v>
      </c>
      <c r="D496" s="40">
        <v>36</v>
      </c>
      <c r="E496" s="40" t="s">
        <v>1073</v>
      </c>
      <c r="F496" s="40" t="s">
        <v>1310</v>
      </c>
      <c r="G496" s="40"/>
      <c r="H496" s="40" t="s">
        <v>1086</v>
      </c>
      <c r="I496" s="40" t="s">
        <v>1236</v>
      </c>
      <c r="J496" s="40" t="str">
        <f t="shared" si="73"/>
        <v>Female</v>
      </c>
      <c r="K496" s="40" t="str">
        <f t="shared" si="74"/>
        <v>South Africa</v>
      </c>
      <c r="L496" s="40" t="str">
        <f t="shared" si="75"/>
        <v>Case 761 is a Local linked  case, 36 years old female South Africa (Singapore Work Pass holder)  and has not been overseas. She is currently admitted at NUH . Dover Court International School</v>
      </c>
      <c r="M496" s="40" t="str">
        <f t="shared" si="76"/>
        <v/>
      </c>
      <c r="N496" s="40" t="str">
        <f t="shared" si="77"/>
        <v/>
      </c>
      <c r="O496" s="40">
        <f t="shared" si="78"/>
        <v>761</v>
      </c>
      <c r="P496" s="40" t="str">
        <f t="shared" si="79"/>
        <v>Dover Court International School</v>
      </c>
    </row>
    <row r="497" spans="1:16" x14ac:dyDescent="0.3">
      <c r="A497" s="40">
        <v>762</v>
      </c>
      <c r="B497" s="41">
        <v>43917</v>
      </c>
      <c r="C497" s="40" t="s">
        <v>343</v>
      </c>
      <c r="D497" s="40">
        <v>21</v>
      </c>
      <c r="E497" s="40" t="s">
        <v>1059</v>
      </c>
      <c r="F497" s="40" t="s">
        <v>798</v>
      </c>
      <c r="G497" s="40" t="s">
        <v>1085</v>
      </c>
      <c r="H497" s="40" t="s">
        <v>77</v>
      </c>
      <c r="I497" s="40"/>
      <c r="J497" s="40" t="str">
        <f t="shared" si="73"/>
        <v>Male</v>
      </c>
      <c r="K497" s="40" t="str">
        <f t="shared" si="74"/>
        <v xml:space="preserve">India </v>
      </c>
      <c r="L497" s="40" t="str">
        <f t="shared" si="75"/>
        <v xml:space="preserve">Case 762 is a Imported case, 21 years old male India  and has been to US . He is currently admitted at NUH . </v>
      </c>
      <c r="M497" s="40">
        <f t="shared" si="76"/>
        <v>762</v>
      </c>
      <c r="N497" s="40" t="str">
        <f t="shared" si="77"/>
        <v xml:space="preserve">US </v>
      </c>
      <c r="O497" s="40" t="str">
        <f t="shared" si="78"/>
        <v/>
      </c>
      <c r="P497" s="40" t="str">
        <f t="shared" si="79"/>
        <v/>
      </c>
    </row>
    <row r="498" spans="1:16" x14ac:dyDescent="0.3">
      <c r="A498" s="40">
        <v>763</v>
      </c>
      <c r="B498" s="41">
        <v>43917</v>
      </c>
      <c r="C498" s="40" t="s">
        <v>343</v>
      </c>
      <c r="D498" s="40">
        <v>21</v>
      </c>
      <c r="E498" s="40" t="s">
        <v>1073</v>
      </c>
      <c r="F498" s="40" t="s">
        <v>1060</v>
      </c>
      <c r="G498" s="40" t="s">
        <v>1085</v>
      </c>
      <c r="H498" s="40" t="s">
        <v>77</v>
      </c>
      <c r="I498" s="40"/>
      <c r="J498" s="40" t="str">
        <f t="shared" si="73"/>
        <v>Female</v>
      </c>
      <c r="K498" s="40" t="str">
        <f t="shared" si="74"/>
        <v>Singaporean</v>
      </c>
      <c r="L498" s="40" t="str">
        <f t="shared" si="75"/>
        <v xml:space="preserve">Case 763 is a Imported case, 21 years old female Singapore Citizen  and has been to US . She is currently admitted at NUH . </v>
      </c>
      <c r="M498" s="40">
        <f t="shared" si="76"/>
        <v>763</v>
      </c>
      <c r="N498" s="40" t="str">
        <f t="shared" si="77"/>
        <v xml:space="preserve">US </v>
      </c>
      <c r="O498" s="40" t="str">
        <f t="shared" si="78"/>
        <v/>
      </c>
      <c r="P498" s="40" t="str">
        <f t="shared" si="79"/>
        <v/>
      </c>
    </row>
    <row r="499" spans="1:16" x14ac:dyDescent="0.3">
      <c r="A499" s="40">
        <v>764</v>
      </c>
      <c r="B499" s="41">
        <v>43917</v>
      </c>
      <c r="C499" s="40" t="s">
        <v>1071</v>
      </c>
      <c r="D499" s="40">
        <v>51</v>
      </c>
      <c r="E499" s="40" t="s">
        <v>1059</v>
      </c>
      <c r="F499" s="40" t="s">
        <v>1311</v>
      </c>
      <c r="G499" s="40"/>
      <c r="H499" s="40" t="s">
        <v>1061</v>
      </c>
      <c r="I499" s="40"/>
      <c r="J499" s="40" t="str">
        <f t="shared" si="73"/>
        <v>Male</v>
      </c>
      <c r="K499" s="40" t="str">
        <f t="shared" si="74"/>
        <v>Spain</v>
      </c>
      <c r="L499" s="40" t="str">
        <f t="shared" si="75"/>
        <v xml:space="preserve">Case 764 is a Local unlinked case, 51 years old male Spain (Singapore Work Pass holder)  and has not been overseas. He is currently admitted at NCID . </v>
      </c>
      <c r="M499" s="40" t="str">
        <f t="shared" si="76"/>
        <v/>
      </c>
      <c r="N499" s="40" t="str">
        <f t="shared" si="77"/>
        <v/>
      </c>
      <c r="O499" s="40" t="str">
        <f t="shared" si="78"/>
        <v/>
      </c>
      <c r="P499" s="40" t="str">
        <f t="shared" si="79"/>
        <v/>
      </c>
    </row>
    <row r="500" spans="1:16" x14ac:dyDescent="0.3">
      <c r="A500" s="40">
        <v>765</v>
      </c>
      <c r="B500" s="41">
        <v>43917</v>
      </c>
      <c r="C500" s="40" t="s">
        <v>1071</v>
      </c>
      <c r="D500" s="40">
        <v>31</v>
      </c>
      <c r="E500" s="40" t="s">
        <v>1059</v>
      </c>
      <c r="F500" s="40" t="s">
        <v>1060</v>
      </c>
      <c r="G500" s="40"/>
      <c r="H500" s="40" t="s">
        <v>1061</v>
      </c>
      <c r="I500" s="40"/>
      <c r="J500" s="40" t="str">
        <f t="shared" si="73"/>
        <v>Male</v>
      </c>
      <c r="K500" s="40" t="str">
        <f t="shared" si="74"/>
        <v>Singaporean</v>
      </c>
      <c r="L500" s="40" t="str">
        <f t="shared" si="75"/>
        <v xml:space="preserve">Case 765 is a Local unlinked case, 31 years old male Singapore Citizen  and has not been overseas. He is currently admitted at NCID . </v>
      </c>
      <c r="M500" s="40" t="str">
        <f t="shared" si="76"/>
        <v/>
      </c>
      <c r="N500" s="40" t="str">
        <f t="shared" si="77"/>
        <v/>
      </c>
      <c r="O500" s="40" t="str">
        <f t="shared" si="78"/>
        <v/>
      </c>
      <c r="P500" s="40" t="str">
        <f t="shared" si="79"/>
        <v/>
      </c>
    </row>
    <row r="501" spans="1:16" x14ac:dyDescent="0.3">
      <c r="A501" s="40">
        <v>766</v>
      </c>
      <c r="B501" s="41">
        <v>43917</v>
      </c>
      <c r="C501" s="40" t="s">
        <v>1071</v>
      </c>
      <c r="D501" s="40">
        <v>50</v>
      </c>
      <c r="E501" s="40" t="s">
        <v>1059</v>
      </c>
      <c r="F501" s="40" t="s">
        <v>1060</v>
      </c>
      <c r="G501" s="40" t="s">
        <v>1177</v>
      </c>
      <c r="H501" s="40" t="s">
        <v>77</v>
      </c>
      <c r="I501" s="40"/>
      <c r="J501" s="40" t="str">
        <f t="shared" si="73"/>
        <v>Male</v>
      </c>
      <c r="K501" s="40" t="str">
        <f t="shared" si="74"/>
        <v>Singaporean</v>
      </c>
      <c r="L501" s="40" t="str">
        <f t="shared" si="75"/>
        <v xml:space="preserve">Case 766 is a Imported case, 50 years old male Singapore Citizen  and has been to Pending . He is currently admitted at NCID . </v>
      </c>
      <c r="M501" s="40">
        <f t="shared" si="76"/>
        <v>766</v>
      </c>
      <c r="N501" s="40" t="str">
        <f t="shared" si="77"/>
        <v xml:space="preserve">Pending </v>
      </c>
      <c r="O501" s="40" t="str">
        <f t="shared" si="78"/>
        <v/>
      </c>
      <c r="P501" s="40" t="str">
        <f t="shared" si="79"/>
        <v/>
      </c>
    </row>
    <row r="502" spans="1:16" x14ac:dyDescent="0.3">
      <c r="A502" s="40">
        <v>767</v>
      </c>
      <c r="B502" s="41">
        <v>43917</v>
      </c>
      <c r="C502" s="40" t="s">
        <v>1071</v>
      </c>
      <c r="D502" s="40">
        <v>28</v>
      </c>
      <c r="E502" s="40" t="s">
        <v>1059</v>
      </c>
      <c r="F502" s="40" t="s">
        <v>1060</v>
      </c>
      <c r="G502" s="40"/>
      <c r="H502" s="40" t="s">
        <v>1061</v>
      </c>
      <c r="I502" s="40"/>
      <c r="J502" s="40" t="str">
        <f t="shared" si="73"/>
        <v>Male</v>
      </c>
      <c r="K502" s="40" t="str">
        <f t="shared" si="74"/>
        <v>Singaporean</v>
      </c>
      <c r="L502" s="40" t="str">
        <f t="shared" si="75"/>
        <v xml:space="preserve">Case 767 is a Local unlinked case, 28 years old male Singapore Citizen  and has not been overseas. He is currently admitted at NCID . </v>
      </c>
      <c r="M502" s="40" t="str">
        <f t="shared" si="76"/>
        <v/>
      </c>
      <c r="N502" s="40" t="str">
        <f t="shared" si="77"/>
        <v/>
      </c>
      <c r="O502" s="40" t="str">
        <f t="shared" si="78"/>
        <v/>
      </c>
      <c r="P502" s="40" t="str">
        <f t="shared" si="79"/>
        <v/>
      </c>
    </row>
    <row r="503" spans="1:16" x14ac:dyDescent="0.3">
      <c r="A503" s="40">
        <v>768</v>
      </c>
      <c r="B503" s="41">
        <v>43917</v>
      </c>
      <c r="C503" s="40" t="s">
        <v>1138</v>
      </c>
      <c r="D503" s="40">
        <v>42</v>
      </c>
      <c r="E503" s="40" t="s">
        <v>1312</v>
      </c>
      <c r="F503" s="40" t="s">
        <v>1313</v>
      </c>
      <c r="G503" s="40"/>
      <c r="H503" s="40" t="s">
        <v>1061</v>
      </c>
      <c r="I503" s="40"/>
      <c r="J503" s="40" t="str">
        <f t="shared" si="73"/>
        <v>Male</v>
      </c>
      <c r="K503" s="40" t="str">
        <f t="shared" si="74"/>
        <v>Banglades</v>
      </c>
      <c r="L503" s="40" t="str">
        <f t="shared" si="75"/>
        <v xml:space="preserve">Case 768 is a Local unlinked case, 42 years old male Bangladesh(Singapore Work Pass holder)  and has not been overseas. He is currently admitted at SGH . </v>
      </c>
      <c r="M503" s="40" t="str">
        <f t="shared" si="76"/>
        <v/>
      </c>
      <c r="N503" s="40" t="str">
        <f t="shared" si="77"/>
        <v/>
      </c>
      <c r="O503" s="40" t="str">
        <f t="shared" si="78"/>
        <v/>
      </c>
      <c r="P503" s="40" t="str">
        <f t="shared" si="79"/>
        <v/>
      </c>
    </row>
    <row r="504" spans="1:16" x14ac:dyDescent="0.3">
      <c r="A504" s="40">
        <v>769</v>
      </c>
      <c r="B504" s="41">
        <v>43917</v>
      </c>
      <c r="C504" s="40" t="s">
        <v>1062</v>
      </c>
      <c r="D504" s="40">
        <v>44</v>
      </c>
      <c r="E504" s="40" t="s">
        <v>1059</v>
      </c>
      <c r="F504" s="40" t="s">
        <v>1060</v>
      </c>
      <c r="G504" s="40" t="s">
        <v>1233</v>
      </c>
      <c r="H504" s="40" t="s">
        <v>1069</v>
      </c>
      <c r="I504" s="40" t="s">
        <v>1314</v>
      </c>
      <c r="J504" s="40" t="str">
        <f t="shared" si="73"/>
        <v>Male</v>
      </c>
      <c r="K504" s="40" t="str">
        <f t="shared" si="74"/>
        <v>Singaporean</v>
      </c>
      <c r="L504" s="40" t="str">
        <f t="shared" si="75"/>
        <v>Case 769 is a Imported  case, 44 years old male Singapore Citizen  and has been to Pakistan . He is currently admitted at NTFGH . Contact of Cases 577, 629 and 726</v>
      </c>
      <c r="M504" s="40">
        <f t="shared" si="76"/>
        <v>769</v>
      </c>
      <c r="N504" s="40" t="str">
        <f t="shared" si="77"/>
        <v xml:space="preserve">Pakistan </v>
      </c>
      <c r="O504" s="40">
        <f t="shared" si="78"/>
        <v>769</v>
      </c>
      <c r="P504" s="40" t="str">
        <f t="shared" si="79"/>
        <v>Contact of Cases 577, 629 and 726</v>
      </c>
    </row>
    <row r="505" spans="1:16" x14ac:dyDescent="0.3">
      <c r="A505" s="40">
        <v>770</v>
      </c>
      <c r="B505" s="41">
        <v>43917</v>
      </c>
      <c r="C505" s="40" t="s">
        <v>1071</v>
      </c>
      <c r="D505" s="40">
        <v>47</v>
      </c>
      <c r="E505" s="40" t="s">
        <v>1059</v>
      </c>
      <c r="F505" s="40" t="s">
        <v>1156</v>
      </c>
      <c r="G505" s="40" t="s">
        <v>360</v>
      </c>
      <c r="H505" s="40" t="s">
        <v>77</v>
      </c>
      <c r="I505" s="40"/>
      <c r="J505" s="40" t="str">
        <f t="shared" si="73"/>
        <v>Male</v>
      </c>
      <c r="K505" s="40" t="str">
        <f t="shared" si="74"/>
        <v>Malaysia</v>
      </c>
      <c r="L505" s="40" t="str">
        <f t="shared" si="75"/>
        <v xml:space="preserve">Case 770 is a Imported case, 47 years old male Malaysia (Singapore Work Pass holder)  and has been to Malaysia . He is currently admitted at NCID . </v>
      </c>
      <c r="M505" s="40">
        <f t="shared" si="76"/>
        <v>770</v>
      </c>
      <c r="N505" s="40" t="str">
        <f t="shared" si="77"/>
        <v xml:space="preserve">Malaysia </v>
      </c>
      <c r="O505" s="40" t="str">
        <f t="shared" si="78"/>
        <v/>
      </c>
      <c r="P505" s="40" t="str">
        <f t="shared" si="79"/>
        <v/>
      </c>
    </row>
    <row r="506" spans="1:16" x14ac:dyDescent="0.3">
      <c r="A506" s="40">
        <v>771</v>
      </c>
      <c r="B506" s="41">
        <v>43917</v>
      </c>
      <c r="C506" s="40" t="s">
        <v>1071</v>
      </c>
      <c r="D506" s="40">
        <v>30</v>
      </c>
      <c r="E506" s="40" t="s">
        <v>1059</v>
      </c>
      <c r="F506" s="40" t="s">
        <v>1060</v>
      </c>
      <c r="G506" s="40" t="s">
        <v>1315</v>
      </c>
      <c r="H506" s="40" t="s">
        <v>77</v>
      </c>
      <c r="I506" s="40"/>
      <c r="J506" s="40" t="str">
        <f t="shared" si="73"/>
        <v>Male</v>
      </c>
      <c r="K506" s="40" t="str">
        <f t="shared" si="74"/>
        <v>Singaporean</v>
      </c>
      <c r="L506" s="40" t="str">
        <f t="shared" si="75"/>
        <v xml:space="preserve">Case 771 is a Imported case, 30 years old male Singapore Citizen  and has been to UK, Portugal . He is currently admitted at NCID . </v>
      </c>
      <c r="M506" s="40">
        <f t="shared" si="76"/>
        <v>771</v>
      </c>
      <c r="N506" s="40" t="str">
        <f t="shared" si="77"/>
        <v xml:space="preserve">UK, Portugal </v>
      </c>
      <c r="O506" s="40" t="str">
        <f t="shared" si="78"/>
        <v/>
      </c>
      <c r="P506" s="40" t="str">
        <f t="shared" si="79"/>
        <v/>
      </c>
    </row>
    <row r="507" spans="1:16" x14ac:dyDescent="0.3">
      <c r="A507" s="40">
        <v>772</v>
      </c>
      <c r="B507" s="41">
        <v>43918</v>
      </c>
      <c r="C507" s="40" t="s">
        <v>1071</v>
      </c>
      <c r="D507" s="40">
        <v>43</v>
      </c>
      <c r="E507" s="40" t="s">
        <v>1059</v>
      </c>
      <c r="F507" s="40" t="s">
        <v>1060</v>
      </c>
      <c r="G507" s="40" t="s">
        <v>1316</v>
      </c>
      <c r="H507" s="40" t="s">
        <v>1069</v>
      </c>
      <c r="I507" s="40" t="s">
        <v>1317</v>
      </c>
      <c r="J507" s="40" t="str">
        <f t="shared" si="73"/>
        <v>Male</v>
      </c>
      <c r="K507" s="40" t="str">
        <f t="shared" si="74"/>
        <v>Singaporean</v>
      </c>
      <c r="L507" s="40" t="str">
        <f t="shared" si="75"/>
        <v>Case 772 is a Imported  case, 43 years old male Singapore Citizen  and has been to USA . He is currently admitted at NCID . Family member of Case 667</v>
      </c>
      <c r="M507" s="40">
        <f t="shared" si="76"/>
        <v>772</v>
      </c>
      <c r="N507" s="40" t="str">
        <f t="shared" si="77"/>
        <v xml:space="preserve">USA </v>
      </c>
      <c r="O507" s="40">
        <f t="shared" si="78"/>
        <v>772</v>
      </c>
      <c r="P507" s="40" t="str">
        <f t="shared" si="79"/>
        <v>Family member of Case 667</v>
      </c>
    </row>
    <row r="508" spans="1:16" x14ac:dyDescent="0.3">
      <c r="A508" s="40">
        <v>773</v>
      </c>
      <c r="B508" s="41">
        <v>43917</v>
      </c>
      <c r="C508" s="40" t="s">
        <v>1071</v>
      </c>
      <c r="D508" s="40">
        <v>55</v>
      </c>
      <c r="E508" s="40" t="s">
        <v>1073</v>
      </c>
      <c r="F508" s="40" t="s">
        <v>1194</v>
      </c>
      <c r="G508" s="40"/>
      <c r="H508" s="40" t="s">
        <v>936</v>
      </c>
      <c r="I508" s="40"/>
      <c r="J508" s="40" t="str">
        <f t="shared" si="73"/>
        <v>Female</v>
      </c>
      <c r="K508" s="40" t="str">
        <f t="shared" si="74"/>
        <v>India</v>
      </c>
      <c r="L508" s="40" t="str">
        <f t="shared" si="75"/>
        <v xml:space="preserve">Case 773 is a Local Unlinked case, 55 years old female India (Long Term Pass holder)  and has not been overseas. She is currently admitted at NCID . </v>
      </c>
      <c r="M508" s="40" t="str">
        <f t="shared" si="76"/>
        <v/>
      </c>
      <c r="N508" s="40" t="str">
        <f t="shared" si="77"/>
        <v/>
      </c>
      <c r="O508" s="40" t="str">
        <f t="shared" si="78"/>
        <v/>
      </c>
      <c r="P508" s="40" t="str">
        <f t="shared" si="79"/>
        <v/>
      </c>
    </row>
    <row r="509" spans="1:16" x14ac:dyDescent="0.3">
      <c r="A509" s="40">
        <v>774</v>
      </c>
      <c r="B509" s="41">
        <v>43917</v>
      </c>
      <c r="C509" s="40" t="s">
        <v>1066</v>
      </c>
      <c r="D509" s="40">
        <v>24</v>
      </c>
      <c r="E509" s="40" t="s">
        <v>1073</v>
      </c>
      <c r="F509" s="40" t="s">
        <v>1060</v>
      </c>
      <c r="G509" s="40" t="s">
        <v>1085</v>
      </c>
      <c r="H509" s="40" t="s">
        <v>1069</v>
      </c>
      <c r="I509" s="40" t="s">
        <v>1318</v>
      </c>
      <c r="J509" s="40" t="str">
        <f t="shared" si="73"/>
        <v>Female</v>
      </c>
      <c r="K509" s="40" t="str">
        <f t="shared" si="74"/>
        <v>Singaporean</v>
      </c>
      <c r="L509" s="40" t="str">
        <f t="shared" si="75"/>
        <v>Case 774 is a Imported  case, 24 years old female Singapore Citizen  and has been to US . She is currently admitted at SKH . Contact of Case 596</v>
      </c>
      <c r="M509" s="40">
        <f t="shared" si="76"/>
        <v>774</v>
      </c>
      <c r="N509" s="40" t="str">
        <f t="shared" si="77"/>
        <v xml:space="preserve">US </v>
      </c>
      <c r="O509" s="40">
        <f t="shared" si="78"/>
        <v>774</v>
      </c>
      <c r="P509" s="40" t="str">
        <f t="shared" si="79"/>
        <v>Contact of Case 596</v>
      </c>
    </row>
    <row r="510" spans="1:16" x14ac:dyDescent="0.3">
      <c r="A510" s="40">
        <v>775</v>
      </c>
      <c r="B510" s="41">
        <v>43917</v>
      </c>
      <c r="C510" s="40" t="s">
        <v>1066</v>
      </c>
      <c r="D510" s="40">
        <v>29</v>
      </c>
      <c r="E510" s="40" t="s">
        <v>1059</v>
      </c>
      <c r="F510" s="40" t="s">
        <v>1060</v>
      </c>
      <c r="G510" s="40" t="s">
        <v>1177</v>
      </c>
      <c r="H510" s="40" t="s">
        <v>1319</v>
      </c>
      <c r="I510" s="40"/>
      <c r="J510" s="40" t="str">
        <f t="shared" si="73"/>
        <v>Male</v>
      </c>
      <c r="K510" s="40" t="str">
        <f t="shared" si="74"/>
        <v>Singaporean</v>
      </c>
      <c r="L510" s="40" t="str">
        <f t="shared" si="75"/>
        <v xml:space="preserve">Case 775 is a imported case, 29 years old male Singapore Citizen  and has been to Pending . He is currently admitted at SKH . </v>
      </c>
      <c r="M510" s="40">
        <f t="shared" si="76"/>
        <v>775</v>
      </c>
      <c r="N510" s="40" t="str">
        <f t="shared" si="77"/>
        <v xml:space="preserve">Pending </v>
      </c>
      <c r="O510" s="40" t="str">
        <f t="shared" si="78"/>
        <v/>
      </c>
      <c r="P510" s="40" t="str">
        <f t="shared" si="79"/>
        <v/>
      </c>
    </row>
    <row r="511" spans="1:16" x14ac:dyDescent="0.3">
      <c r="A511" s="40">
        <v>776</v>
      </c>
      <c r="B511" s="41">
        <v>43917</v>
      </c>
      <c r="C511" s="40" t="s">
        <v>1066</v>
      </c>
      <c r="D511" s="40">
        <v>35</v>
      </c>
      <c r="E511" s="40" t="s">
        <v>1059</v>
      </c>
      <c r="F511" s="40" t="s">
        <v>1060</v>
      </c>
      <c r="G511" s="40" t="s">
        <v>1177</v>
      </c>
      <c r="H511" s="40" t="s">
        <v>77</v>
      </c>
      <c r="I511" s="40"/>
      <c r="J511" s="40" t="str">
        <f t="shared" si="73"/>
        <v>Male</v>
      </c>
      <c r="K511" s="40" t="str">
        <f t="shared" si="74"/>
        <v>Singaporean</v>
      </c>
      <c r="L511" s="40" t="str">
        <f t="shared" si="75"/>
        <v xml:space="preserve">Case 776 is a Imported case, 35 years old male Singapore Citizen  and has been to Pending . He is currently admitted at SKH . </v>
      </c>
      <c r="M511" s="40">
        <f t="shared" si="76"/>
        <v>776</v>
      </c>
      <c r="N511" s="40" t="str">
        <f t="shared" si="77"/>
        <v xml:space="preserve">Pending </v>
      </c>
      <c r="O511" s="40" t="str">
        <f t="shared" si="78"/>
        <v/>
      </c>
      <c r="P511" s="40" t="str">
        <f t="shared" si="79"/>
        <v/>
      </c>
    </row>
    <row r="512" spans="1:16" x14ac:dyDescent="0.3">
      <c r="A512" s="40">
        <v>777</v>
      </c>
      <c r="B512" s="41">
        <v>43918</v>
      </c>
      <c r="C512" s="40" t="s">
        <v>1071</v>
      </c>
      <c r="D512" s="40">
        <v>29</v>
      </c>
      <c r="E512" s="40" t="s">
        <v>1059</v>
      </c>
      <c r="F512" s="40" t="s">
        <v>1060</v>
      </c>
      <c r="G512" s="40" t="s">
        <v>703</v>
      </c>
      <c r="H512" s="40" t="s">
        <v>77</v>
      </c>
      <c r="I512" s="40"/>
      <c r="J512" s="40" t="str">
        <f t="shared" si="73"/>
        <v>Male</v>
      </c>
      <c r="K512" s="40" t="str">
        <f t="shared" si="74"/>
        <v>Singaporean</v>
      </c>
      <c r="L512" s="40" t="str">
        <f t="shared" si="75"/>
        <v xml:space="preserve">Case 777 is a Imported case, 29 years old male Singapore Citizen  and has been to France . He is currently admitted at NCID . </v>
      </c>
      <c r="M512" s="40">
        <f t="shared" si="76"/>
        <v>777</v>
      </c>
      <c r="N512" s="40" t="str">
        <f t="shared" si="77"/>
        <v xml:space="preserve">France </v>
      </c>
      <c r="O512" s="40" t="str">
        <f t="shared" si="78"/>
        <v/>
      </c>
      <c r="P512" s="40" t="str">
        <f t="shared" si="79"/>
        <v/>
      </c>
    </row>
    <row r="513" spans="1:16" x14ac:dyDescent="0.3">
      <c r="A513" s="40">
        <v>778</v>
      </c>
      <c r="B513" s="41">
        <v>43918</v>
      </c>
      <c r="C513" s="40" t="s">
        <v>1071</v>
      </c>
      <c r="D513" s="40">
        <v>21</v>
      </c>
      <c r="E513" s="40" t="s">
        <v>1073</v>
      </c>
      <c r="F513" s="40" t="s">
        <v>1060</v>
      </c>
      <c r="G513" s="40" t="s">
        <v>1063</v>
      </c>
      <c r="H513" s="40" t="s">
        <v>77</v>
      </c>
      <c r="I513" s="40"/>
      <c r="J513" s="40" t="str">
        <f t="shared" si="73"/>
        <v>Female</v>
      </c>
      <c r="K513" s="40" t="str">
        <f t="shared" si="74"/>
        <v>Singaporean</v>
      </c>
      <c r="L513" s="40" t="str">
        <f t="shared" si="75"/>
        <v xml:space="preserve">Case 778 is a Imported case, 21 years old female Singapore Citizen  and has been to UK . She is currently admitted at NCID . </v>
      </c>
      <c r="M513" s="40">
        <f t="shared" si="76"/>
        <v>778</v>
      </c>
      <c r="N513" s="40" t="str">
        <f t="shared" si="77"/>
        <v xml:space="preserve">UK </v>
      </c>
      <c r="O513" s="40" t="str">
        <f t="shared" si="78"/>
        <v/>
      </c>
      <c r="P513" s="40" t="str">
        <f t="shared" si="79"/>
        <v/>
      </c>
    </row>
    <row r="514" spans="1:16" x14ac:dyDescent="0.3">
      <c r="A514" s="40">
        <v>779</v>
      </c>
      <c r="B514" s="41">
        <v>43918</v>
      </c>
      <c r="C514" s="40" t="s">
        <v>1071</v>
      </c>
      <c r="D514" s="40">
        <v>55</v>
      </c>
      <c r="E514" s="40" t="s">
        <v>1073</v>
      </c>
      <c r="F514" s="40" t="s">
        <v>1060</v>
      </c>
      <c r="G514" s="40"/>
      <c r="H514" s="40" t="s">
        <v>1086</v>
      </c>
      <c r="I514" s="40" t="s">
        <v>1320</v>
      </c>
      <c r="J514" s="40" t="str">
        <f t="shared" si="73"/>
        <v>Female</v>
      </c>
      <c r="K514" s="40" t="str">
        <f t="shared" si="74"/>
        <v>Singaporean</v>
      </c>
      <c r="L514" s="40" t="str">
        <f t="shared" si="75"/>
        <v>Case 779 is a Local linked  case, 55 years old female Singapore Citizen  and has not been overseas. She is currently admitted at NCID . Family member of Case 653</v>
      </c>
      <c r="M514" s="40" t="str">
        <f t="shared" si="76"/>
        <v/>
      </c>
      <c r="N514" s="40" t="str">
        <f t="shared" si="77"/>
        <v/>
      </c>
      <c r="O514" s="40">
        <f t="shared" si="78"/>
        <v>779</v>
      </c>
      <c r="P514" s="40" t="str">
        <f t="shared" si="79"/>
        <v>Family member of Case 653</v>
      </c>
    </row>
    <row r="515" spans="1:16" x14ac:dyDescent="0.3">
      <c r="A515" s="40">
        <v>780</v>
      </c>
      <c r="B515" s="41">
        <v>43918</v>
      </c>
      <c r="C515" s="40" t="s">
        <v>1071</v>
      </c>
      <c r="D515" s="40">
        <v>50</v>
      </c>
      <c r="E515" s="40" t="s">
        <v>1073</v>
      </c>
      <c r="F515" s="40" t="s">
        <v>1250</v>
      </c>
      <c r="G515" s="40"/>
      <c r="H515" s="40" t="s">
        <v>1086</v>
      </c>
      <c r="I515" s="40" t="s">
        <v>1321</v>
      </c>
      <c r="J515" s="40" t="str">
        <f t="shared" si="73"/>
        <v>Female</v>
      </c>
      <c r="K515" s="40" t="str">
        <f t="shared" si="74"/>
        <v>Philippines</v>
      </c>
      <c r="L515" s="40" t="str">
        <f t="shared" si="75"/>
        <v>Case 780 is a Local linked  case, 50 years old female Philippines (Singapore Work Pass holder)  and has not been overseas. She is currently admitted at NCID . Contact of Case 652</v>
      </c>
      <c r="M515" s="40" t="str">
        <f t="shared" si="76"/>
        <v/>
      </c>
      <c r="N515" s="40" t="str">
        <f t="shared" si="77"/>
        <v/>
      </c>
      <c r="O515" s="40">
        <f t="shared" si="78"/>
        <v>780</v>
      </c>
      <c r="P515" s="40" t="str">
        <f t="shared" si="79"/>
        <v>Contact of Case 652</v>
      </c>
    </row>
    <row r="516" spans="1:16" x14ac:dyDescent="0.3">
      <c r="A516" s="40">
        <v>781</v>
      </c>
      <c r="B516" s="41">
        <v>43917</v>
      </c>
      <c r="C516" s="40" t="s">
        <v>1058</v>
      </c>
      <c r="D516" s="40">
        <v>43</v>
      </c>
      <c r="E516" s="40" t="s">
        <v>1073</v>
      </c>
      <c r="F516" s="40" t="s">
        <v>1072</v>
      </c>
      <c r="G516" s="40" t="s">
        <v>706</v>
      </c>
      <c r="H516" s="40" t="s">
        <v>77</v>
      </c>
      <c r="I516" s="40"/>
      <c r="J516" s="40" t="str">
        <f t="shared" si="73"/>
        <v>Female</v>
      </c>
      <c r="K516" s="40" t="str">
        <f t="shared" si="74"/>
        <v>Singaporean</v>
      </c>
      <c r="L516" s="40" t="str">
        <f t="shared" si="75"/>
        <v xml:space="preserve">Case 781 is a Imported case, 43 years old female Singapore Permanent Resident  and has been to Philippines . She is currently admitted at KTPH . </v>
      </c>
      <c r="M516" s="40">
        <f t="shared" si="76"/>
        <v>781</v>
      </c>
      <c r="N516" s="40" t="str">
        <f t="shared" si="77"/>
        <v xml:space="preserve">Philippines </v>
      </c>
      <c r="O516" s="40" t="str">
        <f t="shared" si="78"/>
        <v/>
      </c>
      <c r="P516" s="40" t="str">
        <f t="shared" si="79"/>
        <v/>
      </c>
    </row>
    <row r="517" spans="1:16" x14ac:dyDescent="0.3">
      <c r="A517" s="40">
        <v>782</v>
      </c>
      <c r="B517" s="41">
        <v>43917</v>
      </c>
      <c r="C517" s="40" t="s">
        <v>1071</v>
      </c>
      <c r="D517" s="40">
        <v>21</v>
      </c>
      <c r="E517" s="40" t="s">
        <v>1073</v>
      </c>
      <c r="F517" s="40" t="s">
        <v>1060</v>
      </c>
      <c r="G517" s="40" t="s">
        <v>1063</v>
      </c>
      <c r="H517" s="40" t="s">
        <v>77</v>
      </c>
      <c r="I517" s="40"/>
      <c r="J517" s="40" t="str">
        <f t="shared" si="73"/>
        <v>Female</v>
      </c>
      <c r="K517" s="40" t="str">
        <f t="shared" si="74"/>
        <v>Singaporean</v>
      </c>
      <c r="L517" s="40" t="str">
        <f t="shared" si="75"/>
        <v xml:space="preserve">Case 782 is a Imported case, 21 years old female Singapore Citizen  and has been to UK . She is currently admitted at NCID . </v>
      </c>
      <c r="M517" s="40">
        <f t="shared" si="76"/>
        <v>782</v>
      </c>
      <c r="N517" s="40" t="str">
        <f t="shared" si="77"/>
        <v xml:space="preserve">UK </v>
      </c>
      <c r="O517" s="40" t="str">
        <f t="shared" si="78"/>
        <v/>
      </c>
      <c r="P517" s="40" t="str">
        <f t="shared" si="79"/>
        <v/>
      </c>
    </row>
    <row r="518" spans="1:16" x14ac:dyDescent="0.3">
      <c r="A518" s="40">
        <v>783</v>
      </c>
      <c r="B518" s="41">
        <v>43917</v>
      </c>
      <c r="C518" s="40" t="s">
        <v>1071</v>
      </c>
      <c r="D518" s="40">
        <v>19</v>
      </c>
      <c r="E518" s="40" t="s">
        <v>1073</v>
      </c>
      <c r="F518" s="40" t="s">
        <v>1072</v>
      </c>
      <c r="G518" s="40" t="s">
        <v>1063</v>
      </c>
      <c r="H518" s="40" t="s">
        <v>77</v>
      </c>
      <c r="I518" s="40"/>
      <c r="J518" s="40" t="str">
        <f t="shared" si="73"/>
        <v>Female</v>
      </c>
      <c r="K518" s="40" t="str">
        <f t="shared" si="74"/>
        <v>Singaporean</v>
      </c>
      <c r="L518" s="40" t="str">
        <f t="shared" si="75"/>
        <v xml:space="preserve">Case 783 is a Imported case, 19 years old female Singapore Permanent Resident  and has been to UK . She is currently admitted at NCID . </v>
      </c>
      <c r="M518" s="40">
        <f t="shared" si="76"/>
        <v>783</v>
      </c>
      <c r="N518" s="40" t="str">
        <f t="shared" si="77"/>
        <v xml:space="preserve">UK </v>
      </c>
      <c r="O518" s="40" t="str">
        <f t="shared" si="78"/>
        <v/>
      </c>
      <c r="P518" s="40" t="str">
        <f t="shared" si="79"/>
        <v/>
      </c>
    </row>
    <row r="519" spans="1:16" x14ac:dyDescent="0.3">
      <c r="A519" s="40">
        <v>784</v>
      </c>
      <c r="B519" s="41">
        <v>43917</v>
      </c>
      <c r="C519" s="40" t="s">
        <v>1071</v>
      </c>
      <c r="D519" s="40">
        <v>23</v>
      </c>
      <c r="E519" s="40" t="s">
        <v>1073</v>
      </c>
      <c r="F519" s="40" t="s">
        <v>1060</v>
      </c>
      <c r="G519" s="40" t="s">
        <v>1063</v>
      </c>
      <c r="H519" s="40" t="s">
        <v>77</v>
      </c>
      <c r="I519" s="40"/>
      <c r="J519" s="40" t="str">
        <f t="shared" si="73"/>
        <v>Female</v>
      </c>
      <c r="K519" s="40" t="str">
        <f t="shared" si="74"/>
        <v>Singaporean</v>
      </c>
      <c r="L519" s="40" t="str">
        <f t="shared" si="75"/>
        <v xml:space="preserve">Case 784 is a Imported case, 23 years old female Singapore Citizen  and has been to UK . She is currently admitted at NCID . </v>
      </c>
      <c r="M519" s="40">
        <f t="shared" si="76"/>
        <v>784</v>
      </c>
      <c r="N519" s="40" t="str">
        <f t="shared" si="77"/>
        <v xml:space="preserve">UK </v>
      </c>
      <c r="O519" s="40" t="str">
        <f t="shared" si="78"/>
        <v/>
      </c>
      <c r="P519" s="40" t="str">
        <f t="shared" si="79"/>
        <v/>
      </c>
    </row>
    <row r="520" spans="1:16" x14ac:dyDescent="0.3">
      <c r="A520" s="40">
        <v>785</v>
      </c>
      <c r="B520" s="41">
        <v>43917</v>
      </c>
      <c r="C520" s="40" t="s">
        <v>1071</v>
      </c>
      <c r="D520" s="40">
        <v>31</v>
      </c>
      <c r="E520" s="40" t="s">
        <v>1059</v>
      </c>
      <c r="F520" s="40" t="s">
        <v>1060</v>
      </c>
      <c r="G520" s="40" t="s">
        <v>1177</v>
      </c>
      <c r="H520" s="40" t="s">
        <v>77</v>
      </c>
      <c r="I520" s="40"/>
      <c r="J520" s="40" t="str">
        <f t="shared" si="73"/>
        <v>Male</v>
      </c>
      <c r="K520" s="40" t="str">
        <f t="shared" si="74"/>
        <v>Singaporean</v>
      </c>
      <c r="L520" s="40" t="str">
        <f t="shared" si="75"/>
        <v xml:space="preserve">Case 785 is a Imported case, 31 years old male Singapore Citizen  and has been to Pending . He is currently admitted at NCID . </v>
      </c>
      <c r="M520" s="40">
        <f t="shared" si="76"/>
        <v>785</v>
      </c>
      <c r="N520" s="40" t="str">
        <f t="shared" si="77"/>
        <v xml:space="preserve">Pending </v>
      </c>
      <c r="O520" s="40" t="str">
        <f t="shared" si="78"/>
        <v/>
      </c>
      <c r="P520" s="40" t="str">
        <f t="shared" si="79"/>
        <v/>
      </c>
    </row>
    <row r="521" spans="1:16" x14ac:dyDescent="0.3">
      <c r="A521" s="40">
        <v>786</v>
      </c>
      <c r="B521" s="41">
        <v>43917</v>
      </c>
      <c r="C521" s="40" t="s">
        <v>1071</v>
      </c>
      <c r="D521" s="40">
        <v>51</v>
      </c>
      <c r="E521" s="40" t="s">
        <v>1059</v>
      </c>
      <c r="F521" s="40" t="s">
        <v>1060</v>
      </c>
      <c r="G521" s="40" t="s">
        <v>1177</v>
      </c>
      <c r="H521" s="40" t="s">
        <v>77</v>
      </c>
      <c r="I521" s="40"/>
      <c r="J521" s="40" t="str">
        <f t="shared" si="73"/>
        <v>Male</v>
      </c>
      <c r="K521" s="40" t="str">
        <f t="shared" si="74"/>
        <v>Singaporean</v>
      </c>
      <c r="L521" s="40" t="str">
        <f t="shared" si="75"/>
        <v xml:space="preserve">Case 786 is a Imported case, 51 years old male Singapore Citizen  and has been to Pending . He is currently admitted at NCID . </v>
      </c>
      <c r="M521" s="40">
        <f t="shared" si="76"/>
        <v>786</v>
      </c>
      <c r="N521" s="40" t="str">
        <f t="shared" si="77"/>
        <v xml:space="preserve">Pending </v>
      </c>
      <c r="O521" s="40" t="str">
        <f t="shared" si="78"/>
        <v/>
      </c>
      <c r="P521" s="40" t="str">
        <f t="shared" si="79"/>
        <v/>
      </c>
    </row>
    <row r="522" spans="1:16" x14ac:dyDescent="0.3">
      <c r="A522" s="40">
        <v>787</v>
      </c>
      <c r="B522" s="41">
        <v>43918</v>
      </c>
      <c r="C522" s="40" t="s">
        <v>1071</v>
      </c>
      <c r="D522" s="40">
        <v>40</v>
      </c>
      <c r="E522" s="40" t="s">
        <v>1059</v>
      </c>
      <c r="F522" s="40" t="s">
        <v>1060</v>
      </c>
      <c r="G522" s="40" t="s">
        <v>1063</v>
      </c>
      <c r="H522" s="40" t="s">
        <v>77</v>
      </c>
      <c r="I522" s="40"/>
      <c r="J522" s="40" t="str">
        <f t="shared" si="73"/>
        <v>Male</v>
      </c>
      <c r="K522" s="40" t="str">
        <f t="shared" si="74"/>
        <v>Singaporean</v>
      </c>
      <c r="L522" s="40" t="str">
        <f t="shared" si="75"/>
        <v xml:space="preserve">Case 787 is a Imported case, 40 years old male Singapore Citizen  and has been to UK . He is currently admitted at NCID . </v>
      </c>
      <c r="M522" s="40">
        <f t="shared" si="76"/>
        <v>787</v>
      </c>
      <c r="N522" s="40" t="str">
        <f t="shared" si="77"/>
        <v xml:space="preserve">UK </v>
      </c>
      <c r="O522" s="40" t="str">
        <f t="shared" si="78"/>
        <v/>
      </c>
      <c r="P522" s="40" t="str">
        <f t="shared" si="79"/>
        <v/>
      </c>
    </row>
    <row r="523" spans="1:16" x14ac:dyDescent="0.3">
      <c r="A523" s="40">
        <v>788</v>
      </c>
      <c r="B523" s="41">
        <v>43918</v>
      </c>
      <c r="C523" s="40" t="s">
        <v>1071</v>
      </c>
      <c r="D523" s="40">
        <v>57</v>
      </c>
      <c r="E523" s="40" t="s">
        <v>1073</v>
      </c>
      <c r="F523" s="40" t="s">
        <v>1060</v>
      </c>
      <c r="G523" s="40"/>
      <c r="H523" s="40" t="s">
        <v>1061</v>
      </c>
      <c r="I523" s="40"/>
      <c r="J523" s="40" t="str">
        <f t="shared" si="73"/>
        <v>Female</v>
      </c>
      <c r="K523" s="40" t="str">
        <f t="shared" si="74"/>
        <v>Singaporean</v>
      </c>
      <c r="L523" s="40" t="str">
        <f t="shared" si="75"/>
        <v xml:space="preserve">Case 788 is a Local unlinked case, 57 years old female Singapore Citizen  and has not been overseas. She is currently admitted at NCID . </v>
      </c>
      <c r="M523" s="40" t="str">
        <f t="shared" si="76"/>
        <v/>
      </c>
      <c r="N523" s="40" t="str">
        <f t="shared" si="77"/>
        <v/>
      </c>
      <c r="O523" s="40" t="str">
        <f t="shared" si="78"/>
        <v/>
      </c>
      <c r="P523" s="40" t="str">
        <f t="shared" si="79"/>
        <v/>
      </c>
    </row>
    <row r="524" spans="1:16" x14ac:dyDescent="0.3">
      <c r="A524" s="40">
        <v>789</v>
      </c>
      <c r="B524" s="41">
        <v>43918</v>
      </c>
      <c r="C524" s="40" t="s">
        <v>1071</v>
      </c>
      <c r="D524" s="40">
        <v>50</v>
      </c>
      <c r="E524" s="40" t="s">
        <v>1073</v>
      </c>
      <c r="F524" s="40" t="s">
        <v>1060</v>
      </c>
      <c r="G524" s="40"/>
      <c r="H524" s="40" t="s">
        <v>1086</v>
      </c>
      <c r="I524" s="40" t="s">
        <v>1322</v>
      </c>
      <c r="J524" s="40" t="str">
        <f t="shared" si="73"/>
        <v>Female</v>
      </c>
      <c r="K524" s="40" t="str">
        <f t="shared" si="74"/>
        <v>Singaporean</v>
      </c>
      <c r="L524" s="40" t="str">
        <f t="shared" si="75"/>
        <v>Case 789 is a Local linked  case, 50 years old female Singapore Citizen  and has not been overseas. She is currently admitted at NCID . Contact of Case 722</v>
      </c>
      <c r="M524" s="40" t="str">
        <f t="shared" si="76"/>
        <v/>
      </c>
      <c r="N524" s="40" t="str">
        <f t="shared" si="77"/>
        <v/>
      </c>
      <c r="O524" s="40">
        <f t="shared" si="78"/>
        <v>789</v>
      </c>
      <c r="P524" s="40" t="str">
        <f t="shared" si="79"/>
        <v>Contact of Case 722</v>
      </c>
    </row>
    <row r="525" spans="1:16" x14ac:dyDescent="0.3">
      <c r="A525" s="40">
        <v>790</v>
      </c>
      <c r="B525" s="41">
        <v>43918</v>
      </c>
      <c r="C525" s="40" t="s">
        <v>1071</v>
      </c>
      <c r="D525" s="40">
        <v>60</v>
      </c>
      <c r="E525" s="40" t="s">
        <v>1059</v>
      </c>
      <c r="F525" s="40" t="s">
        <v>1072</v>
      </c>
      <c r="G525" s="40" t="s">
        <v>1177</v>
      </c>
      <c r="H525" s="40" t="s">
        <v>77</v>
      </c>
      <c r="I525" s="40"/>
      <c r="J525" s="40" t="str">
        <f t="shared" si="73"/>
        <v>Male</v>
      </c>
      <c r="K525" s="40" t="str">
        <f t="shared" si="74"/>
        <v>Singaporean</v>
      </c>
      <c r="L525" s="40" t="str">
        <f t="shared" si="75"/>
        <v xml:space="preserve">Case 790 is a Imported case, 60 years old male Singapore Permanent Resident  and has been to Pending . He is currently admitted at NCID . </v>
      </c>
      <c r="M525" s="40">
        <f t="shared" si="76"/>
        <v>790</v>
      </c>
      <c r="N525" s="40" t="str">
        <f t="shared" si="77"/>
        <v xml:space="preserve">Pending </v>
      </c>
      <c r="O525" s="40" t="str">
        <f t="shared" si="78"/>
        <v/>
      </c>
      <c r="P525" s="40" t="str">
        <f t="shared" si="79"/>
        <v/>
      </c>
    </row>
    <row r="526" spans="1:16" x14ac:dyDescent="0.3">
      <c r="A526" s="40">
        <v>791</v>
      </c>
      <c r="B526" s="41">
        <v>43918</v>
      </c>
      <c r="C526" s="40" t="s">
        <v>1071</v>
      </c>
      <c r="D526" s="40">
        <v>40</v>
      </c>
      <c r="E526" s="40" t="s">
        <v>1073</v>
      </c>
      <c r="F526" s="40" t="s">
        <v>1173</v>
      </c>
      <c r="G526" s="40"/>
      <c r="H526" s="40" t="s">
        <v>1086</v>
      </c>
      <c r="I526" s="40" t="s">
        <v>1323</v>
      </c>
      <c r="J526" s="40" t="str">
        <f t="shared" si="73"/>
        <v>Female</v>
      </c>
      <c r="K526" s="40" t="str">
        <f t="shared" si="74"/>
        <v>Indonesia</v>
      </c>
      <c r="L526" s="40" t="str">
        <f t="shared" si="75"/>
        <v>Case 791 is a Local linked  case, 40 years old female Indonesia (Long Term Pass holder)  and has not been overseas. She is currently admitted at NCID . Contact of Cases 418 and 512</v>
      </c>
      <c r="M526" s="40" t="str">
        <f t="shared" si="76"/>
        <v/>
      </c>
      <c r="N526" s="40" t="str">
        <f t="shared" si="77"/>
        <v/>
      </c>
      <c r="O526" s="40">
        <f t="shared" si="78"/>
        <v>791</v>
      </c>
      <c r="P526" s="40" t="str">
        <f t="shared" si="79"/>
        <v>Contact of Cases 418 and 512</v>
      </c>
    </row>
    <row r="527" spans="1:16" x14ac:dyDescent="0.3">
      <c r="A527" s="40">
        <v>792</v>
      </c>
      <c r="B527" s="41">
        <v>43918</v>
      </c>
      <c r="C527" s="40" t="s">
        <v>1071</v>
      </c>
      <c r="D527" s="40">
        <v>50</v>
      </c>
      <c r="E527" s="40" t="s">
        <v>1073</v>
      </c>
      <c r="F527" s="40" t="s">
        <v>1072</v>
      </c>
      <c r="G527" s="40"/>
      <c r="H527" s="40" t="s">
        <v>1086</v>
      </c>
      <c r="I527" s="40" t="s">
        <v>1324</v>
      </c>
      <c r="J527" s="40" t="str">
        <f t="shared" si="73"/>
        <v>Female</v>
      </c>
      <c r="K527" s="40" t="str">
        <f t="shared" si="74"/>
        <v>Singaporean</v>
      </c>
      <c r="L527" s="40" t="str">
        <f t="shared" si="75"/>
        <v>Case 792 is a Local linked  case, 50 years old female Singapore Permanent Resident  and has not been overseas. She is currently admitted at NCID . Family member of Case 728</v>
      </c>
      <c r="M527" s="40" t="str">
        <f t="shared" si="76"/>
        <v/>
      </c>
      <c r="N527" s="40" t="str">
        <f t="shared" si="77"/>
        <v/>
      </c>
      <c r="O527" s="40">
        <f t="shared" si="78"/>
        <v>792</v>
      </c>
      <c r="P527" s="40" t="str">
        <f t="shared" si="79"/>
        <v>Family member of Case 728</v>
      </c>
    </row>
    <row r="528" spans="1:16" x14ac:dyDescent="0.3">
      <c r="A528" s="40">
        <v>793</v>
      </c>
      <c r="B528" s="41">
        <v>43918</v>
      </c>
      <c r="C528" s="40" t="s">
        <v>1071</v>
      </c>
      <c r="D528" s="40">
        <v>23</v>
      </c>
      <c r="E528" s="40" t="s">
        <v>1073</v>
      </c>
      <c r="F528" s="40" t="s">
        <v>1060</v>
      </c>
      <c r="G528" s="40"/>
      <c r="H528" s="40" t="s">
        <v>1086</v>
      </c>
      <c r="I528" s="40" t="s">
        <v>1325</v>
      </c>
      <c r="J528" s="40" t="str">
        <f t="shared" si="73"/>
        <v>Female</v>
      </c>
      <c r="K528" s="40" t="str">
        <f t="shared" si="74"/>
        <v>Singaporean</v>
      </c>
      <c r="L528" s="40" t="str">
        <f t="shared" si="75"/>
        <v>Case 793 is a Local linked  case, 23 years old female Singapore Citizen  and has not been overseas. She is currently admitted at NCID . Contact of Case 678</v>
      </c>
      <c r="M528" s="40" t="str">
        <f t="shared" si="76"/>
        <v/>
      </c>
      <c r="N528" s="40" t="str">
        <f t="shared" si="77"/>
        <v/>
      </c>
      <c r="O528" s="40">
        <f t="shared" si="78"/>
        <v>793</v>
      </c>
      <c r="P528" s="40" t="str">
        <f t="shared" si="79"/>
        <v>Contact of Case 678</v>
      </c>
    </row>
    <row r="529" spans="1:16" x14ac:dyDescent="0.3">
      <c r="A529" s="40">
        <v>794</v>
      </c>
      <c r="B529" s="41">
        <v>43917</v>
      </c>
      <c r="C529" s="40" t="s">
        <v>1071</v>
      </c>
      <c r="D529" s="40">
        <v>22</v>
      </c>
      <c r="E529" s="40" t="s">
        <v>1073</v>
      </c>
      <c r="F529" s="40" t="s">
        <v>1177</v>
      </c>
      <c r="G529" s="40" t="s">
        <v>1177</v>
      </c>
      <c r="H529" s="40" t="s">
        <v>77</v>
      </c>
      <c r="I529" s="40"/>
      <c r="J529" s="40" t="str">
        <f t="shared" si="73"/>
        <v>Female</v>
      </c>
      <c r="K529" s="40" t="str">
        <f t="shared" si="74"/>
        <v xml:space="preserve">Pending </v>
      </c>
      <c r="L529" s="40" t="str">
        <f t="shared" si="75"/>
        <v xml:space="preserve">Case 794 is a Imported case, 22 years old female Pending  and has been to Pending . She is currently admitted at NCID . </v>
      </c>
      <c r="M529" s="40">
        <f t="shared" si="76"/>
        <v>794</v>
      </c>
      <c r="N529" s="40" t="str">
        <f t="shared" si="77"/>
        <v xml:space="preserve">Pending </v>
      </c>
      <c r="O529" s="40" t="str">
        <f t="shared" si="78"/>
        <v/>
      </c>
      <c r="P529" s="40" t="str">
        <f t="shared" si="79"/>
        <v/>
      </c>
    </row>
    <row r="530" spans="1:16" x14ac:dyDescent="0.3">
      <c r="A530" s="40">
        <v>795</v>
      </c>
      <c r="B530" s="41">
        <v>43918</v>
      </c>
      <c r="C530" s="40" t="s">
        <v>1071</v>
      </c>
      <c r="D530" s="40">
        <v>18</v>
      </c>
      <c r="E530" s="40" t="s">
        <v>1059</v>
      </c>
      <c r="F530" s="40" t="s">
        <v>1060</v>
      </c>
      <c r="G530" s="40"/>
      <c r="H530" s="40" t="s">
        <v>1086</v>
      </c>
      <c r="I530" s="40" t="s">
        <v>1326</v>
      </c>
      <c r="J530" s="40" t="str">
        <f t="shared" si="73"/>
        <v>Male</v>
      </c>
      <c r="K530" s="40" t="str">
        <f t="shared" si="74"/>
        <v>Singaporean</v>
      </c>
      <c r="L530" s="40" t="str">
        <f t="shared" si="75"/>
        <v>Case 795 is a Local linked  case, 18 years old male Singapore Citizen  and has not been overseas. He is currently admitted at NCID . Contact of Cases 533, 659, 734 and 797</v>
      </c>
      <c r="M530" s="40" t="str">
        <f t="shared" si="76"/>
        <v/>
      </c>
      <c r="N530" s="40" t="str">
        <f t="shared" si="77"/>
        <v/>
      </c>
      <c r="O530" s="40">
        <f t="shared" si="78"/>
        <v>795</v>
      </c>
      <c r="P530" s="40" t="str">
        <f t="shared" si="79"/>
        <v>Contact of Cases 533, 659, 734 and 797</v>
      </c>
    </row>
    <row r="531" spans="1:16" x14ac:dyDescent="0.3">
      <c r="A531" s="40">
        <v>796</v>
      </c>
      <c r="B531" s="41">
        <v>43917</v>
      </c>
      <c r="C531" s="40" t="s">
        <v>1071</v>
      </c>
      <c r="D531" s="40">
        <v>26</v>
      </c>
      <c r="E531" s="40" t="s">
        <v>1059</v>
      </c>
      <c r="F531" s="40" t="s">
        <v>1156</v>
      </c>
      <c r="G531" s="40" t="s">
        <v>360</v>
      </c>
      <c r="H531" s="40" t="s">
        <v>1086</v>
      </c>
      <c r="I531" s="40" t="s">
        <v>1287</v>
      </c>
      <c r="J531" s="40" t="str">
        <f t="shared" si="73"/>
        <v>Male</v>
      </c>
      <c r="K531" s="40" t="str">
        <f t="shared" si="74"/>
        <v>Malaysia</v>
      </c>
      <c r="L531" s="40" t="str">
        <f t="shared" si="75"/>
        <v>Case 796 is a Local linked  case, 26 years old male Malaysia (Singapore Work Pass holder)  and has been to Malaysia . He is currently admitted at NCID . SingPost Centre</v>
      </c>
      <c r="M531" s="40">
        <f t="shared" si="76"/>
        <v>796</v>
      </c>
      <c r="N531" s="40" t="str">
        <f t="shared" si="77"/>
        <v xml:space="preserve">Malaysia </v>
      </c>
      <c r="O531" s="40">
        <f t="shared" si="78"/>
        <v>796</v>
      </c>
      <c r="P531" s="40" t="str">
        <f t="shared" si="79"/>
        <v>SingPost Centre</v>
      </c>
    </row>
    <row r="532" spans="1:16" x14ac:dyDescent="0.3">
      <c r="A532" s="40">
        <v>797</v>
      </c>
      <c r="B532" s="41">
        <v>43918</v>
      </c>
      <c r="C532" s="40" t="s">
        <v>1071</v>
      </c>
      <c r="D532" s="40">
        <v>35</v>
      </c>
      <c r="E532" s="40" t="s">
        <v>1073</v>
      </c>
      <c r="F532" s="40" t="s">
        <v>1173</v>
      </c>
      <c r="G532" s="40"/>
      <c r="H532" s="40" t="s">
        <v>1086</v>
      </c>
      <c r="I532" s="40" t="s">
        <v>1327</v>
      </c>
      <c r="J532" s="40" t="str">
        <f t="shared" ref="J532:J537" si="80">IF(TRIM(E532)="M","Male",IF(TRIM(E532)="F","Female",""))</f>
        <v>Female</v>
      </c>
      <c r="K532" s="40" t="str">
        <f t="shared" ref="K532:K537" si="81">IF(LEFT(F532,9)="Singapore","Singaporean",IF(ISERR(FIND("(",F532)),F532,LEFT(F532,FIND("(",F532)-2)))</f>
        <v>Indonesia</v>
      </c>
      <c r="L532" s="40" t="str">
        <f t="shared" ref="L532:L537" si="82">"Case "&amp;A532&amp;" is a "&amp;H532&amp;" case, "&amp;D532&amp;" years old "&amp;LOWER(J532)&amp;" "&amp;F532 &amp;IF(G532=""," and has not been overseas"," and has been to "&amp;G532)&amp;". "&amp;IF(TRIM(E532)="F","She",IF(TRIM(E532)="M","He"))&amp;" is currently admitted at "&amp;C532&amp;". "&amp;I532</f>
        <v>Case 797 is a Local linked  case, 35 years old female Indonesia (Long Term Pass holder)  and has not been overseas. She is currently admitted at NCID . Contact of Cases 533, 659, 734 and 795</v>
      </c>
      <c r="M532" s="40" t="str">
        <f t="shared" ref="M532:M537" si="83">IF(G532="","",A532)</f>
        <v/>
      </c>
      <c r="N532" s="40" t="str">
        <f t="shared" ref="N532:N537" si="84">IF(G532="","",G532)</f>
        <v/>
      </c>
      <c r="O532" s="40">
        <f t="shared" ref="O532:O537" si="85">IF(I532="","",A532)</f>
        <v>797</v>
      </c>
      <c r="P532" s="40" t="str">
        <f t="shared" ref="P532:P537" si="86">IF(I532="","",I532)</f>
        <v>Contact of Cases 533, 659, 734 and 795</v>
      </c>
    </row>
    <row r="533" spans="1:16" x14ac:dyDescent="0.3">
      <c r="A533" s="40">
        <v>798</v>
      </c>
      <c r="B533" s="41">
        <v>43918</v>
      </c>
      <c r="C533" s="40" t="s">
        <v>1071</v>
      </c>
      <c r="D533" s="40">
        <v>29</v>
      </c>
      <c r="E533" s="40" t="s">
        <v>1073</v>
      </c>
      <c r="F533" s="40" t="s">
        <v>1060</v>
      </c>
      <c r="G533" s="40" t="s">
        <v>1081</v>
      </c>
      <c r="H533" s="40" t="s">
        <v>1069</v>
      </c>
      <c r="I533" s="40" t="s">
        <v>1328</v>
      </c>
      <c r="J533" s="40" t="str">
        <f t="shared" si="80"/>
        <v>Female</v>
      </c>
      <c r="K533" s="40" t="str">
        <f t="shared" si="81"/>
        <v>Singaporean</v>
      </c>
      <c r="L533" s="40" t="str">
        <f t="shared" si="82"/>
        <v>Case 798 is a Imported  case, 29 years old female Singapore Citizen  and has been to Turkey . She is currently admitted at NCID . Contact of Cases 683, 700, 702, 703 and 760</v>
      </c>
      <c r="M533" s="40">
        <f t="shared" si="83"/>
        <v>798</v>
      </c>
      <c r="N533" s="40" t="str">
        <f t="shared" si="84"/>
        <v xml:space="preserve">Turkey </v>
      </c>
      <c r="O533" s="40">
        <f t="shared" si="85"/>
        <v>798</v>
      </c>
      <c r="P533" s="40" t="str">
        <f t="shared" si="86"/>
        <v>Contact of Cases 683, 700, 702, 703 and 760</v>
      </c>
    </row>
    <row r="534" spans="1:16" x14ac:dyDescent="0.3">
      <c r="A534" s="40">
        <v>799</v>
      </c>
      <c r="B534" s="41">
        <v>43918</v>
      </c>
      <c r="C534" s="40" t="s">
        <v>1058</v>
      </c>
      <c r="D534" s="40">
        <v>39</v>
      </c>
      <c r="E534" s="40" t="s">
        <v>1059</v>
      </c>
      <c r="F534" s="40" t="s">
        <v>1060</v>
      </c>
      <c r="G534" s="40"/>
      <c r="H534" s="40" t="s">
        <v>1086</v>
      </c>
      <c r="I534" s="40" t="s">
        <v>1329</v>
      </c>
      <c r="J534" s="40" t="str">
        <f t="shared" si="80"/>
        <v>Male</v>
      </c>
      <c r="K534" s="40" t="str">
        <f t="shared" si="81"/>
        <v>Singaporean</v>
      </c>
      <c r="L534" s="40" t="str">
        <f t="shared" si="82"/>
        <v>Case 799 is a Local linked  case, 39 years old male Singapore Citizen  and has not been overseas. He is currently admitted at KTPH . Contact of Case 683</v>
      </c>
      <c r="M534" s="40" t="str">
        <f t="shared" si="83"/>
        <v/>
      </c>
      <c r="N534" s="40" t="str">
        <f t="shared" si="84"/>
        <v/>
      </c>
      <c r="O534" s="40">
        <f t="shared" si="85"/>
        <v>799</v>
      </c>
      <c r="P534" s="40" t="str">
        <f t="shared" si="86"/>
        <v>Contact of Case 683</v>
      </c>
    </row>
    <row r="535" spans="1:16" x14ac:dyDescent="0.3">
      <c r="A535" s="40">
        <v>800</v>
      </c>
      <c r="B535" s="41">
        <v>43918</v>
      </c>
      <c r="C535" s="40" t="s">
        <v>1064</v>
      </c>
      <c r="D535" s="40">
        <v>22</v>
      </c>
      <c r="E535" s="40" t="s">
        <v>1059</v>
      </c>
      <c r="F535" s="40" t="s">
        <v>1060</v>
      </c>
      <c r="G535" s="40" t="s">
        <v>1063</v>
      </c>
      <c r="H535" s="40" t="s">
        <v>1069</v>
      </c>
      <c r="I535" s="40"/>
      <c r="J535" s="40" t="str">
        <f t="shared" si="80"/>
        <v>Male</v>
      </c>
      <c r="K535" s="40" t="str">
        <f t="shared" si="81"/>
        <v>Singaporean</v>
      </c>
      <c r="L535" s="40" t="str">
        <f t="shared" si="82"/>
        <v xml:space="preserve">Case 800 is a Imported  case, 22 years old male Singapore Citizen  and has been to UK . He is currently admitted at CGH . </v>
      </c>
      <c r="M535" s="40">
        <f t="shared" si="83"/>
        <v>800</v>
      </c>
      <c r="N535" s="40" t="str">
        <f t="shared" si="84"/>
        <v xml:space="preserve">UK </v>
      </c>
      <c r="O535" s="40" t="str">
        <f t="shared" si="85"/>
        <v/>
      </c>
      <c r="P535" s="40" t="str">
        <f t="shared" si="86"/>
        <v/>
      </c>
    </row>
    <row r="536" spans="1:16" x14ac:dyDescent="0.3">
      <c r="A536" s="40">
        <v>801</v>
      </c>
      <c r="B536" s="41">
        <v>43918</v>
      </c>
      <c r="C536" s="40" t="s">
        <v>1064</v>
      </c>
      <c r="D536" s="40">
        <v>39</v>
      </c>
      <c r="E536" s="40" t="s">
        <v>1059</v>
      </c>
      <c r="F536" s="40" t="s">
        <v>1206</v>
      </c>
      <c r="G536" s="40"/>
      <c r="H536" s="40" t="s">
        <v>1152</v>
      </c>
      <c r="I536" s="40"/>
      <c r="J536" s="40" t="str">
        <f t="shared" si="80"/>
        <v>Male</v>
      </c>
      <c r="K536" s="40" t="str">
        <f t="shared" si="81"/>
        <v>Myanmar</v>
      </c>
      <c r="L536" s="40" t="str">
        <f t="shared" si="82"/>
        <v xml:space="preserve">Case 801 is a Local linked case, 39 years old male Myanmar (Singapore Work Pass holder)  and has not been overseas. He is currently admitted at CGH . </v>
      </c>
      <c r="M536" s="40" t="str">
        <f t="shared" si="83"/>
        <v/>
      </c>
      <c r="N536" s="40" t="str">
        <f t="shared" si="84"/>
        <v/>
      </c>
      <c r="O536" s="40" t="str">
        <f t="shared" si="85"/>
        <v/>
      </c>
      <c r="P536" s="40" t="str">
        <f t="shared" si="86"/>
        <v/>
      </c>
    </row>
    <row r="537" spans="1:16" x14ac:dyDescent="0.3">
      <c r="A537" s="40">
        <v>802</v>
      </c>
      <c r="B537" s="41">
        <v>43918</v>
      </c>
      <c r="C537" s="40" t="s">
        <v>1062</v>
      </c>
      <c r="D537" s="40">
        <v>28</v>
      </c>
      <c r="E537" s="40" t="s">
        <v>1073</v>
      </c>
      <c r="F537" s="40" t="s">
        <v>1060</v>
      </c>
      <c r="G537" s="40"/>
      <c r="H537" s="40" t="s">
        <v>1061</v>
      </c>
      <c r="I537" s="40"/>
      <c r="J537" s="40" t="str">
        <f t="shared" si="80"/>
        <v>Female</v>
      </c>
      <c r="K537" s="40" t="str">
        <f t="shared" si="81"/>
        <v>Singaporean</v>
      </c>
      <c r="L537" s="40" t="str">
        <f t="shared" si="82"/>
        <v xml:space="preserve">Case 802 is a Local unlinked case, 28 years old female Singapore Citizen  and has not been overseas. She is currently admitted at NTFGH . </v>
      </c>
      <c r="M537" s="40" t="str">
        <f t="shared" si="83"/>
        <v/>
      </c>
      <c r="N537" s="40" t="str">
        <f t="shared" si="84"/>
        <v/>
      </c>
      <c r="O537" s="40" t="str">
        <f t="shared" si="85"/>
        <v/>
      </c>
      <c r="P537" s="40" t="str">
        <f t="shared" si="86"/>
        <v/>
      </c>
    </row>
    <row r="538" spans="1:16" x14ac:dyDescent="0.3">
      <c r="A538" s="45">
        <v>803</v>
      </c>
      <c r="B538" s="46">
        <v>43918</v>
      </c>
      <c r="C538" s="45" t="s">
        <v>1058</v>
      </c>
      <c r="D538" s="45">
        <v>23</v>
      </c>
      <c r="E538" s="45" t="s">
        <v>1059</v>
      </c>
      <c r="F538" s="45" t="s">
        <v>1060</v>
      </c>
      <c r="G538" s="45" t="s">
        <v>1085</v>
      </c>
      <c r="H538" s="45" t="s">
        <v>77</v>
      </c>
      <c r="I538" s="45"/>
      <c r="J538" s="45" t="str">
        <f t="shared" ref="J538" si="87">IF(TRIM(E538)="M","Male",IF(TRIM(E538)="F","Female",""))</f>
        <v>Male</v>
      </c>
      <c r="K538" s="45" t="str">
        <f t="shared" ref="K538" si="88">IF(LEFT(F538,9)="Singapore","Singaporean",IF(ISERR(FIND("(",F538)),F538,LEFT(F538,FIND("(",F538)-2)))</f>
        <v>Singaporean</v>
      </c>
      <c r="L538" s="45" t="str">
        <f t="shared" ref="L538" si="89">"Case "&amp;A538&amp;" is a "&amp;H538&amp;" case, "&amp;D538&amp;" years old "&amp;LOWER(J538)&amp;" "&amp;F538 &amp;IF(G538=""," and has not been overseas"," and has been to "&amp;G538)&amp;". "&amp;IF(TRIM(E538)="F","She",IF(TRIM(E538)="M","He"))&amp;" is currently admitted at "&amp;C538&amp;". "&amp;I538</f>
        <v xml:space="preserve">Case 803 is a Imported case, 23 years old male Singapore Citizen  and has been to US . He is currently admitted at KTPH . </v>
      </c>
      <c r="M538" s="45">
        <f t="shared" ref="M538" si="90">IF(G538="","",A538)</f>
        <v>803</v>
      </c>
      <c r="N538" s="45" t="str">
        <f t="shared" ref="N538" si="91">IF(G538="","",G538)</f>
        <v xml:space="preserve">US </v>
      </c>
      <c r="O538" s="45" t="str">
        <f t="shared" ref="O538" si="92">IF(I538="","",A538)</f>
        <v/>
      </c>
      <c r="P538" s="45" t="str">
        <f t="shared" ref="P538" si="93">IF(I538="","",I538)</f>
        <v/>
      </c>
    </row>
    <row r="539" spans="1:16" x14ac:dyDescent="0.3">
      <c r="A539" s="45">
        <v>804</v>
      </c>
      <c r="B539" s="46">
        <v>43918</v>
      </c>
      <c r="C539" s="45" t="s">
        <v>1071</v>
      </c>
      <c r="D539" s="45">
        <v>21</v>
      </c>
      <c r="E539" s="45" t="s">
        <v>1073</v>
      </c>
      <c r="F539" s="45" t="s">
        <v>1072</v>
      </c>
      <c r="G539" s="45" t="s">
        <v>1177</v>
      </c>
      <c r="H539" s="45" t="s">
        <v>77</v>
      </c>
      <c r="I539" s="45"/>
      <c r="J539" s="45" t="str">
        <f t="shared" ref="J539:J579" si="94">IF(TRIM(E539)="M","Male",IF(TRIM(E539)="F","Female",""))</f>
        <v>Female</v>
      </c>
      <c r="K539" s="45" t="str">
        <f t="shared" ref="K539:K579" si="95">IF(LEFT(F539,9)="Singapore","Singaporean",IF(ISERR(FIND("(",F539)),F539,LEFT(F539,FIND("(",F539)-2)))</f>
        <v>Singaporean</v>
      </c>
      <c r="L539" s="45" t="str">
        <f t="shared" ref="L539:L579" si="96">"Case "&amp;A539&amp;" is a "&amp;H539&amp;" case, "&amp;D539&amp;" years old "&amp;LOWER(J539)&amp;" "&amp;F539 &amp;IF(G539=""," and has not been overseas"," and has been to "&amp;G539)&amp;". "&amp;IF(TRIM(E539)="F","She",IF(TRIM(E539)="M","He"))&amp;" is currently admitted at "&amp;C539&amp;". "&amp;I539</f>
        <v xml:space="preserve">Case 804 is a Imported case, 21 years old female Singapore Permanent Resident  and has been to Pending . She is currently admitted at NCID . </v>
      </c>
      <c r="M539" s="45">
        <f t="shared" ref="M539:M579" si="97">IF(G539="","",A539)</f>
        <v>804</v>
      </c>
      <c r="N539" s="45" t="str">
        <f t="shared" ref="N539:N579" si="98">IF(G539="","",G539)</f>
        <v xml:space="preserve">Pending </v>
      </c>
      <c r="O539" s="45" t="str">
        <f t="shared" ref="O539:O579" si="99">IF(I539="","",A539)</f>
        <v/>
      </c>
      <c r="P539" s="45" t="str">
        <f t="shared" ref="P539:P579" si="100">IF(I539="","",I539)</f>
        <v/>
      </c>
    </row>
    <row r="540" spans="1:16" x14ac:dyDescent="0.3">
      <c r="A540" s="45">
        <v>805</v>
      </c>
      <c r="B540" s="46">
        <v>43918</v>
      </c>
      <c r="C540" s="45" t="s">
        <v>1071</v>
      </c>
      <c r="D540" s="45">
        <v>32</v>
      </c>
      <c r="E540" s="45" t="s">
        <v>1059</v>
      </c>
      <c r="F540" s="45" t="s">
        <v>1060</v>
      </c>
      <c r="G540" s="45" t="s">
        <v>1177</v>
      </c>
      <c r="H540" s="45" t="s">
        <v>77</v>
      </c>
      <c r="I540" s="45"/>
      <c r="J540" s="45" t="str">
        <f t="shared" si="94"/>
        <v>Male</v>
      </c>
      <c r="K540" s="45" t="str">
        <f t="shared" si="95"/>
        <v>Singaporean</v>
      </c>
      <c r="L540" s="45" t="str">
        <f t="shared" si="96"/>
        <v xml:space="preserve">Case 805 is a Imported case, 32 years old male Singapore Citizen  and has been to Pending . He is currently admitted at NCID . </v>
      </c>
      <c r="M540" s="45">
        <f t="shared" si="97"/>
        <v>805</v>
      </c>
      <c r="N540" s="45" t="str">
        <f t="shared" si="98"/>
        <v xml:space="preserve">Pending </v>
      </c>
      <c r="O540" s="45" t="str">
        <f t="shared" si="99"/>
        <v/>
      </c>
      <c r="P540" s="45" t="str">
        <f t="shared" si="100"/>
        <v/>
      </c>
    </row>
    <row r="541" spans="1:16" x14ac:dyDescent="0.3">
      <c r="A541" s="45">
        <v>806</v>
      </c>
      <c r="B541" s="46">
        <v>43918</v>
      </c>
      <c r="C541" s="45" t="s">
        <v>1071</v>
      </c>
      <c r="D541" s="45">
        <v>25</v>
      </c>
      <c r="E541" s="45" t="s">
        <v>1059</v>
      </c>
      <c r="F541" s="45" t="s">
        <v>1060</v>
      </c>
      <c r="G541" s="45" t="s">
        <v>1177</v>
      </c>
      <c r="H541" s="45" t="s">
        <v>77</v>
      </c>
      <c r="I541" s="45"/>
      <c r="J541" s="45" t="str">
        <f t="shared" si="94"/>
        <v>Male</v>
      </c>
      <c r="K541" s="45" t="str">
        <f t="shared" si="95"/>
        <v>Singaporean</v>
      </c>
      <c r="L541" s="45" t="str">
        <f t="shared" si="96"/>
        <v xml:space="preserve">Case 806 is a Imported case, 25 years old male Singapore Citizen  and has been to Pending . He is currently admitted at NCID . </v>
      </c>
      <c r="M541" s="45">
        <f t="shared" si="97"/>
        <v>806</v>
      </c>
      <c r="N541" s="45" t="str">
        <f t="shared" si="98"/>
        <v xml:space="preserve">Pending </v>
      </c>
      <c r="O541" s="45" t="str">
        <f t="shared" si="99"/>
        <v/>
      </c>
      <c r="P541" s="45" t="str">
        <f t="shared" si="100"/>
        <v/>
      </c>
    </row>
    <row r="542" spans="1:16" x14ac:dyDescent="0.3">
      <c r="A542" s="45">
        <v>807</v>
      </c>
      <c r="B542" s="46">
        <v>43918</v>
      </c>
      <c r="C542" s="45" t="s">
        <v>1064</v>
      </c>
      <c r="D542" s="45">
        <v>21</v>
      </c>
      <c r="E542" s="45" t="s">
        <v>1059</v>
      </c>
      <c r="F542" s="45" t="s">
        <v>1060</v>
      </c>
      <c r="G542" s="45"/>
      <c r="H542" s="45" t="s">
        <v>1061</v>
      </c>
      <c r="I542" s="45"/>
      <c r="J542" s="45" t="str">
        <f t="shared" si="94"/>
        <v>Male</v>
      </c>
      <c r="K542" s="45" t="str">
        <f t="shared" si="95"/>
        <v>Singaporean</v>
      </c>
      <c r="L542" s="45" t="str">
        <f t="shared" si="96"/>
        <v xml:space="preserve">Case 807 is a Local unlinked case, 21 years old male Singapore Citizen  and has not been overseas. He is currently admitted at CGH . </v>
      </c>
      <c r="M542" s="45" t="str">
        <f t="shared" si="97"/>
        <v/>
      </c>
      <c r="N542" s="45" t="str">
        <f t="shared" si="98"/>
        <v/>
      </c>
      <c r="O542" s="45" t="str">
        <f t="shared" si="99"/>
        <v/>
      </c>
      <c r="P542" s="45" t="str">
        <f t="shared" si="100"/>
        <v/>
      </c>
    </row>
    <row r="543" spans="1:16" x14ac:dyDescent="0.3">
      <c r="A543" s="45">
        <v>808</v>
      </c>
      <c r="B543" s="46">
        <v>43918</v>
      </c>
      <c r="C543" s="45" t="s">
        <v>1062</v>
      </c>
      <c r="D543" s="45">
        <v>44</v>
      </c>
      <c r="E543" s="45" t="s">
        <v>1059</v>
      </c>
      <c r="F543" s="45" t="s">
        <v>1072</v>
      </c>
      <c r="G543" s="45"/>
      <c r="H543" s="45" t="s">
        <v>1061</v>
      </c>
      <c r="I543" s="45"/>
      <c r="J543" s="45" t="str">
        <f t="shared" si="94"/>
        <v>Male</v>
      </c>
      <c r="K543" s="45" t="str">
        <f t="shared" si="95"/>
        <v>Singaporean</v>
      </c>
      <c r="L543" s="45" t="str">
        <f t="shared" si="96"/>
        <v xml:space="preserve">Case 808 is a Local unlinked case, 44 years old male Singapore Permanent Resident  and has not been overseas. He is currently admitted at NTFGH . </v>
      </c>
      <c r="M543" s="45" t="str">
        <f t="shared" si="97"/>
        <v/>
      </c>
      <c r="N543" s="45" t="str">
        <f t="shared" si="98"/>
        <v/>
      </c>
      <c r="O543" s="45" t="str">
        <f t="shared" si="99"/>
        <v/>
      </c>
      <c r="P543" s="45" t="str">
        <f t="shared" si="100"/>
        <v/>
      </c>
    </row>
    <row r="544" spans="1:16" x14ac:dyDescent="0.3">
      <c r="A544" s="45">
        <v>809</v>
      </c>
      <c r="B544" s="46">
        <v>43918</v>
      </c>
      <c r="C544" s="45" t="s">
        <v>1066</v>
      </c>
      <c r="D544" s="45">
        <v>37</v>
      </c>
      <c r="E544" s="45" t="s">
        <v>1059</v>
      </c>
      <c r="F544" s="45" t="s">
        <v>1060</v>
      </c>
      <c r="G544" s="45" t="s">
        <v>360</v>
      </c>
      <c r="H544" s="45" t="s">
        <v>1086</v>
      </c>
      <c r="I544" s="45" t="s">
        <v>1330</v>
      </c>
      <c r="J544" s="45" t="str">
        <f t="shared" si="94"/>
        <v>Male</v>
      </c>
      <c r="K544" s="45" t="str">
        <f t="shared" si="95"/>
        <v>Singaporean</v>
      </c>
      <c r="L544" s="45" t="str">
        <f t="shared" si="96"/>
        <v>Case 809 is a Local linked  case, 37 years old male Singapore Citizen  and has been to Malaysia . He is currently admitted at SKH . Family member of Case 742</v>
      </c>
      <c r="M544" s="45">
        <f t="shared" si="97"/>
        <v>809</v>
      </c>
      <c r="N544" s="45" t="str">
        <f t="shared" si="98"/>
        <v xml:space="preserve">Malaysia </v>
      </c>
      <c r="O544" s="45">
        <f t="shared" si="99"/>
        <v>809</v>
      </c>
      <c r="P544" s="45" t="str">
        <f t="shared" si="100"/>
        <v>Family member of Case 742</v>
      </c>
    </row>
    <row r="545" spans="1:16" x14ac:dyDescent="0.3">
      <c r="A545" s="45">
        <v>810</v>
      </c>
      <c r="B545" s="46">
        <v>43918</v>
      </c>
      <c r="C545" s="45" t="s">
        <v>1064</v>
      </c>
      <c r="D545" s="45">
        <v>22</v>
      </c>
      <c r="E545" s="45" t="s">
        <v>1073</v>
      </c>
      <c r="F545" s="45" t="s">
        <v>1060</v>
      </c>
      <c r="G545" s="45"/>
      <c r="H545" s="45" t="s">
        <v>1086</v>
      </c>
      <c r="I545" s="45" t="s">
        <v>1331</v>
      </c>
      <c r="J545" s="45" t="str">
        <f t="shared" si="94"/>
        <v>Female</v>
      </c>
      <c r="K545" s="45" t="str">
        <f t="shared" si="95"/>
        <v>Singaporean</v>
      </c>
      <c r="L545" s="45" t="str">
        <f t="shared" si="96"/>
        <v>Case 810 is a Local linked  case, 22 years old female Singapore Citizen  and has not been overseas. She is currently admitted at CGH . Contact of Cases 745 and 802 The Wedding Brocade</v>
      </c>
      <c r="M545" s="45" t="str">
        <f t="shared" si="97"/>
        <v/>
      </c>
      <c r="N545" s="45" t="str">
        <f t="shared" si="98"/>
        <v/>
      </c>
      <c r="O545" s="45">
        <f t="shared" si="99"/>
        <v>810</v>
      </c>
      <c r="P545" s="45" t="str">
        <f t="shared" si="100"/>
        <v>Contact of Cases 745 and 802 The Wedding Brocade</v>
      </c>
    </row>
    <row r="546" spans="1:16" x14ac:dyDescent="0.3">
      <c r="A546" s="45">
        <v>811</v>
      </c>
      <c r="B546" s="46">
        <v>43918</v>
      </c>
      <c r="C546" s="45" t="s">
        <v>343</v>
      </c>
      <c r="D546" s="45">
        <v>12</v>
      </c>
      <c r="E546" s="45" t="s">
        <v>1073</v>
      </c>
      <c r="F546" s="45" t="s">
        <v>1174</v>
      </c>
      <c r="G546" s="45"/>
      <c r="H546" s="45" t="s">
        <v>1086</v>
      </c>
      <c r="I546" s="45" t="s">
        <v>1332</v>
      </c>
      <c r="J546" s="45" t="str">
        <f t="shared" si="94"/>
        <v>Female</v>
      </c>
      <c r="K546" s="45" t="str">
        <f t="shared" si="95"/>
        <v>Australia</v>
      </c>
      <c r="L546" s="45" t="str">
        <f t="shared" si="96"/>
        <v>Case 811 is a Local linked  case, 12 years old female Australia (Long Term Pass holder)  and has not been overseas. She is currently admitted at NUH . Family member of Case 506</v>
      </c>
      <c r="M546" s="45" t="str">
        <f t="shared" si="97"/>
        <v/>
      </c>
      <c r="N546" s="45" t="str">
        <f t="shared" si="98"/>
        <v/>
      </c>
      <c r="O546" s="45">
        <f t="shared" si="99"/>
        <v>811</v>
      </c>
      <c r="P546" s="45" t="str">
        <f t="shared" si="100"/>
        <v>Family member of Case 506</v>
      </c>
    </row>
    <row r="547" spans="1:16" x14ac:dyDescent="0.3">
      <c r="A547" s="45">
        <v>812</v>
      </c>
      <c r="B547" s="46">
        <v>43918</v>
      </c>
      <c r="C547" s="45" t="s">
        <v>1071</v>
      </c>
      <c r="D547" s="45">
        <v>25</v>
      </c>
      <c r="E547" s="45" t="s">
        <v>1073</v>
      </c>
      <c r="F547" s="45" t="s">
        <v>1060</v>
      </c>
      <c r="G547" s="45"/>
      <c r="H547" s="45" t="s">
        <v>1333</v>
      </c>
      <c r="I547" s="45"/>
      <c r="J547" s="45" t="str">
        <f t="shared" si="94"/>
        <v>Female</v>
      </c>
      <c r="K547" s="45" t="str">
        <f t="shared" si="95"/>
        <v>Singaporean</v>
      </c>
      <c r="L547" s="45" t="str">
        <f t="shared" si="96"/>
        <v xml:space="preserve">Case 812 is a Local unlinked  case, 25 years old female Singapore Citizen  and has not been overseas. She is currently admitted at NCID . </v>
      </c>
      <c r="M547" s="45" t="str">
        <f t="shared" si="97"/>
        <v/>
      </c>
      <c r="N547" s="45" t="str">
        <f t="shared" si="98"/>
        <v/>
      </c>
      <c r="O547" s="45" t="str">
        <f t="shared" si="99"/>
        <v/>
      </c>
      <c r="P547" s="45" t="str">
        <f t="shared" si="100"/>
        <v/>
      </c>
    </row>
    <row r="548" spans="1:16" x14ac:dyDescent="0.3">
      <c r="A548" s="45">
        <v>813</v>
      </c>
      <c r="B548" s="46">
        <v>43918</v>
      </c>
      <c r="C548" s="45" t="s">
        <v>1138</v>
      </c>
      <c r="D548" s="45">
        <v>29</v>
      </c>
      <c r="E548" s="45" t="s">
        <v>1073</v>
      </c>
      <c r="F548" s="45" t="s">
        <v>1186</v>
      </c>
      <c r="G548" s="45"/>
      <c r="H548" s="45" t="s">
        <v>1061</v>
      </c>
      <c r="I548" s="45"/>
      <c r="J548" s="45" t="str">
        <f t="shared" si="94"/>
        <v>Female</v>
      </c>
      <c r="K548" s="45" t="str">
        <f t="shared" si="95"/>
        <v>UK</v>
      </c>
      <c r="L548" s="45" t="str">
        <f t="shared" si="96"/>
        <v xml:space="preserve">Case 813 is a Local unlinked case, 29 years old female UK (Singapore Work Pass holder)  and has not been overseas. She is currently admitted at SGH . </v>
      </c>
      <c r="M548" s="45" t="str">
        <f t="shared" si="97"/>
        <v/>
      </c>
      <c r="N548" s="45" t="str">
        <f t="shared" si="98"/>
        <v/>
      </c>
      <c r="O548" s="45" t="str">
        <f t="shared" si="99"/>
        <v/>
      </c>
      <c r="P548" s="45" t="str">
        <f t="shared" si="100"/>
        <v/>
      </c>
    </row>
    <row r="549" spans="1:16" x14ac:dyDescent="0.3">
      <c r="A549" s="45">
        <v>814</v>
      </c>
      <c r="B549" s="46">
        <v>43918</v>
      </c>
      <c r="C549" s="45" t="s">
        <v>1058</v>
      </c>
      <c r="D549" s="45">
        <v>61</v>
      </c>
      <c r="E549" s="45" t="s">
        <v>1059</v>
      </c>
      <c r="F549" s="45" t="s">
        <v>1060</v>
      </c>
      <c r="G549" s="45" t="s">
        <v>360</v>
      </c>
      <c r="H549" s="45" t="s">
        <v>77</v>
      </c>
      <c r="I549" s="45"/>
      <c r="J549" s="45" t="str">
        <f t="shared" si="94"/>
        <v>Male</v>
      </c>
      <c r="K549" s="45" t="str">
        <f t="shared" si="95"/>
        <v>Singaporean</v>
      </c>
      <c r="L549" s="45" t="str">
        <f t="shared" si="96"/>
        <v xml:space="preserve">Case 814 is a Imported case, 61 years old male Singapore Citizen  and has been to Malaysia . He is currently admitted at KTPH . </v>
      </c>
      <c r="M549" s="45">
        <f t="shared" si="97"/>
        <v>814</v>
      </c>
      <c r="N549" s="45" t="str">
        <f t="shared" si="98"/>
        <v xml:space="preserve">Malaysia </v>
      </c>
      <c r="O549" s="45" t="str">
        <f t="shared" si="99"/>
        <v/>
      </c>
      <c r="P549" s="45" t="str">
        <f t="shared" si="100"/>
        <v/>
      </c>
    </row>
    <row r="550" spans="1:16" x14ac:dyDescent="0.3">
      <c r="A550" s="45">
        <v>815</v>
      </c>
      <c r="B550" s="46">
        <v>43918</v>
      </c>
      <c r="C550" s="45" t="s">
        <v>1071</v>
      </c>
      <c r="D550" s="45">
        <v>21</v>
      </c>
      <c r="E550" s="45" t="s">
        <v>1073</v>
      </c>
      <c r="F550" s="45" t="s">
        <v>1060</v>
      </c>
      <c r="G550" s="45" t="s">
        <v>1085</v>
      </c>
      <c r="H550" s="45" t="s">
        <v>77</v>
      </c>
      <c r="I550" s="45"/>
      <c r="J550" s="45" t="str">
        <f t="shared" si="94"/>
        <v>Female</v>
      </c>
      <c r="K550" s="45" t="str">
        <f t="shared" si="95"/>
        <v>Singaporean</v>
      </c>
      <c r="L550" s="45" t="str">
        <f t="shared" si="96"/>
        <v xml:space="preserve">Case 815 is a Imported case, 21 years old female Singapore Citizen  and has been to US . She is currently admitted at NCID . </v>
      </c>
      <c r="M550" s="45">
        <f t="shared" si="97"/>
        <v>815</v>
      </c>
      <c r="N550" s="45" t="str">
        <f t="shared" si="98"/>
        <v xml:space="preserve">US </v>
      </c>
      <c r="O550" s="45" t="str">
        <f t="shared" si="99"/>
        <v/>
      </c>
      <c r="P550" s="45" t="str">
        <f t="shared" si="100"/>
        <v/>
      </c>
    </row>
    <row r="551" spans="1:16" x14ac:dyDescent="0.3">
      <c r="A551" s="45">
        <v>816</v>
      </c>
      <c r="B551" s="46">
        <v>43918</v>
      </c>
      <c r="C551" s="45" t="s">
        <v>1071</v>
      </c>
      <c r="D551" s="45">
        <v>36</v>
      </c>
      <c r="E551" s="45" t="s">
        <v>1073</v>
      </c>
      <c r="F551" s="45" t="s">
        <v>1060</v>
      </c>
      <c r="G551" s="45" t="s">
        <v>360</v>
      </c>
      <c r="H551" s="45" t="s">
        <v>1086</v>
      </c>
      <c r="I551" s="45" t="s">
        <v>1334</v>
      </c>
      <c r="J551" s="45" t="str">
        <f t="shared" si="94"/>
        <v>Female</v>
      </c>
      <c r="K551" s="45" t="str">
        <f t="shared" si="95"/>
        <v>Singaporean</v>
      </c>
      <c r="L551" s="45" t="str">
        <f t="shared" si="96"/>
        <v>Case 816 is a Local linked  case, 36 years old female Singapore Citizen  and has been to Malaysia . She is currently admitted at NCID . Family member of Case 787</v>
      </c>
      <c r="M551" s="45">
        <f t="shared" si="97"/>
        <v>816</v>
      </c>
      <c r="N551" s="45" t="str">
        <f t="shared" si="98"/>
        <v xml:space="preserve">Malaysia </v>
      </c>
      <c r="O551" s="45">
        <f t="shared" si="99"/>
        <v>816</v>
      </c>
      <c r="P551" s="45" t="str">
        <f t="shared" si="100"/>
        <v>Family member of Case 787</v>
      </c>
    </row>
    <row r="552" spans="1:16" x14ac:dyDescent="0.3">
      <c r="A552" s="45">
        <v>817</v>
      </c>
      <c r="B552" s="46">
        <v>43918</v>
      </c>
      <c r="C552" s="45" t="s">
        <v>1062</v>
      </c>
      <c r="D552" s="45">
        <v>43</v>
      </c>
      <c r="E552" s="45" t="s">
        <v>1059</v>
      </c>
      <c r="F552" s="45" t="s">
        <v>1072</v>
      </c>
      <c r="G552" s="45" t="s">
        <v>798</v>
      </c>
      <c r="H552" s="45" t="s">
        <v>77</v>
      </c>
      <c r="I552" s="45"/>
      <c r="J552" s="45" t="str">
        <f t="shared" si="94"/>
        <v>Male</v>
      </c>
      <c r="K552" s="45" t="str">
        <f t="shared" si="95"/>
        <v>Singaporean</v>
      </c>
      <c r="L552" s="45" t="str">
        <f t="shared" si="96"/>
        <v xml:space="preserve">Case 817 is a Imported case, 43 years old male Singapore Permanent Resident  and has been to India . He is currently admitted at NTFGH . </v>
      </c>
      <c r="M552" s="45">
        <f t="shared" si="97"/>
        <v>817</v>
      </c>
      <c r="N552" s="45" t="str">
        <f t="shared" si="98"/>
        <v xml:space="preserve">India </v>
      </c>
      <c r="O552" s="45" t="str">
        <f t="shared" si="99"/>
        <v/>
      </c>
      <c r="P552" s="45" t="str">
        <f t="shared" si="100"/>
        <v/>
      </c>
    </row>
    <row r="553" spans="1:16" x14ac:dyDescent="0.3">
      <c r="A553" s="45">
        <v>818</v>
      </c>
      <c r="B553" s="46">
        <v>43918</v>
      </c>
      <c r="C553" s="45" t="s">
        <v>1071</v>
      </c>
      <c r="D553" s="45">
        <v>22</v>
      </c>
      <c r="E553" s="45" t="s">
        <v>1073</v>
      </c>
      <c r="F553" s="45" t="s">
        <v>1335</v>
      </c>
      <c r="G553" s="45"/>
      <c r="H553" s="45" t="s">
        <v>1061</v>
      </c>
      <c r="I553" s="45"/>
      <c r="J553" s="45" t="str">
        <f t="shared" si="94"/>
        <v>Female</v>
      </c>
      <c r="K553" s="45" t="str">
        <f t="shared" si="95"/>
        <v>Japan</v>
      </c>
      <c r="L553" s="45" t="str">
        <f t="shared" si="96"/>
        <v xml:space="preserve">Case 818 is a Local unlinked case, 22 years old female Japan (Singapore Work Pass holder)  and has not been overseas. She is currently admitted at NCID . </v>
      </c>
      <c r="M553" s="45" t="str">
        <f t="shared" si="97"/>
        <v/>
      </c>
      <c r="N553" s="45" t="str">
        <f t="shared" si="98"/>
        <v/>
      </c>
      <c r="O553" s="45" t="str">
        <f t="shared" si="99"/>
        <v/>
      </c>
      <c r="P553" s="45" t="str">
        <f t="shared" si="100"/>
        <v/>
      </c>
    </row>
    <row r="554" spans="1:16" x14ac:dyDescent="0.3">
      <c r="A554" s="45">
        <v>819</v>
      </c>
      <c r="B554" s="46">
        <v>43918</v>
      </c>
      <c r="C554" s="45" t="s">
        <v>1161</v>
      </c>
      <c r="D554" s="45">
        <v>35</v>
      </c>
      <c r="E554" s="45" t="s">
        <v>1073</v>
      </c>
      <c r="F554" s="45" t="s">
        <v>1194</v>
      </c>
      <c r="G554" s="45" t="s">
        <v>798</v>
      </c>
      <c r="H554" s="45" t="s">
        <v>1069</v>
      </c>
      <c r="I554" s="45" t="s">
        <v>1336</v>
      </c>
      <c r="J554" s="45" t="str">
        <f t="shared" si="94"/>
        <v>Female</v>
      </c>
      <c r="K554" s="45" t="str">
        <f t="shared" si="95"/>
        <v>India</v>
      </c>
      <c r="L554" s="45" t="str">
        <f t="shared" si="96"/>
        <v>Case 819 is a Imported  case, 35 years old female India (Long Term Pass holder)  and has been to India . She is currently admitted at KKH . Family member of Cases 695 and 834</v>
      </c>
      <c r="M554" s="45">
        <f t="shared" si="97"/>
        <v>819</v>
      </c>
      <c r="N554" s="45" t="str">
        <f t="shared" si="98"/>
        <v xml:space="preserve">India </v>
      </c>
      <c r="O554" s="45">
        <f t="shared" si="99"/>
        <v>819</v>
      </c>
      <c r="P554" s="45" t="str">
        <f t="shared" si="100"/>
        <v>Family member of Cases 695 and 834</v>
      </c>
    </row>
    <row r="555" spans="1:16" x14ac:dyDescent="0.3">
      <c r="A555" s="45">
        <v>820</v>
      </c>
      <c r="B555" s="46">
        <v>43918</v>
      </c>
      <c r="C555" s="45" t="s">
        <v>1071</v>
      </c>
      <c r="D555" s="45">
        <v>55</v>
      </c>
      <c r="E555" s="45" t="s">
        <v>1073</v>
      </c>
      <c r="F555" s="45" t="s">
        <v>1060</v>
      </c>
      <c r="G555" s="45"/>
      <c r="H555" s="45" t="s">
        <v>1061</v>
      </c>
      <c r="I555" s="45"/>
      <c r="J555" s="45" t="str">
        <f t="shared" si="94"/>
        <v>Female</v>
      </c>
      <c r="K555" s="45" t="str">
        <f t="shared" si="95"/>
        <v>Singaporean</v>
      </c>
      <c r="L555" s="45" t="str">
        <f t="shared" si="96"/>
        <v xml:space="preserve">Case 820 is a Local unlinked case, 55 years old female Singapore Citizen  and has not been overseas. She is currently admitted at NCID . </v>
      </c>
      <c r="M555" s="45" t="str">
        <f t="shared" si="97"/>
        <v/>
      </c>
      <c r="N555" s="45" t="str">
        <f t="shared" si="98"/>
        <v/>
      </c>
      <c r="O555" s="45" t="str">
        <f t="shared" si="99"/>
        <v/>
      </c>
      <c r="P555" s="45" t="str">
        <f t="shared" si="100"/>
        <v/>
      </c>
    </row>
    <row r="556" spans="1:16" x14ac:dyDescent="0.3">
      <c r="A556" s="45">
        <v>821</v>
      </c>
      <c r="B556" s="46">
        <v>43918</v>
      </c>
      <c r="C556" s="45" t="s">
        <v>1071</v>
      </c>
      <c r="D556" s="45">
        <v>35</v>
      </c>
      <c r="E556" s="45" t="s">
        <v>1059</v>
      </c>
      <c r="F556" s="45" t="s">
        <v>1337</v>
      </c>
      <c r="G556" s="45"/>
      <c r="H556" s="45" t="s">
        <v>1061</v>
      </c>
      <c r="I556" s="45"/>
      <c r="J556" s="45" t="str">
        <f t="shared" si="94"/>
        <v>Male</v>
      </c>
      <c r="K556" s="45" t="str">
        <f t="shared" si="95"/>
        <v>Bangladeshi</v>
      </c>
      <c r="L556" s="45" t="str">
        <f t="shared" si="96"/>
        <v xml:space="preserve">Case 821 is a Local unlinked case, 35 years old male Bangladeshi (Long Term Pass holder)  and has not been overseas. He is currently admitted at NCID . </v>
      </c>
      <c r="M556" s="45" t="str">
        <f t="shared" si="97"/>
        <v/>
      </c>
      <c r="N556" s="45" t="str">
        <f t="shared" si="98"/>
        <v/>
      </c>
      <c r="O556" s="45" t="str">
        <f t="shared" si="99"/>
        <v/>
      </c>
      <c r="P556" s="45" t="str">
        <f t="shared" si="100"/>
        <v/>
      </c>
    </row>
    <row r="557" spans="1:16" x14ac:dyDescent="0.3">
      <c r="A557" s="45">
        <v>822</v>
      </c>
      <c r="B557" s="46">
        <v>43918</v>
      </c>
      <c r="C557" s="45" t="s">
        <v>1138</v>
      </c>
      <c r="D557" s="45">
        <v>22</v>
      </c>
      <c r="E557" s="45" t="s">
        <v>1059</v>
      </c>
      <c r="F557" s="45" t="s">
        <v>1060</v>
      </c>
      <c r="G557" s="45" t="s">
        <v>1085</v>
      </c>
      <c r="H557" s="45" t="s">
        <v>77</v>
      </c>
      <c r="I557" s="45"/>
      <c r="J557" s="45" t="str">
        <f t="shared" si="94"/>
        <v>Male</v>
      </c>
      <c r="K557" s="45" t="str">
        <f t="shared" si="95"/>
        <v>Singaporean</v>
      </c>
      <c r="L557" s="45" t="str">
        <f t="shared" si="96"/>
        <v xml:space="preserve">Case 822 is a Imported case, 22 years old male Singapore Citizen  and has been to US . He is currently admitted at SGH . </v>
      </c>
      <c r="M557" s="45">
        <f t="shared" si="97"/>
        <v>822</v>
      </c>
      <c r="N557" s="45" t="str">
        <f t="shared" si="98"/>
        <v xml:space="preserve">US </v>
      </c>
      <c r="O557" s="45" t="str">
        <f t="shared" si="99"/>
        <v/>
      </c>
      <c r="P557" s="45" t="str">
        <f t="shared" si="100"/>
        <v/>
      </c>
    </row>
    <row r="558" spans="1:16" x14ac:dyDescent="0.3">
      <c r="A558" s="45">
        <v>823</v>
      </c>
      <c r="B558" s="46">
        <v>43918</v>
      </c>
      <c r="C558" s="45" t="s">
        <v>1071</v>
      </c>
      <c r="D558" s="45">
        <v>43</v>
      </c>
      <c r="E558" s="45" t="s">
        <v>1059</v>
      </c>
      <c r="F558" s="45" t="s">
        <v>1060</v>
      </c>
      <c r="G558" s="45"/>
      <c r="H558" s="45" t="s">
        <v>1061</v>
      </c>
      <c r="I558" s="45"/>
      <c r="J558" s="45" t="str">
        <f t="shared" si="94"/>
        <v>Male</v>
      </c>
      <c r="K558" s="45" t="str">
        <f t="shared" si="95"/>
        <v>Singaporean</v>
      </c>
      <c r="L558" s="45" t="str">
        <f t="shared" si="96"/>
        <v xml:space="preserve">Case 823 is a Local unlinked case, 43 years old male Singapore Citizen  and has not been overseas. He is currently admitted at NCID . </v>
      </c>
      <c r="M558" s="45" t="str">
        <f t="shared" si="97"/>
        <v/>
      </c>
      <c r="N558" s="45" t="str">
        <f t="shared" si="98"/>
        <v/>
      </c>
      <c r="O558" s="45" t="str">
        <f t="shared" si="99"/>
        <v/>
      </c>
      <c r="P558" s="45" t="str">
        <f t="shared" si="100"/>
        <v/>
      </c>
    </row>
    <row r="559" spans="1:16" x14ac:dyDescent="0.3">
      <c r="A559" s="45">
        <v>824</v>
      </c>
      <c r="B559" s="46">
        <v>43918</v>
      </c>
      <c r="C559" s="45" t="s">
        <v>1071</v>
      </c>
      <c r="D559" s="45">
        <v>33</v>
      </c>
      <c r="E559" s="45" t="s">
        <v>1073</v>
      </c>
      <c r="F559" s="45" t="s">
        <v>1060</v>
      </c>
      <c r="G559" s="45"/>
      <c r="H559" s="45" t="s">
        <v>1061</v>
      </c>
      <c r="I559" s="45"/>
      <c r="J559" s="45" t="str">
        <f t="shared" si="94"/>
        <v>Female</v>
      </c>
      <c r="K559" s="45" t="str">
        <f t="shared" si="95"/>
        <v>Singaporean</v>
      </c>
      <c r="L559" s="45" t="str">
        <f t="shared" si="96"/>
        <v xml:space="preserve">Case 824 is a Local unlinked case, 33 years old female Singapore Citizen  and has not been overseas. She is currently admitted at NCID . </v>
      </c>
      <c r="M559" s="45" t="str">
        <f t="shared" si="97"/>
        <v/>
      </c>
      <c r="N559" s="45" t="str">
        <f t="shared" si="98"/>
        <v/>
      </c>
      <c r="O559" s="45" t="str">
        <f t="shared" si="99"/>
        <v/>
      </c>
      <c r="P559" s="45" t="str">
        <f t="shared" si="100"/>
        <v/>
      </c>
    </row>
    <row r="560" spans="1:16" x14ac:dyDescent="0.3">
      <c r="A560" s="45">
        <v>825</v>
      </c>
      <c r="B560" s="46">
        <v>43918</v>
      </c>
      <c r="C560" s="45" t="s">
        <v>1062</v>
      </c>
      <c r="D560" s="45">
        <v>36</v>
      </c>
      <c r="E560" s="45" t="s">
        <v>1059</v>
      </c>
      <c r="F560" s="45" t="s">
        <v>1250</v>
      </c>
      <c r="G560" s="45" t="s">
        <v>706</v>
      </c>
      <c r="H560" s="45" t="s">
        <v>1069</v>
      </c>
      <c r="I560" s="45"/>
      <c r="J560" s="45" t="str">
        <f t="shared" si="94"/>
        <v>Male</v>
      </c>
      <c r="K560" s="45" t="str">
        <f t="shared" si="95"/>
        <v>Philippines</v>
      </c>
      <c r="L560" s="45" t="str">
        <f t="shared" si="96"/>
        <v xml:space="preserve">Case 825 is a Imported  case, 36 years old male Philippines (Singapore Work Pass holder)  and has been to Philippines . He is currently admitted at NTFGH . </v>
      </c>
      <c r="M560" s="45">
        <f t="shared" si="97"/>
        <v>825</v>
      </c>
      <c r="N560" s="45" t="str">
        <f t="shared" si="98"/>
        <v xml:space="preserve">Philippines </v>
      </c>
      <c r="O560" s="45" t="str">
        <f t="shared" si="99"/>
        <v/>
      </c>
      <c r="P560" s="45" t="str">
        <f t="shared" si="100"/>
        <v/>
      </c>
    </row>
    <row r="561" spans="1:16" x14ac:dyDescent="0.3">
      <c r="A561" s="45">
        <v>826</v>
      </c>
      <c r="B561" s="46">
        <v>43918</v>
      </c>
      <c r="C561" s="45" t="s">
        <v>1066</v>
      </c>
      <c r="D561" s="45">
        <v>48</v>
      </c>
      <c r="E561" s="45" t="s">
        <v>1059</v>
      </c>
      <c r="F561" s="45" t="s">
        <v>1278</v>
      </c>
      <c r="G561" s="45"/>
      <c r="H561" s="45" t="s">
        <v>1086</v>
      </c>
      <c r="I561" s="45" t="s">
        <v>1338</v>
      </c>
      <c r="J561" s="45" t="str">
        <f t="shared" si="94"/>
        <v>Male</v>
      </c>
      <c r="K561" s="45" t="str">
        <f t="shared" si="95"/>
        <v>Bangladesh</v>
      </c>
      <c r="L561" s="45" t="str">
        <f t="shared" si="96"/>
        <v>Case 826 is a Local linked  case, 48 years old male Bangladesh (Long Term Pass holder)  and has not been overseas. He is currently admitted at SKH . Contact of Case 829</v>
      </c>
      <c r="M561" s="45" t="str">
        <f t="shared" si="97"/>
        <v/>
      </c>
      <c r="N561" s="45" t="str">
        <f t="shared" si="98"/>
        <v/>
      </c>
      <c r="O561" s="45">
        <f t="shared" si="99"/>
        <v>826</v>
      </c>
      <c r="P561" s="45" t="str">
        <f t="shared" si="100"/>
        <v>Contact of Case 829</v>
      </c>
    </row>
    <row r="562" spans="1:16" x14ac:dyDescent="0.3">
      <c r="A562" s="45">
        <v>827</v>
      </c>
      <c r="B562" s="46">
        <v>43918</v>
      </c>
      <c r="C562" s="45" t="s">
        <v>343</v>
      </c>
      <c r="D562" s="45">
        <v>27</v>
      </c>
      <c r="E562" s="45" t="s">
        <v>1073</v>
      </c>
      <c r="F562" s="45" t="s">
        <v>1060</v>
      </c>
      <c r="G562" s="45" t="s">
        <v>1085</v>
      </c>
      <c r="H562" s="45" t="s">
        <v>77</v>
      </c>
      <c r="I562" s="45"/>
      <c r="J562" s="45" t="str">
        <f t="shared" si="94"/>
        <v>Female</v>
      </c>
      <c r="K562" s="45" t="str">
        <f t="shared" si="95"/>
        <v>Singaporean</v>
      </c>
      <c r="L562" s="45" t="str">
        <f t="shared" si="96"/>
        <v xml:space="preserve">Case 827 is a Imported case, 27 years old female Singapore Citizen  and has been to US . She is currently admitted at NUH . </v>
      </c>
      <c r="M562" s="45">
        <f t="shared" si="97"/>
        <v>827</v>
      </c>
      <c r="N562" s="45" t="str">
        <f t="shared" si="98"/>
        <v xml:space="preserve">US </v>
      </c>
      <c r="O562" s="45" t="str">
        <f t="shared" si="99"/>
        <v/>
      </c>
      <c r="P562" s="45" t="str">
        <f t="shared" si="100"/>
        <v/>
      </c>
    </row>
    <row r="563" spans="1:16" x14ac:dyDescent="0.3">
      <c r="A563" s="45">
        <v>828</v>
      </c>
      <c r="B563" s="46">
        <v>43918</v>
      </c>
      <c r="C563" s="45" t="s">
        <v>343</v>
      </c>
      <c r="D563" s="45">
        <v>47</v>
      </c>
      <c r="E563" s="45" t="s">
        <v>1059</v>
      </c>
      <c r="F563" s="45" t="s">
        <v>1072</v>
      </c>
      <c r="G563" s="45" t="s">
        <v>1177</v>
      </c>
      <c r="H563" s="45" t="s">
        <v>77</v>
      </c>
      <c r="I563" s="45"/>
      <c r="J563" s="45" t="str">
        <f t="shared" si="94"/>
        <v>Male</v>
      </c>
      <c r="K563" s="45" t="str">
        <f t="shared" si="95"/>
        <v>Singaporean</v>
      </c>
      <c r="L563" s="45" t="str">
        <f t="shared" si="96"/>
        <v xml:space="preserve">Case 828 is a Imported case, 47 years old male Singapore Permanent Resident  and has been to Pending . He is currently admitted at NUH . </v>
      </c>
      <c r="M563" s="45">
        <f t="shared" si="97"/>
        <v>828</v>
      </c>
      <c r="N563" s="45" t="str">
        <f t="shared" si="98"/>
        <v xml:space="preserve">Pending </v>
      </c>
      <c r="O563" s="45" t="str">
        <f t="shared" si="99"/>
        <v/>
      </c>
      <c r="P563" s="45" t="str">
        <f t="shared" si="100"/>
        <v/>
      </c>
    </row>
    <row r="564" spans="1:16" x14ac:dyDescent="0.3">
      <c r="A564" s="45">
        <v>829</v>
      </c>
      <c r="B564" s="46">
        <v>43918</v>
      </c>
      <c r="C564" s="45" t="s">
        <v>1058</v>
      </c>
      <c r="D564" s="45">
        <v>34</v>
      </c>
      <c r="E564" s="45" t="s">
        <v>1059</v>
      </c>
      <c r="F564" s="45" t="s">
        <v>1255</v>
      </c>
      <c r="G564" s="45"/>
      <c r="H564" s="45" t="s">
        <v>1086</v>
      </c>
      <c r="I564" s="45" t="s">
        <v>1339</v>
      </c>
      <c r="J564" s="45" t="str">
        <f t="shared" si="94"/>
        <v>Male</v>
      </c>
      <c r="K564" s="45" t="str">
        <f t="shared" si="95"/>
        <v>India</v>
      </c>
      <c r="L564" s="45" t="str">
        <f t="shared" si="96"/>
        <v>Case 829 is a Local linked  case, 34 years old male India (Singapore Work Pass holder)  and has not been overseas. He is currently admitted at KTPH . Contact of Case 826</v>
      </c>
      <c r="M564" s="45" t="str">
        <f t="shared" si="97"/>
        <v/>
      </c>
      <c r="N564" s="45" t="str">
        <f t="shared" si="98"/>
        <v/>
      </c>
      <c r="O564" s="45">
        <f t="shared" si="99"/>
        <v>829</v>
      </c>
      <c r="P564" s="45" t="str">
        <f t="shared" si="100"/>
        <v>Contact of Case 826</v>
      </c>
    </row>
    <row r="565" spans="1:16" x14ac:dyDescent="0.3">
      <c r="A565" s="45">
        <v>830</v>
      </c>
      <c r="B565" s="46">
        <v>43918</v>
      </c>
      <c r="C565" s="45" t="s">
        <v>1071</v>
      </c>
      <c r="D565" s="45">
        <v>61</v>
      </c>
      <c r="E565" s="45" t="s">
        <v>1073</v>
      </c>
      <c r="F565" s="45" t="s">
        <v>1060</v>
      </c>
      <c r="G565" s="45" t="s">
        <v>1081</v>
      </c>
      <c r="H565" s="45" t="s">
        <v>1069</v>
      </c>
      <c r="I565" s="45" t="s">
        <v>1340</v>
      </c>
      <c r="J565" s="45" t="str">
        <f t="shared" si="94"/>
        <v>Female</v>
      </c>
      <c r="K565" s="45" t="str">
        <f t="shared" si="95"/>
        <v>Singaporean</v>
      </c>
      <c r="L565" s="45" t="str">
        <f t="shared" si="96"/>
        <v>Case 830 is a Imported  case, 61 years old female Singapore Citizen  and has been to Turkey . She is currently admitted at NCID . Family member of Case 760</v>
      </c>
      <c r="M565" s="45">
        <f t="shared" si="97"/>
        <v>830</v>
      </c>
      <c r="N565" s="45" t="str">
        <f t="shared" si="98"/>
        <v xml:space="preserve">Turkey </v>
      </c>
      <c r="O565" s="45">
        <f t="shared" si="99"/>
        <v>830</v>
      </c>
      <c r="P565" s="45" t="str">
        <f t="shared" si="100"/>
        <v>Family member of Case 760</v>
      </c>
    </row>
    <row r="566" spans="1:16" x14ac:dyDescent="0.3">
      <c r="A566" s="45">
        <v>831</v>
      </c>
      <c r="B566" s="46">
        <v>43919</v>
      </c>
      <c r="C566" s="45" t="s">
        <v>1071</v>
      </c>
      <c r="D566" s="45">
        <v>22</v>
      </c>
      <c r="E566" s="45" t="s">
        <v>1059</v>
      </c>
      <c r="F566" s="45" t="s">
        <v>1072</v>
      </c>
      <c r="G566" s="45" t="s">
        <v>1085</v>
      </c>
      <c r="H566" s="45" t="s">
        <v>77</v>
      </c>
      <c r="I566" s="45"/>
      <c r="J566" s="45" t="str">
        <f t="shared" si="94"/>
        <v>Male</v>
      </c>
      <c r="K566" s="45" t="str">
        <f t="shared" si="95"/>
        <v>Singaporean</v>
      </c>
      <c r="L566" s="45" t="str">
        <f t="shared" si="96"/>
        <v xml:space="preserve">Case 831 is a Imported case, 22 years old male Singapore Permanent Resident  and has been to US . He is currently admitted at NCID . </v>
      </c>
      <c r="M566" s="45">
        <f t="shared" si="97"/>
        <v>831</v>
      </c>
      <c r="N566" s="45" t="str">
        <f t="shared" si="98"/>
        <v xml:space="preserve">US </v>
      </c>
      <c r="O566" s="45" t="str">
        <f t="shared" si="99"/>
        <v/>
      </c>
      <c r="P566" s="45" t="str">
        <f t="shared" si="100"/>
        <v/>
      </c>
    </row>
    <row r="567" spans="1:16" x14ac:dyDescent="0.3">
      <c r="A567" s="45">
        <v>832</v>
      </c>
      <c r="B567" s="46">
        <v>43919</v>
      </c>
      <c r="C567" s="45" t="s">
        <v>1058</v>
      </c>
      <c r="D567" s="45">
        <v>52</v>
      </c>
      <c r="E567" s="45" t="s">
        <v>1059</v>
      </c>
      <c r="F567" s="45" t="s">
        <v>1060</v>
      </c>
      <c r="G567" s="45" t="s">
        <v>1341</v>
      </c>
      <c r="H567" s="45" t="s">
        <v>77</v>
      </c>
      <c r="I567" s="45"/>
      <c r="J567" s="45" t="str">
        <f t="shared" si="94"/>
        <v>Male</v>
      </c>
      <c r="K567" s="45" t="str">
        <f t="shared" si="95"/>
        <v>Singaporean</v>
      </c>
      <c r="L567" s="45" t="str">
        <f t="shared" si="96"/>
        <v xml:space="preserve">Case 832 is a Imported case, 52 years old male Singapore Citizen  and has been to UAE . He is currently admitted at KTPH . </v>
      </c>
      <c r="M567" s="45">
        <f t="shared" si="97"/>
        <v>832</v>
      </c>
      <c r="N567" s="45" t="str">
        <f t="shared" si="98"/>
        <v xml:space="preserve">UAE </v>
      </c>
      <c r="O567" s="45" t="str">
        <f t="shared" si="99"/>
        <v/>
      </c>
      <c r="P567" s="45" t="str">
        <f t="shared" si="100"/>
        <v/>
      </c>
    </row>
    <row r="568" spans="1:16" x14ac:dyDescent="0.3">
      <c r="A568" s="45">
        <v>833</v>
      </c>
      <c r="B568" s="46">
        <v>43919</v>
      </c>
      <c r="C568" s="45" t="s">
        <v>1071</v>
      </c>
      <c r="D568" s="45">
        <v>69</v>
      </c>
      <c r="E568" s="45" t="s">
        <v>1059</v>
      </c>
      <c r="F568" s="45" t="s">
        <v>1231</v>
      </c>
      <c r="G568" s="45" t="s">
        <v>1063</v>
      </c>
      <c r="H568" s="45" t="s">
        <v>77</v>
      </c>
      <c r="I568" s="45"/>
      <c r="J568" s="45" t="str">
        <f t="shared" si="94"/>
        <v>Male</v>
      </c>
      <c r="K568" s="45" t="str">
        <f t="shared" si="95"/>
        <v>Malaysia</v>
      </c>
      <c r="L568" s="45" t="str">
        <f t="shared" si="96"/>
        <v xml:space="preserve">Case 833 is a Imported case, 69 years old male Malaysia (Long Term Pass holder)  and has been to UK . He is currently admitted at NCID . </v>
      </c>
      <c r="M568" s="45">
        <f t="shared" si="97"/>
        <v>833</v>
      </c>
      <c r="N568" s="45" t="str">
        <f t="shared" si="98"/>
        <v xml:space="preserve">UK </v>
      </c>
      <c r="O568" s="45" t="str">
        <f t="shared" si="99"/>
        <v/>
      </c>
      <c r="P568" s="45" t="str">
        <f t="shared" si="100"/>
        <v/>
      </c>
    </row>
    <row r="569" spans="1:16" x14ac:dyDescent="0.3">
      <c r="A569" s="45">
        <v>834</v>
      </c>
      <c r="B569" s="46">
        <v>43918</v>
      </c>
      <c r="C569" s="45" t="s">
        <v>1071</v>
      </c>
      <c r="D569" s="45">
        <v>34</v>
      </c>
      <c r="E569" s="45" t="s">
        <v>1059</v>
      </c>
      <c r="F569" s="45" t="s">
        <v>1255</v>
      </c>
      <c r="G569" s="45" t="s">
        <v>798</v>
      </c>
      <c r="H569" s="45" t="s">
        <v>1069</v>
      </c>
      <c r="I569" s="45" t="s">
        <v>1342</v>
      </c>
      <c r="J569" s="45" t="str">
        <f t="shared" si="94"/>
        <v>Male</v>
      </c>
      <c r="K569" s="45" t="str">
        <f t="shared" si="95"/>
        <v>India</v>
      </c>
      <c r="L569" s="45" t="str">
        <f t="shared" si="96"/>
        <v>Case 834 is a Imported  case, 34 years old male India (Singapore Work Pass holder)  and has been to India . He is currently admitted at NCID . Family member of Cases 695 and 819</v>
      </c>
      <c r="M569" s="45">
        <f t="shared" si="97"/>
        <v>834</v>
      </c>
      <c r="N569" s="45" t="str">
        <f t="shared" si="98"/>
        <v xml:space="preserve">India </v>
      </c>
      <c r="O569" s="45">
        <f t="shared" si="99"/>
        <v>834</v>
      </c>
      <c r="P569" s="45" t="str">
        <f t="shared" si="100"/>
        <v>Family member of Cases 695 and 819</v>
      </c>
    </row>
    <row r="570" spans="1:16" x14ac:dyDescent="0.3">
      <c r="A570" s="45">
        <v>835</v>
      </c>
      <c r="B570" s="46">
        <v>43919</v>
      </c>
      <c r="C570" s="45" t="s">
        <v>1071</v>
      </c>
      <c r="D570" s="45">
        <v>68</v>
      </c>
      <c r="E570" s="45" t="s">
        <v>1073</v>
      </c>
      <c r="F570" s="45" t="s">
        <v>1060</v>
      </c>
      <c r="G570" s="45" t="s">
        <v>1081</v>
      </c>
      <c r="H570" s="45" t="s">
        <v>77</v>
      </c>
      <c r="I570" s="45"/>
      <c r="J570" s="45" t="str">
        <f t="shared" si="94"/>
        <v>Female</v>
      </c>
      <c r="K570" s="45" t="str">
        <f t="shared" si="95"/>
        <v>Singaporean</v>
      </c>
      <c r="L570" s="45" t="str">
        <f t="shared" si="96"/>
        <v xml:space="preserve">Case 835 is a Imported case, 68 years old female Singapore Citizen  and has been to Turkey . She is currently admitted at NCID . </v>
      </c>
      <c r="M570" s="45">
        <f t="shared" si="97"/>
        <v>835</v>
      </c>
      <c r="N570" s="45" t="str">
        <f t="shared" si="98"/>
        <v xml:space="preserve">Turkey </v>
      </c>
      <c r="O570" s="45" t="str">
        <f t="shared" si="99"/>
        <v/>
      </c>
      <c r="P570" s="45" t="str">
        <f t="shared" si="100"/>
        <v/>
      </c>
    </row>
    <row r="571" spans="1:16" x14ac:dyDescent="0.3">
      <c r="A571" s="45">
        <v>836</v>
      </c>
      <c r="B571" s="46">
        <v>43919</v>
      </c>
      <c r="C571" s="45" t="s">
        <v>1071</v>
      </c>
      <c r="D571" s="45">
        <v>43</v>
      </c>
      <c r="E571" s="45" t="s">
        <v>1059</v>
      </c>
      <c r="F571" s="45" t="s">
        <v>1060</v>
      </c>
      <c r="G571" s="45"/>
      <c r="H571" s="45" t="s">
        <v>1086</v>
      </c>
      <c r="I571" s="45" t="s">
        <v>1343</v>
      </c>
      <c r="J571" s="45" t="str">
        <f t="shared" si="94"/>
        <v>Male</v>
      </c>
      <c r="K571" s="45" t="str">
        <f t="shared" si="95"/>
        <v>Singaporean</v>
      </c>
      <c r="L571" s="45" t="str">
        <f t="shared" si="96"/>
        <v>Case 836 is a Local linked  case, 43 years old male Singapore Citizen  and has not been overseas. He is currently admitted at NCID . Contact of Case 747</v>
      </c>
      <c r="M571" s="45" t="str">
        <f t="shared" si="97"/>
        <v/>
      </c>
      <c r="N571" s="45" t="str">
        <f t="shared" si="98"/>
        <v/>
      </c>
      <c r="O571" s="45">
        <f t="shared" si="99"/>
        <v>836</v>
      </c>
      <c r="P571" s="45" t="str">
        <f t="shared" si="100"/>
        <v>Contact of Case 747</v>
      </c>
    </row>
    <row r="572" spans="1:16" x14ac:dyDescent="0.3">
      <c r="A572" s="45">
        <v>837</v>
      </c>
      <c r="B572" s="46">
        <v>43919</v>
      </c>
      <c r="C572" s="45" t="s">
        <v>1071</v>
      </c>
      <c r="D572" s="45">
        <v>68</v>
      </c>
      <c r="E572" s="45" t="s">
        <v>1073</v>
      </c>
      <c r="F572" s="45" t="s">
        <v>1060</v>
      </c>
      <c r="G572" s="45" t="s">
        <v>1081</v>
      </c>
      <c r="H572" s="45" t="s">
        <v>77</v>
      </c>
      <c r="I572" s="45"/>
      <c r="J572" s="45" t="str">
        <f t="shared" si="94"/>
        <v>Female</v>
      </c>
      <c r="K572" s="45" t="str">
        <f t="shared" si="95"/>
        <v>Singaporean</v>
      </c>
      <c r="L572" s="45" t="str">
        <f t="shared" si="96"/>
        <v xml:space="preserve">Case 837 is a Imported case, 68 years old female Singapore Citizen  and has been to Turkey . She is currently admitted at NCID . </v>
      </c>
      <c r="M572" s="45">
        <f t="shared" si="97"/>
        <v>837</v>
      </c>
      <c r="N572" s="45" t="str">
        <f t="shared" si="98"/>
        <v xml:space="preserve">Turkey </v>
      </c>
      <c r="O572" s="45" t="str">
        <f t="shared" si="99"/>
        <v/>
      </c>
      <c r="P572" s="45" t="str">
        <f t="shared" si="100"/>
        <v/>
      </c>
    </row>
    <row r="573" spans="1:16" x14ac:dyDescent="0.3">
      <c r="A573" s="45">
        <v>838</v>
      </c>
      <c r="B573" s="46">
        <v>43919</v>
      </c>
      <c r="C573" s="45" t="s">
        <v>1071</v>
      </c>
      <c r="D573" s="45">
        <v>42</v>
      </c>
      <c r="E573" s="45" t="s">
        <v>1073</v>
      </c>
      <c r="F573" s="45" t="s">
        <v>1072</v>
      </c>
      <c r="G573" s="45" t="s">
        <v>1063</v>
      </c>
      <c r="H573" s="45" t="s">
        <v>1069</v>
      </c>
      <c r="I573" s="45"/>
      <c r="J573" s="45" t="str">
        <f t="shared" si="94"/>
        <v>Female</v>
      </c>
      <c r="K573" s="45" t="str">
        <f t="shared" si="95"/>
        <v>Singaporean</v>
      </c>
      <c r="L573" s="45" t="str">
        <f t="shared" si="96"/>
        <v xml:space="preserve">Case 838 is a Imported  case, 42 years old female Singapore Permanent Resident  and has been to UK . She is currently admitted at NCID . </v>
      </c>
      <c r="M573" s="45">
        <f t="shared" si="97"/>
        <v>838</v>
      </c>
      <c r="N573" s="45" t="str">
        <f t="shared" si="98"/>
        <v xml:space="preserve">UK </v>
      </c>
      <c r="O573" s="45" t="str">
        <f t="shared" si="99"/>
        <v/>
      </c>
      <c r="P573" s="45" t="str">
        <f t="shared" si="100"/>
        <v/>
      </c>
    </row>
    <row r="574" spans="1:16" x14ac:dyDescent="0.3">
      <c r="A574" s="45">
        <v>839</v>
      </c>
      <c r="B574" s="46">
        <v>43919</v>
      </c>
      <c r="C574" s="45" t="s">
        <v>1071</v>
      </c>
      <c r="D574" s="45">
        <v>57</v>
      </c>
      <c r="E574" s="45" t="s">
        <v>1073</v>
      </c>
      <c r="F574" s="45" t="s">
        <v>1060</v>
      </c>
      <c r="G574" s="45"/>
      <c r="H574" s="45" t="s">
        <v>1086</v>
      </c>
      <c r="I574" s="45" t="s">
        <v>1344</v>
      </c>
      <c r="J574" s="45" t="str">
        <f t="shared" si="94"/>
        <v>Female</v>
      </c>
      <c r="K574" s="45" t="str">
        <f t="shared" si="95"/>
        <v>Singaporean</v>
      </c>
      <c r="L574" s="45" t="str">
        <f t="shared" si="96"/>
        <v>Case 839 is a Local linked  case, 57 years old female Singapore Citizen  and has not been overseas. She is currently admitted at NCID . Family member of Case 533</v>
      </c>
      <c r="M574" s="45" t="str">
        <f t="shared" si="97"/>
        <v/>
      </c>
      <c r="N574" s="45" t="str">
        <f t="shared" si="98"/>
        <v/>
      </c>
      <c r="O574" s="45">
        <f t="shared" si="99"/>
        <v>839</v>
      </c>
      <c r="P574" s="45" t="str">
        <f t="shared" si="100"/>
        <v>Family member of Case 533</v>
      </c>
    </row>
    <row r="575" spans="1:16" x14ac:dyDescent="0.3">
      <c r="A575" s="45">
        <v>840</v>
      </c>
      <c r="B575" s="46">
        <v>43919</v>
      </c>
      <c r="C575" s="45" t="s">
        <v>1071</v>
      </c>
      <c r="D575" s="45">
        <v>52</v>
      </c>
      <c r="E575" s="45" t="s">
        <v>1073</v>
      </c>
      <c r="F575" s="45" t="s">
        <v>1072</v>
      </c>
      <c r="G575" s="45" t="s">
        <v>706</v>
      </c>
      <c r="H575" s="45" t="s">
        <v>77</v>
      </c>
      <c r="I575" s="45"/>
      <c r="J575" s="45" t="str">
        <f t="shared" si="94"/>
        <v>Female</v>
      </c>
      <c r="K575" s="45" t="str">
        <f t="shared" si="95"/>
        <v>Singaporean</v>
      </c>
      <c r="L575" s="45" t="str">
        <f t="shared" si="96"/>
        <v xml:space="preserve">Case 840 is a Imported case, 52 years old female Singapore Permanent Resident  and has been to Philippines . She is currently admitted at NCID . </v>
      </c>
      <c r="M575" s="45">
        <f t="shared" si="97"/>
        <v>840</v>
      </c>
      <c r="N575" s="45" t="str">
        <f t="shared" si="98"/>
        <v xml:space="preserve">Philippines </v>
      </c>
      <c r="O575" s="45" t="str">
        <f t="shared" si="99"/>
        <v/>
      </c>
      <c r="P575" s="45" t="str">
        <f t="shared" si="100"/>
        <v/>
      </c>
    </row>
    <row r="576" spans="1:16" x14ac:dyDescent="0.3">
      <c r="A576" s="45">
        <v>841</v>
      </c>
      <c r="B576" s="46">
        <v>43919</v>
      </c>
      <c r="C576" s="45" t="s">
        <v>1071</v>
      </c>
      <c r="D576" s="45">
        <v>21</v>
      </c>
      <c r="E576" s="45" t="s">
        <v>1073</v>
      </c>
      <c r="F576" s="45" t="s">
        <v>1060</v>
      </c>
      <c r="G576" s="45" t="s">
        <v>1085</v>
      </c>
      <c r="H576" s="45" t="s">
        <v>77</v>
      </c>
      <c r="I576" s="45"/>
      <c r="J576" s="45" t="str">
        <f t="shared" si="94"/>
        <v>Female</v>
      </c>
      <c r="K576" s="45" t="str">
        <f t="shared" si="95"/>
        <v>Singaporean</v>
      </c>
      <c r="L576" s="45" t="str">
        <f t="shared" si="96"/>
        <v xml:space="preserve">Case 841 is a Imported case, 21 years old female Singapore Citizen  and has been to US . She is currently admitted at NCID . </v>
      </c>
      <c r="M576" s="45">
        <f t="shared" si="97"/>
        <v>841</v>
      </c>
      <c r="N576" s="45" t="str">
        <f t="shared" si="98"/>
        <v xml:space="preserve">US </v>
      </c>
      <c r="O576" s="45" t="str">
        <f t="shared" si="99"/>
        <v/>
      </c>
      <c r="P576" s="45" t="str">
        <f t="shared" si="100"/>
        <v/>
      </c>
    </row>
    <row r="577" spans="1:16" x14ac:dyDescent="0.3">
      <c r="A577" s="45">
        <v>842</v>
      </c>
      <c r="B577" s="46">
        <v>43919</v>
      </c>
      <c r="C577" s="45" t="s">
        <v>1071</v>
      </c>
      <c r="D577" s="45">
        <v>30</v>
      </c>
      <c r="E577" s="45" t="s">
        <v>1059</v>
      </c>
      <c r="F577" s="45" t="s">
        <v>1060</v>
      </c>
      <c r="G577" s="45" t="s">
        <v>1177</v>
      </c>
      <c r="H577" s="45" t="s">
        <v>77</v>
      </c>
      <c r="I577" s="45"/>
      <c r="J577" s="45" t="str">
        <f t="shared" si="94"/>
        <v>Male</v>
      </c>
      <c r="K577" s="45" t="str">
        <f t="shared" si="95"/>
        <v>Singaporean</v>
      </c>
      <c r="L577" s="45" t="str">
        <f t="shared" si="96"/>
        <v xml:space="preserve">Case 842 is a Imported case, 30 years old male Singapore Citizen  and has been to Pending . He is currently admitted at NCID . </v>
      </c>
      <c r="M577" s="45">
        <f t="shared" si="97"/>
        <v>842</v>
      </c>
      <c r="N577" s="45" t="str">
        <f t="shared" si="98"/>
        <v xml:space="preserve">Pending </v>
      </c>
      <c r="O577" s="45" t="str">
        <f t="shared" si="99"/>
        <v/>
      </c>
      <c r="P577" s="45" t="str">
        <f t="shared" si="100"/>
        <v/>
      </c>
    </row>
    <row r="578" spans="1:16" x14ac:dyDescent="0.3">
      <c r="A578" s="45">
        <v>843</v>
      </c>
      <c r="B578" s="46">
        <v>43919</v>
      </c>
      <c r="C578" s="45" t="s">
        <v>1071</v>
      </c>
      <c r="D578" s="45">
        <v>68</v>
      </c>
      <c r="E578" s="45" t="s">
        <v>1073</v>
      </c>
      <c r="F578" s="45" t="s">
        <v>360</v>
      </c>
      <c r="G578" s="45" t="s">
        <v>1063</v>
      </c>
      <c r="H578" s="45" t="s">
        <v>77</v>
      </c>
      <c r="I578" s="45"/>
      <c r="J578" s="45" t="str">
        <f t="shared" si="94"/>
        <v>Female</v>
      </c>
      <c r="K578" s="45" t="str">
        <f t="shared" si="95"/>
        <v xml:space="preserve">Malaysia </v>
      </c>
      <c r="L578" s="45" t="str">
        <f t="shared" si="96"/>
        <v xml:space="preserve">Case 843 is a Imported case, 68 years old female Malaysia  and has been to UK . She is currently admitted at NCID . </v>
      </c>
      <c r="M578" s="45">
        <f t="shared" si="97"/>
        <v>843</v>
      </c>
      <c r="N578" s="45" t="str">
        <f t="shared" si="98"/>
        <v xml:space="preserve">UK </v>
      </c>
      <c r="O578" s="45" t="str">
        <f t="shared" si="99"/>
        <v/>
      </c>
      <c r="P578" s="45" t="str">
        <f t="shared" si="100"/>
        <v/>
      </c>
    </row>
    <row r="579" spans="1:16" x14ac:dyDescent="0.3">
      <c r="A579" s="45">
        <v>844</v>
      </c>
      <c r="B579" s="46">
        <v>43919</v>
      </c>
      <c r="C579" s="45" t="s">
        <v>1064</v>
      </c>
      <c r="D579" s="45">
        <v>47</v>
      </c>
      <c r="E579" s="45" t="s">
        <v>1073</v>
      </c>
      <c r="F579" s="45" t="s">
        <v>1060</v>
      </c>
      <c r="G579" s="45"/>
      <c r="H579" s="45" t="s">
        <v>1333</v>
      </c>
      <c r="I579" s="45"/>
      <c r="J579" s="45" t="str">
        <f t="shared" si="94"/>
        <v>Female</v>
      </c>
      <c r="K579" s="45" t="str">
        <f t="shared" si="95"/>
        <v>Singaporean</v>
      </c>
      <c r="L579" s="45" t="str">
        <f t="shared" si="96"/>
        <v xml:space="preserve">Case 844 is a Local unlinked  case, 47 years old female Singapore Citizen  and has not been overseas. She is currently admitted at CGH . </v>
      </c>
      <c r="M579" s="45" t="str">
        <f t="shared" si="97"/>
        <v/>
      </c>
      <c r="N579" s="45" t="str">
        <f t="shared" si="98"/>
        <v/>
      </c>
      <c r="O579" s="45" t="str">
        <f t="shared" si="99"/>
        <v/>
      </c>
      <c r="P579" s="45" t="str">
        <f t="shared" si="100"/>
        <v/>
      </c>
    </row>
    <row r="580" spans="1:16" x14ac:dyDescent="0.3">
      <c r="A580" s="50">
        <v>845</v>
      </c>
      <c r="B580" s="51">
        <v>43919</v>
      </c>
      <c r="C580" s="50" t="s">
        <v>136</v>
      </c>
      <c r="D580" s="50">
        <v>38</v>
      </c>
      <c r="E580" s="50" t="s">
        <v>1073</v>
      </c>
      <c r="F580" s="50" t="s">
        <v>1060</v>
      </c>
      <c r="G580" s="50" t="s">
        <v>360</v>
      </c>
      <c r="H580" s="50" t="s">
        <v>1086</v>
      </c>
      <c r="I580" s="50" t="s">
        <v>1352</v>
      </c>
      <c r="J580" s="50" t="str">
        <f t="shared" ref="J580:J614" si="101">IF(TRIM(E580)="M","Male",IF(TRIM(E580)="F","Female",""))</f>
        <v>Female</v>
      </c>
      <c r="K580" s="50" t="str">
        <f t="shared" ref="K580:K614" si="102">IF(LEFT(F580,9)="Singapore","Singaporean",IF(ISERR(FIND("(",F580)),F580,LEFT(F580,FIND("(",F580)-2)))</f>
        <v>Singaporean</v>
      </c>
      <c r="L580" s="50" t="str">
        <f t="shared" ref="L580:L614" si="103">"Case "&amp;A580&amp;" is a "&amp;H580&amp;" case, "&amp;D580&amp;" years old "&amp;LOWER(J580)&amp;" "&amp;F580 &amp;IF(G580=""," and has not been overseas"," and has been to "&amp;G580)&amp;". "&amp;IF(TRIM(E580)="F","She",IF(TRIM(E580)="M","He"))&amp;" is currently admitted at "&amp;C580&amp;". "&amp;I580</f>
        <v>Case 845 is a Local linked  case, 38 years old female Singapore Citizen  and has been to Malaysia . She is currently admitted at KKH. Family member of Cases 809 and 742</v>
      </c>
      <c r="M580" s="50">
        <f t="shared" ref="M580:M614" si="104">IF(G580="","",A580)</f>
        <v>845</v>
      </c>
      <c r="N580" s="50" t="str">
        <f t="shared" ref="N580:N614" si="105">IF(G580="","",G580)</f>
        <v xml:space="preserve">Malaysia </v>
      </c>
      <c r="O580" s="50">
        <f t="shared" ref="O580:O614" si="106">IF(I580="","",A580)</f>
        <v>845</v>
      </c>
      <c r="P580" s="50" t="str">
        <f t="shared" ref="P580:P614" si="107">IF(I580="","",I580)</f>
        <v>Family member of Cases 809 and 742</v>
      </c>
    </row>
    <row r="581" spans="1:16" x14ac:dyDescent="0.3">
      <c r="A581" s="50">
        <v>846</v>
      </c>
      <c r="B581" s="51">
        <v>43919</v>
      </c>
      <c r="C581" s="50" t="s">
        <v>343</v>
      </c>
      <c r="D581" s="50">
        <v>68</v>
      </c>
      <c r="E581" s="50" t="s">
        <v>1059</v>
      </c>
      <c r="F581" s="50" t="s">
        <v>1353</v>
      </c>
      <c r="G581" s="50"/>
      <c r="H581" s="50" t="s">
        <v>1061</v>
      </c>
      <c r="I581" s="50"/>
      <c r="J581" s="50" t="str">
        <f t="shared" si="101"/>
        <v>Male</v>
      </c>
      <c r="K581" s="50" t="str">
        <f t="shared" si="102"/>
        <v>UAE</v>
      </c>
      <c r="L581" s="50" t="str">
        <f t="shared" si="103"/>
        <v xml:space="preserve">Case 846 is a Local unlinked case, 68 years old male UAE (Long Term Pass holder)  and has not been overseas. He is currently admitted at NUH . </v>
      </c>
      <c r="M581" s="50" t="str">
        <f t="shared" si="104"/>
        <v/>
      </c>
      <c r="N581" s="50" t="str">
        <f t="shared" si="105"/>
        <v/>
      </c>
      <c r="O581" s="50" t="str">
        <f t="shared" si="106"/>
        <v/>
      </c>
      <c r="P581" s="50" t="str">
        <f t="shared" si="107"/>
        <v/>
      </c>
    </row>
    <row r="582" spans="1:16" x14ac:dyDescent="0.3">
      <c r="A582" s="50">
        <v>847</v>
      </c>
      <c r="B582" s="51">
        <v>43919</v>
      </c>
      <c r="C582" s="50" t="s">
        <v>1058</v>
      </c>
      <c r="D582" s="50">
        <v>42</v>
      </c>
      <c r="E582" s="50" t="s">
        <v>1059</v>
      </c>
      <c r="F582" s="50" t="s">
        <v>1072</v>
      </c>
      <c r="G582" s="50" t="s">
        <v>706</v>
      </c>
      <c r="H582" s="50" t="s">
        <v>1069</v>
      </c>
      <c r="I582" s="50" t="s">
        <v>1354</v>
      </c>
      <c r="J582" s="50" t="str">
        <f t="shared" si="101"/>
        <v>Male</v>
      </c>
      <c r="K582" s="50" t="str">
        <f t="shared" si="102"/>
        <v>Singaporean</v>
      </c>
      <c r="L582" s="50" t="str">
        <f t="shared" si="103"/>
        <v>Case 847 is a Imported  case, 42 years old male Singapore Permanent Resident  and has been to Philippines . He is currently admitted at KTPH . Family member of Case 781</v>
      </c>
      <c r="M582" s="50">
        <f t="shared" si="104"/>
        <v>847</v>
      </c>
      <c r="N582" s="50" t="str">
        <f t="shared" si="105"/>
        <v xml:space="preserve">Philippines </v>
      </c>
      <c r="O582" s="50">
        <f t="shared" si="106"/>
        <v>847</v>
      </c>
      <c r="P582" s="50" t="str">
        <f t="shared" si="107"/>
        <v>Family member of Case 781</v>
      </c>
    </row>
    <row r="583" spans="1:16" x14ac:dyDescent="0.3">
      <c r="A583" s="50">
        <v>848</v>
      </c>
      <c r="B583" s="51">
        <v>43919</v>
      </c>
      <c r="C583" s="50" t="s">
        <v>343</v>
      </c>
      <c r="D583" s="50">
        <v>41</v>
      </c>
      <c r="E583" s="50" t="s">
        <v>1073</v>
      </c>
      <c r="F583" s="50" t="s">
        <v>1355</v>
      </c>
      <c r="G583" s="50"/>
      <c r="H583" s="50" t="s">
        <v>1086</v>
      </c>
      <c r="I583" s="50" t="s">
        <v>1356</v>
      </c>
      <c r="J583" s="50" t="str">
        <f t="shared" si="101"/>
        <v>Female</v>
      </c>
      <c r="K583" s="50" t="str">
        <f t="shared" si="102"/>
        <v>Taiwan</v>
      </c>
      <c r="L583" s="50" t="str">
        <f t="shared" si="103"/>
        <v>Case 848 is a Local linked  case, 41 years old female Taiwan (Long Term Pass holder)  and has not been overseas. She is currently admitted at NUH . Wilby Residences</v>
      </c>
      <c r="M583" s="50" t="str">
        <f t="shared" si="104"/>
        <v/>
      </c>
      <c r="N583" s="50" t="str">
        <f t="shared" si="105"/>
        <v/>
      </c>
      <c r="O583" s="50">
        <f t="shared" si="106"/>
        <v>848</v>
      </c>
      <c r="P583" s="50" t="str">
        <f t="shared" si="107"/>
        <v>Wilby Residences</v>
      </c>
    </row>
    <row r="584" spans="1:16" x14ac:dyDescent="0.3">
      <c r="A584" s="50">
        <v>849</v>
      </c>
      <c r="B584" s="51">
        <v>43919</v>
      </c>
      <c r="C584" s="50" t="s">
        <v>343</v>
      </c>
      <c r="D584" s="50">
        <v>34</v>
      </c>
      <c r="E584" s="50" t="s">
        <v>1073</v>
      </c>
      <c r="F584" s="50" t="s">
        <v>1060</v>
      </c>
      <c r="G584" s="50" t="s">
        <v>360</v>
      </c>
      <c r="H584" s="50" t="s">
        <v>1086</v>
      </c>
      <c r="I584" s="50" t="s">
        <v>1344</v>
      </c>
      <c r="J584" s="50" t="str">
        <f t="shared" si="101"/>
        <v>Female</v>
      </c>
      <c r="K584" s="50" t="str">
        <f t="shared" si="102"/>
        <v>Singaporean</v>
      </c>
      <c r="L584" s="50" t="str">
        <f t="shared" si="103"/>
        <v>Case 849 is a Local linked  case, 34 years old female Singapore Citizen  and has been to Malaysia . She is currently admitted at NUH . Family member of Case 533</v>
      </c>
      <c r="M584" s="50">
        <f t="shared" si="104"/>
        <v>849</v>
      </c>
      <c r="N584" s="50" t="str">
        <f t="shared" si="105"/>
        <v xml:space="preserve">Malaysia </v>
      </c>
      <c r="O584" s="50">
        <f t="shared" si="106"/>
        <v>849</v>
      </c>
      <c r="P584" s="50" t="str">
        <f t="shared" si="107"/>
        <v>Family member of Case 533</v>
      </c>
    </row>
    <row r="585" spans="1:16" x14ac:dyDescent="0.3">
      <c r="A585" s="50">
        <v>850</v>
      </c>
      <c r="B585" s="51">
        <v>43919</v>
      </c>
      <c r="C585" s="50" t="s">
        <v>1064</v>
      </c>
      <c r="D585" s="50">
        <v>37</v>
      </c>
      <c r="E585" s="50" t="s">
        <v>1059</v>
      </c>
      <c r="F585" s="50" t="s">
        <v>1060</v>
      </c>
      <c r="G585" s="50"/>
      <c r="H585" s="50" t="s">
        <v>1061</v>
      </c>
      <c r="I585" s="50"/>
      <c r="J585" s="50" t="str">
        <f t="shared" si="101"/>
        <v>Male</v>
      </c>
      <c r="K585" s="50" t="str">
        <f t="shared" si="102"/>
        <v>Singaporean</v>
      </c>
      <c r="L585" s="50" t="str">
        <f t="shared" si="103"/>
        <v xml:space="preserve">Case 850 is a Local unlinked case, 37 years old male Singapore Citizen  and has not been overseas. He is currently admitted at CGH . </v>
      </c>
      <c r="M585" s="50" t="str">
        <f t="shared" si="104"/>
        <v/>
      </c>
      <c r="N585" s="50" t="str">
        <f t="shared" si="105"/>
        <v/>
      </c>
      <c r="O585" s="50" t="str">
        <f t="shared" si="106"/>
        <v/>
      </c>
      <c r="P585" s="50" t="str">
        <f t="shared" si="107"/>
        <v/>
      </c>
    </row>
    <row r="586" spans="1:16" x14ac:dyDescent="0.3">
      <c r="A586" s="50">
        <v>851</v>
      </c>
      <c r="B586" s="51">
        <v>43919</v>
      </c>
      <c r="C586" s="50" t="s">
        <v>1138</v>
      </c>
      <c r="D586" s="50">
        <v>40</v>
      </c>
      <c r="E586" s="50" t="s">
        <v>1073</v>
      </c>
      <c r="F586" s="50" t="s">
        <v>1357</v>
      </c>
      <c r="G586" s="50" t="s">
        <v>1358</v>
      </c>
      <c r="H586" s="50" t="s">
        <v>77</v>
      </c>
      <c r="I586" s="50"/>
      <c r="J586" s="50" t="str">
        <f t="shared" si="101"/>
        <v>Female</v>
      </c>
      <c r="K586" s="50" t="str">
        <f t="shared" si="102"/>
        <v>Brazil</v>
      </c>
      <c r="L586" s="50" t="str">
        <f t="shared" si="103"/>
        <v xml:space="preserve">Case 851 is a Imported case, 40 years old female Brazil (Long Term Pass holder)  and has been to Brazil . She is currently admitted at SGH . </v>
      </c>
      <c r="M586" s="50">
        <f t="shared" si="104"/>
        <v>851</v>
      </c>
      <c r="N586" s="50" t="str">
        <f t="shared" si="105"/>
        <v xml:space="preserve">Brazil </v>
      </c>
      <c r="O586" s="50" t="str">
        <f t="shared" si="106"/>
        <v/>
      </c>
      <c r="P586" s="50" t="str">
        <f t="shared" si="107"/>
        <v/>
      </c>
    </row>
    <row r="587" spans="1:16" x14ac:dyDescent="0.3">
      <c r="A587" s="50">
        <v>852</v>
      </c>
      <c r="B587" s="51">
        <v>43919</v>
      </c>
      <c r="C587" s="50" t="s">
        <v>1138</v>
      </c>
      <c r="D587" s="50">
        <v>31</v>
      </c>
      <c r="E587" s="50" t="s">
        <v>1059</v>
      </c>
      <c r="F587" s="50" t="s">
        <v>1194</v>
      </c>
      <c r="G587" s="50"/>
      <c r="H587" s="50" t="s">
        <v>1086</v>
      </c>
      <c r="I587" s="50" t="s">
        <v>1359</v>
      </c>
      <c r="J587" s="50" t="str">
        <f t="shared" si="101"/>
        <v>Male</v>
      </c>
      <c r="K587" s="50" t="str">
        <f t="shared" si="102"/>
        <v>India</v>
      </c>
      <c r="L587" s="50" t="str">
        <f t="shared" si="103"/>
        <v>Case 852 is a Local linked  case, 31 years old male India (Long Term Pass holder)  and has not been overseas. He is currently admitted at SGH . S11 Dormitory</v>
      </c>
      <c r="M587" s="50" t="str">
        <f t="shared" si="104"/>
        <v/>
      </c>
      <c r="N587" s="50" t="str">
        <f t="shared" si="105"/>
        <v/>
      </c>
      <c r="O587" s="50">
        <f t="shared" si="106"/>
        <v>852</v>
      </c>
      <c r="P587" s="50" t="str">
        <f t="shared" si="107"/>
        <v>S11 Dormitory</v>
      </c>
    </row>
    <row r="588" spans="1:16" x14ac:dyDescent="0.3">
      <c r="A588" s="50">
        <v>853</v>
      </c>
      <c r="B588" s="51">
        <v>43919</v>
      </c>
      <c r="C588" s="50" t="s">
        <v>1071</v>
      </c>
      <c r="D588" s="50">
        <v>20</v>
      </c>
      <c r="E588" s="50" t="s">
        <v>1059</v>
      </c>
      <c r="F588" s="50" t="s">
        <v>1156</v>
      </c>
      <c r="G588" s="50"/>
      <c r="H588" s="50" t="s">
        <v>1061</v>
      </c>
      <c r="I588" s="50"/>
      <c r="J588" s="50" t="str">
        <f t="shared" si="101"/>
        <v>Male</v>
      </c>
      <c r="K588" s="50" t="str">
        <f t="shared" si="102"/>
        <v>Malaysia</v>
      </c>
      <c r="L588" s="50" t="str">
        <f t="shared" si="103"/>
        <v xml:space="preserve">Case 853 is a Local unlinked case, 20 years old male Malaysia (Singapore Work Pass holder)  and has not been overseas. He is currently admitted at NCID . </v>
      </c>
      <c r="M588" s="50" t="str">
        <f t="shared" si="104"/>
        <v/>
      </c>
      <c r="N588" s="50" t="str">
        <f t="shared" si="105"/>
        <v/>
      </c>
      <c r="O588" s="50" t="str">
        <f t="shared" si="106"/>
        <v/>
      </c>
      <c r="P588" s="50" t="str">
        <f t="shared" si="107"/>
        <v/>
      </c>
    </row>
    <row r="589" spans="1:16" x14ac:dyDescent="0.3">
      <c r="A589" s="50">
        <v>854</v>
      </c>
      <c r="B589" s="51">
        <v>43919</v>
      </c>
      <c r="C589" s="50" t="s">
        <v>1058</v>
      </c>
      <c r="D589" s="50">
        <v>43</v>
      </c>
      <c r="E589" s="50" t="s">
        <v>1059</v>
      </c>
      <c r="F589" s="50" t="s">
        <v>1255</v>
      </c>
      <c r="G589" s="50"/>
      <c r="H589" s="50" t="s">
        <v>1061</v>
      </c>
      <c r="I589" s="50"/>
      <c r="J589" s="50" t="str">
        <f t="shared" si="101"/>
        <v>Male</v>
      </c>
      <c r="K589" s="50" t="str">
        <f t="shared" si="102"/>
        <v>India</v>
      </c>
      <c r="L589" s="50" t="str">
        <f t="shared" si="103"/>
        <v xml:space="preserve">Case 854 is a Local unlinked case, 43 years old male India (Singapore Work Pass holder)  and has not been overseas. He is currently admitted at KTPH . </v>
      </c>
      <c r="M589" s="50" t="str">
        <f t="shared" si="104"/>
        <v/>
      </c>
      <c r="N589" s="50" t="str">
        <f t="shared" si="105"/>
        <v/>
      </c>
      <c r="O589" s="50" t="str">
        <f t="shared" si="106"/>
        <v/>
      </c>
      <c r="P589" s="50" t="str">
        <f t="shared" si="107"/>
        <v/>
      </c>
    </row>
    <row r="590" spans="1:16" x14ac:dyDescent="0.3">
      <c r="A590" s="50">
        <v>855</v>
      </c>
      <c r="B590" s="51">
        <v>43919</v>
      </c>
      <c r="C590" s="50" t="s">
        <v>1071</v>
      </c>
      <c r="D590" s="50">
        <v>88</v>
      </c>
      <c r="E590" s="50" t="s">
        <v>1059</v>
      </c>
      <c r="F590" s="50" t="s">
        <v>1072</v>
      </c>
      <c r="G590" s="50"/>
      <c r="H590" s="50" t="s">
        <v>1061</v>
      </c>
      <c r="I590" s="50"/>
      <c r="J590" s="50" t="str">
        <f t="shared" si="101"/>
        <v>Male</v>
      </c>
      <c r="K590" s="50" t="str">
        <f t="shared" si="102"/>
        <v>Singaporean</v>
      </c>
      <c r="L590" s="50" t="str">
        <f t="shared" si="103"/>
        <v xml:space="preserve">Case 855 is a Local unlinked case, 88 years old male Singapore Permanent Resident  and has not been overseas. He is currently admitted at NCID . </v>
      </c>
      <c r="M590" s="50" t="str">
        <f t="shared" si="104"/>
        <v/>
      </c>
      <c r="N590" s="50" t="str">
        <f t="shared" si="105"/>
        <v/>
      </c>
      <c r="O590" s="50" t="str">
        <f t="shared" si="106"/>
        <v/>
      </c>
      <c r="P590" s="50" t="str">
        <f t="shared" si="107"/>
        <v/>
      </c>
    </row>
    <row r="591" spans="1:16" x14ac:dyDescent="0.3">
      <c r="A591" s="50">
        <v>856</v>
      </c>
      <c r="B591" s="51">
        <v>43919</v>
      </c>
      <c r="C591" s="50" t="s">
        <v>1064</v>
      </c>
      <c r="D591" s="50">
        <v>32</v>
      </c>
      <c r="E591" s="50" t="s">
        <v>1059</v>
      </c>
      <c r="F591" s="50" t="s">
        <v>1306</v>
      </c>
      <c r="G591" s="50"/>
      <c r="H591" s="50" t="s">
        <v>1061</v>
      </c>
      <c r="I591" s="50"/>
      <c r="J591" s="50" t="str">
        <f t="shared" si="101"/>
        <v>Male</v>
      </c>
      <c r="K591" s="50" t="str">
        <f t="shared" si="102"/>
        <v>China</v>
      </c>
      <c r="L591" s="50" t="str">
        <f t="shared" si="103"/>
        <v xml:space="preserve">Case 856 is a Local unlinked case, 32 years old male China (Singapore Work Pass holder)  and has not been overseas. He is currently admitted at CGH . </v>
      </c>
      <c r="M591" s="50" t="str">
        <f t="shared" si="104"/>
        <v/>
      </c>
      <c r="N591" s="50" t="str">
        <f t="shared" si="105"/>
        <v/>
      </c>
      <c r="O591" s="50" t="str">
        <f t="shared" si="106"/>
        <v/>
      </c>
      <c r="P591" s="50" t="str">
        <f t="shared" si="107"/>
        <v/>
      </c>
    </row>
    <row r="592" spans="1:16" x14ac:dyDescent="0.3">
      <c r="A592" s="50">
        <v>857</v>
      </c>
      <c r="B592" s="51">
        <v>43919</v>
      </c>
      <c r="C592" s="50" t="s">
        <v>1066</v>
      </c>
      <c r="D592" s="50">
        <v>20</v>
      </c>
      <c r="E592" s="50" t="s">
        <v>1059</v>
      </c>
      <c r="F592" s="50" t="s">
        <v>1060</v>
      </c>
      <c r="G592" s="50" t="s">
        <v>360</v>
      </c>
      <c r="H592" s="50" t="s">
        <v>77</v>
      </c>
      <c r="I592" s="50"/>
      <c r="J592" s="50" t="str">
        <f t="shared" si="101"/>
        <v>Male</v>
      </c>
      <c r="K592" s="50" t="str">
        <f t="shared" si="102"/>
        <v>Singaporean</v>
      </c>
      <c r="L592" s="50" t="str">
        <f t="shared" si="103"/>
        <v xml:space="preserve">Case 857 is a Imported case, 20 years old male Singapore Citizen  and has been to Malaysia . He is currently admitted at SKH . </v>
      </c>
      <c r="M592" s="50">
        <f t="shared" si="104"/>
        <v>857</v>
      </c>
      <c r="N592" s="50" t="str">
        <f t="shared" si="105"/>
        <v xml:space="preserve">Malaysia </v>
      </c>
      <c r="O592" s="50" t="str">
        <f t="shared" si="106"/>
        <v/>
      </c>
      <c r="P592" s="50" t="str">
        <f t="shared" si="107"/>
        <v/>
      </c>
    </row>
    <row r="593" spans="1:16" x14ac:dyDescent="0.3">
      <c r="A593" s="50">
        <v>858</v>
      </c>
      <c r="B593" s="51">
        <v>43919</v>
      </c>
      <c r="C593" s="50" t="s">
        <v>1071</v>
      </c>
      <c r="D593" s="50">
        <v>35</v>
      </c>
      <c r="E593" s="50" t="s">
        <v>1073</v>
      </c>
      <c r="F593" s="50" t="s">
        <v>1060</v>
      </c>
      <c r="G593" s="50" t="s">
        <v>703</v>
      </c>
      <c r="H593" s="50" t="s">
        <v>77</v>
      </c>
      <c r="I593" s="50"/>
      <c r="J593" s="50" t="str">
        <f t="shared" si="101"/>
        <v>Female</v>
      </c>
      <c r="K593" s="50" t="str">
        <f t="shared" si="102"/>
        <v>Singaporean</v>
      </c>
      <c r="L593" s="50" t="str">
        <f t="shared" si="103"/>
        <v xml:space="preserve">Case 858 is a Imported case, 35 years old female Singapore Citizen  and has been to France . She is currently admitted at NCID . </v>
      </c>
      <c r="M593" s="50">
        <f t="shared" si="104"/>
        <v>858</v>
      </c>
      <c r="N593" s="50" t="str">
        <f t="shared" si="105"/>
        <v xml:space="preserve">France </v>
      </c>
      <c r="O593" s="50" t="str">
        <f t="shared" si="106"/>
        <v/>
      </c>
      <c r="P593" s="50" t="str">
        <f t="shared" si="107"/>
        <v/>
      </c>
    </row>
    <row r="594" spans="1:16" x14ac:dyDescent="0.3">
      <c r="A594" s="50">
        <v>859</v>
      </c>
      <c r="B594" s="51">
        <v>43919</v>
      </c>
      <c r="C594" s="50" t="s">
        <v>1071</v>
      </c>
      <c r="D594" s="50">
        <v>41</v>
      </c>
      <c r="E594" s="50" t="s">
        <v>1059</v>
      </c>
      <c r="F594" s="50" t="s">
        <v>1360</v>
      </c>
      <c r="G594" s="50"/>
      <c r="H594" s="50" t="s">
        <v>1061</v>
      </c>
      <c r="I594" s="50"/>
      <c r="J594" s="50" t="str">
        <f t="shared" si="101"/>
        <v>Male</v>
      </c>
      <c r="K594" s="50" t="str">
        <f t="shared" si="102"/>
        <v>Bangladesh</v>
      </c>
      <c r="L594" s="50" t="str">
        <f t="shared" si="103"/>
        <v xml:space="preserve">Case 859 is a Local unlinked case, 41 years old male Bangladesh (Singapore Work Pass holder)  and has not been overseas. He is currently admitted at NCID . </v>
      </c>
      <c r="M594" s="50" t="str">
        <f t="shared" si="104"/>
        <v/>
      </c>
      <c r="N594" s="50" t="str">
        <f t="shared" si="105"/>
        <v/>
      </c>
      <c r="O594" s="50" t="str">
        <f t="shared" si="106"/>
        <v/>
      </c>
      <c r="P594" s="50" t="str">
        <f t="shared" si="107"/>
        <v/>
      </c>
    </row>
    <row r="595" spans="1:16" x14ac:dyDescent="0.3">
      <c r="A595" s="50">
        <v>860</v>
      </c>
      <c r="B595" s="51">
        <v>43919</v>
      </c>
      <c r="C595" s="50" t="s">
        <v>1058</v>
      </c>
      <c r="D595" s="50">
        <v>22</v>
      </c>
      <c r="E595" s="50" t="s">
        <v>1059</v>
      </c>
      <c r="F595" s="50" t="s">
        <v>1194</v>
      </c>
      <c r="G595" s="50"/>
      <c r="H595" s="50" t="s">
        <v>1086</v>
      </c>
      <c r="I595" s="50" t="s">
        <v>1359</v>
      </c>
      <c r="J595" s="50" t="str">
        <f t="shared" si="101"/>
        <v>Male</v>
      </c>
      <c r="K595" s="50" t="str">
        <f t="shared" si="102"/>
        <v>India</v>
      </c>
      <c r="L595" s="50" t="str">
        <f t="shared" si="103"/>
        <v>Case 860 is a Local linked  case, 22 years old male India (Long Term Pass holder)  and has not been overseas. He is currently admitted at KTPH . S11 Dormitory</v>
      </c>
      <c r="M595" s="50" t="str">
        <f t="shared" si="104"/>
        <v/>
      </c>
      <c r="N595" s="50" t="str">
        <f t="shared" si="105"/>
        <v/>
      </c>
      <c r="O595" s="50">
        <f t="shared" si="106"/>
        <v>860</v>
      </c>
      <c r="P595" s="50" t="str">
        <f t="shared" si="107"/>
        <v>S11 Dormitory</v>
      </c>
    </row>
    <row r="596" spans="1:16" x14ac:dyDescent="0.3">
      <c r="A596" s="50">
        <v>861</v>
      </c>
      <c r="B596" s="51">
        <v>43919</v>
      </c>
      <c r="C596" s="50" t="s">
        <v>1071</v>
      </c>
      <c r="D596" s="50">
        <v>25</v>
      </c>
      <c r="E596" s="50" t="s">
        <v>1073</v>
      </c>
      <c r="F596" s="50" t="s">
        <v>1060</v>
      </c>
      <c r="G596" s="50"/>
      <c r="H596" s="50" t="s">
        <v>1086</v>
      </c>
      <c r="I596" s="50" t="s">
        <v>1361</v>
      </c>
      <c r="J596" s="50" t="str">
        <f t="shared" si="101"/>
        <v>Female</v>
      </c>
      <c r="K596" s="50" t="str">
        <f t="shared" si="102"/>
        <v>Singaporean</v>
      </c>
      <c r="L596" s="50" t="str">
        <f t="shared" si="103"/>
        <v>Case 861 is a Local linked  case, 25 years old female Singapore Citizen  and has not been overseas. She is currently admitted at NCID . Contact of Case 767</v>
      </c>
      <c r="M596" s="50" t="str">
        <f t="shared" si="104"/>
        <v/>
      </c>
      <c r="N596" s="50" t="str">
        <f t="shared" si="105"/>
        <v/>
      </c>
      <c r="O596" s="50">
        <f t="shared" si="106"/>
        <v>861</v>
      </c>
      <c r="P596" s="50" t="str">
        <f t="shared" si="107"/>
        <v>Contact of Case 767</v>
      </c>
    </row>
    <row r="597" spans="1:16" x14ac:dyDescent="0.3">
      <c r="A597" s="50">
        <v>862</v>
      </c>
      <c r="B597" s="51">
        <v>43919</v>
      </c>
      <c r="C597" s="50" t="s">
        <v>1071</v>
      </c>
      <c r="D597" s="50">
        <v>29</v>
      </c>
      <c r="E597" s="50" t="s">
        <v>1059</v>
      </c>
      <c r="F597" s="50" t="s">
        <v>1060</v>
      </c>
      <c r="G597" s="50" t="s">
        <v>1063</v>
      </c>
      <c r="H597" s="50" t="s">
        <v>77</v>
      </c>
      <c r="I597" s="50"/>
      <c r="J597" s="50" t="str">
        <f t="shared" si="101"/>
        <v>Male</v>
      </c>
      <c r="K597" s="50" t="str">
        <f t="shared" si="102"/>
        <v>Singaporean</v>
      </c>
      <c r="L597" s="50" t="str">
        <f t="shared" si="103"/>
        <v xml:space="preserve">Case 862 is a Imported case, 29 years old male Singapore Citizen  and has been to UK . He is currently admitted at NCID . </v>
      </c>
      <c r="M597" s="50">
        <f t="shared" si="104"/>
        <v>862</v>
      </c>
      <c r="N597" s="50" t="str">
        <f t="shared" si="105"/>
        <v xml:space="preserve">UK </v>
      </c>
      <c r="O597" s="50" t="str">
        <f t="shared" si="106"/>
        <v/>
      </c>
      <c r="P597" s="50" t="str">
        <f t="shared" si="107"/>
        <v/>
      </c>
    </row>
    <row r="598" spans="1:16" x14ac:dyDescent="0.3">
      <c r="A598" s="50">
        <v>863</v>
      </c>
      <c r="B598" s="51">
        <v>43919</v>
      </c>
      <c r="C598" s="50" t="s">
        <v>1071</v>
      </c>
      <c r="D598" s="50">
        <v>49</v>
      </c>
      <c r="E598" s="50" t="s">
        <v>1059</v>
      </c>
      <c r="F598" s="50" t="s">
        <v>1060</v>
      </c>
      <c r="G598" s="50"/>
      <c r="H598" s="50" t="s">
        <v>1086</v>
      </c>
      <c r="I598" s="50" t="s">
        <v>1362</v>
      </c>
      <c r="J598" s="50" t="str">
        <f t="shared" si="101"/>
        <v>Male</v>
      </c>
      <c r="K598" s="50" t="str">
        <f t="shared" si="102"/>
        <v>Singaporean</v>
      </c>
      <c r="L598" s="50" t="str">
        <f t="shared" si="103"/>
        <v>Case 863 is a Local linked  case, 49 years old male Singapore Citizen  and has not been overseas. He is currently admitted at NCID . Family member of Case 727</v>
      </c>
      <c r="M598" s="50" t="str">
        <f t="shared" si="104"/>
        <v/>
      </c>
      <c r="N598" s="50" t="str">
        <f t="shared" si="105"/>
        <v/>
      </c>
      <c r="O598" s="50">
        <f t="shared" si="106"/>
        <v>863</v>
      </c>
      <c r="P598" s="50" t="str">
        <f t="shared" si="107"/>
        <v>Family member of Case 727</v>
      </c>
    </row>
    <row r="599" spans="1:16" x14ac:dyDescent="0.3">
      <c r="A599" s="50">
        <v>864</v>
      </c>
      <c r="B599" s="51">
        <v>43919</v>
      </c>
      <c r="C599" s="50" t="s">
        <v>1071</v>
      </c>
      <c r="D599" s="50">
        <v>27</v>
      </c>
      <c r="E599" s="50" t="s">
        <v>1073</v>
      </c>
      <c r="F599" s="50" t="s">
        <v>1060</v>
      </c>
      <c r="G599" s="50" t="s">
        <v>1363</v>
      </c>
      <c r="H599" s="50" t="s">
        <v>1086</v>
      </c>
      <c r="I599" s="50" t="s">
        <v>1356</v>
      </c>
      <c r="J599" s="50" t="str">
        <f t="shared" si="101"/>
        <v>Female</v>
      </c>
      <c r="K599" s="50" t="str">
        <f t="shared" si="102"/>
        <v>Singaporean</v>
      </c>
      <c r="L599" s="50" t="str">
        <f t="shared" si="103"/>
        <v>Case 864 is a Local linked  case, 27 years old female Singapore Citizen  and has been to UK, US . She is currently admitted at NCID . Wilby Residences</v>
      </c>
      <c r="M599" s="50">
        <f t="shared" si="104"/>
        <v>864</v>
      </c>
      <c r="N599" s="50" t="str">
        <f t="shared" si="105"/>
        <v xml:space="preserve">UK, US </v>
      </c>
      <c r="O599" s="50">
        <f t="shared" si="106"/>
        <v>864</v>
      </c>
      <c r="P599" s="50" t="str">
        <f t="shared" si="107"/>
        <v>Wilby Residences</v>
      </c>
    </row>
    <row r="600" spans="1:16" x14ac:dyDescent="0.3">
      <c r="A600" s="50">
        <v>865</v>
      </c>
      <c r="B600" s="51">
        <v>43919</v>
      </c>
      <c r="C600" s="50" t="s">
        <v>1071</v>
      </c>
      <c r="D600" s="50">
        <v>36</v>
      </c>
      <c r="E600" s="50" t="s">
        <v>1059</v>
      </c>
      <c r="F600" s="50" t="s">
        <v>1060</v>
      </c>
      <c r="G600" s="50"/>
      <c r="H600" s="50" t="s">
        <v>1086</v>
      </c>
      <c r="I600" s="50" t="s">
        <v>1364</v>
      </c>
      <c r="J600" s="50" t="str">
        <f t="shared" si="101"/>
        <v>Male</v>
      </c>
      <c r="K600" s="50" t="str">
        <f t="shared" si="102"/>
        <v>Singaporean</v>
      </c>
      <c r="L600" s="50" t="str">
        <f t="shared" si="103"/>
        <v>Case 865 is a Local linked  case, 36 years old male Singapore Citizen  and has not been overseas. He is currently admitted at NCID . Contact of Case 488</v>
      </c>
      <c r="M600" s="50" t="str">
        <f t="shared" si="104"/>
        <v/>
      </c>
      <c r="N600" s="50" t="str">
        <f t="shared" si="105"/>
        <v/>
      </c>
      <c r="O600" s="50">
        <f t="shared" si="106"/>
        <v>865</v>
      </c>
      <c r="P600" s="50" t="str">
        <f t="shared" si="107"/>
        <v>Contact of Case 488</v>
      </c>
    </row>
    <row r="601" spans="1:16" x14ac:dyDescent="0.3">
      <c r="A601" s="50">
        <v>866</v>
      </c>
      <c r="B601" s="51">
        <v>43919</v>
      </c>
      <c r="C601" s="50" t="s">
        <v>1066</v>
      </c>
      <c r="D601" s="50">
        <v>52</v>
      </c>
      <c r="E601" s="50" t="s">
        <v>1059</v>
      </c>
      <c r="F601" s="50" t="s">
        <v>1060</v>
      </c>
      <c r="G601" s="50"/>
      <c r="H601" s="50" t="s">
        <v>1061</v>
      </c>
      <c r="I601" s="50"/>
      <c r="J601" s="50" t="str">
        <f t="shared" si="101"/>
        <v>Male</v>
      </c>
      <c r="K601" s="50" t="str">
        <f t="shared" si="102"/>
        <v>Singaporean</v>
      </c>
      <c r="L601" s="50" t="str">
        <f t="shared" si="103"/>
        <v xml:space="preserve">Case 866 is a Local unlinked case, 52 years old male Singapore Citizen  and has not been overseas. He is currently admitted at SKH . </v>
      </c>
      <c r="M601" s="50" t="str">
        <f t="shared" si="104"/>
        <v/>
      </c>
      <c r="N601" s="50" t="str">
        <f t="shared" si="105"/>
        <v/>
      </c>
      <c r="O601" s="50" t="str">
        <f t="shared" si="106"/>
        <v/>
      </c>
      <c r="P601" s="50" t="str">
        <f t="shared" si="107"/>
        <v/>
      </c>
    </row>
    <row r="602" spans="1:16" x14ac:dyDescent="0.3">
      <c r="A602" s="50">
        <v>867</v>
      </c>
      <c r="B602" s="51">
        <v>43920</v>
      </c>
      <c r="C602" s="50" t="s">
        <v>1071</v>
      </c>
      <c r="D602" s="50">
        <v>36</v>
      </c>
      <c r="E602" s="50" t="s">
        <v>1073</v>
      </c>
      <c r="F602" s="50" t="s">
        <v>1060</v>
      </c>
      <c r="G602" s="50" t="s">
        <v>360</v>
      </c>
      <c r="H602" s="50" t="s">
        <v>1086</v>
      </c>
      <c r="I602" s="50" t="s">
        <v>1365</v>
      </c>
      <c r="J602" s="50" t="str">
        <f t="shared" si="101"/>
        <v>Female</v>
      </c>
      <c r="K602" s="50" t="str">
        <f t="shared" si="102"/>
        <v>Singaporean</v>
      </c>
      <c r="L602" s="50" t="str">
        <f t="shared" si="103"/>
        <v>Case 867 is a Local linked  case, 36 years old female Singapore Citizen  and has been to Malaysia . She is currently admitted at NCID . Family member of Case 434</v>
      </c>
      <c r="M602" s="50">
        <f t="shared" si="104"/>
        <v>867</v>
      </c>
      <c r="N602" s="50" t="str">
        <f t="shared" si="105"/>
        <v xml:space="preserve">Malaysia </v>
      </c>
      <c r="O602" s="50">
        <f t="shared" si="106"/>
        <v>867</v>
      </c>
      <c r="P602" s="50" t="str">
        <f t="shared" si="107"/>
        <v>Family member of Case 434</v>
      </c>
    </row>
    <row r="603" spans="1:16" x14ac:dyDescent="0.3">
      <c r="A603" s="50">
        <v>868</v>
      </c>
      <c r="B603" s="51">
        <v>43919</v>
      </c>
      <c r="C603" s="50" t="s">
        <v>1062</v>
      </c>
      <c r="D603" s="50">
        <v>29</v>
      </c>
      <c r="E603" s="50" t="s">
        <v>1059</v>
      </c>
      <c r="F603" s="50" t="s">
        <v>1278</v>
      </c>
      <c r="G603" s="50"/>
      <c r="H603" s="50" t="s">
        <v>1061</v>
      </c>
      <c r="I603" s="50"/>
      <c r="J603" s="50" t="str">
        <f t="shared" si="101"/>
        <v>Male</v>
      </c>
      <c r="K603" s="50" t="str">
        <f t="shared" si="102"/>
        <v>Bangladesh</v>
      </c>
      <c r="L603" s="50" t="str">
        <f t="shared" si="103"/>
        <v xml:space="preserve">Case 868 is a Local unlinked case, 29 years old male Bangladesh (Long Term Pass holder)  and has not been overseas. He is currently admitted at NTFGH . </v>
      </c>
      <c r="M603" s="50" t="str">
        <f t="shared" si="104"/>
        <v/>
      </c>
      <c r="N603" s="50" t="str">
        <f t="shared" si="105"/>
        <v/>
      </c>
      <c r="O603" s="50" t="str">
        <f t="shared" si="106"/>
        <v/>
      </c>
      <c r="P603" s="50" t="str">
        <f t="shared" si="107"/>
        <v/>
      </c>
    </row>
    <row r="604" spans="1:16" x14ac:dyDescent="0.3">
      <c r="A604" s="50">
        <v>869</v>
      </c>
      <c r="B604" s="51">
        <v>43920</v>
      </c>
      <c r="C604" s="50" t="s">
        <v>1058</v>
      </c>
      <c r="D604" s="50">
        <v>41</v>
      </c>
      <c r="E604" s="50" t="s">
        <v>1059</v>
      </c>
      <c r="F604" s="50" t="s">
        <v>1072</v>
      </c>
      <c r="G604" s="50"/>
      <c r="H604" s="50" t="s">
        <v>1061</v>
      </c>
      <c r="I604" s="50"/>
      <c r="J604" s="50" t="str">
        <f t="shared" si="101"/>
        <v>Male</v>
      </c>
      <c r="K604" s="50" t="str">
        <f t="shared" si="102"/>
        <v>Singaporean</v>
      </c>
      <c r="L604" s="50" t="str">
        <f t="shared" si="103"/>
        <v xml:space="preserve">Case 869 is a Local unlinked case, 41 years old male Singapore Permanent Resident  and has not been overseas. He is currently admitted at KTPH . </v>
      </c>
      <c r="M604" s="50" t="str">
        <f t="shared" si="104"/>
        <v/>
      </c>
      <c r="N604" s="50" t="str">
        <f t="shared" si="105"/>
        <v/>
      </c>
      <c r="O604" s="50" t="str">
        <f t="shared" si="106"/>
        <v/>
      </c>
      <c r="P604" s="50" t="str">
        <f t="shared" si="107"/>
        <v/>
      </c>
    </row>
    <row r="605" spans="1:16" x14ac:dyDescent="0.3">
      <c r="A605" s="50">
        <v>870</v>
      </c>
      <c r="B605" s="51">
        <v>43920</v>
      </c>
      <c r="C605" s="50" t="s">
        <v>1071</v>
      </c>
      <c r="D605" s="50">
        <v>54</v>
      </c>
      <c r="E605" s="50" t="s">
        <v>1059</v>
      </c>
      <c r="F605" s="50" t="s">
        <v>1060</v>
      </c>
      <c r="G605" s="50"/>
      <c r="H605" s="50" t="s">
        <v>1086</v>
      </c>
      <c r="I605" s="50" t="s">
        <v>1366</v>
      </c>
      <c r="J605" s="50" t="str">
        <f t="shared" si="101"/>
        <v>Male</v>
      </c>
      <c r="K605" s="50" t="str">
        <f t="shared" si="102"/>
        <v>Singaporean</v>
      </c>
      <c r="L605" s="50" t="str">
        <f t="shared" si="103"/>
        <v>Case 870 is a Local linked  case, 54 years old male Singapore Citizen  and has not been overseas. He is currently admitted at NCID . Family member of Case 393</v>
      </c>
      <c r="M605" s="50" t="str">
        <f t="shared" si="104"/>
        <v/>
      </c>
      <c r="N605" s="50" t="str">
        <f t="shared" si="105"/>
        <v/>
      </c>
      <c r="O605" s="50">
        <f t="shared" si="106"/>
        <v>870</v>
      </c>
      <c r="P605" s="50" t="str">
        <f t="shared" si="107"/>
        <v>Family member of Case 393</v>
      </c>
    </row>
    <row r="606" spans="1:16" x14ac:dyDescent="0.3">
      <c r="A606" s="50">
        <v>871</v>
      </c>
      <c r="B606" s="51">
        <v>43920</v>
      </c>
      <c r="C606" s="50" t="s">
        <v>1071</v>
      </c>
      <c r="D606" s="50">
        <v>19</v>
      </c>
      <c r="E606" s="50" t="s">
        <v>1073</v>
      </c>
      <c r="F606" s="50" t="s">
        <v>1060</v>
      </c>
      <c r="G606" s="50" t="s">
        <v>1063</v>
      </c>
      <c r="H606" s="50" t="s">
        <v>77</v>
      </c>
      <c r="I606" s="50"/>
      <c r="J606" s="50" t="str">
        <f t="shared" si="101"/>
        <v>Female</v>
      </c>
      <c r="K606" s="50" t="str">
        <f t="shared" si="102"/>
        <v>Singaporean</v>
      </c>
      <c r="L606" s="50" t="str">
        <f t="shared" si="103"/>
        <v xml:space="preserve">Case 871 is a Imported case, 19 years old female Singapore Citizen  and has been to UK . She is currently admitted at NCID . </v>
      </c>
      <c r="M606" s="50">
        <f t="shared" si="104"/>
        <v>871</v>
      </c>
      <c r="N606" s="50" t="str">
        <f t="shared" si="105"/>
        <v xml:space="preserve">UK </v>
      </c>
      <c r="O606" s="50" t="str">
        <f t="shared" si="106"/>
        <v/>
      </c>
      <c r="P606" s="50" t="str">
        <f t="shared" si="107"/>
        <v/>
      </c>
    </row>
    <row r="607" spans="1:16" x14ac:dyDescent="0.3">
      <c r="A607" s="50">
        <v>872</v>
      </c>
      <c r="B607" s="51">
        <v>43920</v>
      </c>
      <c r="C607" s="50" t="s">
        <v>1071</v>
      </c>
      <c r="D607" s="50">
        <v>39</v>
      </c>
      <c r="E607" s="50" t="s">
        <v>1073</v>
      </c>
      <c r="F607" s="50" t="s">
        <v>1060</v>
      </c>
      <c r="G607" s="50" t="s">
        <v>1341</v>
      </c>
      <c r="H607" s="50" t="s">
        <v>1069</v>
      </c>
      <c r="I607" s="50" t="s">
        <v>1367</v>
      </c>
      <c r="J607" s="50" t="str">
        <f t="shared" si="101"/>
        <v>Female</v>
      </c>
      <c r="K607" s="50" t="str">
        <f t="shared" si="102"/>
        <v>Singaporean</v>
      </c>
      <c r="L607" s="50" t="str">
        <f t="shared" si="103"/>
        <v>Case 872 is a Imported  case, 39 years old female Singapore Citizen  and has been to UAE . She is currently admitted at NCID . Contact of Case 832</v>
      </c>
      <c r="M607" s="50">
        <f t="shared" si="104"/>
        <v>872</v>
      </c>
      <c r="N607" s="50" t="str">
        <f t="shared" si="105"/>
        <v xml:space="preserve">UAE </v>
      </c>
      <c r="O607" s="50">
        <f t="shared" si="106"/>
        <v>872</v>
      </c>
      <c r="P607" s="50" t="str">
        <f t="shared" si="107"/>
        <v>Contact of Case 832</v>
      </c>
    </row>
    <row r="608" spans="1:16" x14ac:dyDescent="0.3">
      <c r="A608" s="50">
        <v>873</v>
      </c>
      <c r="B608" s="51">
        <v>43920</v>
      </c>
      <c r="C608" s="50" t="s">
        <v>1071</v>
      </c>
      <c r="D608" s="50">
        <v>47</v>
      </c>
      <c r="E608" s="50" t="s">
        <v>1073</v>
      </c>
      <c r="F608" s="50" t="s">
        <v>1060</v>
      </c>
      <c r="G608" s="50" t="s">
        <v>1305</v>
      </c>
      <c r="H608" s="50" t="s">
        <v>1086</v>
      </c>
      <c r="I608" s="50" t="s">
        <v>1356</v>
      </c>
      <c r="J608" s="50" t="str">
        <f t="shared" si="101"/>
        <v>Female</v>
      </c>
      <c r="K608" s="50" t="str">
        <f t="shared" si="102"/>
        <v>Singaporean</v>
      </c>
      <c r="L608" s="50" t="str">
        <f t="shared" si="103"/>
        <v>Case 873 is a Local linked  case, 47 years old female Singapore Citizen  and has been to Vietnam . She is currently admitted at NCID . Wilby Residences</v>
      </c>
      <c r="M608" s="50">
        <f t="shared" si="104"/>
        <v>873</v>
      </c>
      <c r="N608" s="50" t="str">
        <f t="shared" si="105"/>
        <v xml:space="preserve">Vietnam </v>
      </c>
      <c r="O608" s="50">
        <f t="shared" si="106"/>
        <v>873</v>
      </c>
      <c r="P608" s="50" t="str">
        <f t="shared" si="107"/>
        <v>Wilby Residences</v>
      </c>
    </row>
    <row r="609" spans="1:16" x14ac:dyDescent="0.3">
      <c r="A609" s="50">
        <v>874</v>
      </c>
      <c r="B609" s="51">
        <v>43920</v>
      </c>
      <c r="C609" s="50" t="s">
        <v>1071</v>
      </c>
      <c r="D609" s="50">
        <v>25</v>
      </c>
      <c r="E609" s="50" t="s">
        <v>1059</v>
      </c>
      <c r="F609" s="50" t="s">
        <v>1060</v>
      </c>
      <c r="G609" s="50" t="s">
        <v>1063</v>
      </c>
      <c r="H609" s="50" t="s">
        <v>77</v>
      </c>
      <c r="I609" s="50"/>
      <c r="J609" s="50" t="str">
        <f t="shared" si="101"/>
        <v>Male</v>
      </c>
      <c r="K609" s="50" t="str">
        <f t="shared" si="102"/>
        <v>Singaporean</v>
      </c>
      <c r="L609" s="50" t="str">
        <f t="shared" si="103"/>
        <v xml:space="preserve">Case 874 is a Imported case, 25 years old male Singapore Citizen  and has been to UK . He is currently admitted at NCID . </v>
      </c>
      <c r="M609" s="50">
        <f t="shared" si="104"/>
        <v>874</v>
      </c>
      <c r="N609" s="50" t="str">
        <f t="shared" si="105"/>
        <v xml:space="preserve">UK </v>
      </c>
      <c r="O609" s="50" t="str">
        <f t="shared" si="106"/>
        <v/>
      </c>
      <c r="P609" s="50" t="str">
        <f t="shared" si="107"/>
        <v/>
      </c>
    </row>
    <row r="610" spans="1:16" x14ac:dyDescent="0.3">
      <c r="A610" s="50">
        <v>875</v>
      </c>
      <c r="B610" s="51">
        <v>43920</v>
      </c>
      <c r="C610" s="50" t="s">
        <v>1062</v>
      </c>
      <c r="D610" s="50">
        <v>29</v>
      </c>
      <c r="E610" s="50" t="s">
        <v>1059</v>
      </c>
      <c r="F610" s="50" t="s">
        <v>1360</v>
      </c>
      <c r="G610" s="50"/>
      <c r="H610" s="50" t="s">
        <v>1061</v>
      </c>
      <c r="I610" s="50"/>
      <c r="J610" s="50" t="str">
        <f t="shared" si="101"/>
        <v>Male</v>
      </c>
      <c r="K610" s="50" t="str">
        <f t="shared" si="102"/>
        <v>Bangladesh</v>
      </c>
      <c r="L610" s="50" t="str">
        <f t="shared" si="103"/>
        <v xml:space="preserve">Case 875 is a Local unlinked case, 29 years old male Bangladesh (Singapore Work Pass holder)  and has not been overseas. He is currently admitted at NTFGH . </v>
      </c>
      <c r="M610" s="50" t="str">
        <f t="shared" si="104"/>
        <v/>
      </c>
      <c r="N610" s="50" t="str">
        <f t="shared" si="105"/>
        <v/>
      </c>
      <c r="O610" s="50" t="str">
        <f t="shared" si="106"/>
        <v/>
      </c>
      <c r="P610" s="50" t="str">
        <f t="shared" si="107"/>
        <v/>
      </c>
    </row>
    <row r="611" spans="1:16" x14ac:dyDescent="0.3">
      <c r="A611" s="50">
        <v>876</v>
      </c>
      <c r="B611" s="51">
        <v>43920</v>
      </c>
      <c r="C611" s="50" t="s">
        <v>1062</v>
      </c>
      <c r="D611" s="50">
        <v>53</v>
      </c>
      <c r="E611" s="50" t="s">
        <v>1073</v>
      </c>
      <c r="F611" s="50" t="s">
        <v>1060</v>
      </c>
      <c r="G611" s="50"/>
      <c r="H611" s="50" t="s">
        <v>1061</v>
      </c>
      <c r="I611" s="50"/>
      <c r="J611" s="50" t="str">
        <f t="shared" si="101"/>
        <v>Female</v>
      </c>
      <c r="K611" s="50" t="str">
        <f t="shared" si="102"/>
        <v>Singaporean</v>
      </c>
      <c r="L611" s="50" t="str">
        <f t="shared" si="103"/>
        <v xml:space="preserve">Case 876 is a Local unlinked case, 53 years old female Singapore Citizen  and has not been overseas. She is currently admitted at NTFGH . </v>
      </c>
      <c r="M611" s="50" t="str">
        <f t="shared" si="104"/>
        <v/>
      </c>
      <c r="N611" s="50" t="str">
        <f t="shared" si="105"/>
        <v/>
      </c>
      <c r="O611" s="50" t="str">
        <f t="shared" si="106"/>
        <v/>
      </c>
      <c r="P611" s="50" t="str">
        <f t="shared" si="107"/>
        <v/>
      </c>
    </row>
    <row r="612" spans="1:16" x14ac:dyDescent="0.3">
      <c r="A612" s="50">
        <v>877</v>
      </c>
      <c r="B612" s="51">
        <v>43920</v>
      </c>
      <c r="C612" s="50" t="s">
        <v>1062</v>
      </c>
      <c r="D612" s="50">
        <v>41</v>
      </c>
      <c r="E612" s="50" t="s">
        <v>932</v>
      </c>
      <c r="F612" s="50" t="s">
        <v>1156</v>
      </c>
      <c r="G612" s="50" t="s">
        <v>360</v>
      </c>
      <c r="H612" s="50" t="s">
        <v>77</v>
      </c>
      <c r="I612" s="50"/>
      <c r="J612" s="50" t="str">
        <f t="shared" si="101"/>
        <v>Male</v>
      </c>
      <c r="K612" s="50" t="str">
        <f t="shared" si="102"/>
        <v>Malaysia</v>
      </c>
      <c r="L612" s="50" t="str">
        <f t="shared" si="103"/>
        <v xml:space="preserve">Case 877 is a Imported case, 41 years old male Malaysia (Singapore Work Pass holder)  and has been to Malaysia . He is currently admitted at NTFGH . </v>
      </c>
      <c r="M612" s="50">
        <f t="shared" si="104"/>
        <v>877</v>
      </c>
      <c r="N612" s="50" t="str">
        <f t="shared" si="105"/>
        <v xml:space="preserve">Malaysia </v>
      </c>
      <c r="O612" s="50" t="str">
        <f t="shared" si="106"/>
        <v/>
      </c>
      <c r="P612" s="50" t="str">
        <f t="shared" si="107"/>
        <v/>
      </c>
    </row>
    <row r="613" spans="1:16" x14ac:dyDescent="0.3">
      <c r="A613" s="50">
        <v>878</v>
      </c>
      <c r="B613" s="51">
        <v>43920</v>
      </c>
      <c r="C613" s="50" t="s">
        <v>1066</v>
      </c>
      <c r="D613" s="50">
        <v>34</v>
      </c>
      <c r="E613" s="50" t="s">
        <v>1059</v>
      </c>
      <c r="F613" s="50" t="s">
        <v>1060</v>
      </c>
      <c r="G613" s="50"/>
      <c r="H613" s="50" t="s">
        <v>1061</v>
      </c>
      <c r="I613" s="50"/>
      <c r="J613" s="50" t="str">
        <f t="shared" si="101"/>
        <v>Male</v>
      </c>
      <c r="K613" s="50" t="str">
        <f t="shared" si="102"/>
        <v>Singaporean</v>
      </c>
      <c r="L613" s="50" t="str">
        <f t="shared" si="103"/>
        <v xml:space="preserve">Case 878 is a Local unlinked case, 34 years old male Singapore Citizen  and has not been overseas. He is currently admitted at SKH . </v>
      </c>
      <c r="M613" s="50" t="str">
        <f t="shared" si="104"/>
        <v/>
      </c>
      <c r="N613" s="50" t="str">
        <f t="shared" si="105"/>
        <v/>
      </c>
      <c r="O613" s="50" t="str">
        <f t="shared" si="106"/>
        <v/>
      </c>
      <c r="P613" s="50" t="str">
        <f t="shared" si="107"/>
        <v/>
      </c>
    </row>
    <row r="614" spans="1:16" x14ac:dyDescent="0.3">
      <c r="A614" s="50">
        <v>879</v>
      </c>
      <c r="B614" s="51">
        <v>43920</v>
      </c>
      <c r="C614" s="50" t="s">
        <v>1064</v>
      </c>
      <c r="D614" s="50">
        <v>26</v>
      </c>
      <c r="E614" s="50" t="s">
        <v>1059</v>
      </c>
      <c r="F614" s="50" t="s">
        <v>1060</v>
      </c>
      <c r="G614" s="50" t="s">
        <v>360</v>
      </c>
      <c r="H614" s="50" t="s">
        <v>1061</v>
      </c>
      <c r="I614" s="50"/>
      <c r="J614" s="50" t="str">
        <f t="shared" si="101"/>
        <v>Male</v>
      </c>
      <c r="K614" s="50" t="str">
        <f t="shared" si="102"/>
        <v>Singaporean</v>
      </c>
      <c r="L614" s="50" t="str">
        <f t="shared" si="103"/>
        <v xml:space="preserve">Case 879 is a Local unlinked case, 26 years old male Singapore Citizen  and has been to Malaysia . He is currently admitted at CGH . </v>
      </c>
      <c r="M614" s="50">
        <f t="shared" si="104"/>
        <v>879</v>
      </c>
      <c r="N614" s="50" t="str">
        <f t="shared" si="105"/>
        <v xml:space="preserve">Malaysia </v>
      </c>
      <c r="O614" s="50" t="str">
        <f t="shared" si="106"/>
        <v/>
      </c>
      <c r="P614" s="50" t="str">
        <f t="shared" si="107"/>
        <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88"/>
  <sheetViews>
    <sheetView topLeftCell="A165" workbookViewId="0">
      <selection activeCell="F180" sqref="F180"/>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row r="131" spans="1:2" x14ac:dyDescent="0.3">
      <c r="A131" s="1">
        <v>516</v>
      </c>
      <c r="B131" s="1" t="s">
        <v>1237</v>
      </c>
    </row>
    <row r="132" spans="1:2" x14ac:dyDescent="0.3">
      <c r="A132" s="1">
        <v>521</v>
      </c>
      <c r="B132" s="1" t="s">
        <v>1237</v>
      </c>
    </row>
    <row r="133" spans="1:2" x14ac:dyDescent="0.3">
      <c r="A133" s="1">
        <v>566</v>
      </c>
      <c r="B133" s="1" t="s">
        <v>1237</v>
      </c>
    </row>
    <row r="134" spans="1:2" x14ac:dyDescent="0.3">
      <c r="A134" s="1">
        <v>567</v>
      </c>
      <c r="B134" s="1" t="s">
        <v>1237</v>
      </c>
    </row>
    <row r="135" spans="1:2" x14ac:dyDescent="0.3">
      <c r="A135" s="1">
        <v>572</v>
      </c>
      <c r="B135" s="1" t="s">
        <v>1237</v>
      </c>
    </row>
    <row r="136" spans="1:2" x14ac:dyDescent="0.3">
      <c r="A136" s="1">
        <v>583</v>
      </c>
      <c r="B136" s="1" t="s">
        <v>1237</v>
      </c>
    </row>
    <row r="137" spans="1:2" x14ac:dyDescent="0.3">
      <c r="A137" s="1">
        <v>584</v>
      </c>
      <c r="B137" s="1" t="s">
        <v>1237</v>
      </c>
    </row>
    <row r="138" spans="1:2" x14ac:dyDescent="0.3">
      <c r="A138" s="1">
        <v>601</v>
      </c>
      <c r="B138" s="1" t="s">
        <v>1237</v>
      </c>
    </row>
    <row r="139" spans="1:2" x14ac:dyDescent="0.3">
      <c r="A139" s="1">
        <v>602</v>
      </c>
      <c r="B139" s="1" t="s">
        <v>1237</v>
      </c>
    </row>
    <row r="140" spans="1:2" x14ac:dyDescent="0.3">
      <c r="A140" s="1">
        <v>603</v>
      </c>
      <c r="B140" s="1" t="s">
        <v>1237</v>
      </c>
    </row>
    <row r="141" spans="1:2" x14ac:dyDescent="0.3">
      <c r="A141" s="1">
        <v>604</v>
      </c>
      <c r="B141" s="1" t="s">
        <v>1237</v>
      </c>
    </row>
    <row r="142" spans="1:2" x14ac:dyDescent="0.3">
      <c r="A142" s="1">
        <v>605</v>
      </c>
      <c r="B142" s="1" t="s">
        <v>1237</v>
      </c>
    </row>
    <row r="143" spans="1:2" x14ac:dyDescent="0.3">
      <c r="A143" s="1">
        <v>609</v>
      </c>
      <c r="B143" s="1" t="s">
        <v>1237</v>
      </c>
    </row>
    <row r="144" spans="1:2" x14ac:dyDescent="0.3">
      <c r="A144" s="1">
        <v>610</v>
      </c>
      <c r="B144" s="1" t="s">
        <v>1237</v>
      </c>
    </row>
    <row r="145" spans="1:2" x14ac:dyDescent="0.3">
      <c r="A145" s="1">
        <v>612</v>
      </c>
      <c r="B145" s="1" t="s">
        <v>1237</v>
      </c>
    </row>
    <row r="146" spans="1:2" x14ac:dyDescent="0.3">
      <c r="A146" s="1">
        <v>614</v>
      </c>
      <c r="B146" s="1" t="s">
        <v>1237</v>
      </c>
    </row>
    <row r="147" spans="1:2" x14ac:dyDescent="0.3">
      <c r="A147" s="1">
        <v>617</v>
      </c>
      <c r="B147" s="1" t="s">
        <v>1237</v>
      </c>
    </row>
    <row r="148" spans="1:2" x14ac:dyDescent="0.3">
      <c r="A148" s="1">
        <v>624</v>
      </c>
      <c r="B148" s="1" t="s">
        <v>1237</v>
      </c>
    </row>
    <row r="149" spans="1:2" x14ac:dyDescent="0.3">
      <c r="A149" s="1">
        <v>556</v>
      </c>
      <c r="B149" s="1" t="s">
        <v>1348</v>
      </c>
    </row>
    <row r="150" spans="1:2" x14ac:dyDescent="0.3">
      <c r="A150" s="1">
        <v>618</v>
      </c>
      <c r="B150" s="1" t="s">
        <v>1348</v>
      </c>
    </row>
    <row r="151" spans="1:2" x14ac:dyDescent="0.3">
      <c r="A151" s="1">
        <v>626</v>
      </c>
      <c r="B151" s="1" t="s">
        <v>1348</v>
      </c>
    </row>
    <row r="152" spans="1:2" x14ac:dyDescent="0.3">
      <c r="A152" s="1">
        <v>638</v>
      </c>
      <c r="B152" s="1" t="s">
        <v>1237</v>
      </c>
    </row>
    <row r="153" spans="1:2" x14ac:dyDescent="0.3">
      <c r="A153" s="6">
        <v>660</v>
      </c>
      <c r="B153" s="1" t="s">
        <v>1237</v>
      </c>
    </row>
    <row r="154" spans="1:2" x14ac:dyDescent="0.3">
      <c r="A154" s="6">
        <v>662</v>
      </c>
      <c r="B154" s="1" t="s">
        <v>1348</v>
      </c>
    </row>
    <row r="155" spans="1:2" x14ac:dyDescent="0.3">
      <c r="A155" s="1">
        <v>686</v>
      </c>
      <c r="B155" s="1" t="s">
        <v>1348</v>
      </c>
    </row>
    <row r="156" spans="1:2" x14ac:dyDescent="0.3">
      <c r="A156" s="1">
        <v>713</v>
      </c>
      <c r="B156" s="1" t="s">
        <v>1348</v>
      </c>
    </row>
    <row r="157" spans="1:2" x14ac:dyDescent="0.3">
      <c r="A157" s="1">
        <v>729</v>
      </c>
      <c r="B157" s="1" t="s">
        <v>1348</v>
      </c>
    </row>
    <row r="158" spans="1:2" x14ac:dyDescent="0.3">
      <c r="A158" s="1">
        <v>581</v>
      </c>
      <c r="B158" s="1" t="s">
        <v>1347</v>
      </c>
    </row>
    <row r="159" spans="1:2" x14ac:dyDescent="0.3">
      <c r="A159" s="1">
        <v>689</v>
      </c>
      <c r="B159" s="1" t="s">
        <v>1347</v>
      </c>
    </row>
    <row r="160" spans="1:2" x14ac:dyDescent="0.3">
      <c r="A160" s="1">
        <v>724</v>
      </c>
      <c r="B160" s="1" t="s">
        <v>1347</v>
      </c>
    </row>
    <row r="161" spans="1:2" x14ac:dyDescent="0.3">
      <c r="A161" s="1">
        <v>761</v>
      </c>
      <c r="B161" s="1" t="s">
        <v>1348</v>
      </c>
    </row>
    <row r="162" spans="1:2" x14ac:dyDescent="0.3">
      <c r="A162" s="1">
        <v>740</v>
      </c>
      <c r="B162" s="1" t="s">
        <v>1347</v>
      </c>
    </row>
    <row r="163" spans="1:2" x14ac:dyDescent="0.3">
      <c r="A163" s="1">
        <v>796</v>
      </c>
      <c r="B163" s="1" t="s">
        <v>1347</v>
      </c>
    </row>
    <row r="164" spans="1:2" x14ac:dyDescent="0.3">
      <c r="A164" s="1">
        <v>745</v>
      </c>
      <c r="B164" s="1" t="s">
        <v>1346</v>
      </c>
    </row>
    <row r="165" spans="1:2" x14ac:dyDescent="0.3">
      <c r="A165" s="1">
        <v>802</v>
      </c>
      <c r="B165" s="1" t="s">
        <v>1346</v>
      </c>
    </row>
    <row r="166" spans="1:2" x14ac:dyDescent="0.3">
      <c r="A166" s="1">
        <v>810</v>
      </c>
      <c r="B166" s="1" t="s">
        <v>1346</v>
      </c>
    </row>
    <row r="167" spans="1:2" x14ac:dyDescent="0.3">
      <c r="A167" s="1">
        <v>705</v>
      </c>
      <c r="B167" s="1" t="s">
        <v>1237</v>
      </c>
    </row>
    <row r="168" spans="1:2" x14ac:dyDescent="0.3">
      <c r="A168" s="1">
        <v>706</v>
      </c>
      <c r="B168" s="1" t="s">
        <v>1237</v>
      </c>
    </row>
    <row r="169" spans="1:2" x14ac:dyDescent="0.3">
      <c r="A169" s="1">
        <v>707</v>
      </c>
      <c r="B169" s="1" t="s">
        <v>1237</v>
      </c>
    </row>
    <row r="170" spans="1:2" x14ac:dyDescent="0.3">
      <c r="A170" s="1">
        <v>708</v>
      </c>
      <c r="B170" s="1" t="s">
        <v>1237</v>
      </c>
    </row>
    <row r="171" spans="1:2" x14ac:dyDescent="0.3">
      <c r="A171" s="1">
        <v>716</v>
      </c>
      <c r="B171" s="1" t="s">
        <v>1237</v>
      </c>
    </row>
    <row r="172" spans="1:2" x14ac:dyDescent="0.3">
      <c r="A172" s="1">
        <v>746</v>
      </c>
      <c r="B172" s="1" t="s">
        <v>1237</v>
      </c>
    </row>
    <row r="173" spans="1:2" x14ac:dyDescent="0.3">
      <c r="A173" s="52">
        <v>826</v>
      </c>
      <c r="B173" s="52" t="s">
        <v>1349</v>
      </c>
    </row>
    <row r="174" spans="1:2" x14ac:dyDescent="0.3">
      <c r="A174" s="52">
        <v>829</v>
      </c>
      <c r="B174" s="52" t="s">
        <v>1349</v>
      </c>
    </row>
    <row r="175" spans="1:2" x14ac:dyDescent="0.3">
      <c r="A175" s="52">
        <v>852</v>
      </c>
      <c r="B175" s="52" t="s">
        <v>1349</v>
      </c>
    </row>
    <row r="176" spans="1:2" x14ac:dyDescent="0.3">
      <c r="A176" s="52">
        <v>860</v>
      </c>
      <c r="B176" s="52" t="s">
        <v>1349</v>
      </c>
    </row>
    <row r="177" spans="1:2" x14ac:dyDescent="0.3">
      <c r="A177" s="52">
        <v>439</v>
      </c>
      <c r="B177" s="52" t="s">
        <v>1350</v>
      </c>
    </row>
    <row r="178" spans="1:2" x14ac:dyDescent="0.3">
      <c r="A178" s="52">
        <v>678</v>
      </c>
      <c r="B178" s="52" t="s">
        <v>1350</v>
      </c>
    </row>
    <row r="179" spans="1:2" x14ac:dyDescent="0.3">
      <c r="A179" s="52">
        <v>793</v>
      </c>
      <c r="B179" s="52" t="s">
        <v>1350</v>
      </c>
    </row>
    <row r="180" spans="1:2" x14ac:dyDescent="0.3">
      <c r="A180" s="52">
        <v>818</v>
      </c>
      <c r="B180" s="52" t="s">
        <v>1350</v>
      </c>
    </row>
    <row r="181" spans="1:2" x14ac:dyDescent="0.3">
      <c r="A181" s="52">
        <v>848</v>
      </c>
      <c r="B181" s="52" t="s">
        <v>1350</v>
      </c>
    </row>
    <row r="182" spans="1:2" x14ac:dyDescent="0.3">
      <c r="A182" s="52">
        <v>864</v>
      </c>
      <c r="B182" s="52" t="s">
        <v>1350</v>
      </c>
    </row>
    <row r="183" spans="1:2" x14ac:dyDescent="0.3">
      <c r="A183" s="52">
        <v>873</v>
      </c>
      <c r="B183" s="52" t="s">
        <v>1350</v>
      </c>
    </row>
    <row r="184" spans="1:2" x14ac:dyDescent="0.3">
      <c r="A184" s="52">
        <v>192</v>
      </c>
      <c r="B184" s="52" t="s">
        <v>1351</v>
      </c>
    </row>
    <row r="185" spans="1:2" x14ac:dyDescent="0.3">
      <c r="A185" s="52">
        <v>556</v>
      </c>
      <c r="B185" s="52" t="s">
        <v>1351</v>
      </c>
    </row>
    <row r="186" spans="1:2" x14ac:dyDescent="0.3">
      <c r="A186" s="52">
        <v>657</v>
      </c>
      <c r="B186" s="52" t="s">
        <v>1351</v>
      </c>
    </row>
    <row r="187" spans="1:2" x14ac:dyDescent="0.3">
      <c r="A187" s="52">
        <v>670</v>
      </c>
      <c r="B187" s="52" t="s">
        <v>1351</v>
      </c>
    </row>
    <row r="188" spans="1:2" x14ac:dyDescent="0.3">
      <c r="A188" s="52">
        <v>813</v>
      </c>
      <c r="B188" s="52" t="s">
        <v>1351</v>
      </c>
    </row>
  </sheetData>
  <sortState ref="A2:B113">
    <sortCondition ref="A2:A113"/>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044"/>
  <sheetViews>
    <sheetView topLeftCell="A1019" workbookViewId="0">
      <selection activeCell="C1029" sqref="A1029:C1044"/>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1196</v>
      </c>
      <c r="C657" s="1" t="s">
        <v>1129</v>
      </c>
    </row>
    <row r="658" spans="1:3" x14ac:dyDescent="0.3">
      <c r="A658" s="1">
        <v>352</v>
      </c>
      <c r="B658" s="1" t="s">
        <v>1197</v>
      </c>
      <c r="C658" s="1" t="s">
        <v>1129</v>
      </c>
    </row>
    <row r="659" spans="1:3" x14ac:dyDescent="0.3">
      <c r="A659" s="1">
        <v>352</v>
      </c>
      <c r="B659" s="1" t="s">
        <v>1198</v>
      </c>
      <c r="C659" s="1" t="s">
        <v>1129</v>
      </c>
    </row>
    <row r="660" spans="1:3" x14ac:dyDescent="0.3">
      <c r="A660" s="1">
        <v>352</v>
      </c>
      <c r="B660" s="1" t="s">
        <v>1199</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1200</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1201</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1202</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1203</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1177</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1177</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1204</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1205</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1220</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1202</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row r="814" spans="1:3" x14ac:dyDescent="0.3">
      <c r="A814" s="1">
        <v>510</v>
      </c>
      <c r="B814" s="1" t="s">
        <v>360</v>
      </c>
      <c r="C814" s="1" t="s">
        <v>1129</v>
      </c>
    </row>
    <row r="815" spans="1:3" x14ac:dyDescent="0.3">
      <c r="A815" s="1">
        <v>511</v>
      </c>
      <c r="B815" s="1" t="s">
        <v>360</v>
      </c>
      <c r="C815" s="1" t="s">
        <v>1129</v>
      </c>
    </row>
    <row r="816" spans="1:3" x14ac:dyDescent="0.3">
      <c r="A816" s="1">
        <v>512</v>
      </c>
      <c r="B816" s="1" t="s">
        <v>1063</v>
      </c>
      <c r="C816" s="1" t="s">
        <v>1129</v>
      </c>
    </row>
    <row r="817" spans="1:3" x14ac:dyDescent="0.3">
      <c r="A817" s="1">
        <v>513</v>
      </c>
      <c r="B817" s="1" t="s">
        <v>1177</v>
      </c>
      <c r="C817" s="1" t="s">
        <v>1129</v>
      </c>
    </row>
    <row r="818" spans="1:3" x14ac:dyDescent="0.3">
      <c r="A818" s="1">
        <v>514</v>
      </c>
      <c r="B818" s="1" t="s">
        <v>1177</v>
      </c>
      <c r="C818" s="1" t="s">
        <v>1129</v>
      </c>
    </row>
    <row r="819" spans="1:3" x14ac:dyDescent="0.3">
      <c r="A819" s="1">
        <v>515</v>
      </c>
      <c r="B819" s="1" t="s">
        <v>1085</v>
      </c>
      <c r="C819" s="1" t="s">
        <v>1129</v>
      </c>
    </row>
    <row r="820" spans="1:3" x14ac:dyDescent="0.3">
      <c r="A820" s="1">
        <v>516</v>
      </c>
      <c r="B820" s="1" t="s">
        <v>1176</v>
      </c>
      <c r="C820" s="1" t="s">
        <v>1129</v>
      </c>
    </row>
    <row r="821" spans="1:3" x14ac:dyDescent="0.3">
      <c r="A821" s="1">
        <v>517</v>
      </c>
      <c r="B821" s="1" t="s">
        <v>354</v>
      </c>
      <c r="C821" s="1" t="s">
        <v>1129</v>
      </c>
    </row>
    <row r="822" spans="1:3" x14ac:dyDescent="0.3">
      <c r="A822" s="1">
        <v>517</v>
      </c>
      <c r="B822" s="1" t="s">
        <v>1063</v>
      </c>
      <c r="C822" s="1" t="s">
        <v>1129</v>
      </c>
    </row>
    <row r="823" spans="1:3" x14ac:dyDescent="0.3">
      <c r="A823" s="1">
        <v>518</v>
      </c>
      <c r="B823" s="1" t="s">
        <v>1085</v>
      </c>
      <c r="C823" s="1" t="s">
        <v>1129</v>
      </c>
    </row>
    <row r="824" spans="1:3" x14ac:dyDescent="0.3">
      <c r="A824" s="1">
        <v>519</v>
      </c>
      <c r="B824" s="1" t="s">
        <v>802</v>
      </c>
      <c r="C824" s="1" t="s">
        <v>1129</v>
      </c>
    </row>
    <row r="825" spans="1:3" x14ac:dyDescent="0.3">
      <c r="A825" s="1">
        <v>521</v>
      </c>
      <c r="B825" s="1" t="s">
        <v>360</v>
      </c>
      <c r="C825" s="1" t="s">
        <v>1129</v>
      </c>
    </row>
    <row r="826" spans="1:3" x14ac:dyDescent="0.3">
      <c r="A826" s="1">
        <v>522</v>
      </c>
      <c r="B826" s="1" t="s">
        <v>1085</v>
      </c>
      <c r="C826" s="1" t="s">
        <v>1129</v>
      </c>
    </row>
    <row r="827" spans="1:3" x14ac:dyDescent="0.3">
      <c r="A827" s="1">
        <v>523</v>
      </c>
      <c r="B827" s="1" t="s">
        <v>706</v>
      </c>
      <c r="C827" s="1" t="s">
        <v>1129</v>
      </c>
    </row>
    <row r="828" spans="1:3" x14ac:dyDescent="0.3">
      <c r="A828" s="1">
        <v>526</v>
      </c>
      <c r="B828" s="1" t="s">
        <v>1085</v>
      </c>
      <c r="C828" s="1" t="s">
        <v>1129</v>
      </c>
    </row>
    <row r="829" spans="1:3" x14ac:dyDescent="0.3">
      <c r="A829" s="1">
        <v>529</v>
      </c>
      <c r="B829" s="1" t="s">
        <v>1051</v>
      </c>
      <c r="C829" s="1" t="s">
        <v>1129</v>
      </c>
    </row>
    <row r="830" spans="1:3" x14ac:dyDescent="0.3">
      <c r="A830" s="1">
        <v>530</v>
      </c>
      <c r="B830" s="1" t="s">
        <v>1085</v>
      </c>
      <c r="C830" s="1" t="s">
        <v>1129</v>
      </c>
    </row>
    <row r="831" spans="1:3" x14ac:dyDescent="0.3">
      <c r="A831" s="1">
        <v>532</v>
      </c>
      <c r="B831" s="1" t="s">
        <v>1225</v>
      </c>
      <c r="C831" s="1" t="s">
        <v>1129</v>
      </c>
    </row>
    <row r="832" spans="1:3" x14ac:dyDescent="0.3">
      <c r="A832" s="1">
        <v>534</v>
      </c>
      <c r="B832" s="1" t="s">
        <v>1051</v>
      </c>
      <c r="C832" s="1" t="s">
        <v>1129</v>
      </c>
    </row>
    <row r="833" spans="1:3" x14ac:dyDescent="0.3">
      <c r="A833" s="1">
        <v>537</v>
      </c>
      <c r="B833" s="1" t="s">
        <v>1051</v>
      </c>
      <c r="C833" s="1" t="s">
        <v>1129</v>
      </c>
    </row>
    <row r="834" spans="1:3" x14ac:dyDescent="0.3">
      <c r="A834" s="1">
        <v>538</v>
      </c>
      <c r="B834" s="1" t="s">
        <v>1225</v>
      </c>
      <c r="C834" s="1" t="s">
        <v>1129</v>
      </c>
    </row>
    <row r="835" spans="1:3" x14ac:dyDescent="0.3">
      <c r="A835" s="1">
        <v>540</v>
      </c>
      <c r="B835" s="1" t="s">
        <v>1085</v>
      </c>
      <c r="C835" s="1" t="s">
        <v>1129</v>
      </c>
    </row>
    <row r="836" spans="1:3" x14ac:dyDescent="0.3">
      <c r="A836" s="1">
        <v>541</v>
      </c>
      <c r="B836" s="1" t="s">
        <v>1051</v>
      </c>
      <c r="C836" s="1" t="s">
        <v>1129</v>
      </c>
    </row>
    <row r="837" spans="1:3" x14ac:dyDescent="0.3">
      <c r="A837" s="1">
        <v>542</v>
      </c>
      <c r="B837" s="1" t="s">
        <v>1051</v>
      </c>
      <c r="C837" s="1" t="s">
        <v>1129</v>
      </c>
    </row>
    <row r="838" spans="1:3" x14ac:dyDescent="0.3">
      <c r="A838" s="1">
        <v>543</v>
      </c>
      <c r="B838" s="1" t="s">
        <v>1051</v>
      </c>
      <c r="C838" s="1" t="s">
        <v>1129</v>
      </c>
    </row>
    <row r="839" spans="1:3" x14ac:dyDescent="0.3">
      <c r="A839" s="1">
        <v>544</v>
      </c>
      <c r="B839" s="1" t="s">
        <v>1051</v>
      </c>
      <c r="C839" s="1" t="s">
        <v>1129</v>
      </c>
    </row>
    <row r="840" spans="1:3" x14ac:dyDescent="0.3">
      <c r="A840" s="1">
        <v>545</v>
      </c>
      <c r="B840" s="1" t="s">
        <v>1225</v>
      </c>
      <c r="C840" s="1" t="s">
        <v>1129</v>
      </c>
    </row>
    <row r="841" spans="1:3" x14ac:dyDescent="0.3">
      <c r="A841" s="1">
        <v>546</v>
      </c>
      <c r="B841" s="1" t="s">
        <v>1063</v>
      </c>
      <c r="C841" s="1" t="s">
        <v>1129</v>
      </c>
    </row>
    <row r="842" spans="1:3" x14ac:dyDescent="0.3">
      <c r="A842" s="1">
        <v>547</v>
      </c>
      <c r="B842" s="1" t="s">
        <v>1063</v>
      </c>
      <c r="C842" s="1" t="s">
        <v>1129</v>
      </c>
    </row>
    <row r="843" spans="1:3" x14ac:dyDescent="0.3">
      <c r="A843" s="1">
        <v>548</v>
      </c>
      <c r="B843" s="1" t="s">
        <v>711</v>
      </c>
      <c r="C843" s="1" t="s">
        <v>1129</v>
      </c>
    </row>
    <row r="844" spans="1:3" x14ac:dyDescent="0.3">
      <c r="A844" s="1">
        <v>549</v>
      </c>
      <c r="B844" s="1" t="s">
        <v>1063</v>
      </c>
      <c r="C844" s="1" t="s">
        <v>1129</v>
      </c>
    </row>
    <row r="845" spans="1:3" x14ac:dyDescent="0.3">
      <c r="A845" s="1">
        <v>551</v>
      </c>
      <c r="B845" s="1" t="s">
        <v>1063</v>
      </c>
      <c r="C845" s="1" t="s">
        <v>1129</v>
      </c>
    </row>
    <row r="846" spans="1:3" x14ac:dyDescent="0.3">
      <c r="A846" s="1">
        <v>552</v>
      </c>
      <c r="B846" s="1" t="s">
        <v>1063</v>
      </c>
      <c r="C846" s="1" t="s">
        <v>1129</v>
      </c>
    </row>
    <row r="847" spans="1:3" x14ac:dyDescent="0.3">
      <c r="A847" s="1">
        <v>554</v>
      </c>
      <c r="B847" s="1" t="s">
        <v>948</v>
      </c>
      <c r="C847" s="1" t="s">
        <v>1129</v>
      </c>
    </row>
    <row r="848" spans="1:3" x14ac:dyDescent="0.3">
      <c r="A848" s="1">
        <v>554</v>
      </c>
      <c r="B848" s="1" t="s">
        <v>1235</v>
      </c>
      <c r="C848" s="1" t="s">
        <v>1129</v>
      </c>
    </row>
    <row r="849" spans="1:3" x14ac:dyDescent="0.3">
      <c r="A849" s="1">
        <v>555</v>
      </c>
      <c r="B849" s="1" t="s">
        <v>1063</v>
      </c>
      <c r="C849" s="1" t="s">
        <v>1129</v>
      </c>
    </row>
    <row r="850" spans="1:3" x14ac:dyDescent="0.3">
      <c r="A850" s="1">
        <v>556</v>
      </c>
      <c r="B850" s="1" t="s">
        <v>844</v>
      </c>
      <c r="C850" s="1" t="s">
        <v>1129</v>
      </c>
    </row>
    <row r="851" spans="1:3" x14ac:dyDescent="0.3">
      <c r="A851" s="1">
        <v>557</v>
      </c>
      <c r="B851" s="1" t="s">
        <v>1233</v>
      </c>
      <c r="C851" s="1" t="s">
        <v>1129</v>
      </c>
    </row>
    <row r="852" spans="1:3" x14ac:dyDescent="0.3">
      <c r="A852" s="1">
        <v>558</v>
      </c>
      <c r="B852" s="1" t="s">
        <v>360</v>
      </c>
      <c r="C852" s="1" t="s">
        <v>1129</v>
      </c>
    </row>
    <row r="853" spans="1:3" x14ac:dyDescent="0.3">
      <c r="A853" s="1">
        <v>559</v>
      </c>
      <c r="B853" s="1" t="s">
        <v>1063</v>
      </c>
      <c r="C853" s="1" t="s">
        <v>1129</v>
      </c>
    </row>
    <row r="854" spans="1:3" x14ac:dyDescent="0.3">
      <c r="A854" s="1">
        <v>560</v>
      </c>
      <c r="B854" s="1" t="s">
        <v>1085</v>
      </c>
      <c r="C854" s="1" t="s">
        <v>1129</v>
      </c>
    </row>
    <row r="855" spans="1:3" x14ac:dyDescent="0.3">
      <c r="A855" s="1">
        <v>561</v>
      </c>
      <c r="B855" s="1" t="s">
        <v>703</v>
      </c>
      <c r="C855" s="1" t="s">
        <v>1129</v>
      </c>
    </row>
    <row r="856" spans="1:3" x14ac:dyDescent="0.3">
      <c r="A856" s="1">
        <v>562</v>
      </c>
      <c r="B856" s="1" t="s">
        <v>687</v>
      </c>
      <c r="C856" s="1" t="s">
        <v>1129</v>
      </c>
    </row>
    <row r="857" spans="1:3" x14ac:dyDescent="0.3">
      <c r="A857" s="1">
        <v>563</v>
      </c>
      <c r="B857" s="1" t="s">
        <v>1063</v>
      </c>
      <c r="C857" s="1" t="s">
        <v>1129</v>
      </c>
    </row>
    <row r="858" spans="1:3" x14ac:dyDescent="0.3">
      <c r="A858" s="1">
        <v>564</v>
      </c>
      <c r="B858" s="1" t="s">
        <v>1177</v>
      </c>
      <c r="C858" s="1" t="s">
        <v>1129</v>
      </c>
    </row>
    <row r="859" spans="1:3" x14ac:dyDescent="0.3">
      <c r="A859" s="1">
        <v>565</v>
      </c>
      <c r="B859" s="1" t="s">
        <v>1063</v>
      </c>
      <c r="C859" s="1" t="s">
        <v>1129</v>
      </c>
    </row>
    <row r="860" spans="1:3" x14ac:dyDescent="0.3">
      <c r="A860" s="1">
        <v>566</v>
      </c>
      <c r="B860" s="1" t="s">
        <v>360</v>
      </c>
      <c r="C860" s="1" t="s">
        <v>1129</v>
      </c>
    </row>
    <row r="861" spans="1:3" x14ac:dyDescent="0.3">
      <c r="A861" s="1">
        <v>567</v>
      </c>
      <c r="B861" s="1" t="s">
        <v>360</v>
      </c>
      <c r="C861" s="1" t="s">
        <v>1129</v>
      </c>
    </row>
    <row r="862" spans="1:3" x14ac:dyDescent="0.3">
      <c r="A862" s="1">
        <v>568</v>
      </c>
      <c r="B862" s="1" t="s">
        <v>360</v>
      </c>
      <c r="C862" s="1" t="s">
        <v>1129</v>
      </c>
    </row>
    <row r="863" spans="1:3" x14ac:dyDescent="0.3">
      <c r="A863" s="1">
        <v>569</v>
      </c>
      <c r="B863" s="1" t="s">
        <v>1063</v>
      </c>
      <c r="C863" s="1" t="s">
        <v>1129</v>
      </c>
    </row>
    <row r="864" spans="1:3" x14ac:dyDescent="0.3">
      <c r="A864" s="1">
        <v>571</v>
      </c>
      <c r="B864" s="1" t="s">
        <v>1063</v>
      </c>
      <c r="C864" s="1" t="s">
        <v>1129</v>
      </c>
    </row>
    <row r="865" spans="1:3" x14ac:dyDescent="0.3">
      <c r="A865" s="1">
        <v>574</v>
      </c>
      <c r="B865" s="1" t="s">
        <v>1177</v>
      </c>
      <c r="C865" s="1" t="s">
        <v>1129</v>
      </c>
    </row>
    <row r="866" spans="1:3" x14ac:dyDescent="0.3">
      <c r="A866" s="1">
        <v>575</v>
      </c>
      <c r="B866" s="1" t="s">
        <v>1177</v>
      </c>
      <c r="C866" s="1" t="s">
        <v>1129</v>
      </c>
    </row>
    <row r="867" spans="1:3" x14ac:dyDescent="0.3">
      <c r="A867" s="1">
        <v>576</v>
      </c>
      <c r="B867" s="1" t="s">
        <v>1085</v>
      </c>
      <c r="C867" s="1" t="s">
        <v>1129</v>
      </c>
    </row>
    <row r="868" spans="1:3" x14ac:dyDescent="0.3">
      <c r="A868" s="1">
        <v>579</v>
      </c>
      <c r="B868" s="1" t="s">
        <v>1063</v>
      </c>
      <c r="C868" s="1" t="s">
        <v>1129</v>
      </c>
    </row>
    <row r="869" spans="1:3" x14ac:dyDescent="0.3">
      <c r="A869" s="1">
        <v>582</v>
      </c>
      <c r="B869" s="1" t="s">
        <v>1085</v>
      </c>
      <c r="C869" s="1" t="s">
        <v>1129</v>
      </c>
    </row>
    <row r="870" spans="1:3" x14ac:dyDescent="0.3">
      <c r="A870" s="1">
        <v>587</v>
      </c>
      <c r="B870" s="1" t="s">
        <v>1063</v>
      </c>
      <c r="C870" s="1" t="s">
        <v>1129</v>
      </c>
    </row>
    <row r="871" spans="1:3" x14ac:dyDescent="0.3">
      <c r="A871" s="1">
        <v>588</v>
      </c>
      <c r="B871" s="1" t="s">
        <v>1063</v>
      </c>
      <c r="C871" s="1" t="s">
        <v>1129</v>
      </c>
    </row>
    <row r="872" spans="1:3" x14ac:dyDescent="0.3">
      <c r="A872" s="1">
        <v>590</v>
      </c>
      <c r="B872" s="1" t="s">
        <v>1063</v>
      </c>
      <c r="C872" s="1" t="s">
        <v>1129</v>
      </c>
    </row>
    <row r="873" spans="1:3" x14ac:dyDescent="0.3">
      <c r="A873" s="1">
        <v>591</v>
      </c>
      <c r="B873" s="1" t="s">
        <v>355</v>
      </c>
      <c r="C873" s="1" t="s">
        <v>1129</v>
      </c>
    </row>
    <row r="874" spans="1:3" x14ac:dyDescent="0.3">
      <c r="A874" s="1">
        <v>592</v>
      </c>
      <c r="B874" s="1" t="s">
        <v>1063</v>
      </c>
      <c r="C874" s="1" t="s">
        <v>1129</v>
      </c>
    </row>
    <row r="875" spans="1:3" x14ac:dyDescent="0.3">
      <c r="A875" s="1">
        <v>593</v>
      </c>
      <c r="B875" s="1" t="s">
        <v>1085</v>
      </c>
      <c r="C875" s="1" t="s">
        <v>1129</v>
      </c>
    </row>
    <row r="876" spans="1:3" x14ac:dyDescent="0.3">
      <c r="A876" s="1">
        <v>595</v>
      </c>
      <c r="B876" s="1" t="s">
        <v>1177</v>
      </c>
      <c r="C876" s="1" t="s">
        <v>1129</v>
      </c>
    </row>
    <row r="877" spans="1:3" x14ac:dyDescent="0.3">
      <c r="A877" s="1">
        <v>596</v>
      </c>
      <c r="B877" s="1" t="s">
        <v>1063</v>
      </c>
      <c r="C877" s="1" t="s">
        <v>1129</v>
      </c>
    </row>
    <row r="878" spans="1:3" x14ac:dyDescent="0.3">
      <c r="A878" s="1">
        <v>599</v>
      </c>
      <c r="B878" s="1" t="s">
        <v>1063</v>
      </c>
      <c r="C878" s="1" t="s">
        <v>1129</v>
      </c>
    </row>
    <row r="879" spans="1:3" x14ac:dyDescent="0.3">
      <c r="A879" s="1">
        <v>600</v>
      </c>
      <c r="B879" s="1" t="s">
        <v>1177</v>
      </c>
      <c r="C879" s="1" t="s">
        <v>1129</v>
      </c>
    </row>
    <row r="880" spans="1:3" x14ac:dyDescent="0.3">
      <c r="A880" s="1">
        <v>607</v>
      </c>
      <c r="B880" s="1" t="s">
        <v>1063</v>
      </c>
      <c r="C880" s="1" t="s">
        <v>1129</v>
      </c>
    </row>
    <row r="881" spans="1:3" x14ac:dyDescent="0.3">
      <c r="A881" s="1">
        <v>608</v>
      </c>
      <c r="B881" s="1" t="s">
        <v>809</v>
      </c>
      <c r="C881" s="1" t="s">
        <v>1129</v>
      </c>
    </row>
    <row r="882" spans="1:3" x14ac:dyDescent="0.3">
      <c r="A882" s="1">
        <v>611</v>
      </c>
      <c r="B882" s="1" t="s">
        <v>1063</v>
      </c>
      <c r="C882" s="1" t="s">
        <v>1129</v>
      </c>
    </row>
    <row r="883" spans="1:3" x14ac:dyDescent="0.3">
      <c r="A883" s="1">
        <v>613</v>
      </c>
      <c r="B883" s="1" t="s">
        <v>794</v>
      </c>
      <c r="C883" s="1" t="s">
        <v>1129</v>
      </c>
    </row>
    <row r="884" spans="1:3" x14ac:dyDescent="0.3">
      <c r="A884" s="1">
        <v>615</v>
      </c>
      <c r="B884" s="1" t="s">
        <v>802</v>
      </c>
      <c r="C884" s="1" t="s">
        <v>1129</v>
      </c>
    </row>
    <row r="885" spans="1:3" x14ac:dyDescent="0.3">
      <c r="A885" s="1">
        <v>616</v>
      </c>
      <c r="B885" s="1" t="s">
        <v>360</v>
      </c>
      <c r="C885" s="1" t="s">
        <v>1129</v>
      </c>
    </row>
    <row r="886" spans="1:3" x14ac:dyDescent="0.3">
      <c r="A886" s="1">
        <v>620</v>
      </c>
      <c r="B886" s="1" t="s">
        <v>1063</v>
      </c>
      <c r="C886" s="1" t="s">
        <v>1129</v>
      </c>
    </row>
    <row r="887" spans="1:3" x14ac:dyDescent="0.3">
      <c r="A887" s="1">
        <v>622</v>
      </c>
      <c r="B887" s="1" t="s">
        <v>1063</v>
      </c>
      <c r="C887" s="1" t="s">
        <v>1129</v>
      </c>
    </row>
    <row r="888" spans="1:3" x14ac:dyDescent="0.3">
      <c r="A888" s="1">
        <v>623</v>
      </c>
      <c r="B888" s="1" t="s">
        <v>687</v>
      </c>
      <c r="C888" s="1" t="s">
        <v>1129</v>
      </c>
    </row>
    <row r="889" spans="1:3" x14ac:dyDescent="0.3">
      <c r="A889" s="1">
        <v>625</v>
      </c>
      <c r="B889" s="1" t="s">
        <v>706</v>
      </c>
      <c r="C889" s="1" t="s">
        <v>1129</v>
      </c>
    </row>
    <row r="890" spans="1:3" x14ac:dyDescent="0.3">
      <c r="A890" s="1">
        <v>627</v>
      </c>
      <c r="B890" s="1" t="s">
        <v>1063</v>
      </c>
      <c r="C890" s="1" t="s">
        <v>1129</v>
      </c>
    </row>
    <row r="891" spans="1:3" x14ac:dyDescent="0.3">
      <c r="A891" s="1">
        <v>628</v>
      </c>
      <c r="B891" s="1" t="s">
        <v>1063</v>
      </c>
      <c r="C891" s="1" t="s">
        <v>1129</v>
      </c>
    </row>
    <row r="892" spans="1:3" x14ac:dyDescent="0.3">
      <c r="A892" s="1">
        <v>629</v>
      </c>
      <c r="B892" s="1" t="s">
        <v>1233</v>
      </c>
      <c r="C892" s="1" t="s">
        <v>1129</v>
      </c>
    </row>
    <row r="893" spans="1:3" x14ac:dyDescent="0.3">
      <c r="A893" s="1">
        <v>633</v>
      </c>
      <c r="B893" s="1" t="s">
        <v>1063</v>
      </c>
      <c r="C893" s="1" t="s">
        <v>1129</v>
      </c>
    </row>
    <row r="894" spans="1:3" x14ac:dyDescent="0.3">
      <c r="A894" s="1">
        <v>634</v>
      </c>
      <c r="B894" s="1" t="s">
        <v>1285</v>
      </c>
      <c r="C894" s="1" t="s">
        <v>1129</v>
      </c>
    </row>
    <row r="895" spans="1:3" x14ac:dyDescent="0.3">
      <c r="A895" s="1">
        <v>634</v>
      </c>
      <c r="B895" s="1" t="s">
        <v>706</v>
      </c>
      <c r="C895" s="1" t="s">
        <v>1129</v>
      </c>
    </row>
    <row r="896" spans="1:3" x14ac:dyDescent="0.3">
      <c r="A896" s="1">
        <v>635</v>
      </c>
      <c r="B896" s="1" t="s">
        <v>1085</v>
      </c>
      <c r="C896" s="1" t="s">
        <v>1129</v>
      </c>
    </row>
    <row r="897" spans="1:3" x14ac:dyDescent="0.3">
      <c r="A897" s="1">
        <v>636</v>
      </c>
      <c r="B897" s="1" t="s">
        <v>1063</v>
      </c>
      <c r="C897" s="1" t="s">
        <v>1129</v>
      </c>
    </row>
    <row r="898" spans="1:3" x14ac:dyDescent="0.3">
      <c r="A898" s="1">
        <v>639</v>
      </c>
      <c r="B898" s="1" t="s">
        <v>1063</v>
      </c>
      <c r="C898" s="1" t="s">
        <v>1129</v>
      </c>
    </row>
    <row r="899" spans="1:3" x14ac:dyDescent="0.3">
      <c r="A899" s="1">
        <v>640</v>
      </c>
      <c r="B899" s="1" t="s">
        <v>1286</v>
      </c>
      <c r="C899" s="1" t="s">
        <v>1129</v>
      </c>
    </row>
    <row r="900" spans="1:3" x14ac:dyDescent="0.3">
      <c r="A900" s="1">
        <v>640</v>
      </c>
      <c r="B900" s="1" t="s">
        <v>356</v>
      </c>
      <c r="C900" s="1" t="s">
        <v>1129</v>
      </c>
    </row>
    <row r="901" spans="1:3" x14ac:dyDescent="0.3">
      <c r="A901" s="1">
        <v>640</v>
      </c>
      <c r="B901" s="1" t="s">
        <v>802</v>
      </c>
      <c r="C901" s="1" t="s">
        <v>1129</v>
      </c>
    </row>
    <row r="902" spans="1:3" x14ac:dyDescent="0.3">
      <c r="A902" s="1">
        <v>641</v>
      </c>
      <c r="B902" s="1" t="s">
        <v>1286</v>
      </c>
      <c r="C902" s="1" t="s">
        <v>1129</v>
      </c>
    </row>
    <row r="903" spans="1:3" x14ac:dyDescent="0.3">
      <c r="A903" s="1">
        <v>641</v>
      </c>
      <c r="B903" s="1" t="s">
        <v>356</v>
      </c>
      <c r="C903" s="1" t="s">
        <v>1129</v>
      </c>
    </row>
    <row r="904" spans="1:3" x14ac:dyDescent="0.3">
      <c r="A904" s="1">
        <v>641</v>
      </c>
      <c r="B904" s="1" t="s">
        <v>802</v>
      </c>
      <c r="C904" s="1" t="s">
        <v>1129</v>
      </c>
    </row>
    <row r="905" spans="1:3" x14ac:dyDescent="0.3">
      <c r="A905" s="1">
        <v>642</v>
      </c>
      <c r="B905" s="1" t="s">
        <v>1063</v>
      </c>
      <c r="C905" s="1" t="s">
        <v>1129</v>
      </c>
    </row>
    <row r="906" spans="1:3" x14ac:dyDescent="0.3">
      <c r="A906" s="1">
        <v>645</v>
      </c>
      <c r="B906" s="1" t="s">
        <v>435</v>
      </c>
      <c r="C906" s="1" t="s">
        <v>1129</v>
      </c>
    </row>
    <row r="907" spans="1:3" x14ac:dyDescent="0.3">
      <c r="A907" s="1">
        <v>645</v>
      </c>
      <c r="B907" s="1" t="s">
        <v>360</v>
      </c>
      <c r="C907" s="1" t="s">
        <v>1129</v>
      </c>
    </row>
    <row r="908" spans="1:3" x14ac:dyDescent="0.3">
      <c r="A908" s="1">
        <v>646</v>
      </c>
      <c r="B908" s="1" t="s">
        <v>687</v>
      </c>
      <c r="C908" s="1" t="s">
        <v>1129</v>
      </c>
    </row>
    <row r="909" spans="1:3" x14ac:dyDescent="0.3">
      <c r="A909" s="1">
        <v>647</v>
      </c>
      <c r="B909" s="1" t="s">
        <v>1085</v>
      </c>
      <c r="C909" s="1" t="s">
        <v>1129</v>
      </c>
    </row>
    <row r="910" spans="1:3" x14ac:dyDescent="0.3">
      <c r="A910" s="1">
        <v>648</v>
      </c>
      <c r="B910" s="1" t="s">
        <v>1275</v>
      </c>
      <c r="C910" s="1" t="s">
        <v>1129</v>
      </c>
    </row>
    <row r="911" spans="1:3" x14ac:dyDescent="0.3">
      <c r="A911" s="1">
        <v>649</v>
      </c>
      <c r="B911" s="1" t="s">
        <v>844</v>
      </c>
      <c r="C911" s="1" t="s">
        <v>1129</v>
      </c>
    </row>
    <row r="912" spans="1:3" x14ac:dyDescent="0.3">
      <c r="A912" s="1">
        <v>650</v>
      </c>
      <c r="B912" s="1" t="s">
        <v>1063</v>
      </c>
      <c r="C912" s="1" t="s">
        <v>1129</v>
      </c>
    </row>
    <row r="913" spans="1:3" x14ac:dyDescent="0.3">
      <c r="A913" s="1">
        <v>651</v>
      </c>
      <c r="B913" s="1" t="s">
        <v>794</v>
      </c>
      <c r="C913" s="1" t="s">
        <v>1129</v>
      </c>
    </row>
    <row r="914" spans="1:3" x14ac:dyDescent="0.3">
      <c r="A914" s="1">
        <v>653</v>
      </c>
      <c r="B914" s="1" t="s">
        <v>1085</v>
      </c>
      <c r="C914" s="1" t="s">
        <v>1129</v>
      </c>
    </row>
    <row r="915" spans="1:3" x14ac:dyDescent="0.3">
      <c r="A915" s="1">
        <v>654</v>
      </c>
      <c r="B915" s="1" t="s">
        <v>428</v>
      </c>
      <c r="C915" s="1" t="s">
        <v>1129</v>
      </c>
    </row>
    <row r="916" spans="1:3" x14ac:dyDescent="0.3">
      <c r="A916" s="1">
        <v>654</v>
      </c>
      <c r="B916" s="1" t="s">
        <v>680</v>
      </c>
      <c r="C916" s="1" t="s">
        <v>1129</v>
      </c>
    </row>
    <row r="917" spans="1:3" x14ac:dyDescent="0.3">
      <c r="A917" s="1">
        <v>656</v>
      </c>
      <c r="B917" s="1" t="s">
        <v>1177</v>
      </c>
      <c r="C917" s="1" t="s">
        <v>1129</v>
      </c>
    </row>
    <row r="918" spans="1:3" x14ac:dyDescent="0.3">
      <c r="A918" s="1">
        <v>662</v>
      </c>
      <c r="B918" s="1" t="s">
        <v>360</v>
      </c>
      <c r="C918" s="1" t="s">
        <v>1129</v>
      </c>
    </row>
    <row r="919" spans="1:3" x14ac:dyDescent="0.3">
      <c r="A919" s="1">
        <v>663</v>
      </c>
      <c r="B919" s="1" t="s">
        <v>1063</v>
      </c>
      <c r="C919" s="1" t="s">
        <v>1129</v>
      </c>
    </row>
    <row r="920" spans="1:3" x14ac:dyDescent="0.3">
      <c r="A920" s="1">
        <v>664</v>
      </c>
      <c r="B920" s="1" t="s">
        <v>1177</v>
      </c>
      <c r="C920" s="1" t="s">
        <v>1129</v>
      </c>
    </row>
    <row r="921" spans="1:3" x14ac:dyDescent="0.3">
      <c r="A921" s="1">
        <v>665</v>
      </c>
      <c r="B921" s="1" t="s">
        <v>1085</v>
      </c>
      <c r="C921" s="1" t="s">
        <v>1129</v>
      </c>
    </row>
    <row r="922" spans="1:3" x14ac:dyDescent="0.3">
      <c r="A922" s="1">
        <v>667</v>
      </c>
      <c r="B922" s="1" t="s">
        <v>1085</v>
      </c>
      <c r="C922" s="1" t="s">
        <v>1129</v>
      </c>
    </row>
    <row r="923" spans="1:3" x14ac:dyDescent="0.3">
      <c r="A923" s="1">
        <v>668</v>
      </c>
      <c r="B923" s="1" t="s">
        <v>798</v>
      </c>
      <c r="C923" s="1" t="s">
        <v>1129</v>
      </c>
    </row>
    <row r="924" spans="1:3" x14ac:dyDescent="0.3">
      <c r="A924" s="1">
        <v>669</v>
      </c>
      <c r="B924" s="1" t="s">
        <v>703</v>
      </c>
      <c r="C924" s="1" t="s">
        <v>1129</v>
      </c>
    </row>
    <row r="925" spans="1:3" x14ac:dyDescent="0.3">
      <c r="A925" s="1">
        <v>671</v>
      </c>
      <c r="B925" s="1" t="s">
        <v>1085</v>
      </c>
      <c r="C925" s="1" t="s">
        <v>1129</v>
      </c>
    </row>
    <row r="926" spans="1:3" x14ac:dyDescent="0.3">
      <c r="A926" s="1">
        <v>672</v>
      </c>
      <c r="B926" s="1" t="s">
        <v>1085</v>
      </c>
      <c r="C926" s="1" t="s">
        <v>1129</v>
      </c>
    </row>
    <row r="927" spans="1:3" x14ac:dyDescent="0.3">
      <c r="A927" s="1">
        <v>673</v>
      </c>
      <c r="B927" s="1" t="s">
        <v>1085</v>
      </c>
      <c r="C927" s="1" t="s">
        <v>1129</v>
      </c>
    </row>
    <row r="928" spans="1:3" x14ac:dyDescent="0.3">
      <c r="A928" s="1">
        <v>674</v>
      </c>
      <c r="B928" s="1" t="s">
        <v>1063</v>
      </c>
      <c r="C928" s="1" t="s">
        <v>1129</v>
      </c>
    </row>
    <row r="929" spans="1:3" x14ac:dyDescent="0.3">
      <c r="A929" s="1">
        <v>676</v>
      </c>
      <c r="B929" s="1" t="s">
        <v>794</v>
      </c>
      <c r="C929" s="1" t="s">
        <v>1129</v>
      </c>
    </row>
    <row r="930" spans="1:3" x14ac:dyDescent="0.3">
      <c r="A930" s="1">
        <v>680</v>
      </c>
      <c r="B930" s="1" t="s">
        <v>1177</v>
      </c>
      <c r="C930" s="1" t="s">
        <v>1129</v>
      </c>
    </row>
    <row r="931" spans="1:3" x14ac:dyDescent="0.3">
      <c r="A931" s="1">
        <v>681</v>
      </c>
      <c r="B931" s="1" t="s">
        <v>687</v>
      </c>
      <c r="C931" s="1" t="s">
        <v>1129</v>
      </c>
    </row>
    <row r="932" spans="1:3" x14ac:dyDescent="0.3">
      <c r="A932" s="1">
        <v>683</v>
      </c>
      <c r="B932" s="1" t="s">
        <v>1177</v>
      </c>
      <c r="C932" s="1" t="s">
        <v>1129</v>
      </c>
    </row>
    <row r="933" spans="1:3" x14ac:dyDescent="0.3">
      <c r="A933" s="1">
        <v>684</v>
      </c>
      <c r="B933" s="1" t="s">
        <v>1063</v>
      </c>
      <c r="C933" s="1" t="s">
        <v>1129</v>
      </c>
    </row>
    <row r="934" spans="1:3" x14ac:dyDescent="0.3">
      <c r="A934" s="1">
        <v>689</v>
      </c>
      <c r="B934" s="1" t="s">
        <v>360</v>
      </c>
      <c r="C934" s="1" t="s">
        <v>1129</v>
      </c>
    </row>
    <row r="935" spans="1:3" x14ac:dyDescent="0.3">
      <c r="A935" s="1">
        <v>690</v>
      </c>
      <c r="B935" s="1" t="s">
        <v>435</v>
      </c>
      <c r="C935" s="1" t="s">
        <v>1129</v>
      </c>
    </row>
    <row r="936" spans="1:3" x14ac:dyDescent="0.3">
      <c r="A936" s="1">
        <v>690</v>
      </c>
      <c r="B936" s="1" t="s">
        <v>360</v>
      </c>
      <c r="C936" s="1" t="s">
        <v>1129</v>
      </c>
    </row>
    <row r="937" spans="1:3" x14ac:dyDescent="0.3">
      <c r="A937" s="1">
        <v>692</v>
      </c>
      <c r="B937" s="1" t="s">
        <v>360</v>
      </c>
      <c r="C937" s="1" t="s">
        <v>1129</v>
      </c>
    </row>
    <row r="938" spans="1:3" x14ac:dyDescent="0.3">
      <c r="A938" s="1">
        <v>693</v>
      </c>
      <c r="B938" s="1" t="s">
        <v>1177</v>
      </c>
      <c r="C938" s="1" t="s">
        <v>1129</v>
      </c>
    </row>
    <row r="939" spans="1:3" x14ac:dyDescent="0.3">
      <c r="A939" s="1">
        <v>694</v>
      </c>
      <c r="B939" s="1" t="s">
        <v>1177</v>
      </c>
      <c r="C939" s="1" t="s">
        <v>1129</v>
      </c>
    </row>
    <row r="940" spans="1:3" x14ac:dyDescent="0.3">
      <c r="A940" s="1">
        <v>695</v>
      </c>
      <c r="B940" s="1" t="s">
        <v>1177</v>
      </c>
      <c r="C940" s="1" t="s">
        <v>1129</v>
      </c>
    </row>
    <row r="941" spans="1:3" x14ac:dyDescent="0.3">
      <c r="A941" s="1">
        <v>699</v>
      </c>
      <c r="B941" s="1" t="s">
        <v>1177</v>
      </c>
      <c r="C941" s="1" t="s">
        <v>1129</v>
      </c>
    </row>
    <row r="942" spans="1:3" x14ac:dyDescent="0.3">
      <c r="A942" s="1">
        <v>700</v>
      </c>
      <c r="B942" s="1" t="s">
        <v>1051</v>
      </c>
      <c r="C942" s="1" t="s">
        <v>1129</v>
      </c>
    </row>
    <row r="943" spans="1:3" x14ac:dyDescent="0.3">
      <c r="A943" s="1">
        <v>701</v>
      </c>
      <c r="B943" s="1" t="s">
        <v>1085</v>
      </c>
      <c r="C943" s="1" t="s">
        <v>1129</v>
      </c>
    </row>
    <row r="944" spans="1:3" x14ac:dyDescent="0.3">
      <c r="A944" s="1">
        <v>702</v>
      </c>
      <c r="B944" s="1" t="s">
        <v>1051</v>
      </c>
      <c r="C944" s="1" t="s">
        <v>1129</v>
      </c>
    </row>
    <row r="945" spans="1:3" x14ac:dyDescent="0.3">
      <c r="A945" s="1">
        <v>703</v>
      </c>
      <c r="B945" s="1" t="s">
        <v>1051</v>
      </c>
      <c r="C945" s="1" t="s">
        <v>1129</v>
      </c>
    </row>
    <row r="946" spans="1:3" x14ac:dyDescent="0.3">
      <c r="A946" s="1">
        <v>704</v>
      </c>
      <c r="B946" s="1" t="s">
        <v>1051</v>
      </c>
      <c r="C946" s="1" t="s">
        <v>1129</v>
      </c>
    </row>
    <row r="947" spans="1:3" x14ac:dyDescent="0.3">
      <c r="A947" s="1">
        <v>711</v>
      </c>
      <c r="B947" s="1" t="s">
        <v>1051</v>
      </c>
      <c r="C947" s="1" t="s">
        <v>1129</v>
      </c>
    </row>
    <row r="948" spans="1:3" x14ac:dyDescent="0.3">
      <c r="A948" s="1">
        <v>712</v>
      </c>
      <c r="B948" s="1" t="s">
        <v>1051</v>
      </c>
      <c r="C948" s="1" t="s">
        <v>1129</v>
      </c>
    </row>
    <row r="949" spans="1:3" x14ac:dyDescent="0.3">
      <c r="A949" s="1">
        <v>715</v>
      </c>
      <c r="B949" s="1" t="s">
        <v>360</v>
      </c>
      <c r="C949" s="1" t="s">
        <v>1129</v>
      </c>
    </row>
    <row r="950" spans="1:3" x14ac:dyDescent="0.3">
      <c r="A950" s="1">
        <v>717</v>
      </c>
      <c r="B950" s="1" t="s">
        <v>1177</v>
      </c>
      <c r="C950" s="1" t="s">
        <v>1129</v>
      </c>
    </row>
    <row r="951" spans="1:3" x14ac:dyDescent="0.3">
      <c r="A951" s="1">
        <v>719</v>
      </c>
      <c r="B951" s="1" t="s">
        <v>1063</v>
      </c>
      <c r="C951" s="1" t="s">
        <v>1129</v>
      </c>
    </row>
    <row r="952" spans="1:3" x14ac:dyDescent="0.3">
      <c r="A952" s="1">
        <v>720</v>
      </c>
      <c r="B952" s="1" t="s">
        <v>1085</v>
      </c>
      <c r="C952" s="1" t="s">
        <v>1129</v>
      </c>
    </row>
    <row r="953" spans="1:3" x14ac:dyDescent="0.3">
      <c r="A953" s="1">
        <v>723</v>
      </c>
      <c r="B953" s="1" t="s">
        <v>1063</v>
      </c>
      <c r="C953" s="1" t="s">
        <v>1129</v>
      </c>
    </row>
    <row r="954" spans="1:3" x14ac:dyDescent="0.3">
      <c r="A954" s="1">
        <v>725</v>
      </c>
      <c r="B954" s="1" t="s">
        <v>1063</v>
      </c>
      <c r="C954" s="1" t="s">
        <v>1129</v>
      </c>
    </row>
    <row r="955" spans="1:3" x14ac:dyDescent="0.3">
      <c r="A955" s="1">
        <v>727</v>
      </c>
      <c r="B955" s="1" t="s">
        <v>1063</v>
      </c>
      <c r="C955" s="1" t="s">
        <v>1129</v>
      </c>
    </row>
    <row r="956" spans="1:3" x14ac:dyDescent="0.3">
      <c r="A956" s="1">
        <v>732</v>
      </c>
      <c r="B956" s="1" t="s">
        <v>1063</v>
      </c>
      <c r="C956" s="1" t="s">
        <v>1129</v>
      </c>
    </row>
    <row r="957" spans="1:3" x14ac:dyDescent="0.3">
      <c r="A957" s="1">
        <v>733</v>
      </c>
      <c r="B957" s="1" t="s">
        <v>937</v>
      </c>
      <c r="C957" s="1" t="s">
        <v>1129</v>
      </c>
    </row>
    <row r="958" spans="1:3" x14ac:dyDescent="0.3">
      <c r="A958" s="1">
        <v>733</v>
      </c>
      <c r="B958" s="1" t="s">
        <v>1063</v>
      </c>
      <c r="C958" s="1" t="s">
        <v>1129</v>
      </c>
    </row>
    <row r="959" spans="1:3" x14ac:dyDescent="0.3">
      <c r="A959" s="1">
        <v>735</v>
      </c>
      <c r="B959" s="1" t="s">
        <v>1305</v>
      </c>
      <c r="C959" s="1" t="s">
        <v>1129</v>
      </c>
    </row>
    <row r="960" spans="1:3" x14ac:dyDescent="0.3">
      <c r="A960" s="1">
        <v>736</v>
      </c>
      <c r="B960" s="1" t="s">
        <v>687</v>
      </c>
      <c r="C960" s="1" t="s">
        <v>1129</v>
      </c>
    </row>
    <row r="961" spans="1:3" x14ac:dyDescent="0.3">
      <c r="A961" s="1">
        <v>737</v>
      </c>
      <c r="B961" s="1" t="s">
        <v>360</v>
      </c>
      <c r="C961" s="1" t="s">
        <v>1129</v>
      </c>
    </row>
    <row r="962" spans="1:3" x14ac:dyDescent="0.3">
      <c r="A962" s="1">
        <v>738</v>
      </c>
      <c r="B962" s="1" t="s">
        <v>1063</v>
      </c>
      <c r="C962" s="1" t="s">
        <v>1129</v>
      </c>
    </row>
    <row r="963" spans="1:3" x14ac:dyDescent="0.3">
      <c r="A963" s="1">
        <v>739</v>
      </c>
      <c r="B963" s="1" t="s">
        <v>1063</v>
      </c>
      <c r="C963" s="1" t="s">
        <v>1129</v>
      </c>
    </row>
    <row r="964" spans="1:3" x14ac:dyDescent="0.3">
      <c r="A964" s="1">
        <v>743</v>
      </c>
      <c r="B964" s="1" t="s">
        <v>360</v>
      </c>
      <c r="C964" s="1" t="s">
        <v>1129</v>
      </c>
    </row>
    <row r="965" spans="1:3" x14ac:dyDescent="0.3">
      <c r="A965" s="1">
        <v>744</v>
      </c>
      <c r="B965" s="1" t="s">
        <v>1063</v>
      </c>
      <c r="C965" s="1" t="s">
        <v>1129</v>
      </c>
    </row>
    <row r="966" spans="1:3" x14ac:dyDescent="0.3">
      <c r="A966" s="1">
        <v>746</v>
      </c>
      <c r="B966" s="1" t="s">
        <v>360</v>
      </c>
      <c r="C966" s="1" t="s">
        <v>1129</v>
      </c>
    </row>
    <row r="967" spans="1:3" x14ac:dyDescent="0.3">
      <c r="A967" s="1">
        <v>749</v>
      </c>
      <c r="B967" s="1" t="s">
        <v>1063</v>
      </c>
      <c r="C967" s="1" t="s">
        <v>1129</v>
      </c>
    </row>
    <row r="968" spans="1:3" x14ac:dyDescent="0.3">
      <c r="A968" s="1">
        <v>750</v>
      </c>
      <c r="B968" s="1" t="s">
        <v>1177</v>
      </c>
      <c r="C968" s="1" t="s">
        <v>1129</v>
      </c>
    </row>
    <row r="969" spans="1:3" x14ac:dyDescent="0.3">
      <c r="A969" s="1">
        <v>751</v>
      </c>
      <c r="B969" s="1" t="s">
        <v>1177</v>
      </c>
      <c r="C969" s="1" t="s">
        <v>1129</v>
      </c>
    </row>
    <row r="970" spans="1:3" x14ac:dyDescent="0.3">
      <c r="A970" s="1">
        <v>752</v>
      </c>
      <c r="B970" s="1" t="s">
        <v>1177</v>
      </c>
      <c r="C970" s="1" t="s">
        <v>1129</v>
      </c>
    </row>
    <row r="971" spans="1:3" x14ac:dyDescent="0.3">
      <c r="A971" s="1">
        <v>753</v>
      </c>
      <c r="B971" s="1" t="s">
        <v>809</v>
      </c>
      <c r="C971" s="1" t="s">
        <v>1129</v>
      </c>
    </row>
    <row r="972" spans="1:3" x14ac:dyDescent="0.3">
      <c r="A972" s="1">
        <v>754</v>
      </c>
      <c r="B972" s="1" t="s">
        <v>1063</v>
      </c>
      <c r="C972" s="1" t="s">
        <v>1129</v>
      </c>
    </row>
    <row r="973" spans="1:3" x14ac:dyDescent="0.3">
      <c r="A973" s="1">
        <v>755</v>
      </c>
      <c r="B973" s="1" t="s">
        <v>1307</v>
      </c>
      <c r="C973" s="1" t="s">
        <v>1129</v>
      </c>
    </row>
    <row r="974" spans="1:3" x14ac:dyDescent="0.3">
      <c r="A974" s="1">
        <v>758</v>
      </c>
      <c r="B974" s="1" t="s">
        <v>1085</v>
      </c>
      <c r="C974" s="1" t="s">
        <v>1129</v>
      </c>
    </row>
    <row r="975" spans="1:3" x14ac:dyDescent="0.3">
      <c r="A975" s="1">
        <v>759</v>
      </c>
      <c r="B975" s="1" t="s">
        <v>356</v>
      </c>
      <c r="C975" s="1" t="s">
        <v>1129</v>
      </c>
    </row>
    <row r="976" spans="1:3" x14ac:dyDescent="0.3">
      <c r="A976" s="1">
        <v>759</v>
      </c>
      <c r="B976" s="1" t="s">
        <v>703</v>
      </c>
      <c r="C976" s="1" t="s">
        <v>1129</v>
      </c>
    </row>
    <row r="977" spans="1:3" x14ac:dyDescent="0.3">
      <c r="A977" s="1">
        <v>760</v>
      </c>
      <c r="B977" s="1" t="s">
        <v>1081</v>
      </c>
      <c r="C977" s="1" t="s">
        <v>1129</v>
      </c>
    </row>
    <row r="978" spans="1:3" x14ac:dyDescent="0.3">
      <c r="A978" s="1">
        <v>762</v>
      </c>
      <c r="B978" s="1" t="s">
        <v>1085</v>
      </c>
      <c r="C978" s="1" t="s">
        <v>1129</v>
      </c>
    </row>
    <row r="979" spans="1:3" x14ac:dyDescent="0.3">
      <c r="A979" s="1">
        <v>763</v>
      </c>
      <c r="B979" s="1" t="s">
        <v>1085</v>
      </c>
      <c r="C979" s="1" t="s">
        <v>1129</v>
      </c>
    </row>
    <row r="980" spans="1:3" x14ac:dyDescent="0.3">
      <c r="A980" s="1">
        <v>766</v>
      </c>
      <c r="B980" s="1" t="s">
        <v>1177</v>
      </c>
      <c r="C980" s="1" t="s">
        <v>1129</v>
      </c>
    </row>
    <row r="981" spans="1:3" x14ac:dyDescent="0.3">
      <c r="A981" s="1">
        <v>769</v>
      </c>
      <c r="B981" s="1" t="s">
        <v>1233</v>
      </c>
      <c r="C981" s="1" t="s">
        <v>1129</v>
      </c>
    </row>
    <row r="982" spans="1:3" x14ac:dyDescent="0.3">
      <c r="A982" s="1">
        <v>770</v>
      </c>
      <c r="B982" s="1" t="s">
        <v>360</v>
      </c>
      <c r="C982" s="1" t="s">
        <v>1129</v>
      </c>
    </row>
    <row r="983" spans="1:3" x14ac:dyDescent="0.3">
      <c r="A983" s="1">
        <v>771</v>
      </c>
      <c r="B983" s="1" t="s">
        <v>356</v>
      </c>
      <c r="C983" s="1" t="s">
        <v>1129</v>
      </c>
    </row>
    <row r="984" spans="1:3" x14ac:dyDescent="0.3">
      <c r="A984" s="1">
        <v>771</v>
      </c>
      <c r="B984" s="1" t="s">
        <v>355</v>
      </c>
      <c r="C984" s="1" t="s">
        <v>1129</v>
      </c>
    </row>
    <row r="985" spans="1:3" x14ac:dyDescent="0.3">
      <c r="A985" s="1">
        <v>772</v>
      </c>
      <c r="B985" s="1" t="s">
        <v>1316</v>
      </c>
      <c r="C985" s="1" t="s">
        <v>1129</v>
      </c>
    </row>
    <row r="986" spans="1:3" x14ac:dyDescent="0.3">
      <c r="A986" s="1">
        <v>774</v>
      </c>
      <c r="B986" s="1" t="s">
        <v>1085</v>
      </c>
      <c r="C986" s="1" t="s">
        <v>1129</v>
      </c>
    </row>
    <row r="987" spans="1:3" x14ac:dyDescent="0.3">
      <c r="A987" s="1">
        <v>775</v>
      </c>
      <c r="B987" s="1" t="s">
        <v>1177</v>
      </c>
      <c r="C987" s="1" t="s">
        <v>1129</v>
      </c>
    </row>
    <row r="988" spans="1:3" x14ac:dyDescent="0.3">
      <c r="A988" s="1">
        <v>776</v>
      </c>
      <c r="B988" s="1" t="s">
        <v>1177</v>
      </c>
      <c r="C988" s="1" t="s">
        <v>1129</v>
      </c>
    </row>
    <row r="989" spans="1:3" x14ac:dyDescent="0.3">
      <c r="A989" s="1">
        <v>777</v>
      </c>
      <c r="B989" s="1" t="s">
        <v>703</v>
      </c>
      <c r="C989" s="1" t="s">
        <v>1129</v>
      </c>
    </row>
    <row r="990" spans="1:3" x14ac:dyDescent="0.3">
      <c r="A990" s="1">
        <v>778</v>
      </c>
      <c r="B990" s="1" t="s">
        <v>1063</v>
      </c>
      <c r="C990" s="1" t="s">
        <v>1129</v>
      </c>
    </row>
    <row r="991" spans="1:3" x14ac:dyDescent="0.3">
      <c r="A991" s="1">
        <v>781</v>
      </c>
      <c r="B991" s="1" t="s">
        <v>706</v>
      </c>
      <c r="C991" s="1" t="s">
        <v>1129</v>
      </c>
    </row>
    <row r="992" spans="1:3" x14ac:dyDescent="0.3">
      <c r="A992" s="1">
        <v>782</v>
      </c>
      <c r="B992" s="1" t="s">
        <v>1063</v>
      </c>
      <c r="C992" s="1" t="s">
        <v>1129</v>
      </c>
    </row>
    <row r="993" spans="1:3" x14ac:dyDescent="0.3">
      <c r="A993" s="1">
        <v>783</v>
      </c>
      <c r="B993" s="1" t="s">
        <v>1063</v>
      </c>
      <c r="C993" s="1" t="s">
        <v>1129</v>
      </c>
    </row>
    <row r="994" spans="1:3" x14ac:dyDescent="0.3">
      <c r="A994" s="1">
        <v>784</v>
      </c>
      <c r="B994" s="1" t="s">
        <v>1063</v>
      </c>
      <c r="C994" s="1" t="s">
        <v>1129</v>
      </c>
    </row>
    <row r="995" spans="1:3" x14ac:dyDescent="0.3">
      <c r="A995" s="1">
        <v>785</v>
      </c>
      <c r="B995" s="1" t="s">
        <v>1177</v>
      </c>
      <c r="C995" s="1" t="s">
        <v>1129</v>
      </c>
    </row>
    <row r="996" spans="1:3" x14ac:dyDescent="0.3">
      <c r="A996" s="1">
        <v>786</v>
      </c>
      <c r="B996" s="1" t="s">
        <v>1177</v>
      </c>
      <c r="C996" s="1" t="s">
        <v>1129</v>
      </c>
    </row>
    <row r="997" spans="1:3" x14ac:dyDescent="0.3">
      <c r="A997" s="1">
        <v>787</v>
      </c>
      <c r="B997" s="1" t="s">
        <v>1063</v>
      </c>
      <c r="C997" s="1" t="s">
        <v>1129</v>
      </c>
    </row>
    <row r="998" spans="1:3" x14ac:dyDescent="0.3">
      <c r="A998" s="1">
        <v>790</v>
      </c>
      <c r="B998" s="1" t="s">
        <v>1177</v>
      </c>
      <c r="C998" s="1" t="s">
        <v>1129</v>
      </c>
    </row>
    <row r="999" spans="1:3" x14ac:dyDescent="0.3">
      <c r="A999" s="1">
        <v>794</v>
      </c>
      <c r="B999" s="1" t="s">
        <v>1177</v>
      </c>
      <c r="C999" s="1" t="s">
        <v>1129</v>
      </c>
    </row>
    <row r="1000" spans="1:3" x14ac:dyDescent="0.3">
      <c r="A1000" s="1">
        <v>796</v>
      </c>
      <c r="B1000" s="1" t="s">
        <v>360</v>
      </c>
      <c r="C1000" s="1" t="s">
        <v>1129</v>
      </c>
    </row>
    <row r="1001" spans="1:3" x14ac:dyDescent="0.3">
      <c r="A1001" s="1">
        <v>798</v>
      </c>
      <c r="B1001" s="1" t="s">
        <v>1081</v>
      </c>
      <c r="C1001" s="1" t="s">
        <v>1129</v>
      </c>
    </row>
    <row r="1002" spans="1:3" x14ac:dyDescent="0.3">
      <c r="A1002" s="1">
        <v>800</v>
      </c>
      <c r="B1002" s="1" t="s">
        <v>1063</v>
      </c>
      <c r="C1002" s="1" t="s">
        <v>1129</v>
      </c>
    </row>
    <row r="1003" spans="1:3" x14ac:dyDescent="0.3">
      <c r="A1003" s="1">
        <v>803</v>
      </c>
      <c r="B1003" s="1" t="s">
        <v>1085</v>
      </c>
      <c r="C1003" s="1" t="s">
        <v>1129</v>
      </c>
    </row>
    <row r="1004" spans="1:3" x14ac:dyDescent="0.3">
      <c r="A1004" s="1">
        <v>804</v>
      </c>
      <c r="B1004" s="1" t="s">
        <v>1177</v>
      </c>
      <c r="C1004" s="1" t="s">
        <v>1129</v>
      </c>
    </row>
    <row r="1005" spans="1:3" x14ac:dyDescent="0.3">
      <c r="A1005" s="1">
        <v>805</v>
      </c>
      <c r="B1005" s="1" t="s">
        <v>1177</v>
      </c>
      <c r="C1005" s="1" t="s">
        <v>1129</v>
      </c>
    </row>
    <row r="1006" spans="1:3" x14ac:dyDescent="0.3">
      <c r="A1006" s="1">
        <v>806</v>
      </c>
      <c r="B1006" s="1" t="s">
        <v>1177</v>
      </c>
      <c r="C1006" s="1" t="s">
        <v>1129</v>
      </c>
    </row>
    <row r="1007" spans="1:3" x14ac:dyDescent="0.3">
      <c r="A1007" s="1">
        <v>809</v>
      </c>
      <c r="B1007" s="1" t="s">
        <v>360</v>
      </c>
      <c r="C1007" s="1" t="s">
        <v>1129</v>
      </c>
    </row>
    <row r="1008" spans="1:3" x14ac:dyDescent="0.3">
      <c r="A1008" s="1">
        <v>814</v>
      </c>
      <c r="B1008" s="1" t="s">
        <v>360</v>
      </c>
      <c r="C1008" s="1" t="s">
        <v>1129</v>
      </c>
    </row>
    <row r="1009" spans="1:3" x14ac:dyDescent="0.3">
      <c r="A1009" s="1">
        <v>815</v>
      </c>
      <c r="B1009" s="1" t="s">
        <v>1085</v>
      </c>
      <c r="C1009" s="1" t="s">
        <v>1129</v>
      </c>
    </row>
    <row r="1010" spans="1:3" x14ac:dyDescent="0.3">
      <c r="A1010" s="1">
        <v>816</v>
      </c>
      <c r="B1010" s="1" t="s">
        <v>360</v>
      </c>
      <c r="C1010" s="1" t="s">
        <v>1129</v>
      </c>
    </row>
    <row r="1011" spans="1:3" x14ac:dyDescent="0.3">
      <c r="A1011" s="1">
        <v>817</v>
      </c>
      <c r="B1011" s="1" t="s">
        <v>798</v>
      </c>
      <c r="C1011" s="1" t="s">
        <v>1129</v>
      </c>
    </row>
    <row r="1012" spans="1:3" x14ac:dyDescent="0.3">
      <c r="A1012" s="1">
        <v>819</v>
      </c>
      <c r="B1012" s="1" t="s">
        <v>798</v>
      </c>
      <c r="C1012" s="1" t="s">
        <v>1129</v>
      </c>
    </row>
    <row r="1013" spans="1:3" x14ac:dyDescent="0.3">
      <c r="A1013" s="1">
        <v>822</v>
      </c>
      <c r="B1013" s="1" t="s">
        <v>1085</v>
      </c>
      <c r="C1013" s="1" t="s">
        <v>1129</v>
      </c>
    </row>
    <row r="1014" spans="1:3" x14ac:dyDescent="0.3">
      <c r="A1014" s="1">
        <v>825</v>
      </c>
      <c r="B1014" s="1" t="s">
        <v>706</v>
      </c>
      <c r="C1014" s="1" t="s">
        <v>1129</v>
      </c>
    </row>
    <row r="1015" spans="1:3" x14ac:dyDescent="0.3">
      <c r="A1015" s="1">
        <v>827</v>
      </c>
      <c r="B1015" s="1" t="s">
        <v>1085</v>
      </c>
      <c r="C1015" s="1" t="s">
        <v>1129</v>
      </c>
    </row>
    <row r="1016" spans="1:3" x14ac:dyDescent="0.3">
      <c r="A1016" s="1">
        <v>828</v>
      </c>
      <c r="B1016" s="1" t="s">
        <v>1177</v>
      </c>
      <c r="C1016" s="1" t="s">
        <v>1129</v>
      </c>
    </row>
    <row r="1017" spans="1:3" x14ac:dyDescent="0.3">
      <c r="A1017" s="1">
        <v>830</v>
      </c>
      <c r="B1017" s="1" t="s">
        <v>1081</v>
      </c>
      <c r="C1017" s="1" t="s">
        <v>1129</v>
      </c>
    </row>
    <row r="1018" spans="1:3" x14ac:dyDescent="0.3">
      <c r="A1018" s="1">
        <v>831</v>
      </c>
      <c r="B1018" s="1" t="s">
        <v>1085</v>
      </c>
      <c r="C1018" s="1" t="s">
        <v>1129</v>
      </c>
    </row>
    <row r="1019" spans="1:3" x14ac:dyDescent="0.3">
      <c r="A1019" s="1">
        <v>832</v>
      </c>
      <c r="B1019" s="1" t="s">
        <v>1341</v>
      </c>
      <c r="C1019" s="1" t="s">
        <v>1129</v>
      </c>
    </row>
    <row r="1020" spans="1:3" x14ac:dyDescent="0.3">
      <c r="A1020" s="1">
        <v>833</v>
      </c>
      <c r="B1020" s="1" t="s">
        <v>1063</v>
      </c>
      <c r="C1020" s="1" t="s">
        <v>1129</v>
      </c>
    </row>
    <row r="1021" spans="1:3" x14ac:dyDescent="0.3">
      <c r="A1021" s="1">
        <v>834</v>
      </c>
      <c r="B1021" s="1" t="s">
        <v>798</v>
      </c>
      <c r="C1021" s="1" t="s">
        <v>1129</v>
      </c>
    </row>
    <row r="1022" spans="1:3" x14ac:dyDescent="0.3">
      <c r="A1022" s="1">
        <v>835</v>
      </c>
      <c r="B1022" s="1" t="s">
        <v>1081</v>
      </c>
      <c r="C1022" s="1" t="s">
        <v>1129</v>
      </c>
    </row>
    <row r="1023" spans="1:3" x14ac:dyDescent="0.3">
      <c r="A1023" s="1">
        <v>837</v>
      </c>
      <c r="B1023" s="1" t="s">
        <v>1081</v>
      </c>
      <c r="C1023" s="1" t="s">
        <v>1129</v>
      </c>
    </row>
    <row r="1024" spans="1:3" x14ac:dyDescent="0.3">
      <c r="A1024" s="1">
        <v>838</v>
      </c>
      <c r="B1024" s="1" t="s">
        <v>1063</v>
      </c>
      <c r="C1024" s="1" t="s">
        <v>1129</v>
      </c>
    </row>
    <row r="1025" spans="1:3" x14ac:dyDescent="0.3">
      <c r="A1025" s="1">
        <v>840</v>
      </c>
      <c r="B1025" s="1" t="s">
        <v>706</v>
      </c>
      <c r="C1025" s="1" t="s">
        <v>1129</v>
      </c>
    </row>
    <row r="1026" spans="1:3" x14ac:dyDescent="0.3">
      <c r="A1026" s="1">
        <v>841</v>
      </c>
      <c r="B1026" s="1" t="s">
        <v>1085</v>
      </c>
      <c r="C1026" s="1" t="s">
        <v>1129</v>
      </c>
    </row>
    <row r="1027" spans="1:3" x14ac:dyDescent="0.3">
      <c r="A1027" s="1">
        <v>842</v>
      </c>
      <c r="B1027" s="1" t="s">
        <v>1177</v>
      </c>
      <c r="C1027" s="1" t="s">
        <v>1129</v>
      </c>
    </row>
    <row r="1028" spans="1:3" x14ac:dyDescent="0.3">
      <c r="A1028" s="1">
        <v>843</v>
      </c>
      <c r="B1028" s="1" t="s">
        <v>1063</v>
      </c>
      <c r="C1028" s="1" t="s">
        <v>1129</v>
      </c>
    </row>
    <row r="1029" spans="1:3" x14ac:dyDescent="0.3">
      <c r="A1029" s="52">
        <v>845</v>
      </c>
      <c r="B1029" s="52" t="s">
        <v>360</v>
      </c>
      <c r="C1029" s="52" t="s">
        <v>1129</v>
      </c>
    </row>
    <row r="1030" spans="1:3" x14ac:dyDescent="0.3">
      <c r="A1030" s="52">
        <v>847</v>
      </c>
      <c r="B1030" s="52" t="s">
        <v>706</v>
      </c>
      <c r="C1030" s="52" t="s">
        <v>1129</v>
      </c>
    </row>
    <row r="1031" spans="1:3" x14ac:dyDescent="0.3">
      <c r="A1031" s="52">
        <v>849</v>
      </c>
      <c r="B1031" s="52" t="s">
        <v>360</v>
      </c>
      <c r="C1031" s="52" t="s">
        <v>1129</v>
      </c>
    </row>
    <row r="1032" spans="1:3" x14ac:dyDescent="0.3">
      <c r="A1032" s="52">
        <v>851</v>
      </c>
      <c r="B1032" s="52" t="s">
        <v>1358</v>
      </c>
      <c r="C1032" s="52" t="s">
        <v>1129</v>
      </c>
    </row>
    <row r="1033" spans="1:3" x14ac:dyDescent="0.3">
      <c r="A1033" s="52">
        <v>857</v>
      </c>
      <c r="B1033" s="52" t="s">
        <v>360</v>
      </c>
      <c r="C1033" s="52" t="s">
        <v>1129</v>
      </c>
    </row>
    <row r="1034" spans="1:3" x14ac:dyDescent="0.3">
      <c r="A1034" s="52">
        <v>858</v>
      </c>
      <c r="B1034" s="52" t="s">
        <v>703</v>
      </c>
      <c r="C1034" s="52" t="s">
        <v>1129</v>
      </c>
    </row>
    <row r="1035" spans="1:3" x14ac:dyDescent="0.3">
      <c r="A1035" s="52">
        <v>862</v>
      </c>
      <c r="B1035" s="52" t="s">
        <v>1063</v>
      </c>
      <c r="C1035" s="52" t="s">
        <v>1129</v>
      </c>
    </row>
    <row r="1036" spans="1:3" x14ac:dyDescent="0.3">
      <c r="A1036" s="52">
        <v>864</v>
      </c>
      <c r="B1036" s="52" t="s">
        <v>356</v>
      </c>
      <c r="C1036" s="52" t="s">
        <v>1129</v>
      </c>
    </row>
    <row r="1037" spans="1:3" x14ac:dyDescent="0.3">
      <c r="A1037" s="52">
        <v>864</v>
      </c>
      <c r="B1037" s="52" t="s">
        <v>1085</v>
      </c>
      <c r="C1037" s="52" t="s">
        <v>1129</v>
      </c>
    </row>
    <row r="1038" spans="1:3" x14ac:dyDescent="0.3">
      <c r="A1038" s="52">
        <v>867</v>
      </c>
      <c r="B1038" s="52" t="s">
        <v>360</v>
      </c>
      <c r="C1038" s="52" t="s">
        <v>1129</v>
      </c>
    </row>
    <row r="1039" spans="1:3" x14ac:dyDescent="0.3">
      <c r="A1039" s="52">
        <v>871</v>
      </c>
      <c r="B1039" s="52" t="s">
        <v>1063</v>
      </c>
      <c r="C1039" s="52" t="s">
        <v>1129</v>
      </c>
    </row>
    <row r="1040" spans="1:3" x14ac:dyDescent="0.3">
      <c r="A1040" s="52">
        <v>872</v>
      </c>
      <c r="B1040" s="52" t="s">
        <v>1341</v>
      </c>
      <c r="C1040" s="52" t="s">
        <v>1129</v>
      </c>
    </row>
    <row r="1041" spans="1:3" x14ac:dyDescent="0.3">
      <c r="A1041" s="52">
        <v>873</v>
      </c>
      <c r="B1041" s="52" t="s">
        <v>1305</v>
      </c>
      <c r="C1041" s="52" t="s">
        <v>1129</v>
      </c>
    </row>
    <row r="1042" spans="1:3" x14ac:dyDescent="0.3">
      <c r="A1042" s="52">
        <v>874</v>
      </c>
      <c r="B1042" s="52" t="s">
        <v>1063</v>
      </c>
      <c r="C1042" s="52" t="s">
        <v>1129</v>
      </c>
    </row>
    <row r="1043" spans="1:3" x14ac:dyDescent="0.3">
      <c r="A1043" s="52">
        <v>877</v>
      </c>
      <c r="B1043" s="52" t="s">
        <v>360</v>
      </c>
      <c r="C1043" s="52" t="s">
        <v>1129</v>
      </c>
    </row>
    <row r="1044" spans="1:3" x14ac:dyDescent="0.3">
      <c r="A1044" s="52">
        <v>879</v>
      </c>
      <c r="B1044" s="52" t="s">
        <v>360</v>
      </c>
      <c r="C1044" s="52"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272"/>
  <sheetViews>
    <sheetView topLeftCell="A251" workbookViewId="0">
      <selection activeCell="D261" sqref="D261"/>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1">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s="1">
        <v>446</v>
      </c>
      <c r="B144" s="1" t="s">
        <v>679</v>
      </c>
      <c r="C144" s="1">
        <v>378</v>
      </c>
    </row>
    <row r="145" spans="1:3" x14ac:dyDescent="0.3">
      <c r="A145" s="1">
        <v>475</v>
      </c>
      <c r="B145" s="1" t="s">
        <v>679</v>
      </c>
      <c r="C145" s="1">
        <v>423</v>
      </c>
    </row>
    <row r="146" spans="1:3" x14ac:dyDescent="0.3">
      <c r="A146" s="1">
        <v>481</v>
      </c>
      <c r="B146" s="1" t="s">
        <v>352</v>
      </c>
      <c r="C146" s="1">
        <v>440</v>
      </c>
    </row>
    <row r="147" spans="1:3" x14ac:dyDescent="0.3">
      <c r="A147" s="1">
        <v>491</v>
      </c>
      <c r="B147" s="1" t="s">
        <v>679</v>
      </c>
      <c r="C147" s="1">
        <v>269</v>
      </c>
    </row>
    <row r="148" spans="1:3" x14ac:dyDescent="0.3">
      <c r="A148" s="1">
        <v>495</v>
      </c>
      <c r="B148" s="1" t="s">
        <v>352</v>
      </c>
      <c r="C148" s="1">
        <v>468</v>
      </c>
    </row>
    <row r="149" spans="1:3" x14ac:dyDescent="0.3">
      <c r="A149" s="1">
        <v>509</v>
      </c>
      <c r="B149" s="1" t="s">
        <v>679</v>
      </c>
      <c r="C149" s="1">
        <v>212</v>
      </c>
    </row>
    <row r="150" spans="1:3" x14ac:dyDescent="0.3">
      <c r="A150" s="1">
        <v>517</v>
      </c>
      <c r="B150" s="1" t="s">
        <v>371</v>
      </c>
      <c r="C150" s="1">
        <v>459</v>
      </c>
    </row>
    <row r="151" spans="1:3" x14ac:dyDescent="0.3">
      <c r="A151" s="1">
        <v>517</v>
      </c>
      <c r="B151" s="1" t="s">
        <v>320</v>
      </c>
      <c r="C151" s="1">
        <v>490</v>
      </c>
    </row>
    <row r="152" spans="1:3" x14ac:dyDescent="0.3">
      <c r="A152" s="1">
        <v>520</v>
      </c>
      <c r="B152" s="1" t="s">
        <v>320</v>
      </c>
      <c r="C152" s="1">
        <v>94</v>
      </c>
    </row>
    <row r="153" spans="1:3" x14ac:dyDescent="0.3">
      <c r="A153" s="1">
        <v>523</v>
      </c>
      <c r="B153" s="1" t="s">
        <v>352</v>
      </c>
      <c r="C153" s="1">
        <v>394</v>
      </c>
    </row>
    <row r="154" spans="1:3" x14ac:dyDescent="0.3">
      <c r="A154" s="1">
        <v>539</v>
      </c>
      <c r="B154" s="1" t="s">
        <v>320</v>
      </c>
      <c r="C154" s="1">
        <v>338</v>
      </c>
    </row>
    <row r="155" spans="1:3" x14ac:dyDescent="0.3">
      <c r="A155" s="1">
        <v>539</v>
      </c>
      <c r="B155" s="1" t="s">
        <v>320</v>
      </c>
      <c r="C155" s="1">
        <v>367</v>
      </c>
    </row>
    <row r="156" spans="1:3" x14ac:dyDescent="0.3">
      <c r="A156" s="1">
        <v>545</v>
      </c>
      <c r="B156" s="1" t="s">
        <v>352</v>
      </c>
      <c r="C156" s="1">
        <v>403</v>
      </c>
    </row>
    <row r="157" spans="1:3" x14ac:dyDescent="0.3">
      <c r="A157" s="1">
        <v>550</v>
      </c>
      <c r="B157" s="1" t="s">
        <v>352</v>
      </c>
      <c r="C157" s="1">
        <v>451</v>
      </c>
    </row>
    <row r="158" spans="1:3" x14ac:dyDescent="0.3">
      <c r="A158" s="1">
        <v>553</v>
      </c>
      <c r="B158" s="1" t="s">
        <v>320</v>
      </c>
      <c r="C158" s="1">
        <v>384</v>
      </c>
    </row>
    <row r="159" spans="1:3" x14ac:dyDescent="0.3">
      <c r="A159" s="1">
        <v>521</v>
      </c>
      <c r="B159" s="1" t="s">
        <v>371</v>
      </c>
      <c r="C159" s="1">
        <v>601</v>
      </c>
    </row>
    <row r="160" spans="1:3" x14ac:dyDescent="0.3">
      <c r="A160" s="1">
        <v>566</v>
      </c>
      <c r="B160" s="1" t="s">
        <v>371</v>
      </c>
      <c r="C160" s="1">
        <v>601</v>
      </c>
    </row>
    <row r="161" spans="1:3" x14ac:dyDescent="0.3">
      <c r="A161" s="1">
        <v>567</v>
      </c>
      <c r="B161" s="1" t="s">
        <v>371</v>
      </c>
      <c r="C161" s="1">
        <v>601</v>
      </c>
    </row>
    <row r="162" spans="1:3" x14ac:dyDescent="0.3">
      <c r="A162" s="1">
        <v>572</v>
      </c>
      <c r="B162" s="1" t="s">
        <v>371</v>
      </c>
      <c r="C162" s="1">
        <v>601</v>
      </c>
    </row>
    <row r="163" spans="1:3" x14ac:dyDescent="0.3">
      <c r="A163" s="1">
        <v>570</v>
      </c>
      <c r="B163" s="1" t="s">
        <v>352</v>
      </c>
      <c r="C163" s="1">
        <v>597</v>
      </c>
    </row>
    <row r="164" spans="1:3" x14ac:dyDescent="0.3">
      <c r="A164" s="1">
        <v>577</v>
      </c>
      <c r="B164" s="1" t="s">
        <v>679</v>
      </c>
      <c r="C164" s="1">
        <v>527</v>
      </c>
    </row>
    <row r="165" spans="1:3" x14ac:dyDescent="0.3">
      <c r="A165" s="1">
        <v>578</v>
      </c>
      <c r="B165" s="1" t="s">
        <v>679</v>
      </c>
      <c r="C165" s="1">
        <v>532</v>
      </c>
    </row>
    <row r="166" spans="1:3" x14ac:dyDescent="0.3">
      <c r="A166" s="1">
        <v>580</v>
      </c>
      <c r="B166" s="1" t="s">
        <v>679</v>
      </c>
      <c r="C166" s="1">
        <v>518</v>
      </c>
    </row>
    <row r="167" spans="1:3" x14ac:dyDescent="0.3">
      <c r="A167" s="1">
        <v>582</v>
      </c>
      <c r="B167" s="1" t="s">
        <v>679</v>
      </c>
      <c r="C167" s="1">
        <v>418</v>
      </c>
    </row>
    <row r="168" spans="1:3" x14ac:dyDescent="0.3">
      <c r="A168" s="1">
        <v>583</v>
      </c>
      <c r="B168" s="1" t="s">
        <v>679</v>
      </c>
      <c r="C168" s="1">
        <v>516</v>
      </c>
    </row>
    <row r="169" spans="1:3" x14ac:dyDescent="0.3">
      <c r="A169" s="1">
        <v>584</v>
      </c>
      <c r="B169" s="1" t="s">
        <v>679</v>
      </c>
      <c r="C169" s="1">
        <v>516</v>
      </c>
    </row>
    <row r="170" spans="1:3" x14ac:dyDescent="0.3">
      <c r="A170" s="1">
        <v>585</v>
      </c>
      <c r="B170" s="1" t="s">
        <v>679</v>
      </c>
      <c r="C170" s="1">
        <v>523</v>
      </c>
    </row>
    <row r="171" spans="1:3" x14ac:dyDescent="0.3">
      <c r="A171" s="1">
        <v>597</v>
      </c>
      <c r="B171" s="1" t="s">
        <v>352</v>
      </c>
      <c r="C171" s="1">
        <v>570</v>
      </c>
    </row>
    <row r="172" spans="1:3" x14ac:dyDescent="0.3">
      <c r="A172" s="1">
        <v>599</v>
      </c>
      <c r="B172" s="1" t="s">
        <v>679</v>
      </c>
      <c r="C172" s="1">
        <v>385</v>
      </c>
    </row>
    <row r="173" spans="1:3" x14ac:dyDescent="0.3">
      <c r="A173" s="1">
        <v>602</v>
      </c>
      <c r="B173" s="1" t="s">
        <v>679</v>
      </c>
      <c r="C173" s="1">
        <v>516</v>
      </c>
    </row>
    <row r="174" spans="1:3" x14ac:dyDescent="0.3">
      <c r="A174" s="1">
        <v>609</v>
      </c>
      <c r="B174" s="1" t="s">
        <v>679</v>
      </c>
      <c r="C174" s="1">
        <v>516</v>
      </c>
    </row>
    <row r="175" spans="1:3" x14ac:dyDescent="0.3">
      <c r="A175" s="1">
        <v>610</v>
      </c>
      <c r="B175" s="1" t="s">
        <v>679</v>
      </c>
      <c r="C175" s="1">
        <v>516</v>
      </c>
    </row>
    <row r="176" spans="1:3" x14ac:dyDescent="0.3">
      <c r="A176" s="1">
        <v>618</v>
      </c>
      <c r="B176" s="1" t="s">
        <v>679</v>
      </c>
      <c r="C176" s="1">
        <v>556</v>
      </c>
    </row>
    <row r="177" spans="1:3" x14ac:dyDescent="0.3">
      <c r="A177" s="1">
        <v>619</v>
      </c>
      <c r="B177" s="1" t="s">
        <v>371</v>
      </c>
      <c r="C177" s="1">
        <v>557</v>
      </c>
    </row>
    <row r="178" spans="1:3" x14ac:dyDescent="0.3">
      <c r="A178" s="1">
        <v>626</v>
      </c>
      <c r="B178" s="1" t="s">
        <v>679</v>
      </c>
      <c r="C178" s="1">
        <v>556</v>
      </c>
    </row>
    <row r="179" spans="1:3" x14ac:dyDescent="0.3">
      <c r="A179" s="1">
        <v>629</v>
      </c>
      <c r="B179" s="1" t="s">
        <v>679</v>
      </c>
      <c r="C179" s="1">
        <v>557</v>
      </c>
    </row>
    <row r="180" spans="1:3" x14ac:dyDescent="0.3">
      <c r="A180" s="1">
        <v>630</v>
      </c>
      <c r="B180" s="1" t="s">
        <v>679</v>
      </c>
      <c r="C180" s="1">
        <v>532</v>
      </c>
    </row>
    <row r="181" spans="1:3" x14ac:dyDescent="0.3">
      <c r="A181" s="1">
        <v>631</v>
      </c>
      <c r="B181" s="1" t="s">
        <v>679</v>
      </c>
      <c r="C181" s="1">
        <v>453</v>
      </c>
    </row>
    <row r="182" spans="1:3" x14ac:dyDescent="0.3">
      <c r="A182" s="1">
        <v>638</v>
      </c>
      <c r="B182" s="1" t="s">
        <v>371</v>
      </c>
      <c r="C182" s="1">
        <v>601</v>
      </c>
    </row>
    <row r="183" spans="1:3" x14ac:dyDescent="0.3">
      <c r="A183" s="1">
        <v>632</v>
      </c>
      <c r="B183" s="1" t="s">
        <v>679</v>
      </c>
      <c r="C183" s="1">
        <v>644</v>
      </c>
    </row>
    <row r="184" spans="1:3" x14ac:dyDescent="0.3">
      <c r="A184" s="1">
        <v>634</v>
      </c>
      <c r="B184" s="1" t="s">
        <v>679</v>
      </c>
      <c r="C184" s="1">
        <v>222</v>
      </c>
    </row>
    <row r="185" spans="1:3" x14ac:dyDescent="0.3">
      <c r="A185" s="1">
        <v>639</v>
      </c>
      <c r="B185" s="1" t="s">
        <v>679</v>
      </c>
      <c r="C185" s="1">
        <v>233</v>
      </c>
    </row>
    <row r="186" spans="1:3" x14ac:dyDescent="0.3">
      <c r="A186" s="1">
        <v>640</v>
      </c>
      <c r="B186" s="1" t="s">
        <v>352</v>
      </c>
      <c r="C186" s="1">
        <v>641</v>
      </c>
    </row>
    <row r="187" spans="1:3" x14ac:dyDescent="0.3">
      <c r="A187" s="1">
        <v>641</v>
      </c>
      <c r="B187" s="1" t="s">
        <v>352</v>
      </c>
      <c r="C187" s="1">
        <v>640</v>
      </c>
    </row>
    <row r="188" spans="1:3" x14ac:dyDescent="0.3">
      <c r="A188" s="1">
        <v>644</v>
      </c>
      <c r="B188" s="1" t="s">
        <v>679</v>
      </c>
      <c r="C188" s="1">
        <v>632</v>
      </c>
    </row>
    <row r="189" spans="1:3" x14ac:dyDescent="0.3">
      <c r="A189" s="1">
        <v>647</v>
      </c>
      <c r="B189" s="1" t="s">
        <v>679</v>
      </c>
      <c r="C189" s="1">
        <v>418</v>
      </c>
    </row>
    <row r="190" spans="1:3" x14ac:dyDescent="0.3">
      <c r="A190" s="1">
        <v>647</v>
      </c>
      <c r="B190" s="1" t="s">
        <v>679</v>
      </c>
      <c r="C190" s="1">
        <v>582</v>
      </c>
    </row>
    <row r="191" spans="1:3" x14ac:dyDescent="0.3">
      <c r="A191" s="1">
        <v>654</v>
      </c>
      <c r="B191" s="1" t="s">
        <v>352</v>
      </c>
      <c r="C191" s="1">
        <v>459</v>
      </c>
    </row>
    <row r="192" spans="1:3" x14ac:dyDescent="0.3">
      <c r="A192" s="1">
        <v>654</v>
      </c>
      <c r="B192" s="1" t="s">
        <v>352</v>
      </c>
      <c r="C192" s="1">
        <v>517</v>
      </c>
    </row>
    <row r="193" spans="1:3" x14ac:dyDescent="0.3">
      <c r="A193" s="1">
        <v>668</v>
      </c>
      <c r="B193" s="1" t="s">
        <v>679</v>
      </c>
      <c r="C193" s="1">
        <v>600</v>
      </c>
    </row>
    <row r="194" spans="1:3" x14ac:dyDescent="0.3">
      <c r="A194" s="1">
        <v>675</v>
      </c>
      <c r="B194" s="1" t="s">
        <v>352</v>
      </c>
      <c r="C194" s="1">
        <v>528</v>
      </c>
    </row>
    <row r="195" spans="1:3" x14ac:dyDescent="0.3">
      <c r="A195" s="1">
        <v>675</v>
      </c>
      <c r="B195" s="1" t="s">
        <v>352</v>
      </c>
      <c r="C195" s="1">
        <v>645</v>
      </c>
    </row>
    <row r="196" spans="1:3" x14ac:dyDescent="0.3">
      <c r="A196" s="1">
        <v>675</v>
      </c>
      <c r="B196" s="1" t="s">
        <v>352</v>
      </c>
      <c r="C196" s="1">
        <v>676</v>
      </c>
    </row>
    <row r="197" spans="1:3" x14ac:dyDescent="0.3">
      <c r="A197" s="1">
        <v>676</v>
      </c>
      <c r="B197" s="1" t="s">
        <v>352</v>
      </c>
      <c r="C197" s="1">
        <v>528</v>
      </c>
    </row>
    <row r="198" spans="1:3" x14ac:dyDescent="0.3">
      <c r="A198" s="1">
        <v>676</v>
      </c>
      <c r="B198" s="1" t="s">
        <v>352</v>
      </c>
      <c r="C198" s="1">
        <v>645</v>
      </c>
    </row>
    <row r="199" spans="1:3" x14ac:dyDescent="0.3">
      <c r="A199" s="1">
        <v>676</v>
      </c>
      <c r="B199" s="1" t="s">
        <v>352</v>
      </c>
      <c r="C199" s="1">
        <v>675</v>
      </c>
    </row>
    <row r="200" spans="1:3" x14ac:dyDescent="0.3">
      <c r="A200" s="1">
        <v>681</v>
      </c>
      <c r="B200" s="1" t="s">
        <v>320</v>
      </c>
      <c r="C200" s="1">
        <v>477</v>
      </c>
    </row>
    <row r="201" spans="1:3" x14ac:dyDescent="0.3">
      <c r="A201" s="1">
        <v>729</v>
      </c>
      <c r="B201" s="1" t="s">
        <v>320</v>
      </c>
      <c r="C201" s="1">
        <v>618</v>
      </c>
    </row>
    <row r="202" spans="1:3" x14ac:dyDescent="0.3">
      <c r="A202" s="1">
        <v>685</v>
      </c>
      <c r="B202" s="1" t="s">
        <v>679</v>
      </c>
      <c r="C202" s="1">
        <v>588</v>
      </c>
    </row>
    <row r="203" spans="1:3" x14ac:dyDescent="0.3">
      <c r="A203" s="1">
        <v>687</v>
      </c>
      <c r="B203" s="1" t="s">
        <v>352</v>
      </c>
      <c r="C203" s="1">
        <v>196</v>
      </c>
    </row>
    <row r="204" spans="1:3" x14ac:dyDescent="0.3">
      <c r="A204" s="1">
        <v>697</v>
      </c>
      <c r="B204" s="1" t="s">
        <v>352</v>
      </c>
      <c r="C204" s="1">
        <v>698</v>
      </c>
    </row>
    <row r="205" spans="1:3" x14ac:dyDescent="0.3">
      <c r="A205" s="1">
        <v>698</v>
      </c>
      <c r="B205" s="1" t="s">
        <v>352</v>
      </c>
      <c r="C205" s="1">
        <v>697</v>
      </c>
    </row>
    <row r="206" spans="1:3" x14ac:dyDescent="0.3">
      <c r="A206" s="1">
        <v>702</v>
      </c>
      <c r="B206" s="1" t="s">
        <v>352</v>
      </c>
      <c r="C206" s="1">
        <v>682</v>
      </c>
    </row>
    <row r="207" spans="1:3" x14ac:dyDescent="0.3">
      <c r="A207" s="1">
        <v>702</v>
      </c>
      <c r="B207" s="1" t="s">
        <v>352</v>
      </c>
      <c r="C207" s="1">
        <v>703</v>
      </c>
    </row>
    <row r="208" spans="1:3" x14ac:dyDescent="0.3">
      <c r="A208" s="1">
        <v>703</v>
      </c>
      <c r="B208" s="1" t="s">
        <v>352</v>
      </c>
      <c r="C208" s="1">
        <v>682</v>
      </c>
    </row>
    <row r="209" spans="1:3" x14ac:dyDescent="0.3">
      <c r="A209" s="1">
        <v>703</v>
      </c>
      <c r="B209" s="1" t="s">
        <v>352</v>
      </c>
      <c r="C209" s="1">
        <v>702</v>
      </c>
    </row>
    <row r="210" spans="1:3" x14ac:dyDescent="0.3">
      <c r="A210" s="1">
        <v>710</v>
      </c>
      <c r="B210" s="1" t="s">
        <v>679</v>
      </c>
      <c r="C210" s="1">
        <v>404</v>
      </c>
    </row>
    <row r="211" spans="1:3" x14ac:dyDescent="0.3">
      <c r="A211" s="1">
        <v>710</v>
      </c>
      <c r="B211" s="1" t="s">
        <v>679</v>
      </c>
      <c r="C211" s="1">
        <v>456</v>
      </c>
    </row>
    <row r="212" spans="1:3" x14ac:dyDescent="0.3">
      <c r="A212" s="1">
        <v>714</v>
      </c>
      <c r="B212" s="1" t="s">
        <v>679</v>
      </c>
      <c r="C212" s="1">
        <v>670</v>
      </c>
    </row>
    <row r="213" spans="1:3" x14ac:dyDescent="0.3">
      <c r="A213" s="1">
        <v>718</v>
      </c>
      <c r="B213" s="1" t="s">
        <v>679</v>
      </c>
      <c r="C213" s="1">
        <v>658</v>
      </c>
    </row>
    <row r="214" spans="1:3" x14ac:dyDescent="0.3">
      <c r="A214" s="1">
        <v>726</v>
      </c>
      <c r="B214" s="1" t="s">
        <v>679</v>
      </c>
      <c r="C214" s="1">
        <v>557</v>
      </c>
    </row>
    <row r="215" spans="1:3" x14ac:dyDescent="0.3">
      <c r="A215" s="1">
        <v>726</v>
      </c>
      <c r="B215" s="1" t="s">
        <v>679</v>
      </c>
      <c r="C215" s="1">
        <v>629</v>
      </c>
    </row>
    <row r="216" spans="1:3" x14ac:dyDescent="0.3">
      <c r="A216" s="1">
        <v>734</v>
      </c>
      <c r="B216" s="1" t="s">
        <v>679</v>
      </c>
      <c r="C216" s="1">
        <v>533</v>
      </c>
    </row>
    <row r="217" spans="1:3" x14ac:dyDescent="0.3">
      <c r="A217" s="1">
        <v>734</v>
      </c>
      <c r="B217" s="1" t="s">
        <v>679</v>
      </c>
      <c r="C217" s="1">
        <v>659</v>
      </c>
    </row>
    <row r="218" spans="1:3" x14ac:dyDescent="0.3">
      <c r="A218" s="1">
        <v>760</v>
      </c>
      <c r="B218" s="1" t="s">
        <v>679</v>
      </c>
      <c r="C218" s="1">
        <v>683</v>
      </c>
    </row>
    <row r="219" spans="1:3" x14ac:dyDescent="0.3">
      <c r="A219" s="1">
        <v>760</v>
      </c>
      <c r="B219" s="1" t="s">
        <v>679</v>
      </c>
      <c r="C219" s="1">
        <v>700</v>
      </c>
    </row>
    <row r="220" spans="1:3" x14ac:dyDescent="0.3">
      <c r="A220" s="1">
        <v>760</v>
      </c>
      <c r="B220" s="1" t="s">
        <v>679</v>
      </c>
      <c r="C220" s="1">
        <v>702</v>
      </c>
    </row>
    <row r="221" spans="1:3" x14ac:dyDescent="0.3">
      <c r="A221" s="1">
        <v>760</v>
      </c>
      <c r="B221" s="1" t="s">
        <v>679</v>
      </c>
      <c r="C221" s="1">
        <v>703</v>
      </c>
    </row>
    <row r="222" spans="1:3" x14ac:dyDescent="0.3">
      <c r="A222" s="1">
        <v>760</v>
      </c>
      <c r="B222" s="1" t="s">
        <v>679</v>
      </c>
      <c r="C222" s="1">
        <v>798</v>
      </c>
    </row>
    <row r="223" spans="1:3" x14ac:dyDescent="0.3">
      <c r="A223" s="1">
        <v>769</v>
      </c>
      <c r="B223" s="1" t="s">
        <v>679</v>
      </c>
      <c r="C223" s="1">
        <v>577</v>
      </c>
    </row>
    <row r="224" spans="1:3" x14ac:dyDescent="0.3">
      <c r="A224" s="1">
        <v>769</v>
      </c>
      <c r="B224" s="1" t="s">
        <v>320</v>
      </c>
      <c r="C224" s="1">
        <v>629</v>
      </c>
    </row>
    <row r="225" spans="1:3" x14ac:dyDescent="0.3">
      <c r="A225" s="1">
        <v>769</v>
      </c>
      <c r="B225" s="1" t="s">
        <v>320</v>
      </c>
      <c r="C225" s="1">
        <v>726</v>
      </c>
    </row>
    <row r="226" spans="1:3" x14ac:dyDescent="0.3">
      <c r="A226" s="1">
        <v>772</v>
      </c>
      <c r="B226" s="1" t="s">
        <v>352</v>
      </c>
      <c r="C226" s="1">
        <v>667</v>
      </c>
    </row>
    <row r="227" spans="1:3" x14ac:dyDescent="0.3">
      <c r="A227" s="1">
        <v>774</v>
      </c>
      <c r="B227" s="1" t="s">
        <v>679</v>
      </c>
      <c r="C227" s="1">
        <v>596</v>
      </c>
    </row>
    <row r="228" spans="1:3" x14ac:dyDescent="0.3">
      <c r="A228" s="1">
        <v>779</v>
      </c>
      <c r="B228" s="1" t="s">
        <v>352</v>
      </c>
      <c r="C228" s="1">
        <v>653</v>
      </c>
    </row>
    <row r="229" spans="1:3" x14ac:dyDescent="0.3">
      <c r="A229" s="1">
        <v>780</v>
      </c>
      <c r="B229" s="1" t="s">
        <v>679</v>
      </c>
      <c r="C229" s="1">
        <v>652</v>
      </c>
    </row>
    <row r="230" spans="1:3" x14ac:dyDescent="0.3">
      <c r="A230" s="1">
        <v>789</v>
      </c>
      <c r="B230" s="1" t="s">
        <v>679</v>
      </c>
      <c r="C230" s="1">
        <v>722</v>
      </c>
    </row>
    <row r="231" spans="1:3" x14ac:dyDescent="0.3">
      <c r="A231" s="1">
        <v>791</v>
      </c>
      <c r="B231" s="1" t="s">
        <v>679</v>
      </c>
      <c r="C231" s="1">
        <v>418</v>
      </c>
    </row>
    <row r="232" spans="1:3" x14ac:dyDescent="0.3">
      <c r="A232" s="1">
        <v>791</v>
      </c>
      <c r="B232" s="1" t="s">
        <v>679</v>
      </c>
      <c r="C232" s="1">
        <v>512</v>
      </c>
    </row>
    <row r="233" spans="1:3" x14ac:dyDescent="0.3">
      <c r="A233" s="1">
        <v>792</v>
      </c>
      <c r="B233" s="1" t="s">
        <v>352</v>
      </c>
      <c r="C233" s="1">
        <v>728</v>
      </c>
    </row>
    <row r="234" spans="1:3" x14ac:dyDescent="0.3">
      <c r="A234" s="1">
        <v>793</v>
      </c>
      <c r="B234" s="1" t="s">
        <v>679</v>
      </c>
      <c r="C234" s="1">
        <v>678</v>
      </c>
    </row>
    <row r="235" spans="1:3" x14ac:dyDescent="0.3">
      <c r="A235" s="1">
        <v>795</v>
      </c>
      <c r="B235" s="1" t="s">
        <v>679</v>
      </c>
      <c r="C235" s="1">
        <v>533</v>
      </c>
    </row>
    <row r="236" spans="1:3" x14ac:dyDescent="0.3">
      <c r="A236" s="1">
        <v>795</v>
      </c>
      <c r="B236" s="1" t="s">
        <v>679</v>
      </c>
      <c r="C236" s="1">
        <v>659</v>
      </c>
    </row>
    <row r="237" spans="1:3" x14ac:dyDescent="0.3">
      <c r="A237" s="1">
        <v>795</v>
      </c>
      <c r="B237" s="1" t="s">
        <v>679</v>
      </c>
      <c r="C237" s="1">
        <v>734</v>
      </c>
    </row>
    <row r="238" spans="1:3" x14ac:dyDescent="0.3">
      <c r="A238" s="1">
        <v>795</v>
      </c>
      <c r="B238" s="1" t="s">
        <v>679</v>
      </c>
      <c r="C238" s="1">
        <v>797</v>
      </c>
    </row>
    <row r="239" spans="1:3" x14ac:dyDescent="0.3">
      <c r="A239" s="1">
        <v>797</v>
      </c>
      <c r="B239" s="1" t="s">
        <v>679</v>
      </c>
      <c r="C239" s="1">
        <v>533</v>
      </c>
    </row>
    <row r="240" spans="1:3" x14ac:dyDescent="0.3">
      <c r="A240" s="1">
        <v>797</v>
      </c>
      <c r="B240" s="1" t="s">
        <v>679</v>
      </c>
      <c r="C240" s="1">
        <v>659</v>
      </c>
    </row>
    <row r="241" spans="1:3" x14ac:dyDescent="0.3">
      <c r="A241" s="1">
        <v>797</v>
      </c>
      <c r="B241" s="1" t="s">
        <v>679</v>
      </c>
      <c r="C241" s="1">
        <v>734</v>
      </c>
    </row>
    <row r="242" spans="1:3" x14ac:dyDescent="0.3">
      <c r="A242" s="1">
        <v>797</v>
      </c>
      <c r="B242" s="1" t="s">
        <v>679</v>
      </c>
      <c r="C242" s="1">
        <v>795</v>
      </c>
    </row>
    <row r="243" spans="1:3" x14ac:dyDescent="0.3">
      <c r="A243" s="1">
        <v>798</v>
      </c>
      <c r="B243" s="1" t="s">
        <v>679</v>
      </c>
      <c r="C243" s="1">
        <v>683</v>
      </c>
    </row>
    <row r="244" spans="1:3" x14ac:dyDescent="0.3">
      <c r="A244" s="1">
        <v>798</v>
      </c>
      <c r="B244" s="1" t="s">
        <v>679</v>
      </c>
      <c r="C244" s="1">
        <v>700</v>
      </c>
    </row>
    <row r="245" spans="1:3" x14ac:dyDescent="0.3">
      <c r="A245" s="1">
        <v>798</v>
      </c>
      <c r="B245" s="1" t="s">
        <v>679</v>
      </c>
      <c r="C245" s="1">
        <v>702</v>
      </c>
    </row>
    <row r="246" spans="1:3" x14ac:dyDescent="0.3">
      <c r="A246" s="1">
        <v>798</v>
      </c>
      <c r="B246" s="1" t="s">
        <v>679</v>
      </c>
      <c r="C246" s="1">
        <v>703</v>
      </c>
    </row>
    <row r="247" spans="1:3" x14ac:dyDescent="0.3">
      <c r="A247" s="1">
        <v>798</v>
      </c>
      <c r="B247" s="1" t="s">
        <v>679</v>
      </c>
      <c r="C247" s="1">
        <v>760</v>
      </c>
    </row>
    <row r="248" spans="1:3" x14ac:dyDescent="0.3">
      <c r="A248" s="1">
        <v>799</v>
      </c>
      <c r="B248" s="1" t="s">
        <v>679</v>
      </c>
      <c r="C248" s="1">
        <v>683</v>
      </c>
    </row>
    <row r="249" spans="1:3" x14ac:dyDescent="0.3">
      <c r="A249" s="1">
        <v>809</v>
      </c>
      <c r="B249" s="1" t="s">
        <v>352</v>
      </c>
      <c r="C249" s="1">
        <v>742</v>
      </c>
    </row>
    <row r="250" spans="1:3" x14ac:dyDescent="0.3">
      <c r="A250" s="1">
        <v>810</v>
      </c>
      <c r="B250" s="1" t="s">
        <v>679</v>
      </c>
      <c r="C250" s="1">
        <v>745</v>
      </c>
    </row>
    <row r="251" spans="1:3" x14ac:dyDescent="0.3">
      <c r="A251" s="1">
        <v>810</v>
      </c>
      <c r="B251" s="1" t="s">
        <v>679</v>
      </c>
      <c r="C251" s="1">
        <v>802</v>
      </c>
    </row>
    <row r="252" spans="1:3" x14ac:dyDescent="0.3">
      <c r="A252" s="1">
        <v>811</v>
      </c>
      <c r="B252" s="1" t="s">
        <v>352</v>
      </c>
      <c r="C252" s="1">
        <v>506</v>
      </c>
    </row>
    <row r="253" spans="1:3" x14ac:dyDescent="0.3">
      <c r="A253" s="1">
        <v>816</v>
      </c>
      <c r="B253" s="1" t="s">
        <v>352</v>
      </c>
      <c r="C253" s="1">
        <v>787</v>
      </c>
    </row>
    <row r="254" spans="1:3" x14ac:dyDescent="0.3">
      <c r="A254" s="1">
        <v>819</v>
      </c>
      <c r="B254" s="1" t="s">
        <v>352</v>
      </c>
      <c r="C254" s="1">
        <v>695</v>
      </c>
    </row>
    <row r="255" spans="1:3" x14ac:dyDescent="0.3">
      <c r="A255" s="1">
        <v>819</v>
      </c>
      <c r="B255" s="1" t="s">
        <v>352</v>
      </c>
      <c r="C255" s="1">
        <v>834</v>
      </c>
    </row>
    <row r="256" spans="1:3" x14ac:dyDescent="0.3">
      <c r="A256" s="1">
        <v>826</v>
      </c>
      <c r="B256" s="1" t="s">
        <v>679</v>
      </c>
      <c r="C256" s="1">
        <v>829</v>
      </c>
    </row>
    <row r="257" spans="1:3" x14ac:dyDescent="0.3">
      <c r="A257" s="1">
        <v>829</v>
      </c>
      <c r="B257" s="1" t="s">
        <v>679</v>
      </c>
      <c r="C257" s="1">
        <v>826</v>
      </c>
    </row>
    <row r="258" spans="1:3" x14ac:dyDescent="0.3">
      <c r="A258" s="1">
        <v>830</v>
      </c>
      <c r="B258" s="1" t="s">
        <v>352</v>
      </c>
      <c r="C258" s="1">
        <v>760</v>
      </c>
    </row>
    <row r="259" spans="1:3" x14ac:dyDescent="0.3">
      <c r="A259" s="1">
        <v>834</v>
      </c>
      <c r="B259" s="1" t="s">
        <v>352</v>
      </c>
      <c r="C259" s="1">
        <v>695</v>
      </c>
    </row>
    <row r="260" spans="1:3" x14ac:dyDescent="0.3">
      <c r="A260" s="1">
        <v>834</v>
      </c>
      <c r="B260" s="1" t="s">
        <v>352</v>
      </c>
      <c r="C260" s="1">
        <v>819</v>
      </c>
    </row>
    <row r="261" spans="1:3" x14ac:dyDescent="0.3">
      <c r="A261" s="1">
        <v>836</v>
      </c>
      <c r="B261" s="1" t="s">
        <v>679</v>
      </c>
      <c r="C261" s="1">
        <v>747</v>
      </c>
    </row>
    <row r="262" spans="1:3" x14ac:dyDescent="0.3">
      <c r="A262" s="1">
        <v>839</v>
      </c>
      <c r="B262" s="1" t="s">
        <v>352</v>
      </c>
      <c r="C262" s="1">
        <v>533</v>
      </c>
    </row>
    <row r="263" spans="1:3" x14ac:dyDescent="0.3">
      <c r="A263" s="52">
        <v>845</v>
      </c>
      <c r="B263" s="52" t="s">
        <v>352</v>
      </c>
      <c r="C263" s="52">
        <v>809</v>
      </c>
    </row>
    <row r="264" spans="1:3" x14ac:dyDescent="0.3">
      <c r="A264" s="52">
        <v>845</v>
      </c>
      <c r="B264" s="52" t="s">
        <v>352</v>
      </c>
      <c r="C264" s="52">
        <v>742</v>
      </c>
    </row>
    <row r="265" spans="1:3" x14ac:dyDescent="0.3">
      <c r="A265" s="52">
        <v>847</v>
      </c>
      <c r="B265" s="52" t="s">
        <v>352</v>
      </c>
      <c r="C265" s="52">
        <v>781</v>
      </c>
    </row>
    <row r="266" spans="1:3" x14ac:dyDescent="0.3">
      <c r="A266" s="52">
        <v>849</v>
      </c>
      <c r="B266" s="52" t="s">
        <v>352</v>
      </c>
      <c r="C266" s="52">
        <v>533</v>
      </c>
    </row>
    <row r="267" spans="1:3" x14ac:dyDescent="0.3">
      <c r="A267" s="52">
        <v>861</v>
      </c>
      <c r="B267" s="52" t="s">
        <v>320</v>
      </c>
      <c r="C267" s="52">
        <v>767</v>
      </c>
    </row>
    <row r="268" spans="1:3" x14ac:dyDescent="0.3">
      <c r="A268" s="52">
        <v>863</v>
      </c>
      <c r="B268" s="52" t="s">
        <v>352</v>
      </c>
      <c r="C268" s="52">
        <v>727</v>
      </c>
    </row>
    <row r="269" spans="1:3" x14ac:dyDescent="0.3">
      <c r="A269" s="52">
        <v>865</v>
      </c>
      <c r="B269" s="52" t="s">
        <v>320</v>
      </c>
      <c r="C269" s="52">
        <v>488</v>
      </c>
    </row>
    <row r="270" spans="1:3" x14ac:dyDescent="0.3">
      <c r="A270" s="52">
        <v>867</v>
      </c>
      <c r="B270" s="52" t="s">
        <v>352</v>
      </c>
      <c r="C270" s="52">
        <v>434</v>
      </c>
    </row>
    <row r="271" spans="1:3" x14ac:dyDescent="0.3">
      <c r="A271" s="52">
        <v>870</v>
      </c>
      <c r="B271" s="52" t="s">
        <v>352</v>
      </c>
      <c r="C271" s="52">
        <v>393</v>
      </c>
    </row>
    <row r="272" spans="1:3" x14ac:dyDescent="0.3">
      <c r="A272" s="52">
        <v>872</v>
      </c>
      <c r="B272" s="52" t="s">
        <v>320</v>
      </c>
      <c r="C272" s="52">
        <v>832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9"/>
  <sheetViews>
    <sheetView tabSelected="1" topLeftCell="A53" workbookViewId="0">
      <selection activeCell="G69" sqref="G69"/>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9"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row r="63" spans="1:15" x14ac:dyDescent="0.3">
      <c r="A63" s="2">
        <v>43914</v>
      </c>
      <c r="B63" s="6">
        <v>49</v>
      </c>
      <c r="C63" s="1">
        <f t="shared" si="0"/>
        <v>558</v>
      </c>
      <c r="D63" s="6">
        <v>3</v>
      </c>
      <c r="E63" s="1">
        <f t="shared" si="0"/>
        <v>155</v>
      </c>
      <c r="F63" s="6">
        <v>17</v>
      </c>
      <c r="G63" s="1"/>
      <c r="H63" s="1"/>
      <c r="I63" s="1"/>
      <c r="J63" s="1"/>
      <c r="K63" s="6">
        <v>8822</v>
      </c>
      <c r="L63" s="1"/>
      <c r="M63" s="1"/>
      <c r="N63" s="6">
        <v>2803</v>
      </c>
      <c r="O63" s="6">
        <v>6019</v>
      </c>
    </row>
    <row r="64" spans="1:15" x14ac:dyDescent="0.3">
      <c r="A64" s="2">
        <v>43915</v>
      </c>
      <c r="B64" s="6">
        <v>73</v>
      </c>
      <c r="C64" s="1">
        <f t="shared" si="0"/>
        <v>631</v>
      </c>
      <c r="D64" s="6">
        <v>5</v>
      </c>
      <c r="E64" s="1">
        <f t="shared" si="0"/>
        <v>160</v>
      </c>
      <c r="F64" s="6">
        <v>17</v>
      </c>
      <c r="G64" s="1"/>
      <c r="H64" s="1"/>
      <c r="I64" s="1"/>
      <c r="J64" s="1"/>
      <c r="K64" s="6">
        <v>8930</v>
      </c>
      <c r="L64" s="1"/>
      <c r="M64" s="1"/>
      <c r="N64" s="6">
        <v>2642</v>
      </c>
      <c r="O64" s="6">
        <v>6287</v>
      </c>
    </row>
    <row r="65" spans="1:15" x14ac:dyDescent="0.3">
      <c r="A65" s="2">
        <v>43916</v>
      </c>
      <c r="B65" s="6">
        <v>52</v>
      </c>
      <c r="C65" s="1">
        <f t="shared" si="0"/>
        <v>683</v>
      </c>
      <c r="D65" s="6">
        <v>12</v>
      </c>
      <c r="E65" s="1">
        <f t="shared" si="0"/>
        <v>172</v>
      </c>
      <c r="F65" s="6">
        <v>18</v>
      </c>
      <c r="G65" s="1"/>
      <c r="H65" s="1"/>
      <c r="I65" s="1"/>
      <c r="J65" s="1"/>
      <c r="K65" s="6">
        <v>9771</v>
      </c>
      <c r="L65" s="1"/>
      <c r="M65" s="1"/>
      <c r="N65" s="6">
        <v>3216</v>
      </c>
      <c r="O65" s="6">
        <v>6555</v>
      </c>
    </row>
    <row r="66" spans="1:15" x14ac:dyDescent="0.3">
      <c r="A66" s="2">
        <v>43917</v>
      </c>
      <c r="B66" s="6">
        <v>49</v>
      </c>
      <c r="C66" s="1">
        <f t="shared" si="0"/>
        <v>732</v>
      </c>
      <c r="D66" s="6">
        <v>11</v>
      </c>
      <c r="E66" s="1">
        <f t="shared" si="0"/>
        <v>183</v>
      </c>
      <c r="F66" s="6">
        <v>17</v>
      </c>
      <c r="G66" s="1"/>
      <c r="H66" s="1"/>
      <c r="I66" s="1"/>
      <c r="J66" s="1"/>
      <c r="K66" s="6">
        <v>10346</v>
      </c>
      <c r="L66" s="1"/>
      <c r="M66" s="1"/>
      <c r="N66" s="6">
        <v>3330</v>
      </c>
      <c r="O66" s="6">
        <v>7016</v>
      </c>
    </row>
    <row r="67" spans="1:15" x14ac:dyDescent="0.3">
      <c r="A67" s="2">
        <v>43918</v>
      </c>
      <c r="B67" s="6">
        <v>70</v>
      </c>
      <c r="C67" s="1">
        <f t="shared" si="0"/>
        <v>802</v>
      </c>
      <c r="D67" s="6">
        <v>15</v>
      </c>
      <c r="E67" s="1">
        <f t="shared" si="0"/>
        <v>198</v>
      </c>
      <c r="F67" s="6">
        <v>19</v>
      </c>
      <c r="G67" s="1"/>
      <c r="H67" s="1"/>
      <c r="I67" s="1"/>
      <c r="J67" s="1"/>
      <c r="K67" s="6">
        <v>10875</v>
      </c>
      <c r="L67" s="1"/>
      <c r="M67" s="1"/>
      <c r="N67" s="6">
        <v>3640</v>
      </c>
      <c r="O67" s="6">
        <v>7235</v>
      </c>
    </row>
    <row r="68" spans="1:15" x14ac:dyDescent="0.3">
      <c r="A68" s="2">
        <v>43919</v>
      </c>
      <c r="B68" s="6">
        <v>42</v>
      </c>
      <c r="C68" s="1">
        <f t="shared" si="0"/>
        <v>844</v>
      </c>
      <c r="D68" s="6">
        <v>14</v>
      </c>
      <c r="E68" s="1">
        <f t="shared" si="0"/>
        <v>212</v>
      </c>
      <c r="F68" s="6">
        <v>19</v>
      </c>
      <c r="G68" s="1">
        <v>1</v>
      </c>
      <c r="H68" s="1"/>
      <c r="I68" s="1"/>
      <c r="J68" s="1"/>
      <c r="K68" s="6">
        <v>11779</v>
      </c>
      <c r="L68" s="1"/>
      <c r="M68" s="1"/>
      <c r="N68" s="6">
        <v>4178</v>
      </c>
      <c r="O68" s="6">
        <v>7601</v>
      </c>
    </row>
    <row r="69" spans="1:15" x14ac:dyDescent="0.3">
      <c r="A69" s="49">
        <v>43920</v>
      </c>
      <c r="B69" s="52">
        <v>35</v>
      </c>
      <c r="C69" s="52">
        <f t="shared" si="0"/>
        <v>879</v>
      </c>
      <c r="D69" s="52">
        <v>16</v>
      </c>
      <c r="E69" s="52">
        <f t="shared" si="0"/>
        <v>228</v>
      </c>
      <c r="F69" s="52">
        <v>19</v>
      </c>
      <c r="G69" s="52"/>
      <c r="H69" s="52"/>
      <c r="I69" s="52"/>
      <c r="J69" s="52"/>
      <c r="K69" s="52">
        <v>12984</v>
      </c>
      <c r="L69" s="52"/>
      <c r="M69" s="52"/>
      <c r="N69" s="52">
        <v>4737</v>
      </c>
      <c r="O69" s="52">
        <v>8247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2020-03-31T00:52:08Z</dcterms:modified>
</cp:coreProperties>
</file>