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6A1E674A-7EFE-4773-8D5A-CF38F2BAD811}" xr6:coauthVersionLast="31" xr6:coauthVersionMax="31" xr10:uidLastSave="{00000000-0000-0000-0000-000000000000}"/>
  <bookViews>
    <workbookView xWindow="0" yWindow="0" windowWidth="19008" windowHeight="8496" xr2:uid="{31FC31E5-BF5D-4DF9-8764-C97F6AC0BEA7}"/>
  </bookViews>
  <sheets>
    <sheet name="Details" sheetId="1" r:id="rId1"/>
    <sheet name="Annex" sheetId="7" r:id="rId2"/>
    <sheet name="Cluster" sheetId="6" r:id="rId3"/>
    <sheet name="Sheet1" sheetId="5" r:id="rId4"/>
    <sheet name="Movement" sheetId="4" r:id="rId5"/>
    <sheet name="Relationship" sheetId="3" r:id="rId6"/>
    <sheet name="Case" sheetId="2" r:id="rId7"/>
  </sheets>
  <definedNames>
    <definedName name="_xlnm._FilterDatabase" localSheetId="2" hidden="1">Cluster!$A$1:$B$291</definedName>
    <definedName name="_xlnm._FilterDatabase" localSheetId="0" hidden="1">Details!$A$1:$M$1051</definedName>
    <definedName name="_ftn1" localSheetId="1">Annex!$A$50</definedName>
    <definedName name="_ftn2" localSheetId="1">Annex!$A$51</definedName>
    <definedName name="_ftn3" localSheetId="1">Annex!$A$52</definedName>
    <definedName name="_ftn4" localSheetId="1">Annex!$A$53</definedName>
    <definedName name="_ftn5" localSheetId="1">Annex!$A$54</definedName>
    <definedName name="_ftnref1" localSheetId="1">Annex!$C$2</definedName>
    <definedName name="_ftnref2" localSheetId="1">Annex!$C$3</definedName>
    <definedName name="_ftnref3" localSheetId="1">Annex!$C$5</definedName>
    <definedName name="_ftnref4" localSheetId="1">Annex!$C$8</definedName>
    <definedName name="_ftnref5" localSheetId="1">Annex!$C$12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75" i="2" l="1"/>
  <c r="C75" i="2"/>
  <c r="L1190" i="1"/>
  <c r="F1190" i="1"/>
  <c r="E1190" i="1"/>
  <c r="D1190" i="1"/>
  <c r="C1190" i="1"/>
  <c r="B1190" i="1"/>
  <c r="A1190" i="1"/>
  <c r="L1189" i="1"/>
  <c r="F1189" i="1"/>
  <c r="E1189" i="1"/>
  <c r="D1189" i="1"/>
  <c r="C1189" i="1"/>
  <c r="B1189" i="1"/>
  <c r="A1189" i="1"/>
  <c r="L1188" i="1"/>
  <c r="F1188" i="1"/>
  <c r="E1188" i="1"/>
  <c r="D1188" i="1"/>
  <c r="C1188" i="1"/>
  <c r="B1188" i="1"/>
  <c r="A1188" i="1"/>
  <c r="L1187" i="1"/>
  <c r="F1187" i="1"/>
  <c r="E1187" i="1"/>
  <c r="D1187" i="1"/>
  <c r="C1187" i="1"/>
  <c r="B1187" i="1"/>
  <c r="A1187" i="1"/>
  <c r="L1186" i="1"/>
  <c r="F1186" i="1"/>
  <c r="E1186" i="1"/>
  <c r="D1186" i="1"/>
  <c r="C1186" i="1"/>
  <c r="B1186" i="1"/>
  <c r="A1186" i="1"/>
  <c r="L1185" i="1"/>
  <c r="F1185" i="1"/>
  <c r="E1185" i="1"/>
  <c r="D1185" i="1"/>
  <c r="C1185" i="1"/>
  <c r="B1185" i="1"/>
  <c r="A1185" i="1"/>
  <c r="L1184" i="1"/>
  <c r="F1184" i="1"/>
  <c r="E1184" i="1"/>
  <c r="D1184" i="1"/>
  <c r="C1184" i="1"/>
  <c r="B1184" i="1"/>
  <c r="A1184" i="1"/>
  <c r="L1183" i="1"/>
  <c r="F1183" i="1"/>
  <c r="E1183" i="1"/>
  <c r="D1183" i="1"/>
  <c r="C1183" i="1"/>
  <c r="B1183" i="1"/>
  <c r="A1183" i="1"/>
  <c r="L1182" i="1"/>
  <c r="F1182" i="1"/>
  <c r="E1182" i="1"/>
  <c r="D1182" i="1"/>
  <c r="C1182" i="1"/>
  <c r="B1182" i="1"/>
  <c r="A1182" i="1"/>
  <c r="L1181" i="1"/>
  <c r="F1181" i="1"/>
  <c r="E1181" i="1"/>
  <c r="D1181" i="1"/>
  <c r="C1181" i="1"/>
  <c r="B1181" i="1"/>
  <c r="A1181" i="1"/>
  <c r="L1180" i="1"/>
  <c r="F1180" i="1"/>
  <c r="E1180" i="1"/>
  <c r="D1180" i="1"/>
  <c r="C1180" i="1"/>
  <c r="B1180" i="1"/>
  <c r="A1180" i="1"/>
  <c r="L1179" i="1"/>
  <c r="F1179" i="1"/>
  <c r="E1179" i="1"/>
  <c r="D1179" i="1"/>
  <c r="C1179" i="1"/>
  <c r="B1179" i="1"/>
  <c r="A1179" i="1"/>
  <c r="L1178" i="1"/>
  <c r="F1178" i="1"/>
  <c r="E1178" i="1"/>
  <c r="D1178" i="1"/>
  <c r="C1178" i="1"/>
  <c r="B1178" i="1"/>
  <c r="A1178" i="1"/>
  <c r="L1177" i="1"/>
  <c r="F1177" i="1"/>
  <c r="E1177" i="1"/>
  <c r="D1177" i="1"/>
  <c r="C1177" i="1"/>
  <c r="B1177" i="1"/>
  <c r="A1177" i="1"/>
  <c r="L1176" i="1"/>
  <c r="F1176" i="1"/>
  <c r="E1176" i="1"/>
  <c r="D1176" i="1"/>
  <c r="C1176" i="1"/>
  <c r="B1176" i="1"/>
  <c r="A1176" i="1"/>
  <c r="L1175" i="1"/>
  <c r="F1175" i="1"/>
  <c r="E1175" i="1"/>
  <c r="D1175" i="1"/>
  <c r="C1175" i="1"/>
  <c r="B1175" i="1"/>
  <c r="A1175" i="1"/>
  <c r="L1174" i="1"/>
  <c r="F1174" i="1"/>
  <c r="E1174" i="1"/>
  <c r="D1174" i="1"/>
  <c r="C1174" i="1"/>
  <c r="B1174" i="1"/>
  <c r="A1174" i="1"/>
  <c r="L1173" i="1"/>
  <c r="F1173" i="1"/>
  <c r="E1173" i="1"/>
  <c r="D1173" i="1"/>
  <c r="C1173" i="1"/>
  <c r="B1173" i="1"/>
  <c r="A1173" i="1"/>
  <c r="L1172" i="1"/>
  <c r="F1172" i="1"/>
  <c r="E1172" i="1"/>
  <c r="D1172" i="1"/>
  <c r="C1172" i="1"/>
  <c r="B1172" i="1"/>
  <c r="A1172" i="1"/>
  <c r="L1171" i="1"/>
  <c r="F1171" i="1"/>
  <c r="E1171" i="1"/>
  <c r="D1171" i="1"/>
  <c r="C1171" i="1"/>
  <c r="B1171" i="1"/>
  <c r="A1171" i="1"/>
  <c r="L1170" i="1"/>
  <c r="F1170" i="1"/>
  <c r="E1170" i="1"/>
  <c r="D1170" i="1"/>
  <c r="C1170" i="1"/>
  <c r="B1170" i="1"/>
  <c r="A1170" i="1"/>
  <c r="L1169" i="1"/>
  <c r="F1169" i="1"/>
  <c r="E1169" i="1"/>
  <c r="D1169" i="1"/>
  <c r="C1169" i="1"/>
  <c r="B1169" i="1"/>
  <c r="A1169" i="1"/>
  <c r="L1168" i="1"/>
  <c r="F1168" i="1"/>
  <c r="E1168" i="1"/>
  <c r="D1168" i="1"/>
  <c r="C1168" i="1"/>
  <c r="B1168" i="1"/>
  <c r="A1168" i="1"/>
  <c r="L1167" i="1"/>
  <c r="F1167" i="1"/>
  <c r="E1167" i="1"/>
  <c r="D1167" i="1"/>
  <c r="C1167" i="1"/>
  <c r="B1167" i="1"/>
  <c r="A1167" i="1"/>
  <c r="L1166" i="1"/>
  <c r="F1166" i="1"/>
  <c r="E1166" i="1"/>
  <c r="D1166" i="1"/>
  <c r="C1166" i="1"/>
  <c r="B1166" i="1"/>
  <c r="A1166" i="1"/>
  <c r="L1165" i="1"/>
  <c r="F1165" i="1"/>
  <c r="E1165" i="1"/>
  <c r="D1165" i="1"/>
  <c r="C1165" i="1"/>
  <c r="B1165" i="1"/>
  <c r="A1165" i="1"/>
  <c r="L1164" i="1"/>
  <c r="F1164" i="1"/>
  <c r="E1164" i="1"/>
  <c r="D1164" i="1"/>
  <c r="C1164" i="1"/>
  <c r="B1164" i="1"/>
  <c r="A1164" i="1"/>
  <c r="L1163" i="1"/>
  <c r="F1163" i="1"/>
  <c r="E1163" i="1"/>
  <c r="D1163" i="1"/>
  <c r="C1163" i="1"/>
  <c r="B1163" i="1"/>
  <c r="A1163" i="1"/>
  <c r="L1162" i="1"/>
  <c r="F1162" i="1"/>
  <c r="E1162" i="1"/>
  <c r="D1162" i="1"/>
  <c r="C1162" i="1"/>
  <c r="B1162" i="1"/>
  <c r="A1162" i="1"/>
  <c r="L1161" i="1"/>
  <c r="F1161" i="1"/>
  <c r="E1161" i="1"/>
  <c r="D1161" i="1"/>
  <c r="C1161" i="1"/>
  <c r="B1161" i="1"/>
  <c r="A1161" i="1"/>
  <c r="L1160" i="1"/>
  <c r="F1160" i="1"/>
  <c r="E1160" i="1"/>
  <c r="D1160" i="1"/>
  <c r="C1160" i="1"/>
  <c r="B1160" i="1"/>
  <c r="A1160" i="1"/>
  <c r="L1159" i="1"/>
  <c r="F1159" i="1"/>
  <c r="E1159" i="1"/>
  <c r="D1159" i="1"/>
  <c r="C1159" i="1"/>
  <c r="B1159" i="1"/>
  <c r="A1159" i="1"/>
  <c r="L1158" i="1"/>
  <c r="F1158" i="1"/>
  <c r="E1158" i="1"/>
  <c r="D1158" i="1"/>
  <c r="C1158" i="1"/>
  <c r="B1158" i="1"/>
  <c r="A1158" i="1"/>
  <c r="L1157" i="1"/>
  <c r="F1157" i="1"/>
  <c r="E1157" i="1"/>
  <c r="D1157" i="1"/>
  <c r="C1157" i="1"/>
  <c r="B1157" i="1"/>
  <c r="A1157" i="1"/>
  <c r="L1156" i="1"/>
  <c r="F1156" i="1"/>
  <c r="E1156" i="1"/>
  <c r="D1156" i="1"/>
  <c r="C1156" i="1"/>
  <c r="B1156" i="1"/>
  <c r="A1156" i="1"/>
  <c r="L1155" i="1"/>
  <c r="F1155" i="1"/>
  <c r="E1155" i="1"/>
  <c r="D1155" i="1"/>
  <c r="C1155" i="1"/>
  <c r="B1155" i="1"/>
  <c r="A1155" i="1"/>
  <c r="L1154" i="1"/>
  <c r="F1154" i="1"/>
  <c r="E1154" i="1"/>
  <c r="D1154" i="1"/>
  <c r="C1154" i="1"/>
  <c r="B1154" i="1"/>
  <c r="A1154" i="1"/>
  <c r="L1153" i="1"/>
  <c r="F1153" i="1"/>
  <c r="E1153" i="1"/>
  <c r="D1153" i="1"/>
  <c r="C1153" i="1"/>
  <c r="B1153" i="1"/>
  <c r="A1153" i="1"/>
  <c r="L1152" i="1"/>
  <c r="F1152" i="1"/>
  <c r="E1152" i="1"/>
  <c r="D1152" i="1"/>
  <c r="C1152" i="1"/>
  <c r="B1152" i="1"/>
  <c r="A1152" i="1"/>
  <c r="L1151" i="1"/>
  <c r="F1151" i="1"/>
  <c r="E1151" i="1"/>
  <c r="D1151" i="1"/>
  <c r="C1151" i="1"/>
  <c r="B1151" i="1"/>
  <c r="A1151" i="1"/>
  <c r="L1150" i="1"/>
  <c r="F1150" i="1"/>
  <c r="E1150" i="1"/>
  <c r="D1150" i="1"/>
  <c r="C1150" i="1"/>
  <c r="B1150" i="1"/>
  <c r="A1150" i="1"/>
  <c r="L1149" i="1"/>
  <c r="F1149" i="1"/>
  <c r="E1149" i="1"/>
  <c r="D1149" i="1"/>
  <c r="C1149" i="1"/>
  <c r="B1149" i="1"/>
  <c r="A1149" i="1"/>
  <c r="L1148" i="1"/>
  <c r="F1148" i="1"/>
  <c r="E1148" i="1"/>
  <c r="D1148" i="1"/>
  <c r="C1148" i="1"/>
  <c r="B1148" i="1"/>
  <c r="A1148" i="1"/>
  <c r="L1147" i="1"/>
  <c r="F1147" i="1"/>
  <c r="E1147" i="1"/>
  <c r="D1147" i="1"/>
  <c r="C1147" i="1"/>
  <c r="B1147" i="1"/>
  <c r="A1147" i="1"/>
  <c r="L1146" i="1"/>
  <c r="F1146" i="1"/>
  <c r="E1146" i="1"/>
  <c r="D1146" i="1"/>
  <c r="C1146" i="1"/>
  <c r="B1146" i="1"/>
  <c r="A1146" i="1"/>
  <c r="L1145" i="1"/>
  <c r="F1145" i="1"/>
  <c r="E1145" i="1"/>
  <c r="D1145" i="1"/>
  <c r="C1145" i="1"/>
  <c r="B1145" i="1"/>
  <c r="A1145" i="1"/>
  <c r="L1144" i="1"/>
  <c r="F1144" i="1"/>
  <c r="E1144" i="1"/>
  <c r="D1144" i="1"/>
  <c r="C1144" i="1"/>
  <c r="B1144" i="1"/>
  <c r="A1144" i="1"/>
  <c r="L1143" i="1"/>
  <c r="F1143" i="1"/>
  <c r="E1143" i="1"/>
  <c r="D1143" i="1"/>
  <c r="C1143" i="1"/>
  <c r="B1143" i="1"/>
  <c r="A1143" i="1"/>
  <c r="L1142" i="1"/>
  <c r="F1142" i="1"/>
  <c r="E1142" i="1"/>
  <c r="D1142" i="1"/>
  <c r="C1142" i="1"/>
  <c r="B1142" i="1"/>
  <c r="A1142" i="1"/>
  <c r="L1141" i="1"/>
  <c r="F1141" i="1"/>
  <c r="E1141" i="1"/>
  <c r="D1141" i="1"/>
  <c r="C1141" i="1"/>
  <c r="B1141" i="1"/>
  <c r="A1141" i="1"/>
  <c r="L1140" i="1"/>
  <c r="F1140" i="1"/>
  <c r="E1140" i="1"/>
  <c r="D1140" i="1"/>
  <c r="C1140" i="1"/>
  <c r="B1140" i="1"/>
  <c r="A1140" i="1"/>
  <c r="L1139" i="1"/>
  <c r="F1139" i="1"/>
  <c r="E1139" i="1"/>
  <c r="D1139" i="1"/>
  <c r="C1139" i="1"/>
  <c r="B1139" i="1"/>
  <c r="A1139" i="1"/>
  <c r="L1138" i="1"/>
  <c r="F1138" i="1"/>
  <c r="E1138" i="1"/>
  <c r="D1138" i="1"/>
  <c r="C1138" i="1"/>
  <c r="B1138" i="1"/>
  <c r="A1138" i="1"/>
  <c r="L1137" i="1"/>
  <c r="F1137" i="1"/>
  <c r="E1137" i="1"/>
  <c r="D1137" i="1"/>
  <c r="C1137" i="1"/>
  <c r="B1137" i="1"/>
  <c r="A1137" i="1"/>
  <c r="L1136" i="1"/>
  <c r="F1136" i="1"/>
  <c r="E1136" i="1"/>
  <c r="D1136" i="1"/>
  <c r="C1136" i="1"/>
  <c r="B1136" i="1"/>
  <c r="A1136" i="1"/>
  <c r="L1135" i="1"/>
  <c r="F1135" i="1"/>
  <c r="E1135" i="1"/>
  <c r="D1135" i="1"/>
  <c r="C1135" i="1"/>
  <c r="B1135" i="1"/>
  <c r="A1135" i="1"/>
  <c r="L1134" i="1"/>
  <c r="F1134" i="1"/>
  <c r="E1134" i="1"/>
  <c r="D1134" i="1"/>
  <c r="C1134" i="1"/>
  <c r="B1134" i="1"/>
  <c r="A1134" i="1"/>
  <c r="L1133" i="1"/>
  <c r="F1133" i="1"/>
  <c r="E1133" i="1"/>
  <c r="D1133" i="1"/>
  <c r="C1133" i="1"/>
  <c r="B1133" i="1"/>
  <c r="A1133" i="1"/>
  <c r="L1132" i="1"/>
  <c r="F1132" i="1"/>
  <c r="E1132" i="1"/>
  <c r="D1132" i="1"/>
  <c r="C1132" i="1"/>
  <c r="B1132" i="1"/>
  <c r="A1132" i="1"/>
  <c r="L1131" i="1"/>
  <c r="F1131" i="1"/>
  <c r="E1131" i="1"/>
  <c r="D1131" i="1"/>
  <c r="C1131" i="1"/>
  <c r="B1131" i="1"/>
  <c r="A1131" i="1"/>
  <c r="L1130" i="1"/>
  <c r="F1130" i="1"/>
  <c r="E1130" i="1"/>
  <c r="D1130" i="1"/>
  <c r="C1130" i="1"/>
  <c r="B1130" i="1"/>
  <c r="A1130" i="1"/>
  <c r="L1129" i="1"/>
  <c r="F1129" i="1"/>
  <c r="E1129" i="1"/>
  <c r="D1129" i="1"/>
  <c r="C1129" i="1"/>
  <c r="B1129" i="1"/>
  <c r="A1129" i="1"/>
  <c r="L1128" i="1"/>
  <c r="F1128" i="1"/>
  <c r="E1128" i="1"/>
  <c r="D1128" i="1"/>
  <c r="C1128" i="1"/>
  <c r="B1128" i="1"/>
  <c r="A1128" i="1"/>
  <c r="L1127" i="1"/>
  <c r="F1127" i="1"/>
  <c r="E1127" i="1"/>
  <c r="D1127" i="1"/>
  <c r="C1127" i="1"/>
  <c r="B1127" i="1"/>
  <c r="A1127" i="1"/>
  <c r="L1126" i="1"/>
  <c r="F1126" i="1"/>
  <c r="E1126" i="1"/>
  <c r="D1126" i="1"/>
  <c r="C1126" i="1"/>
  <c r="B1126" i="1"/>
  <c r="A1126" i="1"/>
  <c r="L1125" i="1"/>
  <c r="F1125" i="1"/>
  <c r="E1125" i="1"/>
  <c r="D1125" i="1"/>
  <c r="C1125" i="1"/>
  <c r="B1125" i="1"/>
  <c r="A1125" i="1"/>
  <c r="L1124" i="1"/>
  <c r="F1124" i="1"/>
  <c r="E1124" i="1"/>
  <c r="D1124" i="1"/>
  <c r="C1124" i="1"/>
  <c r="B1124" i="1"/>
  <c r="A1124" i="1"/>
  <c r="L1123" i="1"/>
  <c r="F1123" i="1"/>
  <c r="E1123" i="1"/>
  <c r="D1123" i="1"/>
  <c r="C1123" i="1"/>
  <c r="B1123" i="1"/>
  <c r="A1123" i="1"/>
  <c r="L1122" i="1"/>
  <c r="F1122" i="1"/>
  <c r="E1122" i="1"/>
  <c r="D1122" i="1"/>
  <c r="C1122" i="1"/>
  <c r="B1122" i="1"/>
  <c r="A1122" i="1"/>
  <c r="L1121" i="1"/>
  <c r="F1121" i="1"/>
  <c r="E1121" i="1"/>
  <c r="D1121" i="1"/>
  <c r="C1121" i="1"/>
  <c r="B1121" i="1"/>
  <c r="A1121" i="1"/>
  <c r="L1120" i="1"/>
  <c r="F1120" i="1"/>
  <c r="E1120" i="1"/>
  <c r="D1120" i="1"/>
  <c r="C1120" i="1"/>
  <c r="B1120" i="1"/>
  <c r="A1120" i="1"/>
  <c r="L1119" i="1"/>
  <c r="F1119" i="1"/>
  <c r="E1119" i="1"/>
  <c r="D1119" i="1"/>
  <c r="C1119" i="1"/>
  <c r="B1119" i="1"/>
  <c r="A1119" i="1"/>
  <c r="L1118" i="1"/>
  <c r="F1118" i="1"/>
  <c r="E1118" i="1"/>
  <c r="D1118" i="1"/>
  <c r="C1118" i="1"/>
  <c r="B1118" i="1"/>
  <c r="A1118" i="1"/>
  <c r="L1117" i="1"/>
  <c r="F1117" i="1"/>
  <c r="E1117" i="1"/>
  <c r="D1117" i="1"/>
  <c r="C1117" i="1"/>
  <c r="B1117" i="1"/>
  <c r="A1117" i="1"/>
  <c r="L1116" i="1"/>
  <c r="F1116" i="1"/>
  <c r="E1116" i="1"/>
  <c r="D1116" i="1"/>
  <c r="C1116" i="1"/>
  <c r="B1116" i="1"/>
  <c r="A1116" i="1"/>
  <c r="P924" i="7"/>
  <c r="O924" i="7"/>
  <c r="N924" i="7"/>
  <c r="M924" i="7"/>
  <c r="K924" i="7"/>
  <c r="J924" i="7"/>
  <c r="L924" i="7" s="1"/>
  <c r="P923" i="7"/>
  <c r="O923" i="7"/>
  <c r="N923" i="7"/>
  <c r="M923" i="7"/>
  <c r="L923" i="7"/>
  <c r="K923" i="7"/>
  <c r="J923" i="7"/>
  <c r="P922" i="7"/>
  <c r="O922" i="7"/>
  <c r="N922" i="7"/>
  <c r="M922" i="7"/>
  <c r="L922" i="7"/>
  <c r="K922" i="7"/>
  <c r="J922" i="7"/>
  <c r="P921" i="7"/>
  <c r="O921" i="7"/>
  <c r="N921" i="7"/>
  <c r="M921" i="7"/>
  <c r="K921" i="7"/>
  <c r="J921" i="7"/>
  <c r="L921" i="7" s="1"/>
  <c r="P920" i="7"/>
  <c r="O920" i="7"/>
  <c r="N920" i="7"/>
  <c r="M920" i="7"/>
  <c r="K920" i="7"/>
  <c r="J920" i="7"/>
  <c r="L920" i="7" s="1"/>
  <c r="P919" i="7"/>
  <c r="O919" i="7"/>
  <c r="N919" i="7"/>
  <c r="M919" i="7"/>
  <c r="L919" i="7"/>
  <c r="K919" i="7"/>
  <c r="J919" i="7"/>
  <c r="P918" i="7"/>
  <c r="O918" i="7"/>
  <c r="N918" i="7"/>
  <c r="M918" i="7"/>
  <c r="L918" i="7"/>
  <c r="K918" i="7"/>
  <c r="J918" i="7"/>
  <c r="P917" i="7"/>
  <c r="O917" i="7"/>
  <c r="N917" i="7"/>
  <c r="M917" i="7"/>
  <c r="K917" i="7"/>
  <c r="J917" i="7"/>
  <c r="L917" i="7" s="1"/>
  <c r="P916" i="7"/>
  <c r="O916" i="7"/>
  <c r="N916" i="7"/>
  <c r="M916" i="7"/>
  <c r="K916" i="7"/>
  <c r="J916" i="7"/>
  <c r="L916" i="7" s="1"/>
  <c r="P915" i="7"/>
  <c r="O915" i="7"/>
  <c r="N915" i="7"/>
  <c r="M915" i="7"/>
  <c r="L915" i="7"/>
  <c r="K915" i="7"/>
  <c r="J915" i="7"/>
  <c r="P914" i="7"/>
  <c r="O914" i="7"/>
  <c r="N914" i="7"/>
  <c r="M914" i="7"/>
  <c r="L914" i="7"/>
  <c r="K914" i="7"/>
  <c r="J914" i="7"/>
  <c r="P913" i="7"/>
  <c r="O913" i="7"/>
  <c r="N913" i="7"/>
  <c r="M913" i="7"/>
  <c r="K913" i="7"/>
  <c r="J913" i="7"/>
  <c r="L913" i="7" s="1"/>
  <c r="P912" i="7"/>
  <c r="O912" i="7"/>
  <c r="N912" i="7"/>
  <c r="M912" i="7"/>
  <c r="K912" i="7"/>
  <c r="J912" i="7"/>
  <c r="L912" i="7" s="1"/>
  <c r="P911" i="7"/>
  <c r="O911" i="7"/>
  <c r="N911" i="7"/>
  <c r="M911" i="7"/>
  <c r="L911" i="7"/>
  <c r="K911" i="7"/>
  <c r="J911" i="7"/>
  <c r="P910" i="7"/>
  <c r="O910" i="7"/>
  <c r="N910" i="7"/>
  <c r="M910" i="7"/>
  <c r="L910" i="7"/>
  <c r="K910" i="7"/>
  <c r="J910" i="7"/>
  <c r="P909" i="7"/>
  <c r="O909" i="7"/>
  <c r="N909" i="7"/>
  <c r="M909" i="7"/>
  <c r="K909" i="7"/>
  <c r="J909" i="7"/>
  <c r="L909" i="7" s="1"/>
  <c r="P908" i="7"/>
  <c r="O908" i="7"/>
  <c r="N908" i="7"/>
  <c r="M908" i="7"/>
  <c r="K908" i="7"/>
  <c r="J908" i="7"/>
  <c r="L908" i="7" s="1"/>
  <c r="P907" i="7"/>
  <c r="O907" i="7"/>
  <c r="N907" i="7"/>
  <c r="M907" i="7"/>
  <c r="L907" i="7"/>
  <c r="K907" i="7"/>
  <c r="J907" i="7"/>
  <c r="P906" i="7"/>
  <c r="O906" i="7"/>
  <c r="N906" i="7"/>
  <c r="M906" i="7"/>
  <c r="L906" i="7"/>
  <c r="K906" i="7"/>
  <c r="J906" i="7"/>
  <c r="P905" i="7"/>
  <c r="O905" i="7"/>
  <c r="N905" i="7"/>
  <c r="M905" i="7"/>
  <c r="K905" i="7"/>
  <c r="J905" i="7"/>
  <c r="L905" i="7" s="1"/>
  <c r="P904" i="7"/>
  <c r="O904" i="7"/>
  <c r="N904" i="7"/>
  <c r="M904" i="7"/>
  <c r="K904" i="7"/>
  <c r="J904" i="7"/>
  <c r="L904" i="7" s="1"/>
  <c r="P903" i="7"/>
  <c r="O903" i="7"/>
  <c r="N903" i="7"/>
  <c r="M903" i="7"/>
  <c r="L903" i="7"/>
  <c r="K903" i="7"/>
  <c r="J903" i="7"/>
  <c r="P902" i="7"/>
  <c r="O902" i="7"/>
  <c r="N902" i="7"/>
  <c r="M902" i="7"/>
  <c r="L902" i="7"/>
  <c r="K902" i="7"/>
  <c r="J902" i="7"/>
  <c r="P901" i="7"/>
  <c r="O901" i="7"/>
  <c r="N901" i="7"/>
  <c r="M901" i="7"/>
  <c r="K901" i="7"/>
  <c r="J901" i="7"/>
  <c r="L901" i="7" s="1"/>
  <c r="P900" i="7"/>
  <c r="O900" i="7"/>
  <c r="N900" i="7"/>
  <c r="M900" i="7"/>
  <c r="K900" i="7"/>
  <c r="J900" i="7"/>
  <c r="L900" i="7" s="1"/>
  <c r="P899" i="7"/>
  <c r="O899" i="7"/>
  <c r="N899" i="7"/>
  <c r="M899" i="7"/>
  <c r="L899" i="7"/>
  <c r="K899" i="7"/>
  <c r="J899" i="7"/>
  <c r="P898" i="7"/>
  <c r="O898" i="7"/>
  <c r="N898" i="7"/>
  <c r="M898" i="7"/>
  <c r="L898" i="7"/>
  <c r="K898" i="7"/>
  <c r="J898" i="7"/>
  <c r="P897" i="7"/>
  <c r="O897" i="7"/>
  <c r="N897" i="7"/>
  <c r="M897" i="7"/>
  <c r="K897" i="7"/>
  <c r="J897" i="7"/>
  <c r="L897" i="7" s="1"/>
  <c r="P896" i="7"/>
  <c r="O896" i="7"/>
  <c r="N896" i="7"/>
  <c r="M896" i="7"/>
  <c r="K896" i="7"/>
  <c r="J896" i="7"/>
  <c r="L896" i="7" s="1"/>
  <c r="P895" i="7"/>
  <c r="O895" i="7"/>
  <c r="N895" i="7"/>
  <c r="M895" i="7"/>
  <c r="L895" i="7"/>
  <c r="K895" i="7"/>
  <c r="J895" i="7"/>
  <c r="P894" i="7"/>
  <c r="O894" i="7"/>
  <c r="N894" i="7"/>
  <c r="M894" i="7"/>
  <c r="L894" i="7"/>
  <c r="K894" i="7"/>
  <c r="J894" i="7"/>
  <c r="P893" i="7"/>
  <c r="O893" i="7"/>
  <c r="N893" i="7"/>
  <c r="M893" i="7"/>
  <c r="K893" i="7"/>
  <c r="J893" i="7"/>
  <c r="L893" i="7" s="1"/>
  <c r="P892" i="7"/>
  <c r="O892" i="7"/>
  <c r="N892" i="7"/>
  <c r="M892" i="7"/>
  <c r="K892" i="7"/>
  <c r="J892" i="7"/>
  <c r="L892" i="7" s="1"/>
  <c r="P891" i="7"/>
  <c r="O891" i="7"/>
  <c r="N891" i="7"/>
  <c r="M891" i="7"/>
  <c r="L891" i="7"/>
  <c r="K891" i="7"/>
  <c r="J891" i="7"/>
  <c r="P890" i="7"/>
  <c r="O890" i="7"/>
  <c r="N890" i="7"/>
  <c r="M890" i="7"/>
  <c r="L890" i="7"/>
  <c r="K890" i="7"/>
  <c r="J890" i="7"/>
  <c r="P889" i="7"/>
  <c r="O889" i="7"/>
  <c r="N889" i="7"/>
  <c r="M889" i="7"/>
  <c r="K889" i="7"/>
  <c r="J889" i="7"/>
  <c r="L889" i="7" s="1"/>
  <c r="P888" i="7"/>
  <c r="O888" i="7"/>
  <c r="N888" i="7"/>
  <c r="M888" i="7"/>
  <c r="K888" i="7"/>
  <c r="J888" i="7"/>
  <c r="L888" i="7" s="1"/>
  <c r="P887" i="7"/>
  <c r="O887" i="7"/>
  <c r="N887" i="7"/>
  <c r="M887" i="7"/>
  <c r="L887" i="7"/>
  <c r="K887" i="7"/>
  <c r="J887" i="7"/>
  <c r="P886" i="7"/>
  <c r="O886" i="7"/>
  <c r="N886" i="7"/>
  <c r="M886" i="7"/>
  <c r="L886" i="7"/>
  <c r="K886" i="7"/>
  <c r="J886" i="7"/>
  <c r="P885" i="7"/>
  <c r="O885" i="7"/>
  <c r="N885" i="7"/>
  <c r="M885" i="7"/>
  <c r="K885" i="7"/>
  <c r="J885" i="7"/>
  <c r="L885" i="7" s="1"/>
  <c r="P884" i="7"/>
  <c r="O884" i="7"/>
  <c r="N884" i="7"/>
  <c r="M884" i="7"/>
  <c r="K884" i="7"/>
  <c r="J884" i="7"/>
  <c r="L884" i="7" s="1"/>
  <c r="P883" i="7"/>
  <c r="O883" i="7"/>
  <c r="N883" i="7"/>
  <c r="M883" i="7"/>
  <c r="L883" i="7"/>
  <c r="K883" i="7"/>
  <c r="J883" i="7"/>
  <c r="P882" i="7"/>
  <c r="O882" i="7"/>
  <c r="N882" i="7"/>
  <c r="M882" i="7"/>
  <c r="L882" i="7"/>
  <c r="K882" i="7"/>
  <c r="J882" i="7"/>
  <c r="P881" i="7"/>
  <c r="O881" i="7"/>
  <c r="N881" i="7"/>
  <c r="M881" i="7"/>
  <c r="K881" i="7"/>
  <c r="J881" i="7"/>
  <c r="L881" i="7" s="1"/>
  <c r="P880" i="7"/>
  <c r="O880" i="7"/>
  <c r="N880" i="7"/>
  <c r="M880" i="7"/>
  <c r="K880" i="7"/>
  <c r="J880" i="7"/>
  <c r="L880" i="7" s="1"/>
  <c r="P879" i="7"/>
  <c r="O879" i="7"/>
  <c r="N879" i="7"/>
  <c r="M879" i="7"/>
  <c r="L879" i="7"/>
  <c r="K879" i="7"/>
  <c r="J879" i="7"/>
  <c r="P878" i="7"/>
  <c r="O878" i="7"/>
  <c r="N878" i="7"/>
  <c r="M878" i="7"/>
  <c r="L878" i="7"/>
  <c r="K878" i="7"/>
  <c r="J878" i="7"/>
  <c r="P877" i="7"/>
  <c r="O877" i="7"/>
  <c r="N877" i="7"/>
  <c r="M877" i="7"/>
  <c r="K877" i="7"/>
  <c r="J877" i="7"/>
  <c r="L877" i="7" s="1"/>
  <c r="P876" i="7"/>
  <c r="O876" i="7"/>
  <c r="N876" i="7"/>
  <c r="M876" i="7"/>
  <c r="K876" i="7"/>
  <c r="J876" i="7"/>
  <c r="L876" i="7" s="1"/>
  <c r="P875" i="7"/>
  <c r="O875" i="7"/>
  <c r="N875" i="7"/>
  <c r="M875" i="7"/>
  <c r="L875" i="7"/>
  <c r="K875" i="7"/>
  <c r="J875" i="7"/>
  <c r="P874" i="7"/>
  <c r="O874" i="7"/>
  <c r="N874" i="7"/>
  <c r="M874" i="7"/>
  <c r="L874" i="7"/>
  <c r="K874" i="7"/>
  <c r="J874" i="7"/>
  <c r="P873" i="7"/>
  <c r="O873" i="7"/>
  <c r="N873" i="7"/>
  <c r="M873" i="7"/>
  <c r="K873" i="7"/>
  <c r="J873" i="7"/>
  <c r="L873" i="7" s="1"/>
  <c r="P872" i="7"/>
  <c r="O872" i="7"/>
  <c r="N872" i="7"/>
  <c r="M872" i="7"/>
  <c r="K872" i="7"/>
  <c r="J872" i="7"/>
  <c r="L872" i="7" s="1"/>
  <c r="P871" i="7"/>
  <c r="O871" i="7"/>
  <c r="N871" i="7"/>
  <c r="M871" i="7"/>
  <c r="L871" i="7"/>
  <c r="K871" i="7"/>
  <c r="J871" i="7"/>
  <c r="P870" i="7"/>
  <c r="O870" i="7"/>
  <c r="N870" i="7"/>
  <c r="M870" i="7"/>
  <c r="L870" i="7"/>
  <c r="K870" i="7"/>
  <c r="J870" i="7"/>
  <c r="P869" i="7"/>
  <c r="O869" i="7"/>
  <c r="N869" i="7"/>
  <c r="M869" i="7"/>
  <c r="K869" i="7"/>
  <c r="J869" i="7"/>
  <c r="L869" i="7" s="1"/>
  <c r="P868" i="7"/>
  <c r="O868" i="7"/>
  <c r="N868" i="7"/>
  <c r="M868" i="7"/>
  <c r="K868" i="7"/>
  <c r="J868" i="7"/>
  <c r="L868" i="7" s="1"/>
  <c r="P867" i="7"/>
  <c r="O867" i="7"/>
  <c r="N867" i="7"/>
  <c r="M867" i="7"/>
  <c r="L867" i="7"/>
  <c r="K867" i="7"/>
  <c r="J867" i="7"/>
  <c r="P866" i="7"/>
  <c r="O866" i="7"/>
  <c r="N866" i="7"/>
  <c r="M866" i="7"/>
  <c r="L866" i="7"/>
  <c r="K866" i="7"/>
  <c r="J866" i="7"/>
  <c r="P865" i="7"/>
  <c r="O865" i="7"/>
  <c r="N865" i="7"/>
  <c r="M865" i="7"/>
  <c r="K865" i="7"/>
  <c r="J865" i="7"/>
  <c r="L865" i="7" s="1"/>
  <c r="P864" i="7"/>
  <c r="O864" i="7"/>
  <c r="N864" i="7"/>
  <c r="M864" i="7"/>
  <c r="K864" i="7"/>
  <c r="J864" i="7"/>
  <c r="L864" i="7" s="1"/>
  <c r="P863" i="7"/>
  <c r="O863" i="7"/>
  <c r="N863" i="7"/>
  <c r="M863" i="7"/>
  <c r="L863" i="7"/>
  <c r="K863" i="7"/>
  <c r="J863" i="7"/>
  <c r="P862" i="7"/>
  <c r="O862" i="7"/>
  <c r="N862" i="7"/>
  <c r="M862" i="7"/>
  <c r="L862" i="7"/>
  <c r="K862" i="7"/>
  <c r="J862" i="7"/>
  <c r="P861" i="7"/>
  <c r="O861" i="7"/>
  <c r="N861" i="7"/>
  <c r="M861" i="7"/>
  <c r="K861" i="7"/>
  <c r="J861" i="7"/>
  <c r="L861" i="7" s="1"/>
  <c r="P860" i="7"/>
  <c r="O860" i="7"/>
  <c r="N860" i="7"/>
  <c r="M860" i="7"/>
  <c r="K860" i="7"/>
  <c r="J860" i="7"/>
  <c r="L860" i="7" s="1"/>
  <c r="P859" i="7"/>
  <c r="O859" i="7"/>
  <c r="N859" i="7"/>
  <c r="M859" i="7"/>
  <c r="L859" i="7"/>
  <c r="K859" i="7"/>
  <c r="J859" i="7"/>
  <c r="P858" i="7"/>
  <c r="O858" i="7"/>
  <c r="N858" i="7"/>
  <c r="M858" i="7"/>
  <c r="L858" i="7"/>
  <c r="K858" i="7"/>
  <c r="J858" i="7"/>
  <c r="P857" i="7"/>
  <c r="O857" i="7"/>
  <c r="N857" i="7"/>
  <c r="M857" i="7"/>
  <c r="K857" i="7"/>
  <c r="J857" i="7"/>
  <c r="L857" i="7" s="1"/>
  <c r="P856" i="7"/>
  <c r="O856" i="7"/>
  <c r="N856" i="7"/>
  <c r="M856" i="7"/>
  <c r="K856" i="7"/>
  <c r="J856" i="7"/>
  <c r="L856" i="7" s="1"/>
  <c r="P855" i="7"/>
  <c r="O855" i="7"/>
  <c r="N855" i="7"/>
  <c r="M855" i="7"/>
  <c r="L855" i="7"/>
  <c r="K855" i="7"/>
  <c r="J855" i="7"/>
  <c r="P854" i="7"/>
  <c r="O854" i="7"/>
  <c r="N854" i="7"/>
  <c r="M854" i="7"/>
  <c r="L854" i="7"/>
  <c r="K854" i="7"/>
  <c r="J854" i="7"/>
  <c r="P853" i="7"/>
  <c r="O853" i="7"/>
  <c r="N853" i="7"/>
  <c r="M853" i="7"/>
  <c r="K853" i="7"/>
  <c r="J853" i="7"/>
  <c r="L853" i="7" s="1"/>
  <c r="P852" i="7"/>
  <c r="O852" i="7"/>
  <c r="N852" i="7"/>
  <c r="M852" i="7"/>
  <c r="K852" i="7"/>
  <c r="J852" i="7"/>
  <c r="L852" i="7" s="1"/>
  <c r="P851" i="7"/>
  <c r="O851" i="7"/>
  <c r="N851" i="7"/>
  <c r="M851" i="7"/>
  <c r="L851" i="7"/>
  <c r="K851" i="7"/>
  <c r="J851" i="7"/>
  <c r="P850" i="7"/>
  <c r="O850" i="7"/>
  <c r="N850" i="7"/>
  <c r="M850" i="7"/>
  <c r="L850" i="7"/>
  <c r="K850" i="7"/>
  <c r="J850" i="7"/>
  <c r="C74" i="2"/>
  <c r="E74" i="2"/>
  <c r="L1115" i="1"/>
  <c r="F1115" i="1"/>
  <c r="E1115" i="1"/>
  <c r="D1115" i="1"/>
  <c r="C1115" i="1"/>
  <c r="B1115" i="1"/>
  <c r="A1115" i="1"/>
  <c r="L1114" i="1"/>
  <c r="F1114" i="1"/>
  <c r="E1114" i="1"/>
  <c r="D1114" i="1"/>
  <c r="C1114" i="1"/>
  <c r="B1114" i="1"/>
  <c r="A1114" i="1"/>
  <c r="L1113" i="1"/>
  <c r="F1113" i="1"/>
  <c r="E1113" i="1"/>
  <c r="D1113" i="1"/>
  <c r="C1113" i="1"/>
  <c r="B1113" i="1"/>
  <c r="A1113" i="1"/>
  <c r="L1112" i="1"/>
  <c r="F1112" i="1"/>
  <c r="E1112" i="1"/>
  <c r="D1112" i="1"/>
  <c r="C1112" i="1"/>
  <c r="B1112" i="1"/>
  <c r="A1112" i="1"/>
  <c r="L1111" i="1"/>
  <c r="F1111" i="1"/>
  <c r="E1111" i="1"/>
  <c r="D1111" i="1"/>
  <c r="C1111" i="1"/>
  <c r="B1111" i="1"/>
  <c r="A1111" i="1"/>
  <c r="L1110" i="1"/>
  <c r="F1110" i="1"/>
  <c r="E1110" i="1"/>
  <c r="D1110" i="1"/>
  <c r="C1110" i="1"/>
  <c r="B1110" i="1"/>
  <c r="A1110" i="1"/>
  <c r="L1109" i="1"/>
  <c r="F1109" i="1"/>
  <c r="E1109" i="1"/>
  <c r="D1109" i="1"/>
  <c r="C1109" i="1"/>
  <c r="B1109" i="1"/>
  <c r="A1109" i="1"/>
  <c r="L1108" i="1"/>
  <c r="F1108" i="1"/>
  <c r="E1108" i="1"/>
  <c r="D1108" i="1"/>
  <c r="C1108" i="1"/>
  <c r="B1108" i="1"/>
  <c r="A1108" i="1"/>
  <c r="L1107" i="1"/>
  <c r="F1107" i="1"/>
  <c r="E1107" i="1"/>
  <c r="D1107" i="1"/>
  <c r="C1107" i="1"/>
  <c r="B1107" i="1"/>
  <c r="A1107" i="1"/>
  <c r="L1106" i="1"/>
  <c r="F1106" i="1"/>
  <c r="E1106" i="1"/>
  <c r="D1106" i="1"/>
  <c r="C1106" i="1"/>
  <c r="B1106" i="1"/>
  <c r="A1106" i="1"/>
  <c r="L1105" i="1"/>
  <c r="F1105" i="1"/>
  <c r="E1105" i="1"/>
  <c r="D1105" i="1"/>
  <c r="C1105" i="1"/>
  <c r="B1105" i="1"/>
  <c r="A1105" i="1"/>
  <c r="L1104" i="1"/>
  <c r="F1104" i="1"/>
  <c r="E1104" i="1"/>
  <c r="D1104" i="1"/>
  <c r="C1104" i="1"/>
  <c r="B1104" i="1"/>
  <c r="A1104" i="1"/>
  <c r="L1103" i="1"/>
  <c r="F1103" i="1"/>
  <c r="E1103" i="1"/>
  <c r="D1103" i="1"/>
  <c r="C1103" i="1"/>
  <c r="B1103" i="1"/>
  <c r="A1103" i="1"/>
  <c r="L1102" i="1"/>
  <c r="F1102" i="1"/>
  <c r="E1102" i="1"/>
  <c r="D1102" i="1"/>
  <c r="C1102" i="1"/>
  <c r="B1102" i="1"/>
  <c r="A1102" i="1"/>
  <c r="L1101" i="1"/>
  <c r="F1101" i="1"/>
  <c r="E1101" i="1"/>
  <c r="D1101" i="1"/>
  <c r="C1101" i="1"/>
  <c r="B1101" i="1"/>
  <c r="A1101" i="1"/>
  <c r="L1100" i="1"/>
  <c r="F1100" i="1"/>
  <c r="E1100" i="1"/>
  <c r="D1100" i="1"/>
  <c r="C1100" i="1"/>
  <c r="B1100" i="1"/>
  <c r="A1100" i="1"/>
  <c r="L1099" i="1"/>
  <c r="F1099" i="1"/>
  <c r="E1099" i="1"/>
  <c r="D1099" i="1"/>
  <c r="C1099" i="1"/>
  <c r="B1099" i="1"/>
  <c r="A1099" i="1"/>
  <c r="L1098" i="1"/>
  <c r="F1098" i="1"/>
  <c r="E1098" i="1"/>
  <c r="D1098" i="1"/>
  <c r="C1098" i="1"/>
  <c r="B1098" i="1"/>
  <c r="A1098" i="1"/>
  <c r="L1097" i="1"/>
  <c r="F1097" i="1"/>
  <c r="E1097" i="1"/>
  <c r="D1097" i="1"/>
  <c r="C1097" i="1"/>
  <c r="B1097" i="1"/>
  <c r="A1097" i="1"/>
  <c r="L1096" i="1"/>
  <c r="F1096" i="1"/>
  <c r="E1096" i="1"/>
  <c r="D1096" i="1"/>
  <c r="C1096" i="1"/>
  <c r="B1096" i="1"/>
  <c r="A1096" i="1"/>
  <c r="L1095" i="1"/>
  <c r="F1095" i="1"/>
  <c r="E1095" i="1"/>
  <c r="D1095" i="1"/>
  <c r="C1095" i="1"/>
  <c r="B1095" i="1"/>
  <c r="A1095" i="1"/>
  <c r="L1094" i="1"/>
  <c r="F1094" i="1"/>
  <c r="E1094" i="1"/>
  <c r="D1094" i="1"/>
  <c r="C1094" i="1"/>
  <c r="B1094" i="1"/>
  <c r="A1094" i="1"/>
  <c r="L1093" i="1"/>
  <c r="F1093" i="1"/>
  <c r="E1093" i="1"/>
  <c r="D1093" i="1"/>
  <c r="C1093" i="1"/>
  <c r="B1093" i="1"/>
  <c r="A1093" i="1"/>
  <c r="L1092" i="1"/>
  <c r="F1092" i="1"/>
  <c r="E1092" i="1"/>
  <c r="D1092" i="1"/>
  <c r="C1092" i="1"/>
  <c r="B1092" i="1"/>
  <c r="A1092" i="1"/>
  <c r="L1091" i="1"/>
  <c r="F1091" i="1"/>
  <c r="E1091" i="1"/>
  <c r="D1091" i="1"/>
  <c r="C1091" i="1"/>
  <c r="B1091" i="1"/>
  <c r="A1091" i="1"/>
  <c r="L1090" i="1"/>
  <c r="F1090" i="1"/>
  <c r="E1090" i="1"/>
  <c r="D1090" i="1"/>
  <c r="C1090" i="1"/>
  <c r="B1090" i="1"/>
  <c r="A1090" i="1"/>
  <c r="L1089" i="1"/>
  <c r="F1089" i="1"/>
  <c r="E1089" i="1"/>
  <c r="D1089" i="1"/>
  <c r="C1089" i="1"/>
  <c r="B1089" i="1"/>
  <c r="A1089" i="1"/>
  <c r="L1088" i="1"/>
  <c r="F1088" i="1"/>
  <c r="E1088" i="1"/>
  <c r="D1088" i="1"/>
  <c r="C1088" i="1"/>
  <c r="B1088" i="1"/>
  <c r="A1088" i="1"/>
  <c r="L1087" i="1"/>
  <c r="F1087" i="1"/>
  <c r="E1087" i="1"/>
  <c r="D1087" i="1"/>
  <c r="C1087" i="1"/>
  <c r="B1087" i="1"/>
  <c r="A1087" i="1"/>
  <c r="L1086" i="1"/>
  <c r="F1086" i="1"/>
  <c r="E1086" i="1"/>
  <c r="D1086" i="1"/>
  <c r="C1086" i="1"/>
  <c r="B1086" i="1"/>
  <c r="A1086" i="1"/>
  <c r="L1085" i="1"/>
  <c r="F1085" i="1"/>
  <c r="E1085" i="1"/>
  <c r="D1085" i="1"/>
  <c r="C1085" i="1"/>
  <c r="B1085" i="1"/>
  <c r="A1085" i="1"/>
  <c r="L1084" i="1"/>
  <c r="F1084" i="1"/>
  <c r="E1084" i="1"/>
  <c r="D1084" i="1"/>
  <c r="C1084" i="1"/>
  <c r="B1084" i="1"/>
  <c r="A1084" i="1"/>
  <c r="L1083" i="1"/>
  <c r="F1083" i="1"/>
  <c r="E1083" i="1"/>
  <c r="D1083" i="1"/>
  <c r="C1083" i="1"/>
  <c r="B1083" i="1"/>
  <c r="A1083" i="1"/>
  <c r="L1082" i="1"/>
  <c r="F1082" i="1"/>
  <c r="E1082" i="1"/>
  <c r="D1082" i="1"/>
  <c r="C1082" i="1"/>
  <c r="B1082" i="1"/>
  <c r="A1082" i="1"/>
  <c r="L1081" i="1"/>
  <c r="F1081" i="1"/>
  <c r="E1081" i="1"/>
  <c r="D1081" i="1"/>
  <c r="C1081" i="1"/>
  <c r="B1081" i="1"/>
  <c r="A1081" i="1"/>
  <c r="L1080" i="1"/>
  <c r="F1080" i="1"/>
  <c r="E1080" i="1"/>
  <c r="D1080" i="1"/>
  <c r="C1080" i="1"/>
  <c r="B1080" i="1"/>
  <c r="A1080" i="1"/>
  <c r="L1079" i="1"/>
  <c r="F1079" i="1"/>
  <c r="E1079" i="1"/>
  <c r="D1079" i="1"/>
  <c r="C1079" i="1"/>
  <c r="B1079" i="1"/>
  <c r="A1079" i="1"/>
  <c r="L1078" i="1"/>
  <c r="F1078" i="1"/>
  <c r="E1078" i="1"/>
  <c r="D1078" i="1"/>
  <c r="C1078" i="1"/>
  <c r="B1078" i="1"/>
  <c r="A1078" i="1"/>
  <c r="L1077" i="1"/>
  <c r="F1077" i="1"/>
  <c r="E1077" i="1"/>
  <c r="D1077" i="1"/>
  <c r="C1077" i="1"/>
  <c r="B1077" i="1"/>
  <c r="A1077" i="1"/>
  <c r="L1076" i="1"/>
  <c r="F1076" i="1"/>
  <c r="E1076" i="1"/>
  <c r="D1076" i="1"/>
  <c r="C1076" i="1"/>
  <c r="B1076" i="1"/>
  <c r="A1076" i="1"/>
  <c r="L1075" i="1"/>
  <c r="F1075" i="1"/>
  <c r="E1075" i="1"/>
  <c r="D1075" i="1"/>
  <c r="C1075" i="1"/>
  <c r="B1075" i="1"/>
  <c r="A1075" i="1"/>
  <c r="L1074" i="1"/>
  <c r="F1074" i="1"/>
  <c r="E1074" i="1"/>
  <c r="D1074" i="1"/>
  <c r="C1074" i="1"/>
  <c r="B1074" i="1"/>
  <c r="A1074" i="1"/>
  <c r="L1073" i="1"/>
  <c r="F1073" i="1"/>
  <c r="E1073" i="1"/>
  <c r="D1073" i="1"/>
  <c r="C1073" i="1"/>
  <c r="B1073" i="1"/>
  <c r="A1073" i="1"/>
  <c r="L1072" i="1"/>
  <c r="F1072" i="1"/>
  <c r="E1072" i="1"/>
  <c r="D1072" i="1"/>
  <c r="C1072" i="1"/>
  <c r="B1072" i="1"/>
  <c r="A1072" i="1"/>
  <c r="L1071" i="1"/>
  <c r="F1071" i="1"/>
  <c r="E1071" i="1"/>
  <c r="D1071" i="1"/>
  <c r="C1071" i="1"/>
  <c r="B1071" i="1"/>
  <c r="A1071" i="1"/>
  <c r="L1070" i="1"/>
  <c r="F1070" i="1"/>
  <c r="E1070" i="1"/>
  <c r="D1070" i="1"/>
  <c r="C1070" i="1"/>
  <c r="B1070" i="1"/>
  <c r="A1070" i="1"/>
  <c r="L1069" i="1"/>
  <c r="F1069" i="1"/>
  <c r="E1069" i="1"/>
  <c r="D1069" i="1"/>
  <c r="C1069" i="1"/>
  <c r="B1069" i="1"/>
  <c r="A1069" i="1"/>
  <c r="L1068" i="1"/>
  <c r="F1068" i="1"/>
  <c r="E1068" i="1"/>
  <c r="D1068" i="1"/>
  <c r="C1068" i="1"/>
  <c r="B1068" i="1"/>
  <c r="A1068" i="1"/>
  <c r="L1067" i="1"/>
  <c r="F1067" i="1"/>
  <c r="E1067" i="1"/>
  <c r="D1067" i="1"/>
  <c r="C1067" i="1"/>
  <c r="B1067" i="1"/>
  <c r="A1067" i="1"/>
  <c r="L1066" i="1"/>
  <c r="F1066" i="1"/>
  <c r="E1066" i="1"/>
  <c r="D1066" i="1"/>
  <c r="C1066" i="1"/>
  <c r="B1066" i="1"/>
  <c r="A1066" i="1"/>
  <c r="L1065" i="1"/>
  <c r="F1065" i="1"/>
  <c r="E1065" i="1"/>
  <c r="D1065" i="1"/>
  <c r="C1065" i="1"/>
  <c r="B1065" i="1"/>
  <c r="A1065" i="1"/>
  <c r="L1064" i="1"/>
  <c r="F1064" i="1"/>
  <c r="E1064" i="1"/>
  <c r="D1064" i="1"/>
  <c r="C1064" i="1"/>
  <c r="B1064" i="1"/>
  <c r="A1064" i="1"/>
  <c r="L1063" i="1"/>
  <c r="F1063" i="1"/>
  <c r="E1063" i="1"/>
  <c r="D1063" i="1"/>
  <c r="C1063" i="1"/>
  <c r="B1063" i="1"/>
  <c r="A1063" i="1"/>
  <c r="L1062" i="1"/>
  <c r="F1062" i="1"/>
  <c r="E1062" i="1"/>
  <c r="D1062" i="1"/>
  <c r="C1062" i="1"/>
  <c r="B1062" i="1"/>
  <c r="A1062" i="1"/>
  <c r="L1061" i="1"/>
  <c r="F1061" i="1"/>
  <c r="E1061" i="1"/>
  <c r="D1061" i="1"/>
  <c r="C1061" i="1"/>
  <c r="B1061" i="1"/>
  <c r="A1061" i="1"/>
  <c r="L1060" i="1"/>
  <c r="F1060" i="1"/>
  <c r="E1060" i="1"/>
  <c r="D1060" i="1"/>
  <c r="C1060" i="1"/>
  <c r="B1060" i="1"/>
  <c r="A1060" i="1"/>
  <c r="L1059" i="1"/>
  <c r="F1059" i="1"/>
  <c r="E1059" i="1"/>
  <c r="D1059" i="1"/>
  <c r="C1059" i="1"/>
  <c r="B1059" i="1"/>
  <c r="A1059" i="1"/>
  <c r="L1058" i="1"/>
  <c r="F1058" i="1"/>
  <c r="E1058" i="1"/>
  <c r="D1058" i="1"/>
  <c r="C1058" i="1"/>
  <c r="B1058" i="1"/>
  <c r="A1058" i="1"/>
  <c r="L1057" i="1"/>
  <c r="F1057" i="1"/>
  <c r="E1057" i="1"/>
  <c r="D1057" i="1"/>
  <c r="C1057" i="1"/>
  <c r="B1057" i="1"/>
  <c r="A1057" i="1"/>
  <c r="L1056" i="1"/>
  <c r="F1056" i="1"/>
  <c r="E1056" i="1"/>
  <c r="D1056" i="1"/>
  <c r="C1056" i="1"/>
  <c r="B1056" i="1"/>
  <c r="A1056" i="1"/>
  <c r="L1055" i="1"/>
  <c r="F1055" i="1"/>
  <c r="E1055" i="1"/>
  <c r="D1055" i="1"/>
  <c r="C1055" i="1"/>
  <c r="B1055" i="1"/>
  <c r="A1055" i="1"/>
  <c r="L1054" i="1"/>
  <c r="F1054" i="1"/>
  <c r="E1054" i="1"/>
  <c r="D1054" i="1"/>
  <c r="C1054" i="1"/>
  <c r="B1054" i="1"/>
  <c r="A1054" i="1"/>
  <c r="L1053" i="1"/>
  <c r="F1053" i="1"/>
  <c r="E1053" i="1"/>
  <c r="D1053" i="1"/>
  <c r="C1053" i="1"/>
  <c r="B1053" i="1"/>
  <c r="A1053" i="1"/>
  <c r="L1052" i="1"/>
  <c r="F1052" i="1"/>
  <c r="E1052" i="1"/>
  <c r="D1052" i="1"/>
  <c r="C1052" i="1"/>
  <c r="B1052" i="1"/>
  <c r="A1052" i="1"/>
  <c r="F1051" i="1"/>
  <c r="E1051" i="1"/>
  <c r="D1051" i="1"/>
  <c r="C1051" i="1"/>
  <c r="B1051" i="1"/>
  <c r="A1051" i="1"/>
  <c r="L1051" i="1"/>
  <c r="P849" i="7"/>
  <c r="O849" i="7"/>
  <c r="N849" i="7"/>
  <c r="M849" i="7"/>
  <c r="K849" i="7"/>
  <c r="J849" i="7"/>
  <c r="L849" i="7" s="1"/>
  <c r="P848" i="7"/>
  <c r="O848" i="7"/>
  <c r="N848" i="7"/>
  <c r="M848" i="7"/>
  <c r="L848" i="7"/>
  <c r="K848" i="7"/>
  <c r="J848" i="7"/>
  <c r="P847" i="7"/>
  <c r="O847" i="7"/>
  <c r="N847" i="7"/>
  <c r="M847" i="7"/>
  <c r="K847" i="7"/>
  <c r="J847" i="7"/>
  <c r="L847" i="7" s="1"/>
  <c r="P846" i="7"/>
  <c r="O846" i="7"/>
  <c r="N846" i="7"/>
  <c r="M846" i="7"/>
  <c r="K846" i="7"/>
  <c r="J846" i="7"/>
  <c r="L846" i="7" s="1"/>
  <c r="P845" i="7"/>
  <c r="O845" i="7"/>
  <c r="N845" i="7"/>
  <c r="M845" i="7"/>
  <c r="L845" i="7"/>
  <c r="K845" i="7"/>
  <c r="J845" i="7"/>
  <c r="P844" i="7"/>
  <c r="O844" i="7"/>
  <c r="N844" i="7"/>
  <c r="M844" i="7"/>
  <c r="L844" i="7"/>
  <c r="K844" i="7"/>
  <c r="J844" i="7"/>
  <c r="P843" i="7"/>
  <c r="O843" i="7"/>
  <c r="N843" i="7"/>
  <c r="M843" i="7"/>
  <c r="K843" i="7"/>
  <c r="J843" i="7"/>
  <c r="L843" i="7" s="1"/>
  <c r="P842" i="7"/>
  <c r="O842" i="7"/>
  <c r="N842" i="7"/>
  <c r="M842" i="7"/>
  <c r="K842" i="7"/>
  <c r="J842" i="7"/>
  <c r="L842" i="7" s="1"/>
  <c r="P841" i="7"/>
  <c r="O841" i="7"/>
  <c r="N841" i="7"/>
  <c r="M841" i="7"/>
  <c r="L841" i="7"/>
  <c r="K841" i="7"/>
  <c r="J841" i="7"/>
  <c r="P840" i="7"/>
  <c r="O840" i="7"/>
  <c r="N840" i="7"/>
  <c r="M840" i="7"/>
  <c r="L840" i="7"/>
  <c r="K840" i="7"/>
  <c r="J840" i="7"/>
  <c r="P839" i="7"/>
  <c r="O839" i="7"/>
  <c r="N839" i="7"/>
  <c r="M839" i="7"/>
  <c r="K839" i="7"/>
  <c r="J839" i="7"/>
  <c r="L839" i="7" s="1"/>
  <c r="P838" i="7"/>
  <c r="O838" i="7"/>
  <c r="N838" i="7"/>
  <c r="M838" i="7"/>
  <c r="K838" i="7"/>
  <c r="J838" i="7"/>
  <c r="L838" i="7" s="1"/>
  <c r="P837" i="7"/>
  <c r="O837" i="7"/>
  <c r="N837" i="7"/>
  <c r="M837" i="7"/>
  <c r="L837" i="7"/>
  <c r="K837" i="7"/>
  <c r="J837" i="7"/>
  <c r="P836" i="7"/>
  <c r="O836" i="7"/>
  <c r="N836" i="7"/>
  <c r="M836" i="7"/>
  <c r="L836" i="7"/>
  <c r="K836" i="7"/>
  <c r="J836" i="7"/>
  <c r="P835" i="7"/>
  <c r="O835" i="7"/>
  <c r="N835" i="7"/>
  <c r="M835" i="7"/>
  <c r="K835" i="7"/>
  <c r="J835" i="7"/>
  <c r="L835" i="7" s="1"/>
  <c r="P834" i="7"/>
  <c r="O834" i="7"/>
  <c r="N834" i="7"/>
  <c r="M834" i="7"/>
  <c r="K834" i="7"/>
  <c r="J834" i="7"/>
  <c r="L834" i="7" s="1"/>
  <c r="P833" i="7"/>
  <c r="O833" i="7"/>
  <c r="N833" i="7"/>
  <c r="M833" i="7"/>
  <c r="L833" i="7"/>
  <c r="K833" i="7"/>
  <c r="J833" i="7"/>
  <c r="P832" i="7"/>
  <c r="O832" i="7"/>
  <c r="N832" i="7"/>
  <c r="M832" i="7"/>
  <c r="L832" i="7"/>
  <c r="K832" i="7"/>
  <c r="J832" i="7"/>
  <c r="P831" i="7"/>
  <c r="O831" i="7"/>
  <c r="N831" i="7"/>
  <c r="M831" i="7"/>
  <c r="K831" i="7"/>
  <c r="J831" i="7"/>
  <c r="L831" i="7" s="1"/>
  <c r="P830" i="7"/>
  <c r="O830" i="7"/>
  <c r="N830" i="7"/>
  <c r="M830" i="7"/>
  <c r="K830" i="7"/>
  <c r="J830" i="7"/>
  <c r="L830" i="7" s="1"/>
  <c r="P829" i="7"/>
  <c r="O829" i="7"/>
  <c r="N829" i="7"/>
  <c r="M829" i="7"/>
  <c r="L829" i="7"/>
  <c r="K829" i="7"/>
  <c r="J829" i="7"/>
  <c r="P828" i="7"/>
  <c r="O828" i="7"/>
  <c r="N828" i="7"/>
  <c r="M828" i="7"/>
  <c r="L828" i="7"/>
  <c r="K828" i="7"/>
  <c r="J828" i="7"/>
  <c r="P827" i="7"/>
  <c r="O827" i="7"/>
  <c r="N827" i="7"/>
  <c r="M827" i="7"/>
  <c r="K827" i="7"/>
  <c r="J827" i="7"/>
  <c r="L827" i="7" s="1"/>
  <c r="P826" i="7"/>
  <c r="O826" i="7"/>
  <c r="N826" i="7"/>
  <c r="M826" i="7"/>
  <c r="K826" i="7"/>
  <c r="J826" i="7"/>
  <c r="L826" i="7" s="1"/>
  <c r="P825" i="7"/>
  <c r="O825" i="7"/>
  <c r="N825" i="7"/>
  <c r="M825" i="7"/>
  <c r="L825" i="7"/>
  <c r="K825" i="7"/>
  <c r="J825" i="7"/>
  <c r="P824" i="7"/>
  <c r="O824" i="7"/>
  <c r="N824" i="7"/>
  <c r="M824" i="7"/>
  <c r="L824" i="7"/>
  <c r="K824" i="7"/>
  <c r="J824" i="7"/>
  <c r="P823" i="7"/>
  <c r="O823" i="7"/>
  <c r="N823" i="7"/>
  <c r="M823" i="7"/>
  <c r="K823" i="7"/>
  <c r="J823" i="7"/>
  <c r="L823" i="7" s="1"/>
  <c r="P822" i="7"/>
  <c r="O822" i="7"/>
  <c r="N822" i="7"/>
  <c r="M822" i="7"/>
  <c r="K822" i="7"/>
  <c r="J822" i="7"/>
  <c r="L822" i="7" s="1"/>
  <c r="P821" i="7"/>
  <c r="O821" i="7"/>
  <c r="N821" i="7"/>
  <c r="M821" i="7"/>
  <c r="L821" i="7"/>
  <c r="K821" i="7"/>
  <c r="J821" i="7"/>
  <c r="P820" i="7"/>
  <c r="O820" i="7"/>
  <c r="N820" i="7"/>
  <c r="M820" i="7"/>
  <c r="L820" i="7"/>
  <c r="K820" i="7"/>
  <c r="J820" i="7"/>
  <c r="P819" i="7"/>
  <c r="O819" i="7"/>
  <c r="N819" i="7"/>
  <c r="M819" i="7"/>
  <c r="K819" i="7"/>
  <c r="J819" i="7"/>
  <c r="L819" i="7" s="1"/>
  <c r="P818" i="7"/>
  <c r="O818" i="7"/>
  <c r="N818" i="7"/>
  <c r="M818" i="7"/>
  <c r="K818" i="7"/>
  <c r="J818" i="7"/>
  <c r="L818" i="7" s="1"/>
  <c r="P817" i="7"/>
  <c r="O817" i="7"/>
  <c r="N817" i="7"/>
  <c r="M817" i="7"/>
  <c r="L817" i="7"/>
  <c r="K817" i="7"/>
  <c r="J817" i="7"/>
  <c r="P816" i="7"/>
  <c r="O816" i="7"/>
  <c r="N816" i="7"/>
  <c r="M816" i="7"/>
  <c r="L816" i="7"/>
  <c r="K816" i="7"/>
  <c r="J816" i="7"/>
  <c r="P815" i="7"/>
  <c r="O815" i="7"/>
  <c r="N815" i="7"/>
  <c r="M815" i="7"/>
  <c r="K815" i="7"/>
  <c r="J815" i="7"/>
  <c r="L815" i="7" s="1"/>
  <c r="P814" i="7"/>
  <c r="O814" i="7"/>
  <c r="N814" i="7"/>
  <c r="M814" i="7"/>
  <c r="K814" i="7"/>
  <c r="J814" i="7"/>
  <c r="L814" i="7" s="1"/>
  <c r="P813" i="7"/>
  <c r="O813" i="7"/>
  <c r="N813" i="7"/>
  <c r="M813" i="7"/>
  <c r="L813" i="7"/>
  <c r="K813" i="7"/>
  <c r="J813" i="7"/>
  <c r="P812" i="7"/>
  <c r="O812" i="7"/>
  <c r="N812" i="7"/>
  <c r="M812" i="7"/>
  <c r="L812" i="7"/>
  <c r="K812" i="7"/>
  <c r="J812" i="7"/>
  <c r="P811" i="7"/>
  <c r="O811" i="7"/>
  <c r="N811" i="7"/>
  <c r="M811" i="7"/>
  <c r="K811" i="7"/>
  <c r="J811" i="7"/>
  <c r="L811" i="7" s="1"/>
  <c r="P810" i="7"/>
  <c r="O810" i="7"/>
  <c r="N810" i="7"/>
  <c r="M810" i="7"/>
  <c r="K810" i="7"/>
  <c r="J810" i="7"/>
  <c r="L810" i="7" s="1"/>
  <c r="P809" i="7"/>
  <c r="O809" i="7"/>
  <c r="N809" i="7"/>
  <c r="M809" i="7"/>
  <c r="L809" i="7"/>
  <c r="K809" i="7"/>
  <c r="J809" i="7"/>
  <c r="P808" i="7"/>
  <c r="O808" i="7"/>
  <c r="N808" i="7"/>
  <c r="M808" i="7"/>
  <c r="L808" i="7"/>
  <c r="K808" i="7"/>
  <c r="J808" i="7"/>
  <c r="P807" i="7"/>
  <c r="O807" i="7"/>
  <c r="N807" i="7"/>
  <c r="M807" i="7"/>
  <c r="K807" i="7"/>
  <c r="J807" i="7"/>
  <c r="L807" i="7" s="1"/>
  <c r="P806" i="7"/>
  <c r="O806" i="7"/>
  <c r="N806" i="7"/>
  <c r="M806" i="7"/>
  <c r="K806" i="7"/>
  <c r="J806" i="7"/>
  <c r="L806" i="7" s="1"/>
  <c r="P805" i="7"/>
  <c r="O805" i="7"/>
  <c r="N805" i="7"/>
  <c r="M805" i="7"/>
  <c r="L805" i="7"/>
  <c r="K805" i="7"/>
  <c r="J805" i="7"/>
  <c r="P804" i="7"/>
  <c r="O804" i="7"/>
  <c r="N804" i="7"/>
  <c r="M804" i="7"/>
  <c r="L804" i="7"/>
  <c r="K804" i="7"/>
  <c r="J804" i="7"/>
  <c r="P803" i="7"/>
  <c r="O803" i="7"/>
  <c r="N803" i="7"/>
  <c r="M803" i="7"/>
  <c r="K803" i="7"/>
  <c r="J803" i="7"/>
  <c r="L803" i="7" s="1"/>
  <c r="P802" i="7"/>
  <c r="O802" i="7"/>
  <c r="N802" i="7"/>
  <c r="M802" i="7"/>
  <c r="K802" i="7"/>
  <c r="J802" i="7"/>
  <c r="L802" i="7" s="1"/>
  <c r="P801" i="7"/>
  <c r="O801" i="7"/>
  <c r="N801" i="7"/>
  <c r="M801" i="7"/>
  <c r="L801" i="7"/>
  <c r="K801" i="7"/>
  <c r="J801" i="7"/>
  <c r="P800" i="7"/>
  <c r="O800" i="7"/>
  <c r="N800" i="7"/>
  <c r="M800" i="7"/>
  <c r="L800" i="7"/>
  <c r="K800" i="7"/>
  <c r="J800" i="7"/>
  <c r="P799" i="7"/>
  <c r="O799" i="7"/>
  <c r="N799" i="7"/>
  <c r="M799" i="7"/>
  <c r="K799" i="7"/>
  <c r="J799" i="7"/>
  <c r="L799" i="7" s="1"/>
  <c r="P798" i="7"/>
  <c r="O798" i="7"/>
  <c r="N798" i="7"/>
  <c r="M798" i="7"/>
  <c r="K798" i="7"/>
  <c r="J798" i="7"/>
  <c r="L798" i="7" s="1"/>
  <c r="P797" i="7"/>
  <c r="O797" i="7"/>
  <c r="N797" i="7"/>
  <c r="M797" i="7"/>
  <c r="L797" i="7"/>
  <c r="K797" i="7"/>
  <c r="J797" i="7"/>
  <c r="P796" i="7"/>
  <c r="O796" i="7"/>
  <c r="N796" i="7"/>
  <c r="M796" i="7"/>
  <c r="L796" i="7"/>
  <c r="K796" i="7"/>
  <c r="J796" i="7"/>
  <c r="P795" i="7"/>
  <c r="O795" i="7"/>
  <c r="N795" i="7"/>
  <c r="M795" i="7"/>
  <c r="K795" i="7"/>
  <c r="J795" i="7"/>
  <c r="L795" i="7" s="1"/>
  <c r="P794" i="7"/>
  <c r="O794" i="7"/>
  <c r="N794" i="7"/>
  <c r="M794" i="7"/>
  <c r="K794" i="7"/>
  <c r="J794" i="7"/>
  <c r="L794" i="7" s="1"/>
  <c r="P793" i="7"/>
  <c r="O793" i="7"/>
  <c r="N793" i="7"/>
  <c r="M793" i="7"/>
  <c r="L793" i="7"/>
  <c r="K793" i="7"/>
  <c r="J793" i="7"/>
  <c r="P792" i="7"/>
  <c r="O792" i="7"/>
  <c r="N792" i="7"/>
  <c r="M792" i="7"/>
  <c r="L792" i="7"/>
  <c r="K792" i="7"/>
  <c r="J792" i="7"/>
  <c r="P791" i="7"/>
  <c r="O791" i="7"/>
  <c r="N791" i="7"/>
  <c r="M791" i="7"/>
  <c r="K791" i="7"/>
  <c r="J791" i="7"/>
  <c r="L791" i="7" s="1"/>
  <c r="P790" i="7"/>
  <c r="O790" i="7"/>
  <c r="N790" i="7"/>
  <c r="M790" i="7"/>
  <c r="K790" i="7"/>
  <c r="J790" i="7"/>
  <c r="L790" i="7" s="1"/>
  <c r="P789" i="7"/>
  <c r="O789" i="7"/>
  <c r="N789" i="7"/>
  <c r="M789" i="7"/>
  <c r="L789" i="7"/>
  <c r="K789" i="7"/>
  <c r="J789" i="7"/>
  <c r="P788" i="7"/>
  <c r="O788" i="7"/>
  <c r="N788" i="7"/>
  <c r="M788" i="7"/>
  <c r="L788" i="7"/>
  <c r="K788" i="7"/>
  <c r="J788" i="7"/>
  <c r="P787" i="7"/>
  <c r="O787" i="7"/>
  <c r="N787" i="7"/>
  <c r="M787" i="7"/>
  <c r="K787" i="7"/>
  <c r="J787" i="7"/>
  <c r="L787" i="7" s="1"/>
  <c r="P786" i="7"/>
  <c r="O786" i="7"/>
  <c r="N786" i="7"/>
  <c r="M786" i="7"/>
  <c r="K786" i="7"/>
  <c r="J786" i="7"/>
  <c r="L786" i="7" s="1"/>
  <c r="P785" i="7"/>
  <c r="O785" i="7"/>
  <c r="N785" i="7"/>
  <c r="M785" i="7"/>
  <c r="L785" i="7"/>
  <c r="K785" i="7"/>
  <c r="J785" i="7"/>
  <c r="C73" i="2"/>
  <c r="E73" i="2"/>
  <c r="L1050" i="1"/>
  <c r="F1050" i="1"/>
  <c r="E1050" i="1"/>
  <c r="D1050" i="1"/>
  <c r="C1050" i="1"/>
  <c r="B1050" i="1"/>
  <c r="A1050" i="1"/>
  <c r="L1049" i="1"/>
  <c r="F1049" i="1"/>
  <c r="E1049" i="1"/>
  <c r="D1049" i="1"/>
  <c r="C1049" i="1"/>
  <c r="B1049" i="1"/>
  <c r="A1049" i="1"/>
  <c r="L1048" i="1"/>
  <c r="F1048" i="1"/>
  <c r="E1048" i="1"/>
  <c r="D1048" i="1"/>
  <c r="C1048" i="1"/>
  <c r="B1048" i="1"/>
  <c r="A1048" i="1"/>
  <c r="L1047" i="1"/>
  <c r="F1047" i="1"/>
  <c r="E1047" i="1"/>
  <c r="D1047" i="1"/>
  <c r="C1047" i="1"/>
  <c r="B1047" i="1"/>
  <c r="A1047" i="1"/>
  <c r="L1046" i="1"/>
  <c r="F1046" i="1"/>
  <c r="E1046" i="1"/>
  <c r="D1046" i="1"/>
  <c r="C1046" i="1"/>
  <c r="B1046" i="1"/>
  <c r="A1046" i="1"/>
  <c r="L1045" i="1"/>
  <c r="F1045" i="1"/>
  <c r="E1045" i="1"/>
  <c r="D1045" i="1"/>
  <c r="C1045" i="1"/>
  <c r="B1045" i="1"/>
  <c r="A1045" i="1"/>
  <c r="L1044" i="1"/>
  <c r="F1044" i="1"/>
  <c r="E1044" i="1"/>
  <c r="D1044" i="1"/>
  <c r="C1044" i="1"/>
  <c r="B1044" i="1"/>
  <c r="A1044" i="1"/>
  <c r="L1043" i="1"/>
  <c r="F1043" i="1"/>
  <c r="E1043" i="1"/>
  <c r="D1043" i="1"/>
  <c r="C1043" i="1"/>
  <c r="B1043" i="1"/>
  <c r="A1043" i="1"/>
  <c r="L1042" i="1"/>
  <c r="F1042" i="1"/>
  <c r="E1042" i="1"/>
  <c r="D1042" i="1"/>
  <c r="C1042" i="1"/>
  <c r="B1042" i="1"/>
  <c r="A1042" i="1"/>
  <c r="L1041" i="1"/>
  <c r="F1041" i="1"/>
  <c r="E1041" i="1"/>
  <c r="D1041" i="1"/>
  <c r="C1041" i="1"/>
  <c r="B1041" i="1"/>
  <c r="A1041" i="1"/>
  <c r="L1040" i="1"/>
  <c r="F1040" i="1"/>
  <c r="E1040" i="1"/>
  <c r="D1040" i="1"/>
  <c r="C1040" i="1"/>
  <c r="B1040" i="1"/>
  <c r="A1040" i="1"/>
  <c r="L1039" i="1"/>
  <c r="F1039" i="1"/>
  <c r="E1039" i="1"/>
  <c r="D1039" i="1"/>
  <c r="C1039" i="1"/>
  <c r="B1039" i="1"/>
  <c r="A1039" i="1"/>
  <c r="L1038" i="1"/>
  <c r="F1038" i="1"/>
  <c r="E1038" i="1"/>
  <c r="D1038" i="1"/>
  <c r="C1038" i="1"/>
  <c r="B1038" i="1"/>
  <c r="A1038" i="1"/>
  <c r="L1037" i="1"/>
  <c r="F1037" i="1"/>
  <c r="E1037" i="1"/>
  <c r="D1037" i="1"/>
  <c r="C1037" i="1"/>
  <c r="B1037" i="1"/>
  <c r="A1037" i="1"/>
  <c r="L1036" i="1"/>
  <c r="F1036" i="1"/>
  <c r="E1036" i="1"/>
  <c r="D1036" i="1"/>
  <c r="C1036" i="1"/>
  <c r="B1036" i="1"/>
  <c r="A1036" i="1"/>
  <c r="L1035" i="1"/>
  <c r="F1035" i="1"/>
  <c r="E1035" i="1"/>
  <c r="D1035" i="1"/>
  <c r="C1035" i="1"/>
  <c r="B1035" i="1"/>
  <c r="A1035" i="1"/>
  <c r="L1034" i="1"/>
  <c r="F1034" i="1"/>
  <c r="E1034" i="1"/>
  <c r="D1034" i="1"/>
  <c r="C1034" i="1"/>
  <c r="B1034" i="1"/>
  <c r="A1034" i="1"/>
  <c r="L1033" i="1"/>
  <c r="F1033" i="1"/>
  <c r="E1033" i="1"/>
  <c r="D1033" i="1"/>
  <c r="C1033" i="1"/>
  <c r="B1033" i="1"/>
  <c r="A1033" i="1"/>
  <c r="L1032" i="1"/>
  <c r="F1032" i="1"/>
  <c r="E1032" i="1"/>
  <c r="D1032" i="1"/>
  <c r="C1032" i="1"/>
  <c r="B1032" i="1"/>
  <c r="A1032" i="1"/>
  <c r="L1031" i="1"/>
  <c r="F1031" i="1"/>
  <c r="E1031" i="1"/>
  <c r="D1031" i="1"/>
  <c r="C1031" i="1"/>
  <c r="B1031" i="1"/>
  <c r="A1031" i="1"/>
  <c r="L1030" i="1"/>
  <c r="F1030" i="1"/>
  <c r="E1030" i="1"/>
  <c r="D1030" i="1"/>
  <c r="C1030" i="1"/>
  <c r="B1030" i="1"/>
  <c r="A1030" i="1"/>
  <c r="L1029" i="1"/>
  <c r="F1029" i="1"/>
  <c r="E1029" i="1"/>
  <c r="D1029" i="1"/>
  <c r="C1029" i="1"/>
  <c r="B1029" i="1"/>
  <c r="A1029" i="1"/>
  <c r="L1028" i="1"/>
  <c r="F1028" i="1"/>
  <c r="E1028" i="1"/>
  <c r="D1028" i="1"/>
  <c r="C1028" i="1"/>
  <c r="B1028" i="1"/>
  <c r="A1028" i="1"/>
  <c r="L1027" i="1"/>
  <c r="F1027" i="1"/>
  <c r="E1027" i="1"/>
  <c r="D1027" i="1"/>
  <c r="C1027" i="1"/>
  <c r="B1027" i="1"/>
  <c r="A1027" i="1"/>
  <c r="L1026" i="1"/>
  <c r="F1026" i="1"/>
  <c r="E1026" i="1"/>
  <c r="D1026" i="1"/>
  <c r="C1026" i="1"/>
  <c r="B1026" i="1"/>
  <c r="A1026" i="1"/>
  <c r="L1025" i="1"/>
  <c r="F1025" i="1"/>
  <c r="E1025" i="1"/>
  <c r="D1025" i="1"/>
  <c r="C1025" i="1"/>
  <c r="B1025" i="1"/>
  <c r="A1025" i="1"/>
  <c r="L1024" i="1"/>
  <c r="F1024" i="1"/>
  <c r="E1024" i="1"/>
  <c r="D1024" i="1"/>
  <c r="C1024" i="1"/>
  <c r="B1024" i="1"/>
  <c r="A1024" i="1"/>
  <c r="L1023" i="1"/>
  <c r="F1023" i="1"/>
  <c r="E1023" i="1"/>
  <c r="D1023" i="1"/>
  <c r="C1023" i="1"/>
  <c r="B1023" i="1"/>
  <c r="A1023" i="1"/>
  <c r="L1022" i="1"/>
  <c r="F1022" i="1"/>
  <c r="E1022" i="1"/>
  <c r="D1022" i="1"/>
  <c r="C1022" i="1"/>
  <c r="B1022" i="1"/>
  <c r="A1022" i="1"/>
  <c r="L1021" i="1"/>
  <c r="F1021" i="1"/>
  <c r="E1021" i="1"/>
  <c r="D1021" i="1"/>
  <c r="C1021" i="1"/>
  <c r="B1021" i="1"/>
  <c r="A1021" i="1"/>
  <c r="L1020" i="1"/>
  <c r="F1020" i="1"/>
  <c r="E1020" i="1"/>
  <c r="D1020" i="1"/>
  <c r="C1020" i="1"/>
  <c r="B1020" i="1"/>
  <c r="A1020" i="1"/>
  <c r="L1019" i="1"/>
  <c r="F1019" i="1"/>
  <c r="E1019" i="1"/>
  <c r="D1019" i="1"/>
  <c r="C1019" i="1"/>
  <c r="B1019" i="1"/>
  <c r="A1019" i="1"/>
  <c r="L1018" i="1"/>
  <c r="F1018" i="1"/>
  <c r="E1018" i="1"/>
  <c r="D1018" i="1"/>
  <c r="C1018" i="1"/>
  <c r="B1018" i="1"/>
  <c r="A1018" i="1"/>
  <c r="L1017" i="1"/>
  <c r="F1017" i="1"/>
  <c r="E1017" i="1"/>
  <c r="D1017" i="1"/>
  <c r="C1017" i="1"/>
  <c r="B1017" i="1"/>
  <c r="A1017" i="1"/>
  <c r="L1016" i="1"/>
  <c r="F1016" i="1"/>
  <c r="E1016" i="1"/>
  <c r="D1016" i="1"/>
  <c r="C1016" i="1"/>
  <c r="B1016" i="1"/>
  <c r="A1016" i="1"/>
  <c r="L1015" i="1"/>
  <c r="F1015" i="1"/>
  <c r="E1015" i="1"/>
  <c r="D1015" i="1"/>
  <c r="C1015" i="1"/>
  <c r="B1015" i="1"/>
  <c r="A1015" i="1"/>
  <c r="L1014" i="1"/>
  <c r="F1014" i="1"/>
  <c r="E1014" i="1"/>
  <c r="D1014" i="1"/>
  <c r="C1014" i="1"/>
  <c r="B1014" i="1"/>
  <c r="A1014" i="1"/>
  <c r="L1013" i="1"/>
  <c r="F1013" i="1"/>
  <c r="E1013" i="1"/>
  <c r="D1013" i="1"/>
  <c r="C1013" i="1"/>
  <c r="B1013" i="1"/>
  <c r="A1013" i="1"/>
  <c r="L1012" i="1"/>
  <c r="F1012" i="1"/>
  <c r="E1012" i="1"/>
  <c r="D1012" i="1"/>
  <c r="C1012" i="1"/>
  <c r="B1012" i="1"/>
  <c r="A1012" i="1"/>
  <c r="L1011" i="1"/>
  <c r="F1011" i="1"/>
  <c r="E1011" i="1"/>
  <c r="D1011" i="1"/>
  <c r="C1011" i="1"/>
  <c r="B1011" i="1"/>
  <c r="A1011" i="1"/>
  <c r="L1010" i="1"/>
  <c r="F1010" i="1"/>
  <c r="E1010" i="1"/>
  <c r="D1010" i="1"/>
  <c r="C1010" i="1"/>
  <c r="B1010" i="1"/>
  <c r="A1010" i="1"/>
  <c r="L1009" i="1"/>
  <c r="F1009" i="1"/>
  <c r="E1009" i="1"/>
  <c r="D1009" i="1"/>
  <c r="C1009" i="1"/>
  <c r="B1009" i="1"/>
  <c r="A1009" i="1"/>
  <c r="L1008" i="1"/>
  <c r="F1008" i="1"/>
  <c r="E1008" i="1"/>
  <c r="D1008" i="1"/>
  <c r="C1008" i="1"/>
  <c r="B1008" i="1"/>
  <c r="A1008" i="1"/>
  <c r="L1007" i="1"/>
  <c r="F1007" i="1"/>
  <c r="E1007" i="1"/>
  <c r="D1007" i="1"/>
  <c r="C1007" i="1"/>
  <c r="B1007" i="1"/>
  <c r="A1007" i="1"/>
  <c r="L1006" i="1"/>
  <c r="F1006" i="1"/>
  <c r="E1006" i="1"/>
  <c r="D1006" i="1"/>
  <c r="C1006" i="1"/>
  <c r="B1006" i="1"/>
  <c r="A1006" i="1"/>
  <c r="L1005" i="1"/>
  <c r="F1005" i="1"/>
  <c r="E1005" i="1"/>
  <c r="D1005" i="1"/>
  <c r="C1005" i="1"/>
  <c r="B1005" i="1"/>
  <c r="A1005" i="1"/>
  <c r="L1004" i="1"/>
  <c r="F1004" i="1"/>
  <c r="E1004" i="1"/>
  <c r="D1004" i="1"/>
  <c r="C1004" i="1"/>
  <c r="B1004" i="1"/>
  <c r="A1004" i="1"/>
  <c r="L1003" i="1"/>
  <c r="F1003" i="1"/>
  <c r="E1003" i="1"/>
  <c r="D1003" i="1"/>
  <c r="C1003" i="1"/>
  <c r="B1003" i="1"/>
  <c r="A1003" i="1"/>
  <c r="L1002" i="1"/>
  <c r="F1002" i="1"/>
  <c r="E1002" i="1"/>
  <c r="D1002" i="1"/>
  <c r="C1002" i="1"/>
  <c r="B1002" i="1"/>
  <c r="A1002" i="1"/>
  <c r="P784" i="7"/>
  <c r="O784" i="7"/>
  <c r="N784" i="7"/>
  <c r="M784" i="7"/>
  <c r="K784" i="7"/>
  <c r="J784" i="7"/>
  <c r="L784" i="7" s="1"/>
  <c r="P783" i="7"/>
  <c r="O783" i="7"/>
  <c r="N783" i="7"/>
  <c r="M783" i="7"/>
  <c r="K783" i="7"/>
  <c r="J783" i="7"/>
  <c r="L783" i="7" s="1"/>
  <c r="P782" i="7"/>
  <c r="O782" i="7"/>
  <c r="N782" i="7"/>
  <c r="M782" i="7"/>
  <c r="L782" i="7"/>
  <c r="K782" i="7"/>
  <c r="J782" i="7"/>
  <c r="P781" i="7"/>
  <c r="O781" i="7"/>
  <c r="N781" i="7"/>
  <c r="M781" i="7"/>
  <c r="L781" i="7"/>
  <c r="K781" i="7"/>
  <c r="J781" i="7"/>
  <c r="P780" i="7"/>
  <c r="O780" i="7"/>
  <c r="N780" i="7"/>
  <c r="M780" i="7"/>
  <c r="K780" i="7"/>
  <c r="J780" i="7"/>
  <c r="L780" i="7" s="1"/>
  <c r="P779" i="7"/>
  <c r="O779" i="7"/>
  <c r="N779" i="7"/>
  <c r="M779" i="7"/>
  <c r="K779" i="7"/>
  <c r="J779" i="7"/>
  <c r="L779" i="7" s="1"/>
  <c r="P778" i="7"/>
  <c r="O778" i="7"/>
  <c r="N778" i="7"/>
  <c r="M778" i="7"/>
  <c r="L778" i="7"/>
  <c r="K778" i="7"/>
  <c r="J778" i="7"/>
  <c r="P777" i="7"/>
  <c r="O777" i="7"/>
  <c r="N777" i="7"/>
  <c r="M777" i="7"/>
  <c r="L777" i="7"/>
  <c r="K777" i="7"/>
  <c r="J777" i="7"/>
  <c r="P776" i="7"/>
  <c r="O776" i="7"/>
  <c r="N776" i="7"/>
  <c r="M776" i="7"/>
  <c r="K776" i="7"/>
  <c r="J776" i="7"/>
  <c r="L776" i="7" s="1"/>
  <c r="P775" i="7"/>
  <c r="O775" i="7"/>
  <c r="N775" i="7"/>
  <c r="M775" i="7"/>
  <c r="K775" i="7"/>
  <c r="J775" i="7"/>
  <c r="L775" i="7" s="1"/>
  <c r="P774" i="7"/>
  <c r="O774" i="7"/>
  <c r="N774" i="7"/>
  <c r="M774" i="7"/>
  <c r="L774" i="7"/>
  <c r="K774" i="7"/>
  <c r="J774" i="7"/>
  <c r="P773" i="7"/>
  <c r="O773" i="7"/>
  <c r="N773" i="7"/>
  <c r="M773" i="7"/>
  <c r="L773" i="7"/>
  <c r="K773" i="7"/>
  <c r="J773" i="7"/>
  <c r="P772" i="7"/>
  <c r="O772" i="7"/>
  <c r="N772" i="7"/>
  <c r="M772" i="7"/>
  <c r="K772" i="7"/>
  <c r="J772" i="7"/>
  <c r="L772" i="7" s="1"/>
  <c r="P771" i="7"/>
  <c r="O771" i="7"/>
  <c r="N771" i="7"/>
  <c r="M771" i="7"/>
  <c r="K771" i="7"/>
  <c r="J771" i="7"/>
  <c r="L771" i="7" s="1"/>
  <c r="P770" i="7"/>
  <c r="O770" i="7"/>
  <c r="N770" i="7"/>
  <c r="M770" i="7"/>
  <c r="L770" i="7"/>
  <c r="K770" i="7"/>
  <c r="J770" i="7"/>
  <c r="P769" i="7"/>
  <c r="O769" i="7"/>
  <c r="N769" i="7"/>
  <c r="M769" i="7"/>
  <c r="L769" i="7"/>
  <c r="K769" i="7"/>
  <c r="J769" i="7"/>
  <c r="P768" i="7"/>
  <c r="O768" i="7"/>
  <c r="N768" i="7"/>
  <c r="M768" i="7"/>
  <c r="K768" i="7"/>
  <c r="J768" i="7"/>
  <c r="L768" i="7" s="1"/>
  <c r="P767" i="7"/>
  <c r="O767" i="7"/>
  <c r="N767" i="7"/>
  <c r="M767" i="7"/>
  <c r="K767" i="7"/>
  <c r="J767" i="7"/>
  <c r="L767" i="7" s="1"/>
  <c r="P766" i="7"/>
  <c r="O766" i="7"/>
  <c r="N766" i="7"/>
  <c r="M766" i="7"/>
  <c r="L766" i="7"/>
  <c r="K766" i="7"/>
  <c r="J766" i="7"/>
  <c r="P765" i="7"/>
  <c r="O765" i="7"/>
  <c r="N765" i="7"/>
  <c r="M765" i="7"/>
  <c r="L765" i="7"/>
  <c r="K765" i="7"/>
  <c r="J765" i="7"/>
  <c r="P764" i="7"/>
  <c r="O764" i="7"/>
  <c r="N764" i="7"/>
  <c r="M764" i="7"/>
  <c r="K764" i="7"/>
  <c r="J764" i="7"/>
  <c r="L764" i="7" s="1"/>
  <c r="P763" i="7"/>
  <c r="O763" i="7"/>
  <c r="N763" i="7"/>
  <c r="M763" i="7"/>
  <c r="K763" i="7"/>
  <c r="J763" i="7"/>
  <c r="L763" i="7" s="1"/>
  <c r="P762" i="7"/>
  <c r="O762" i="7"/>
  <c r="N762" i="7"/>
  <c r="M762" i="7"/>
  <c r="L762" i="7"/>
  <c r="K762" i="7"/>
  <c r="J762" i="7"/>
  <c r="P761" i="7"/>
  <c r="O761" i="7"/>
  <c r="N761" i="7"/>
  <c r="M761" i="7"/>
  <c r="L761" i="7"/>
  <c r="K761" i="7"/>
  <c r="J761" i="7"/>
  <c r="P760" i="7"/>
  <c r="O760" i="7"/>
  <c r="N760" i="7"/>
  <c r="M760" i="7"/>
  <c r="K760" i="7"/>
  <c r="J760" i="7"/>
  <c r="L760" i="7" s="1"/>
  <c r="P759" i="7"/>
  <c r="O759" i="7"/>
  <c r="N759" i="7"/>
  <c r="M759" i="7"/>
  <c r="K759" i="7"/>
  <c r="J759" i="7"/>
  <c r="L759" i="7" s="1"/>
  <c r="P758" i="7"/>
  <c r="O758" i="7"/>
  <c r="N758" i="7"/>
  <c r="M758" i="7"/>
  <c r="L758" i="7"/>
  <c r="K758" i="7"/>
  <c r="J758" i="7"/>
  <c r="P757" i="7"/>
  <c r="O757" i="7"/>
  <c r="N757" i="7"/>
  <c r="M757" i="7"/>
  <c r="L757" i="7"/>
  <c r="K757" i="7"/>
  <c r="J757" i="7"/>
  <c r="P756" i="7"/>
  <c r="O756" i="7"/>
  <c r="N756" i="7"/>
  <c r="M756" i="7"/>
  <c r="K756" i="7"/>
  <c r="J756" i="7"/>
  <c r="L756" i="7" s="1"/>
  <c r="P755" i="7"/>
  <c r="O755" i="7"/>
  <c r="N755" i="7"/>
  <c r="M755" i="7"/>
  <c r="K755" i="7"/>
  <c r="J755" i="7"/>
  <c r="L755" i="7" s="1"/>
  <c r="P754" i="7"/>
  <c r="O754" i="7"/>
  <c r="N754" i="7"/>
  <c r="M754" i="7"/>
  <c r="L754" i="7"/>
  <c r="K754" i="7"/>
  <c r="J754" i="7"/>
  <c r="P753" i="7"/>
  <c r="O753" i="7"/>
  <c r="N753" i="7"/>
  <c r="M753" i="7"/>
  <c r="L753" i="7"/>
  <c r="K753" i="7"/>
  <c r="J753" i="7"/>
  <c r="P752" i="7"/>
  <c r="O752" i="7"/>
  <c r="N752" i="7"/>
  <c r="M752" i="7"/>
  <c r="K752" i="7"/>
  <c r="J752" i="7"/>
  <c r="L752" i="7" s="1"/>
  <c r="P751" i="7"/>
  <c r="O751" i="7"/>
  <c r="N751" i="7"/>
  <c r="M751" i="7"/>
  <c r="K751" i="7"/>
  <c r="J751" i="7"/>
  <c r="L751" i="7" s="1"/>
  <c r="P750" i="7"/>
  <c r="O750" i="7"/>
  <c r="N750" i="7"/>
  <c r="M750" i="7"/>
  <c r="L750" i="7"/>
  <c r="K750" i="7"/>
  <c r="J750" i="7"/>
  <c r="P749" i="7"/>
  <c r="O749" i="7"/>
  <c r="N749" i="7"/>
  <c r="M749" i="7"/>
  <c r="L749" i="7"/>
  <c r="K749" i="7"/>
  <c r="J749" i="7"/>
  <c r="P748" i="7"/>
  <c r="O748" i="7"/>
  <c r="N748" i="7"/>
  <c r="M748" i="7"/>
  <c r="K748" i="7"/>
  <c r="J748" i="7"/>
  <c r="L748" i="7" s="1"/>
  <c r="P747" i="7"/>
  <c r="O747" i="7"/>
  <c r="N747" i="7"/>
  <c r="M747" i="7"/>
  <c r="K747" i="7"/>
  <c r="J747" i="7"/>
  <c r="L747" i="7" s="1"/>
  <c r="P746" i="7"/>
  <c r="O746" i="7"/>
  <c r="N746" i="7"/>
  <c r="M746" i="7"/>
  <c r="L746" i="7"/>
  <c r="K746" i="7"/>
  <c r="J746" i="7"/>
  <c r="P745" i="7"/>
  <c r="O745" i="7"/>
  <c r="N745" i="7"/>
  <c r="M745" i="7"/>
  <c r="L745" i="7"/>
  <c r="K745" i="7"/>
  <c r="J745" i="7"/>
  <c r="P744" i="7"/>
  <c r="O744" i="7"/>
  <c r="N744" i="7"/>
  <c r="M744" i="7"/>
  <c r="K744" i="7"/>
  <c r="J744" i="7"/>
  <c r="L744" i="7" s="1"/>
  <c r="P743" i="7"/>
  <c r="O743" i="7"/>
  <c r="N743" i="7"/>
  <c r="M743" i="7"/>
  <c r="K743" i="7"/>
  <c r="J743" i="7"/>
  <c r="L743" i="7" s="1"/>
  <c r="P742" i="7"/>
  <c r="O742" i="7"/>
  <c r="N742" i="7"/>
  <c r="M742" i="7"/>
  <c r="L742" i="7"/>
  <c r="K742" i="7"/>
  <c r="J742" i="7"/>
  <c r="P741" i="7"/>
  <c r="O741" i="7"/>
  <c r="N741" i="7"/>
  <c r="M741" i="7"/>
  <c r="L741" i="7"/>
  <c r="K741" i="7"/>
  <c r="J741" i="7"/>
  <c r="P740" i="7"/>
  <c r="O740" i="7"/>
  <c r="N740" i="7"/>
  <c r="M740" i="7"/>
  <c r="K740" i="7"/>
  <c r="J740" i="7"/>
  <c r="L740" i="7" s="1"/>
  <c r="P739" i="7"/>
  <c r="O739" i="7"/>
  <c r="N739" i="7"/>
  <c r="M739" i="7"/>
  <c r="K739" i="7"/>
  <c r="J739" i="7"/>
  <c r="L739" i="7" s="1"/>
  <c r="P738" i="7"/>
  <c r="O738" i="7"/>
  <c r="N738" i="7"/>
  <c r="M738" i="7"/>
  <c r="L738" i="7"/>
  <c r="K738" i="7"/>
  <c r="J738" i="7"/>
  <c r="P737" i="7"/>
  <c r="O737" i="7"/>
  <c r="N737" i="7"/>
  <c r="M737" i="7"/>
  <c r="L737" i="7"/>
  <c r="K737" i="7"/>
  <c r="J737" i="7"/>
  <c r="P736" i="7"/>
  <c r="O736" i="7"/>
  <c r="N736" i="7"/>
  <c r="M736" i="7"/>
  <c r="K736" i="7"/>
  <c r="J736" i="7"/>
  <c r="L736" i="7" s="1"/>
  <c r="E72" i="2"/>
  <c r="C72" i="2"/>
  <c r="L1001" i="1"/>
  <c r="D1001" i="1"/>
  <c r="B1001" i="1"/>
  <c r="A1001" i="1"/>
  <c r="L1000" i="1"/>
  <c r="E1000" i="1"/>
  <c r="D1000" i="1"/>
  <c r="B1000" i="1"/>
  <c r="A1000" i="1"/>
  <c r="L999" i="1"/>
  <c r="D999" i="1"/>
  <c r="B999" i="1"/>
  <c r="A999" i="1"/>
  <c r="L998" i="1"/>
  <c r="D998" i="1"/>
  <c r="C998" i="1"/>
  <c r="B998" i="1"/>
  <c r="A998" i="1"/>
  <c r="L997" i="1"/>
  <c r="F997" i="1"/>
  <c r="D997" i="1"/>
  <c r="B997" i="1"/>
  <c r="A997" i="1"/>
  <c r="L996" i="1"/>
  <c r="E996" i="1"/>
  <c r="D996" i="1"/>
  <c r="B996" i="1"/>
  <c r="A996" i="1"/>
  <c r="L995" i="1"/>
  <c r="D995" i="1"/>
  <c r="B995" i="1"/>
  <c r="A995" i="1"/>
  <c r="L994" i="1"/>
  <c r="D994" i="1"/>
  <c r="C994" i="1"/>
  <c r="B994" i="1"/>
  <c r="A994" i="1"/>
  <c r="L993" i="1"/>
  <c r="F993" i="1"/>
  <c r="D993" i="1"/>
  <c r="B993" i="1"/>
  <c r="A993" i="1"/>
  <c r="L992" i="1"/>
  <c r="E992" i="1"/>
  <c r="D992" i="1"/>
  <c r="B992" i="1"/>
  <c r="A992" i="1"/>
  <c r="L991" i="1"/>
  <c r="D991" i="1"/>
  <c r="B991" i="1"/>
  <c r="A991" i="1"/>
  <c r="L990" i="1"/>
  <c r="D990" i="1"/>
  <c r="C990" i="1"/>
  <c r="B990" i="1"/>
  <c r="A990" i="1"/>
  <c r="L989" i="1"/>
  <c r="F989" i="1"/>
  <c r="D989" i="1"/>
  <c r="B989" i="1"/>
  <c r="A989" i="1"/>
  <c r="L988" i="1"/>
  <c r="E988" i="1"/>
  <c r="D988" i="1"/>
  <c r="B988" i="1"/>
  <c r="A988" i="1"/>
  <c r="L987" i="1"/>
  <c r="D987" i="1"/>
  <c r="B987" i="1"/>
  <c r="A987" i="1"/>
  <c r="L986" i="1"/>
  <c r="D986" i="1"/>
  <c r="C986" i="1"/>
  <c r="B986" i="1"/>
  <c r="A986" i="1"/>
  <c r="L985" i="1"/>
  <c r="F985" i="1"/>
  <c r="D985" i="1"/>
  <c r="B985" i="1"/>
  <c r="A985" i="1"/>
  <c r="L984" i="1"/>
  <c r="E984" i="1"/>
  <c r="D984" i="1"/>
  <c r="B984" i="1"/>
  <c r="A984" i="1"/>
  <c r="L983" i="1"/>
  <c r="D983" i="1"/>
  <c r="B983" i="1"/>
  <c r="A983" i="1"/>
  <c r="L982" i="1"/>
  <c r="D982" i="1"/>
  <c r="C982" i="1"/>
  <c r="B982" i="1"/>
  <c r="A982" i="1"/>
  <c r="L981" i="1"/>
  <c r="F981" i="1"/>
  <c r="D981" i="1"/>
  <c r="B981" i="1"/>
  <c r="A981" i="1"/>
  <c r="L980" i="1"/>
  <c r="E980" i="1"/>
  <c r="D980" i="1"/>
  <c r="B980" i="1"/>
  <c r="A980" i="1"/>
  <c r="L979" i="1"/>
  <c r="D979" i="1"/>
  <c r="B979" i="1"/>
  <c r="A979" i="1"/>
  <c r="L978" i="1"/>
  <c r="D978" i="1"/>
  <c r="C978" i="1"/>
  <c r="B978" i="1"/>
  <c r="A978" i="1"/>
  <c r="L977" i="1"/>
  <c r="F977" i="1"/>
  <c r="D977" i="1"/>
  <c r="B977" i="1"/>
  <c r="A977" i="1"/>
  <c r="L976" i="1"/>
  <c r="E976" i="1"/>
  <c r="D976" i="1"/>
  <c r="B976" i="1"/>
  <c r="A976" i="1"/>
  <c r="L975" i="1"/>
  <c r="D975" i="1"/>
  <c r="B975" i="1"/>
  <c r="A975" i="1"/>
  <c r="L974" i="1"/>
  <c r="D974" i="1"/>
  <c r="C974" i="1"/>
  <c r="B974" i="1"/>
  <c r="A974" i="1"/>
  <c r="L973" i="1"/>
  <c r="F973" i="1"/>
  <c r="D973" i="1"/>
  <c r="B973" i="1"/>
  <c r="A973" i="1"/>
  <c r="L972" i="1"/>
  <c r="E972" i="1"/>
  <c r="D972" i="1"/>
  <c r="B972" i="1"/>
  <c r="A972" i="1"/>
  <c r="L971" i="1"/>
  <c r="D971" i="1"/>
  <c r="B971" i="1"/>
  <c r="A971" i="1"/>
  <c r="L970" i="1"/>
  <c r="D970" i="1"/>
  <c r="C970" i="1"/>
  <c r="B970" i="1"/>
  <c r="A970" i="1"/>
  <c r="L969" i="1"/>
  <c r="F969" i="1"/>
  <c r="D969" i="1"/>
  <c r="B969" i="1"/>
  <c r="A969" i="1"/>
  <c r="L968" i="1"/>
  <c r="E968" i="1"/>
  <c r="D968" i="1"/>
  <c r="B968" i="1"/>
  <c r="A968" i="1"/>
  <c r="L967" i="1"/>
  <c r="D967" i="1"/>
  <c r="B967" i="1"/>
  <c r="A967" i="1"/>
  <c r="L966" i="1"/>
  <c r="D966" i="1"/>
  <c r="C966" i="1"/>
  <c r="B966" i="1"/>
  <c r="A966" i="1"/>
  <c r="L965" i="1"/>
  <c r="F965" i="1"/>
  <c r="D965" i="1"/>
  <c r="B965" i="1"/>
  <c r="A965" i="1"/>
  <c r="L964" i="1"/>
  <c r="E964" i="1"/>
  <c r="D964" i="1"/>
  <c r="B964" i="1"/>
  <c r="A964" i="1"/>
  <c r="L963" i="1"/>
  <c r="D963" i="1"/>
  <c r="B963" i="1"/>
  <c r="A963" i="1"/>
  <c r="L962" i="1"/>
  <c r="D962" i="1"/>
  <c r="C962" i="1"/>
  <c r="B962" i="1"/>
  <c r="A962" i="1"/>
  <c r="L961" i="1"/>
  <c r="F961" i="1"/>
  <c r="D961" i="1"/>
  <c r="B961" i="1"/>
  <c r="A961" i="1"/>
  <c r="L960" i="1"/>
  <c r="E960" i="1"/>
  <c r="D960" i="1"/>
  <c r="B960" i="1"/>
  <c r="A960" i="1"/>
  <c r="L959" i="1"/>
  <c r="D959" i="1"/>
  <c r="B959" i="1"/>
  <c r="A959" i="1"/>
  <c r="L958" i="1"/>
  <c r="D958" i="1"/>
  <c r="C958" i="1"/>
  <c r="B958" i="1"/>
  <c r="A958" i="1"/>
  <c r="L957" i="1"/>
  <c r="F957" i="1"/>
  <c r="D957" i="1"/>
  <c r="B957" i="1"/>
  <c r="A957" i="1"/>
  <c r="L956" i="1"/>
  <c r="E956" i="1"/>
  <c r="D956" i="1"/>
  <c r="B956" i="1"/>
  <c r="A956" i="1"/>
  <c r="L955" i="1"/>
  <c r="D955" i="1"/>
  <c r="B955" i="1"/>
  <c r="A955" i="1"/>
  <c r="L954" i="1"/>
  <c r="D954" i="1"/>
  <c r="C954" i="1"/>
  <c r="B954" i="1"/>
  <c r="A954" i="1"/>
  <c r="L953" i="1"/>
  <c r="F953" i="1"/>
  <c r="D953" i="1"/>
  <c r="B953" i="1"/>
  <c r="A953" i="1"/>
  <c r="L952" i="1"/>
  <c r="E952" i="1"/>
  <c r="D952" i="1"/>
  <c r="B952" i="1"/>
  <c r="A952" i="1"/>
  <c r="L951" i="1"/>
  <c r="D951" i="1"/>
  <c r="B951" i="1"/>
  <c r="A951" i="1"/>
  <c r="L950" i="1"/>
  <c r="D950" i="1"/>
  <c r="C950" i="1"/>
  <c r="B950" i="1"/>
  <c r="A950" i="1"/>
  <c r="L949" i="1"/>
  <c r="F949" i="1"/>
  <c r="D949" i="1"/>
  <c r="B949" i="1"/>
  <c r="A949" i="1"/>
  <c r="L948" i="1"/>
  <c r="E948" i="1"/>
  <c r="D948" i="1"/>
  <c r="B948" i="1"/>
  <c r="A948" i="1"/>
  <c r="L947" i="1"/>
  <c r="D947" i="1"/>
  <c r="B947" i="1"/>
  <c r="A947" i="1"/>
  <c r="L946" i="1"/>
  <c r="D946" i="1"/>
  <c r="C946" i="1"/>
  <c r="B946" i="1"/>
  <c r="A946" i="1"/>
  <c r="L945" i="1"/>
  <c r="F945" i="1"/>
  <c r="D945" i="1"/>
  <c r="B945" i="1"/>
  <c r="A945" i="1"/>
  <c r="L944" i="1"/>
  <c r="E944" i="1"/>
  <c r="D944" i="1"/>
  <c r="B944" i="1"/>
  <c r="A944" i="1"/>
  <c r="L943" i="1"/>
  <c r="D943" i="1"/>
  <c r="B943" i="1"/>
  <c r="A943" i="1"/>
  <c r="L942" i="1"/>
  <c r="D942" i="1"/>
  <c r="C942" i="1"/>
  <c r="B942" i="1"/>
  <c r="A942" i="1"/>
  <c r="L941" i="1"/>
  <c r="F941" i="1"/>
  <c r="D941" i="1"/>
  <c r="B941" i="1"/>
  <c r="A941" i="1"/>
  <c r="L940" i="1"/>
  <c r="E940" i="1"/>
  <c r="D940" i="1"/>
  <c r="B940" i="1"/>
  <c r="A940" i="1"/>
  <c r="L939" i="1"/>
  <c r="D939" i="1"/>
  <c r="B939" i="1"/>
  <c r="A939" i="1"/>
  <c r="L938" i="1"/>
  <c r="D938" i="1"/>
  <c r="C938" i="1"/>
  <c r="B938" i="1"/>
  <c r="A938" i="1"/>
  <c r="L937" i="1"/>
  <c r="F937" i="1"/>
  <c r="D937" i="1"/>
  <c r="B937" i="1"/>
  <c r="A937" i="1"/>
  <c r="L936" i="1"/>
  <c r="E936" i="1"/>
  <c r="D936" i="1"/>
  <c r="B936" i="1"/>
  <c r="A936" i="1"/>
  <c r="L935" i="1"/>
  <c r="D935" i="1"/>
  <c r="B935" i="1"/>
  <c r="A935" i="1"/>
  <c r="L934" i="1"/>
  <c r="D934" i="1"/>
  <c r="C934" i="1"/>
  <c r="B934" i="1"/>
  <c r="A934" i="1"/>
  <c r="L933" i="1"/>
  <c r="F933" i="1"/>
  <c r="D933" i="1"/>
  <c r="B933" i="1"/>
  <c r="A933" i="1"/>
  <c r="L932" i="1"/>
  <c r="E932" i="1"/>
  <c r="D932" i="1"/>
  <c r="B932" i="1"/>
  <c r="A932" i="1"/>
  <c r="L931" i="1"/>
  <c r="D931" i="1"/>
  <c r="B931" i="1"/>
  <c r="A931" i="1"/>
  <c r="L930" i="1"/>
  <c r="D930" i="1"/>
  <c r="C930" i="1"/>
  <c r="B930" i="1"/>
  <c r="A930" i="1"/>
  <c r="L929" i="1"/>
  <c r="F929" i="1"/>
  <c r="D929" i="1"/>
  <c r="B929" i="1"/>
  <c r="A929" i="1"/>
  <c r="L928" i="1"/>
  <c r="E928" i="1"/>
  <c r="D928" i="1"/>
  <c r="B928" i="1"/>
  <c r="A928" i="1"/>
  <c r="E70" i="2"/>
  <c r="E71" i="2" s="1"/>
  <c r="C70" i="2"/>
  <c r="C71" i="2" s="1"/>
  <c r="P735" i="7"/>
  <c r="O735" i="7"/>
  <c r="N735" i="7"/>
  <c r="M735" i="7"/>
  <c r="K735" i="7"/>
  <c r="E1001" i="1" s="1"/>
  <c r="J735" i="7"/>
  <c r="L735" i="7" s="1"/>
  <c r="F1001" i="1" s="1"/>
  <c r="P734" i="7"/>
  <c r="O734" i="7"/>
  <c r="N734" i="7"/>
  <c r="M734" i="7"/>
  <c r="L734" i="7"/>
  <c r="F1000" i="1" s="1"/>
  <c r="K734" i="7"/>
  <c r="J734" i="7"/>
  <c r="C1000" i="1" s="1"/>
  <c r="P733" i="7"/>
  <c r="O733" i="7"/>
  <c r="N733" i="7"/>
  <c r="M733" i="7"/>
  <c r="K733" i="7"/>
  <c r="E999" i="1" s="1"/>
  <c r="J733" i="7"/>
  <c r="L733" i="7" s="1"/>
  <c r="F999" i="1" s="1"/>
  <c r="P732" i="7"/>
  <c r="O732" i="7"/>
  <c r="N732" i="7"/>
  <c r="M732" i="7"/>
  <c r="K732" i="7"/>
  <c r="E998" i="1" s="1"/>
  <c r="J732" i="7"/>
  <c r="L732" i="7" s="1"/>
  <c r="F998" i="1" s="1"/>
  <c r="P731" i="7"/>
  <c r="O731" i="7"/>
  <c r="N731" i="7"/>
  <c r="M731" i="7"/>
  <c r="K731" i="7"/>
  <c r="E997" i="1" s="1"/>
  <c r="J731" i="7"/>
  <c r="L731" i="7" s="1"/>
  <c r="P730" i="7"/>
  <c r="O730" i="7"/>
  <c r="N730" i="7"/>
  <c r="M730" i="7"/>
  <c r="K730" i="7"/>
  <c r="J730" i="7"/>
  <c r="C996" i="1" s="1"/>
  <c r="P729" i="7"/>
  <c r="O729" i="7"/>
  <c r="N729" i="7"/>
  <c r="M729" i="7"/>
  <c r="L729" i="7"/>
  <c r="F995" i="1" s="1"/>
  <c r="K729" i="7"/>
  <c r="E995" i="1" s="1"/>
  <c r="J729" i="7"/>
  <c r="C995" i="1" s="1"/>
  <c r="P728" i="7"/>
  <c r="O728" i="7"/>
  <c r="N728" i="7"/>
  <c r="M728" i="7"/>
  <c r="K728" i="7"/>
  <c r="E994" i="1" s="1"/>
  <c r="J728" i="7"/>
  <c r="L728" i="7" s="1"/>
  <c r="F994" i="1" s="1"/>
  <c r="P727" i="7"/>
  <c r="O727" i="7"/>
  <c r="N727" i="7"/>
  <c r="M727" i="7"/>
  <c r="K727" i="7"/>
  <c r="E993" i="1" s="1"/>
  <c r="J727" i="7"/>
  <c r="L727" i="7" s="1"/>
  <c r="P726" i="7"/>
  <c r="O726" i="7"/>
  <c r="N726" i="7"/>
  <c r="M726" i="7"/>
  <c r="L726" i="7"/>
  <c r="F992" i="1" s="1"/>
  <c r="K726" i="7"/>
  <c r="J726" i="7"/>
  <c r="C992" i="1" s="1"/>
  <c r="P725" i="7"/>
  <c r="O725" i="7"/>
  <c r="N725" i="7"/>
  <c r="M725" i="7"/>
  <c r="K725" i="7"/>
  <c r="E991" i="1" s="1"/>
  <c r="J725" i="7"/>
  <c r="C991" i="1" s="1"/>
  <c r="P724" i="7"/>
  <c r="O724" i="7"/>
  <c r="N724" i="7"/>
  <c r="M724" i="7"/>
  <c r="K724" i="7"/>
  <c r="E990" i="1" s="1"/>
  <c r="J724" i="7"/>
  <c r="L724" i="7" s="1"/>
  <c r="F990" i="1" s="1"/>
  <c r="P723" i="7"/>
  <c r="O723" i="7"/>
  <c r="N723" i="7"/>
  <c r="M723" i="7"/>
  <c r="K723" i="7"/>
  <c r="E989" i="1" s="1"/>
  <c r="J723" i="7"/>
  <c r="L723" i="7" s="1"/>
  <c r="P722" i="7"/>
  <c r="O722" i="7"/>
  <c r="N722" i="7"/>
  <c r="M722" i="7"/>
  <c r="K722" i="7"/>
  <c r="J722" i="7"/>
  <c r="C988" i="1" s="1"/>
  <c r="P721" i="7"/>
  <c r="O721" i="7"/>
  <c r="N721" i="7"/>
  <c r="M721" i="7"/>
  <c r="L721" i="7"/>
  <c r="F987" i="1" s="1"/>
  <c r="K721" i="7"/>
  <c r="E987" i="1" s="1"/>
  <c r="J721" i="7"/>
  <c r="C987" i="1" s="1"/>
  <c r="P720" i="7"/>
  <c r="O720" i="7"/>
  <c r="N720" i="7"/>
  <c r="M720" i="7"/>
  <c r="K720" i="7"/>
  <c r="E986" i="1" s="1"/>
  <c r="J720" i="7"/>
  <c r="L720" i="7" s="1"/>
  <c r="F986" i="1" s="1"/>
  <c r="P719" i="7"/>
  <c r="O719" i="7"/>
  <c r="N719" i="7"/>
  <c r="M719" i="7"/>
  <c r="K719" i="7"/>
  <c r="E985" i="1" s="1"/>
  <c r="J719" i="7"/>
  <c r="L719" i="7" s="1"/>
  <c r="P718" i="7"/>
  <c r="O718" i="7"/>
  <c r="N718" i="7"/>
  <c r="M718" i="7"/>
  <c r="L718" i="7"/>
  <c r="F984" i="1" s="1"/>
  <c r="K718" i="7"/>
  <c r="J718" i="7"/>
  <c r="C984" i="1" s="1"/>
  <c r="P717" i="7"/>
  <c r="O717" i="7"/>
  <c r="N717" i="7"/>
  <c r="M717" i="7"/>
  <c r="K717" i="7"/>
  <c r="E983" i="1" s="1"/>
  <c r="J717" i="7"/>
  <c r="C983" i="1" s="1"/>
  <c r="P716" i="7"/>
  <c r="O716" i="7"/>
  <c r="N716" i="7"/>
  <c r="M716" i="7"/>
  <c r="K716" i="7"/>
  <c r="E982" i="1" s="1"/>
  <c r="J716" i="7"/>
  <c r="L716" i="7" s="1"/>
  <c r="F982" i="1" s="1"/>
  <c r="P715" i="7"/>
  <c r="O715" i="7"/>
  <c r="N715" i="7"/>
  <c r="M715" i="7"/>
  <c r="K715" i="7"/>
  <c r="E981" i="1" s="1"/>
  <c r="J715" i="7"/>
  <c r="L715" i="7" s="1"/>
  <c r="P714" i="7"/>
  <c r="O714" i="7"/>
  <c r="N714" i="7"/>
  <c r="M714" i="7"/>
  <c r="K714" i="7"/>
  <c r="J714" i="7"/>
  <c r="C980" i="1" s="1"/>
  <c r="P713" i="7"/>
  <c r="O713" i="7"/>
  <c r="N713" i="7"/>
  <c r="M713" i="7"/>
  <c r="L713" i="7"/>
  <c r="F979" i="1" s="1"/>
  <c r="K713" i="7"/>
  <c r="E979" i="1" s="1"/>
  <c r="J713" i="7"/>
  <c r="C979" i="1" s="1"/>
  <c r="P712" i="7"/>
  <c r="O712" i="7"/>
  <c r="N712" i="7"/>
  <c r="M712" i="7"/>
  <c r="K712" i="7"/>
  <c r="E978" i="1" s="1"/>
  <c r="J712" i="7"/>
  <c r="L712" i="7" s="1"/>
  <c r="F978" i="1" s="1"/>
  <c r="P711" i="7"/>
  <c r="O711" i="7"/>
  <c r="N711" i="7"/>
  <c r="M711" i="7"/>
  <c r="K711" i="7"/>
  <c r="E977" i="1" s="1"/>
  <c r="J711" i="7"/>
  <c r="L711" i="7" s="1"/>
  <c r="P710" i="7"/>
  <c r="O710" i="7"/>
  <c r="N710" i="7"/>
  <c r="M710" i="7"/>
  <c r="L710" i="7"/>
  <c r="F976" i="1" s="1"/>
  <c r="K710" i="7"/>
  <c r="J710" i="7"/>
  <c r="C976" i="1" s="1"/>
  <c r="P709" i="7"/>
  <c r="O709" i="7"/>
  <c r="N709" i="7"/>
  <c r="M709" i="7"/>
  <c r="K709" i="7"/>
  <c r="E975" i="1" s="1"/>
  <c r="J709" i="7"/>
  <c r="C975" i="1" s="1"/>
  <c r="P708" i="7"/>
  <c r="O708" i="7"/>
  <c r="N708" i="7"/>
  <c r="M708" i="7"/>
  <c r="K708" i="7"/>
  <c r="E974" i="1" s="1"/>
  <c r="J708" i="7"/>
  <c r="L708" i="7" s="1"/>
  <c r="F974" i="1" s="1"/>
  <c r="P707" i="7"/>
  <c r="O707" i="7"/>
  <c r="N707" i="7"/>
  <c r="M707" i="7"/>
  <c r="K707" i="7"/>
  <c r="E973" i="1" s="1"/>
  <c r="J707" i="7"/>
  <c r="L707" i="7" s="1"/>
  <c r="P706" i="7"/>
  <c r="O706" i="7"/>
  <c r="N706" i="7"/>
  <c r="M706" i="7"/>
  <c r="K706" i="7"/>
  <c r="J706" i="7"/>
  <c r="C972" i="1" s="1"/>
  <c r="P705" i="7"/>
  <c r="O705" i="7"/>
  <c r="N705" i="7"/>
  <c r="M705" i="7"/>
  <c r="L705" i="7"/>
  <c r="F971" i="1" s="1"/>
  <c r="K705" i="7"/>
  <c r="E971" i="1" s="1"/>
  <c r="J705" i="7"/>
  <c r="C971" i="1" s="1"/>
  <c r="P704" i="7"/>
  <c r="O704" i="7"/>
  <c r="N704" i="7"/>
  <c r="M704" i="7"/>
  <c r="K704" i="7"/>
  <c r="E970" i="1" s="1"/>
  <c r="J704" i="7"/>
  <c r="L704" i="7" s="1"/>
  <c r="F970" i="1" s="1"/>
  <c r="P703" i="7"/>
  <c r="O703" i="7"/>
  <c r="N703" i="7"/>
  <c r="M703" i="7"/>
  <c r="K703" i="7"/>
  <c r="E969" i="1" s="1"/>
  <c r="J703" i="7"/>
  <c r="L703" i="7" s="1"/>
  <c r="P702" i="7"/>
  <c r="O702" i="7"/>
  <c r="N702" i="7"/>
  <c r="M702" i="7"/>
  <c r="L702" i="7"/>
  <c r="F968" i="1" s="1"/>
  <c r="K702" i="7"/>
  <c r="J702" i="7"/>
  <c r="C968" i="1" s="1"/>
  <c r="P701" i="7"/>
  <c r="O701" i="7"/>
  <c r="N701" i="7"/>
  <c r="M701" i="7"/>
  <c r="K701" i="7"/>
  <c r="E967" i="1" s="1"/>
  <c r="J701" i="7"/>
  <c r="C967" i="1" s="1"/>
  <c r="P700" i="7"/>
  <c r="O700" i="7"/>
  <c r="N700" i="7"/>
  <c r="M700" i="7"/>
  <c r="K700" i="7"/>
  <c r="E966" i="1" s="1"/>
  <c r="J700" i="7"/>
  <c r="L700" i="7" s="1"/>
  <c r="F966" i="1" s="1"/>
  <c r="P699" i="7"/>
  <c r="O699" i="7"/>
  <c r="N699" i="7"/>
  <c r="M699" i="7"/>
  <c r="K699" i="7"/>
  <c r="E965" i="1" s="1"/>
  <c r="J699" i="7"/>
  <c r="L699" i="7" s="1"/>
  <c r="P698" i="7"/>
  <c r="O698" i="7"/>
  <c r="N698" i="7"/>
  <c r="M698" i="7"/>
  <c r="K698" i="7"/>
  <c r="J698" i="7"/>
  <c r="C964" i="1" s="1"/>
  <c r="P697" i="7"/>
  <c r="O697" i="7"/>
  <c r="N697" i="7"/>
  <c r="M697" i="7"/>
  <c r="L697" i="7"/>
  <c r="F963" i="1" s="1"/>
  <c r="K697" i="7"/>
  <c r="E963" i="1" s="1"/>
  <c r="J697" i="7"/>
  <c r="C963" i="1" s="1"/>
  <c r="P696" i="7"/>
  <c r="O696" i="7"/>
  <c r="N696" i="7"/>
  <c r="M696" i="7"/>
  <c r="K696" i="7"/>
  <c r="E962" i="1" s="1"/>
  <c r="J696" i="7"/>
  <c r="L696" i="7" s="1"/>
  <c r="F962" i="1" s="1"/>
  <c r="P695" i="7"/>
  <c r="O695" i="7"/>
  <c r="N695" i="7"/>
  <c r="M695" i="7"/>
  <c r="K695" i="7"/>
  <c r="E961" i="1" s="1"/>
  <c r="J695" i="7"/>
  <c r="L695" i="7" s="1"/>
  <c r="P694" i="7"/>
  <c r="O694" i="7"/>
  <c r="N694" i="7"/>
  <c r="M694" i="7"/>
  <c r="L694" i="7"/>
  <c r="F960" i="1" s="1"/>
  <c r="K694" i="7"/>
  <c r="J694" i="7"/>
  <c r="C960" i="1" s="1"/>
  <c r="P693" i="7"/>
  <c r="O693" i="7"/>
  <c r="N693" i="7"/>
  <c r="M693" i="7"/>
  <c r="K693" i="7"/>
  <c r="E959" i="1" s="1"/>
  <c r="J693" i="7"/>
  <c r="C959" i="1" s="1"/>
  <c r="P692" i="7"/>
  <c r="O692" i="7"/>
  <c r="N692" i="7"/>
  <c r="M692" i="7"/>
  <c r="K692" i="7"/>
  <c r="E958" i="1" s="1"/>
  <c r="J692" i="7"/>
  <c r="L692" i="7" s="1"/>
  <c r="F958" i="1" s="1"/>
  <c r="P691" i="7"/>
  <c r="O691" i="7"/>
  <c r="N691" i="7"/>
  <c r="M691" i="7"/>
  <c r="K691" i="7"/>
  <c r="E957" i="1" s="1"/>
  <c r="J691" i="7"/>
  <c r="L691" i="7" s="1"/>
  <c r="P690" i="7"/>
  <c r="O690" i="7"/>
  <c r="N690" i="7"/>
  <c r="M690" i="7"/>
  <c r="K690" i="7"/>
  <c r="J690" i="7"/>
  <c r="C956" i="1" s="1"/>
  <c r="P689" i="7"/>
  <c r="O689" i="7"/>
  <c r="N689" i="7"/>
  <c r="M689" i="7"/>
  <c r="L689" i="7"/>
  <c r="F955" i="1" s="1"/>
  <c r="K689" i="7"/>
  <c r="E955" i="1" s="1"/>
  <c r="J689" i="7"/>
  <c r="C955" i="1" s="1"/>
  <c r="P688" i="7"/>
  <c r="O688" i="7"/>
  <c r="N688" i="7"/>
  <c r="M688" i="7"/>
  <c r="K688" i="7"/>
  <c r="E954" i="1" s="1"/>
  <c r="J688" i="7"/>
  <c r="L688" i="7" s="1"/>
  <c r="F954" i="1" s="1"/>
  <c r="P687" i="7"/>
  <c r="O687" i="7"/>
  <c r="N687" i="7"/>
  <c r="M687" i="7"/>
  <c r="K687" i="7"/>
  <c r="E953" i="1" s="1"/>
  <c r="J687" i="7"/>
  <c r="L687" i="7" s="1"/>
  <c r="P686" i="7"/>
  <c r="O686" i="7"/>
  <c r="N686" i="7"/>
  <c r="M686" i="7"/>
  <c r="L686" i="7"/>
  <c r="F952" i="1" s="1"/>
  <c r="K686" i="7"/>
  <c r="J686" i="7"/>
  <c r="C952" i="1" s="1"/>
  <c r="P685" i="7"/>
  <c r="O685" i="7"/>
  <c r="N685" i="7"/>
  <c r="M685" i="7"/>
  <c r="K685" i="7"/>
  <c r="E951" i="1" s="1"/>
  <c r="J685" i="7"/>
  <c r="C951" i="1" s="1"/>
  <c r="P684" i="7"/>
  <c r="O684" i="7"/>
  <c r="N684" i="7"/>
  <c r="M684" i="7"/>
  <c r="K684" i="7"/>
  <c r="E950" i="1" s="1"/>
  <c r="J684" i="7"/>
  <c r="L684" i="7" s="1"/>
  <c r="F950" i="1" s="1"/>
  <c r="P683" i="7"/>
  <c r="O683" i="7"/>
  <c r="N683" i="7"/>
  <c r="M683" i="7"/>
  <c r="K683" i="7"/>
  <c r="E949" i="1" s="1"/>
  <c r="J683" i="7"/>
  <c r="L683" i="7" s="1"/>
  <c r="P682" i="7"/>
  <c r="O682" i="7"/>
  <c r="N682" i="7"/>
  <c r="M682" i="7"/>
  <c r="K682" i="7"/>
  <c r="J682" i="7"/>
  <c r="C948" i="1" s="1"/>
  <c r="P681" i="7"/>
  <c r="O681" i="7"/>
  <c r="N681" i="7"/>
  <c r="M681" i="7"/>
  <c r="L681" i="7"/>
  <c r="F947" i="1" s="1"/>
  <c r="K681" i="7"/>
  <c r="E947" i="1" s="1"/>
  <c r="J681" i="7"/>
  <c r="C947" i="1" s="1"/>
  <c r="P680" i="7"/>
  <c r="O680" i="7"/>
  <c r="N680" i="7"/>
  <c r="M680" i="7"/>
  <c r="K680" i="7"/>
  <c r="E946" i="1" s="1"/>
  <c r="J680" i="7"/>
  <c r="L680" i="7" s="1"/>
  <c r="F946" i="1" s="1"/>
  <c r="P679" i="7"/>
  <c r="O679" i="7"/>
  <c r="N679" i="7"/>
  <c r="M679" i="7"/>
  <c r="K679" i="7"/>
  <c r="E945" i="1" s="1"/>
  <c r="J679" i="7"/>
  <c r="L679" i="7" s="1"/>
  <c r="P678" i="7"/>
  <c r="O678" i="7"/>
  <c r="N678" i="7"/>
  <c r="M678" i="7"/>
  <c r="L678" i="7"/>
  <c r="F944" i="1" s="1"/>
  <c r="K678" i="7"/>
  <c r="J678" i="7"/>
  <c r="C944" i="1" s="1"/>
  <c r="P677" i="7"/>
  <c r="O677" i="7"/>
  <c r="N677" i="7"/>
  <c r="M677" i="7"/>
  <c r="K677" i="7"/>
  <c r="E943" i="1" s="1"/>
  <c r="J677" i="7"/>
  <c r="C943" i="1" s="1"/>
  <c r="P676" i="7"/>
  <c r="O676" i="7"/>
  <c r="N676" i="7"/>
  <c r="M676" i="7"/>
  <c r="K676" i="7"/>
  <c r="E942" i="1" s="1"/>
  <c r="J676" i="7"/>
  <c r="L676" i="7" s="1"/>
  <c r="F942" i="1" s="1"/>
  <c r="P675" i="7"/>
  <c r="O675" i="7"/>
  <c r="N675" i="7"/>
  <c r="M675" i="7"/>
  <c r="K675" i="7"/>
  <c r="E941" i="1" s="1"/>
  <c r="J675" i="7"/>
  <c r="L675" i="7" s="1"/>
  <c r="P674" i="7"/>
  <c r="O674" i="7"/>
  <c r="N674" i="7"/>
  <c r="M674" i="7"/>
  <c r="K674" i="7"/>
  <c r="J674" i="7"/>
  <c r="C940" i="1" s="1"/>
  <c r="P673" i="7"/>
  <c r="O673" i="7"/>
  <c r="N673" i="7"/>
  <c r="M673" i="7"/>
  <c r="L673" i="7"/>
  <c r="F939" i="1" s="1"/>
  <c r="K673" i="7"/>
  <c r="E939" i="1" s="1"/>
  <c r="J673" i="7"/>
  <c r="C939" i="1" s="1"/>
  <c r="P672" i="7"/>
  <c r="O672" i="7"/>
  <c r="N672" i="7"/>
  <c r="M672" i="7"/>
  <c r="K672" i="7"/>
  <c r="E938" i="1" s="1"/>
  <c r="J672" i="7"/>
  <c r="L672" i="7" s="1"/>
  <c r="F938" i="1" s="1"/>
  <c r="P671" i="7"/>
  <c r="O671" i="7"/>
  <c r="N671" i="7"/>
  <c r="M671" i="7"/>
  <c r="K671" i="7"/>
  <c r="E937" i="1" s="1"/>
  <c r="J671" i="7"/>
  <c r="L671" i="7" s="1"/>
  <c r="P670" i="7"/>
  <c r="O670" i="7"/>
  <c r="N670" i="7"/>
  <c r="M670" i="7"/>
  <c r="L670" i="7"/>
  <c r="F936" i="1" s="1"/>
  <c r="K670" i="7"/>
  <c r="J670" i="7"/>
  <c r="C936" i="1" s="1"/>
  <c r="P669" i="7"/>
  <c r="O669" i="7"/>
  <c r="N669" i="7"/>
  <c r="M669" i="7"/>
  <c r="K669" i="7"/>
  <c r="E935" i="1" s="1"/>
  <c r="J669" i="7"/>
  <c r="C935" i="1" s="1"/>
  <c r="P668" i="7"/>
  <c r="O668" i="7"/>
  <c r="N668" i="7"/>
  <c r="M668" i="7"/>
  <c r="K668" i="7"/>
  <c r="E934" i="1" s="1"/>
  <c r="J668" i="7"/>
  <c r="L668" i="7" s="1"/>
  <c r="F934" i="1" s="1"/>
  <c r="P667" i="7"/>
  <c r="O667" i="7"/>
  <c r="N667" i="7"/>
  <c r="M667" i="7"/>
  <c r="K667" i="7"/>
  <c r="E933" i="1" s="1"/>
  <c r="J667" i="7"/>
  <c r="L667" i="7" s="1"/>
  <c r="P666" i="7"/>
  <c r="O666" i="7"/>
  <c r="N666" i="7"/>
  <c r="M666" i="7"/>
  <c r="K666" i="7"/>
  <c r="J666" i="7"/>
  <c r="C932" i="1" s="1"/>
  <c r="P665" i="7"/>
  <c r="O665" i="7"/>
  <c r="N665" i="7"/>
  <c r="M665" i="7"/>
  <c r="L665" i="7"/>
  <c r="F931" i="1" s="1"/>
  <c r="K665" i="7"/>
  <c r="E931" i="1" s="1"/>
  <c r="J665" i="7"/>
  <c r="C931" i="1" s="1"/>
  <c r="P664" i="7"/>
  <c r="O664" i="7"/>
  <c r="N664" i="7"/>
  <c r="M664" i="7"/>
  <c r="K664" i="7"/>
  <c r="E930" i="1" s="1"/>
  <c r="J664" i="7"/>
  <c r="L664" i="7" s="1"/>
  <c r="F930" i="1" s="1"/>
  <c r="P663" i="7"/>
  <c r="O663" i="7"/>
  <c r="N663" i="7"/>
  <c r="M663" i="7"/>
  <c r="K663" i="7"/>
  <c r="E929" i="1" s="1"/>
  <c r="J663" i="7"/>
  <c r="L663" i="7" s="1"/>
  <c r="P662" i="7"/>
  <c r="O662" i="7"/>
  <c r="N662" i="7"/>
  <c r="M662" i="7"/>
  <c r="L662" i="7"/>
  <c r="F928" i="1" s="1"/>
  <c r="K662" i="7"/>
  <c r="J662" i="7"/>
  <c r="C928" i="1" s="1"/>
  <c r="L927" i="1"/>
  <c r="D927" i="1"/>
  <c r="B927" i="1"/>
  <c r="A927" i="1"/>
  <c r="L926" i="1"/>
  <c r="D926" i="1"/>
  <c r="B926" i="1"/>
  <c r="A926" i="1"/>
  <c r="L925" i="1"/>
  <c r="D925" i="1"/>
  <c r="B925" i="1"/>
  <c r="A925" i="1"/>
  <c r="L924" i="1"/>
  <c r="D924" i="1"/>
  <c r="B924" i="1"/>
  <c r="A924" i="1"/>
  <c r="L923" i="1"/>
  <c r="D923" i="1"/>
  <c r="B923" i="1"/>
  <c r="A923" i="1"/>
  <c r="L922" i="1"/>
  <c r="D922" i="1"/>
  <c r="B922" i="1"/>
  <c r="A922" i="1"/>
  <c r="L921" i="1"/>
  <c r="D921" i="1"/>
  <c r="B921" i="1"/>
  <c r="A921" i="1"/>
  <c r="L920" i="1"/>
  <c r="D920" i="1"/>
  <c r="B920" i="1"/>
  <c r="A920" i="1"/>
  <c r="L919" i="1"/>
  <c r="D919" i="1"/>
  <c r="B919" i="1"/>
  <c r="A919" i="1"/>
  <c r="L918" i="1"/>
  <c r="D918" i="1"/>
  <c r="B918" i="1"/>
  <c r="A918" i="1"/>
  <c r="L917" i="1"/>
  <c r="D917" i="1"/>
  <c r="B917" i="1"/>
  <c r="A917" i="1"/>
  <c r="L916" i="1"/>
  <c r="D916" i="1"/>
  <c r="B916" i="1"/>
  <c r="A916" i="1"/>
  <c r="L915" i="1"/>
  <c r="D915" i="1"/>
  <c r="B915" i="1"/>
  <c r="A915" i="1"/>
  <c r="L914" i="1"/>
  <c r="D914" i="1"/>
  <c r="B914" i="1"/>
  <c r="A914" i="1"/>
  <c r="L913" i="1"/>
  <c r="D913" i="1"/>
  <c r="B913" i="1"/>
  <c r="A913" i="1"/>
  <c r="L912" i="1"/>
  <c r="D912" i="1"/>
  <c r="B912" i="1"/>
  <c r="A912" i="1"/>
  <c r="L911" i="1"/>
  <c r="D911" i="1"/>
  <c r="B911" i="1"/>
  <c r="A911" i="1"/>
  <c r="L910" i="1"/>
  <c r="D910" i="1"/>
  <c r="B910" i="1"/>
  <c r="A910" i="1"/>
  <c r="L909" i="1"/>
  <c r="D909" i="1"/>
  <c r="B909" i="1"/>
  <c r="A909" i="1"/>
  <c r="L908" i="1"/>
  <c r="E908" i="1"/>
  <c r="D908" i="1"/>
  <c r="B908" i="1"/>
  <c r="A908" i="1"/>
  <c r="L907" i="1"/>
  <c r="D907" i="1"/>
  <c r="B907" i="1"/>
  <c r="A907" i="1"/>
  <c r="L906" i="1"/>
  <c r="D906" i="1"/>
  <c r="B906" i="1"/>
  <c r="A906" i="1"/>
  <c r="L905" i="1"/>
  <c r="D905" i="1"/>
  <c r="B905" i="1"/>
  <c r="A905" i="1"/>
  <c r="L904" i="1"/>
  <c r="D904" i="1"/>
  <c r="B904" i="1"/>
  <c r="A904" i="1"/>
  <c r="L903" i="1"/>
  <c r="D903" i="1"/>
  <c r="B903" i="1"/>
  <c r="A903" i="1"/>
  <c r="L902" i="1"/>
  <c r="D902" i="1"/>
  <c r="B902" i="1"/>
  <c r="A902" i="1"/>
  <c r="L901" i="1"/>
  <c r="D901" i="1"/>
  <c r="B901" i="1"/>
  <c r="A901" i="1"/>
  <c r="L900" i="1"/>
  <c r="D900" i="1"/>
  <c r="B900" i="1"/>
  <c r="A900" i="1"/>
  <c r="L899" i="1"/>
  <c r="D899" i="1"/>
  <c r="B899" i="1"/>
  <c r="A899" i="1"/>
  <c r="L898" i="1"/>
  <c r="D898" i="1"/>
  <c r="B898" i="1"/>
  <c r="A898" i="1"/>
  <c r="L897" i="1"/>
  <c r="F897" i="1"/>
  <c r="D897" i="1"/>
  <c r="B897" i="1"/>
  <c r="A897" i="1"/>
  <c r="L896" i="1"/>
  <c r="D896" i="1"/>
  <c r="B896" i="1"/>
  <c r="A896" i="1"/>
  <c r="L895" i="1"/>
  <c r="D895" i="1"/>
  <c r="B895" i="1"/>
  <c r="A895" i="1"/>
  <c r="L894" i="1"/>
  <c r="D894" i="1"/>
  <c r="B894" i="1"/>
  <c r="A894" i="1"/>
  <c r="L893" i="1"/>
  <c r="D893" i="1"/>
  <c r="B893" i="1"/>
  <c r="A893" i="1"/>
  <c r="L892" i="1"/>
  <c r="D892" i="1"/>
  <c r="B892" i="1"/>
  <c r="A892" i="1"/>
  <c r="L891" i="1"/>
  <c r="D891" i="1"/>
  <c r="B891" i="1"/>
  <c r="A891" i="1"/>
  <c r="L890" i="1"/>
  <c r="D890" i="1"/>
  <c r="B890" i="1"/>
  <c r="A890" i="1"/>
  <c r="L889" i="1"/>
  <c r="D889" i="1"/>
  <c r="B889" i="1"/>
  <c r="A889" i="1"/>
  <c r="L888" i="1"/>
  <c r="D888" i="1"/>
  <c r="B888" i="1"/>
  <c r="A888" i="1"/>
  <c r="L887" i="1"/>
  <c r="D887" i="1"/>
  <c r="B887" i="1"/>
  <c r="A887" i="1"/>
  <c r="L886" i="1"/>
  <c r="D886" i="1"/>
  <c r="B886" i="1"/>
  <c r="A886" i="1"/>
  <c r="L885" i="1"/>
  <c r="D885" i="1"/>
  <c r="B885" i="1"/>
  <c r="A885" i="1"/>
  <c r="L884" i="1"/>
  <c r="D884" i="1"/>
  <c r="B884" i="1"/>
  <c r="A884" i="1"/>
  <c r="L883" i="1"/>
  <c r="D883" i="1"/>
  <c r="B883" i="1"/>
  <c r="A883" i="1"/>
  <c r="L882" i="1"/>
  <c r="D882" i="1"/>
  <c r="B882" i="1"/>
  <c r="A882" i="1"/>
  <c r="L881" i="1"/>
  <c r="D881" i="1"/>
  <c r="B881" i="1"/>
  <c r="A881" i="1"/>
  <c r="P661" i="7"/>
  <c r="O661" i="7"/>
  <c r="N661" i="7"/>
  <c r="M661" i="7"/>
  <c r="K661" i="7"/>
  <c r="E927" i="1" s="1"/>
  <c r="J661" i="7"/>
  <c r="L661" i="7" s="1"/>
  <c r="F927" i="1" s="1"/>
  <c r="P660" i="7"/>
  <c r="O660" i="7"/>
  <c r="N660" i="7"/>
  <c r="M660" i="7"/>
  <c r="K660" i="7"/>
  <c r="E926" i="1" s="1"/>
  <c r="J660" i="7"/>
  <c r="L660" i="7" s="1"/>
  <c r="F926" i="1" s="1"/>
  <c r="P659" i="7"/>
  <c r="O659" i="7"/>
  <c r="N659" i="7"/>
  <c r="M659" i="7"/>
  <c r="K659" i="7"/>
  <c r="E925" i="1" s="1"/>
  <c r="J659" i="7"/>
  <c r="L659" i="7" s="1"/>
  <c r="F925" i="1" s="1"/>
  <c r="P658" i="7"/>
  <c r="O658" i="7"/>
  <c r="N658" i="7"/>
  <c r="M658" i="7"/>
  <c r="K658" i="7"/>
  <c r="E924" i="1" s="1"/>
  <c r="J658" i="7"/>
  <c r="C924" i="1" s="1"/>
  <c r="P657" i="7"/>
  <c r="O657" i="7"/>
  <c r="N657" i="7"/>
  <c r="M657" i="7"/>
  <c r="K657" i="7"/>
  <c r="E923" i="1" s="1"/>
  <c r="J657" i="7"/>
  <c r="C923" i="1" s="1"/>
  <c r="P656" i="7"/>
  <c r="O656" i="7"/>
  <c r="N656" i="7"/>
  <c r="M656" i="7"/>
  <c r="K656" i="7"/>
  <c r="E922" i="1" s="1"/>
  <c r="J656" i="7"/>
  <c r="L656" i="7" s="1"/>
  <c r="F922" i="1" s="1"/>
  <c r="P655" i="7"/>
  <c r="O655" i="7"/>
  <c r="N655" i="7"/>
  <c r="M655" i="7"/>
  <c r="K655" i="7"/>
  <c r="E921" i="1" s="1"/>
  <c r="J655" i="7"/>
  <c r="L655" i="7" s="1"/>
  <c r="F921" i="1" s="1"/>
  <c r="P654" i="7"/>
  <c r="O654" i="7"/>
  <c r="N654" i="7"/>
  <c r="M654" i="7"/>
  <c r="K654" i="7"/>
  <c r="E920" i="1" s="1"/>
  <c r="J654" i="7"/>
  <c r="C920" i="1" s="1"/>
  <c r="P653" i="7"/>
  <c r="O653" i="7"/>
  <c r="N653" i="7"/>
  <c r="M653" i="7"/>
  <c r="K653" i="7"/>
  <c r="E919" i="1" s="1"/>
  <c r="J653" i="7"/>
  <c r="C919" i="1" s="1"/>
  <c r="P652" i="7"/>
  <c r="O652" i="7"/>
  <c r="N652" i="7"/>
  <c r="M652" i="7"/>
  <c r="K652" i="7"/>
  <c r="E918" i="1" s="1"/>
  <c r="J652" i="7"/>
  <c r="L652" i="7" s="1"/>
  <c r="F918" i="1" s="1"/>
  <c r="P651" i="7"/>
  <c r="O651" i="7"/>
  <c r="N651" i="7"/>
  <c r="M651" i="7"/>
  <c r="K651" i="7"/>
  <c r="E917" i="1" s="1"/>
  <c r="J651" i="7"/>
  <c r="L651" i="7" s="1"/>
  <c r="F917" i="1" s="1"/>
  <c r="P650" i="7"/>
  <c r="O650" i="7"/>
  <c r="N650" i="7"/>
  <c r="M650" i="7"/>
  <c r="K650" i="7"/>
  <c r="E916" i="1" s="1"/>
  <c r="J650" i="7"/>
  <c r="C916" i="1" s="1"/>
  <c r="P649" i="7"/>
  <c r="O649" i="7"/>
  <c r="N649" i="7"/>
  <c r="M649" i="7"/>
  <c r="K649" i="7"/>
  <c r="E915" i="1" s="1"/>
  <c r="J649" i="7"/>
  <c r="C915" i="1" s="1"/>
  <c r="P648" i="7"/>
  <c r="O648" i="7"/>
  <c r="N648" i="7"/>
  <c r="M648" i="7"/>
  <c r="K648" i="7"/>
  <c r="E914" i="1" s="1"/>
  <c r="J648" i="7"/>
  <c r="L648" i="7" s="1"/>
  <c r="F914" i="1" s="1"/>
  <c r="P647" i="7"/>
  <c r="O647" i="7"/>
  <c r="N647" i="7"/>
  <c r="M647" i="7"/>
  <c r="K647" i="7"/>
  <c r="E913" i="1" s="1"/>
  <c r="J647" i="7"/>
  <c r="L647" i="7" s="1"/>
  <c r="F913" i="1" s="1"/>
  <c r="P646" i="7"/>
  <c r="O646" i="7"/>
  <c r="N646" i="7"/>
  <c r="M646" i="7"/>
  <c r="K646" i="7"/>
  <c r="E912" i="1" s="1"/>
  <c r="J646" i="7"/>
  <c r="C912" i="1" s="1"/>
  <c r="P645" i="7"/>
  <c r="O645" i="7"/>
  <c r="N645" i="7"/>
  <c r="M645" i="7"/>
  <c r="K645" i="7"/>
  <c r="E911" i="1" s="1"/>
  <c r="J645" i="7"/>
  <c r="C911" i="1" s="1"/>
  <c r="P644" i="7"/>
  <c r="O644" i="7"/>
  <c r="N644" i="7"/>
  <c r="M644" i="7"/>
  <c r="K644" i="7"/>
  <c r="E910" i="1" s="1"/>
  <c r="J644" i="7"/>
  <c r="L644" i="7" s="1"/>
  <c r="F910" i="1" s="1"/>
  <c r="P643" i="7"/>
  <c r="O643" i="7"/>
  <c r="N643" i="7"/>
  <c r="M643" i="7"/>
  <c r="K643" i="7"/>
  <c r="E909" i="1" s="1"/>
  <c r="J643" i="7"/>
  <c r="L643" i="7" s="1"/>
  <c r="F909" i="1" s="1"/>
  <c r="P642" i="7"/>
  <c r="O642" i="7"/>
  <c r="N642" i="7"/>
  <c r="M642" i="7"/>
  <c r="L642" i="7"/>
  <c r="F908" i="1" s="1"/>
  <c r="K642" i="7"/>
  <c r="J642" i="7"/>
  <c r="C908" i="1" s="1"/>
  <c r="P641" i="7"/>
  <c r="O641" i="7"/>
  <c r="N641" i="7"/>
  <c r="M641" i="7"/>
  <c r="K641" i="7"/>
  <c r="E907" i="1" s="1"/>
  <c r="J641" i="7"/>
  <c r="C907" i="1" s="1"/>
  <c r="P640" i="7"/>
  <c r="O640" i="7"/>
  <c r="N640" i="7"/>
  <c r="M640" i="7"/>
  <c r="K640" i="7"/>
  <c r="E906" i="1" s="1"/>
  <c r="J640" i="7"/>
  <c r="L640" i="7" s="1"/>
  <c r="F906" i="1" s="1"/>
  <c r="P639" i="7"/>
  <c r="O639" i="7"/>
  <c r="N639" i="7"/>
  <c r="M639" i="7"/>
  <c r="K639" i="7"/>
  <c r="E905" i="1" s="1"/>
  <c r="J639" i="7"/>
  <c r="L639" i="7" s="1"/>
  <c r="F905" i="1" s="1"/>
  <c r="P638" i="7"/>
  <c r="O638" i="7"/>
  <c r="N638" i="7"/>
  <c r="M638" i="7"/>
  <c r="K638" i="7"/>
  <c r="E904" i="1" s="1"/>
  <c r="J638" i="7"/>
  <c r="C904" i="1" s="1"/>
  <c r="P637" i="7"/>
  <c r="O637" i="7"/>
  <c r="N637" i="7"/>
  <c r="M637" i="7"/>
  <c r="L637" i="7"/>
  <c r="F903" i="1" s="1"/>
  <c r="K637" i="7"/>
  <c r="E903" i="1" s="1"/>
  <c r="J637" i="7"/>
  <c r="C903" i="1" s="1"/>
  <c r="P636" i="7"/>
  <c r="O636" i="7"/>
  <c r="N636" i="7"/>
  <c r="M636" i="7"/>
  <c r="K636" i="7"/>
  <c r="E902" i="1" s="1"/>
  <c r="J636" i="7"/>
  <c r="L636" i="7" s="1"/>
  <c r="F902" i="1" s="1"/>
  <c r="P635" i="7"/>
  <c r="O635" i="7"/>
  <c r="N635" i="7"/>
  <c r="M635" i="7"/>
  <c r="K635" i="7"/>
  <c r="E901" i="1" s="1"/>
  <c r="J635" i="7"/>
  <c r="L635" i="7" s="1"/>
  <c r="F901" i="1" s="1"/>
  <c r="P634" i="7"/>
  <c r="O634" i="7"/>
  <c r="N634" i="7"/>
  <c r="M634" i="7"/>
  <c r="K634" i="7"/>
  <c r="E900" i="1" s="1"/>
  <c r="J634" i="7"/>
  <c r="C900" i="1" s="1"/>
  <c r="P633" i="7"/>
  <c r="O633" i="7"/>
  <c r="N633" i="7"/>
  <c r="M633" i="7"/>
  <c r="K633" i="7"/>
  <c r="E899" i="1" s="1"/>
  <c r="J633" i="7"/>
  <c r="C899" i="1" s="1"/>
  <c r="P632" i="7"/>
  <c r="O632" i="7"/>
  <c r="N632" i="7"/>
  <c r="M632" i="7"/>
  <c r="K632" i="7"/>
  <c r="E898" i="1" s="1"/>
  <c r="J632" i="7"/>
  <c r="L632" i="7" s="1"/>
  <c r="F898" i="1" s="1"/>
  <c r="P631" i="7"/>
  <c r="O631" i="7"/>
  <c r="N631" i="7"/>
  <c r="M631" i="7"/>
  <c r="K631" i="7"/>
  <c r="E897" i="1" s="1"/>
  <c r="J631" i="7"/>
  <c r="L631" i="7" s="1"/>
  <c r="P630" i="7"/>
  <c r="O630" i="7"/>
  <c r="N630" i="7"/>
  <c r="M630" i="7"/>
  <c r="K630" i="7"/>
  <c r="E896" i="1" s="1"/>
  <c r="J630" i="7"/>
  <c r="C896" i="1" s="1"/>
  <c r="P629" i="7"/>
  <c r="O629" i="7"/>
  <c r="N629" i="7"/>
  <c r="M629" i="7"/>
  <c r="K629" i="7"/>
  <c r="E895" i="1" s="1"/>
  <c r="J629" i="7"/>
  <c r="C895" i="1" s="1"/>
  <c r="P628" i="7"/>
  <c r="O628" i="7"/>
  <c r="N628" i="7"/>
  <c r="M628" i="7"/>
  <c r="K628" i="7"/>
  <c r="E894" i="1" s="1"/>
  <c r="J628" i="7"/>
  <c r="L628" i="7" s="1"/>
  <c r="F894" i="1" s="1"/>
  <c r="P627" i="7"/>
  <c r="O627" i="7"/>
  <c r="N627" i="7"/>
  <c r="M627" i="7"/>
  <c r="K627" i="7"/>
  <c r="E893" i="1" s="1"/>
  <c r="J627" i="7"/>
  <c r="L627" i="7" s="1"/>
  <c r="F893" i="1" s="1"/>
  <c r="P626" i="7"/>
  <c r="O626" i="7"/>
  <c r="N626" i="7"/>
  <c r="M626" i="7"/>
  <c r="K626" i="7"/>
  <c r="E892" i="1" s="1"/>
  <c r="J626" i="7"/>
  <c r="C892" i="1" s="1"/>
  <c r="P625" i="7"/>
  <c r="O625" i="7"/>
  <c r="N625" i="7"/>
  <c r="M625" i="7"/>
  <c r="K625" i="7"/>
  <c r="E891" i="1" s="1"/>
  <c r="J625" i="7"/>
  <c r="C891" i="1" s="1"/>
  <c r="P624" i="7"/>
  <c r="O624" i="7"/>
  <c r="N624" i="7"/>
  <c r="M624" i="7"/>
  <c r="K624" i="7"/>
  <c r="E890" i="1" s="1"/>
  <c r="J624" i="7"/>
  <c r="L624" i="7" s="1"/>
  <c r="F890" i="1" s="1"/>
  <c r="P623" i="7"/>
  <c r="O623" i="7"/>
  <c r="N623" i="7"/>
  <c r="M623" i="7"/>
  <c r="K623" i="7"/>
  <c r="E889" i="1" s="1"/>
  <c r="J623" i="7"/>
  <c r="L623" i="7" s="1"/>
  <c r="F889" i="1" s="1"/>
  <c r="P622" i="7"/>
  <c r="O622" i="7"/>
  <c r="N622" i="7"/>
  <c r="M622" i="7"/>
  <c r="K622" i="7"/>
  <c r="E888" i="1" s="1"/>
  <c r="J622" i="7"/>
  <c r="C888" i="1" s="1"/>
  <c r="P621" i="7"/>
  <c r="O621" i="7"/>
  <c r="N621" i="7"/>
  <c r="M621" i="7"/>
  <c r="K621" i="7"/>
  <c r="E887" i="1" s="1"/>
  <c r="J621" i="7"/>
  <c r="C887" i="1" s="1"/>
  <c r="P620" i="7"/>
  <c r="O620" i="7"/>
  <c r="N620" i="7"/>
  <c r="M620" i="7"/>
  <c r="K620" i="7"/>
  <c r="E886" i="1" s="1"/>
  <c r="J620" i="7"/>
  <c r="L620" i="7" s="1"/>
  <c r="F886" i="1" s="1"/>
  <c r="P619" i="7"/>
  <c r="O619" i="7"/>
  <c r="N619" i="7"/>
  <c r="M619" i="7"/>
  <c r="K619" i="7"/>
  <c r="E885" i="1" s="1"/>
  <c r="J619" i="7"/>
  <c r="L619" i="7" s="1"/>
  <c r="F885" i="1" s="1"/>
  <c r="P618" i="7"/>
  <c r="O618" i="7"/>
  <c r="N618" i="7"/>
  <c r="M618" i="7"/>
  <c r="K618" i="7"/>
  <c r="E884" i="1" s="1"/>
  <c r="J618" i="7"/>
  <c r="C884" i="1" s="1"/>
  <c r="P617" i="7"/>
  <c r="O617" i="7"/>
  <c r="N617" i="7"/>
  <c r="M617" i="7"/>
  <c r="K617" i="7"/>
  <c r="E883" i="1" s="1"/>
  <c r="J617" i="7"/>
  <c r="C883" i="1" s="1"/>
  <c r="P616" i="7"/>
  <c r="O616" i="7"/>
  <c r="N616" i="7"/>
  <c r="M616" i="7"/>
  <c r="K616" i="7"/>
  <c r="E882" i="1" s="1"/>
  <c r="J616" i="7"/>
  <c r="L616" i="7" s="1"/>
  <c r="F882" i="1" s="1"/>
  <c r="P615" i="7"/>
  <c r="O615" i="7"/>
  <c r="N615" i="7"/>
  <c r="M615" i="7"/>
  <c r="K615" i="7"/>
  <c r="E881" i="1" s="1"/>
  <c r="J615" i="7"/>
  <c r="L615" i="7" s="1"/>
  <c r="F881" i="1" s="1"/>
  <c r="L626" i="7" l="1"/>
  <c r="F892" i="1" s="1"/>
  <c r="C882" i="1"/>
  <c r="L669" i="7"/>
  <c r="F935" i="1" s="1"/>
  <c r="L677" i="7"/>
  <c r="F943" i="1" s="1"/>
  <c r="L685" i="7"/>
  <c r="F951" i="1" s="1"/>
  <c r="L693" i="7"/>
  <c r="F959" i="1" s="1"/>
  <c r="L701" i="7"/>
  <c r="F967" i="1" s="1"/>
  <c r="L709" i="7"/>
  <c r="F975" i="1" s="1"/>
  <c r="L717" i="7"/>
  <c r="F983" i="1" s="1"/>
  <c r="L725" i="7"/>
  <c r="F991" i="1" s="1"/>
  <c r="C929" i="1"/>
  <c r="C933" i="1"/>
  <c r="C937" i="1"/>
  <c r="C941" i="1"/>
  <c r="C945" i="1"/>
  <c r="C949" i="1"/>
  <c r="C953" i="1"/>
  <c r="C957" i="1"/>
  <c r="C961" i="1"/>
  <c r="C965" i="1"/>
  <c r="C969" i="1"/>
  <c r="C973" i="1"/>
  <c r="C977" i="1"/>
  <c r="C981" i="1"/>
  <c r="C985" i="1"/>
  <c r="C989" i="1"/>
  <c r="C993" i="1"/>
  <c r="C997" i="1"/>
  <c r="C1001" i="1"/>
  <c r="L621" i="7"/>
  <c r="F887" i="1" s="1"/>
  <c r="L653" i="7"/>
  <c r="F919" i="1" s="1"/>
  <c r="C914" i="1"/>
  <c r="L666" i="7"/>
  <c r="F932" i="1" s="1"/>
  <c r="L674" i="7"/>
  <c r="F940" i="1" s="1"/>
  <c r="L682" i="7"/>
  <c r="F948" i="1" s="1"/>
  <c r="L690" i="7"/>
  <c r="F956" i="1" s="1"/>
  <c r="L698" i="7"/>
  <c r="F964" i="1" s="1"/>
  <c r="L706" i="7"/>
  <c r="F972" i="1" s="1"/>
  <c r="L714" i="7"/>
  <c r="F980" i="1" s="1"/>
  <c r="L722" i="7"/>
  <c r="F988" i="1" s="1"/>
  <c r="L730" i="7"/>
  <c r="F996" i="1" s="1"/>
  <c r="C898" i="1"/>
  <c r="C999" i="1"/>
  <c r="L618" i="7"/>
  <c r="F884" i="1" s="1"/>
  <c r="L634" i="7"/>
  <c r="F900" i="1" s="1"/>
  <c r="L650" i="7"/>
  <c r="F916" i="1" s="1"/>
  <c r="C894" i="1"/>
  <c r="C910" i="1"/>
  <c r="C926" i="1"/>
  <c r="L629" i="7"/>
  <c r="F895" i="1" s="1"/>
  <c r="L645" i="7"/>
  <c r="F911" i="1" s="1"/>
  <c r="C906" i="1"/>
  <c r="C922" i="1"/>
  <c r="L658" i="7"/>
  <c r="F924" i="1" s="1"/>
  <c r="C890" i="1"/>
  <c r="C902" i="1"/>
  <c r="C918" i="1"/>
  <c r="C886" i="1"/>
  <c r="L617" i="7"/>
  <c r="F883" i="1" s="1"/>
  <c r="L625" i="7"/>
  <c r="F891" i="1" s="1"/>
  <c r="L633" i="7"/>
  <c r="F899" i="1" s="1"/>
  <c r="L641" i="7"/>
  <c r="F907" i="1" s="1"/>
  <c r="L649" i="7"/>
  <c r="F915" i="1" s="1"/>
  <c r="L657" i="7"/>
  <c r="F923" i="1" s="1"/>
  <c r="C881" i="1"/>
  <c r="C885" i="1"/>
  <c r="C889" i="1"/>
  <c r="C893" i="1"/>
  <c r="C897" i="1"/>
  <c r="C901" i="1"/>
  <c r="C905" i="1"/>
  <c r="C909" i="1"/>
  <c r="C913" i="1"/>
  <c r="C917" i="1"/>
  <c r="C921" i="1"/>
  <c r="C925" i="1"/>
  <c r="L622" i="7"/>
  <c r="F888" i="1" s="1"/>
  <c r="L630" i="7"/>
  <c r="F896" i="1" s="1"/>
  <c r="L638" i="7"/>
  <c r="F904" i="1" s="1"/>
  <c r="L646" i="7"/>
  <c r="F912" i="1" s="1"/>
  <c r="L654" i="7"/>
  <c r="F920" i="1" s="1"/>
  <c r="C927" i="1"/>
  <c r="B646" i="1" l="1"/>
  <c r="L880" i="1" l="1"/>
  <c r="D880" i="1"/>
  <c r="B880" i="1"/>
  <c r="A880" i="1"/>
  <c r="L879" i="1"/>
  <c r="D879" i="1"/>
  <c r="B879" i="1"/>
  <c r="A879" i="1"/>
  <c r="L878" i="1"/>
  <c r="D878" i="1"/>
  <c r="B878" i="1"/>
  <c r="A878" i="1"/>
  <c r="L877" i="1"/>
  <c r="D877" i="1"/>
  <c r="B877" i="1"/>
  <c r="A877" i="1"/>
  <c r="L876" i="1"/>
  <c r="D876" i="1"/>
  <c r="B876" i="1"/>
  <c r="A876" i="1"/>
  <c r="L875" i="1"/>
  <c r="D875" i="1"/>
  <c r="B875" i="1"/>
  <c r="A875" i="1"/>
  <c r="L874" i="1"/>
  <c r="D874" i="1"/>
  <c r="B874" i="1"/>
  <c r="A874" i="1"/>
  <c r="L873" i="1"/>
  <c r="D873" i="1"/>
  <c r="B873" i="1"/>
  <c r="A873" i="1"/>
  <c r="L872" i="1"/>
  <c r="D872" i="1"/>
  <c r="B872" i="1"/>
  <c r="A872" i="1"/>
  <c r="L871" i="1"/>
  <c r="D871" i="1"/>
  <c r="B871" i="1"/>
  <c r="A871" i="1"/>
  <c r="L870" i="1"/>
  <c r="D870" i="1"/>
  <c r="B870" i="1"/>
  <c r="A870" i="1"/>
  <c r="L869" i="1"/>
  <c r="D869" i="1"/>
  <c r="B869" i="1"/>
  <c r="A869" i="1"/>
  <c r="L868" i="1"/>
  <c r="D868" i="1"/>
  <c r="B868" i="1"/>
  <c r="A868" i="1"/>
  <c r="L867" i="1"/>
  <c r="D867" i="1"/>
  <c r="B867" i="1"/>
  <c r="A867" i="1"/>
  <c r="L866" i="1"/>
  <c r="D866" i="1"/>
  <c r="B866" i="1"/>
  <c r="A866" i="1"/>
  <c r="L865" i="1"/>
  <c r="D865" i="1"/>
  <c r="B865" i="1"/>
  <c r="A865" i="1"/>
  <c r="L864" i="1"/>
  <c r="D864" i="1"/>
  <c r="B864" i="1"/>
  <c r="A864" i="1"/>
  <c r="L863" i="1"/>
  <c r="D863" i="1"/>
  <c r="B863" i="1"/>
  <c r="A863" i="1"/>
  <c r="L862" i="1"/>
  <c r="D862" i="1"/>
  <c r="B862" i="1"/>
  <c r="A862" i="1"/>
  <c r="L861" i="1"/>
  <c r="D861" i="1"/>
  <c r="B861" i="1"/>
  <c r="A861" i="1"/>
  <c r="L860" i="1"/>
  <c r="D860" i="1"/>
  <c r="B860" i="1"/>
  <c r="A860" i="1"/>
  <c r="L859" i="1"/>
  <c r="D859" i="1"/>
  <c r="B859" i="1"/>
  <c r="A859" i="1"/>
  <c r="L858" i="1"/>
  <c r="D858" i="1"/>
  <c r="B858" i="1"/>
  <c r="A858" i="1"/>
  <c r="L857" i="1"/>
  <c r="D857" i="1"/>
  <c r="B857" i="1"/>
  <c r="A857" i="1"/>
  <c r="L856" i="1"/>
  <c r="D856" i="1"/>
  <c r="B856" i="1"/>
  <c r="A856" i="1"/>
  <c r="L855" i="1"/>
  <c r="D855" i="1"/>
  <c r="B855" i="1"/>
  <c r="A855" i="1"/>
  <c r="L854" i="1"/>
  <c r="D854" i="1"/>
  <c r="B854" i="1"/>
  <c r="A854" i="1"/>
  <c r="L853" i="1"/>
  <c r="D853" i="1"/>
  <c r="B853" i="1"/>
  <c r="A853" i="1"/>
  <c r="L852" i="1"/>
  <c r="D852" i="1"/>
  <c r="B852" i="1"/>
  <c r="A852" i="1"/>
  <c r="L851" i="1"/>
  <c r="D851" i="1"/>
  <c r="B851" i="1"/>
  <c r="A851" i="1"/>
  <c r="L850" i="1"/>
  <c r="D850" i="1"/>
  <c r="B850" i="1"/>
  <c r="A850" i="1"/>
  <c r="L849" i="1"/>
  <c r="D849" i="1"/>
  <c r="B849" i="1"/>
  <c r="A849" i="1"/>
  <c r="L848" i="1"/>
  <c r="D848" i="1"/>
  <c r="B848" i="1"/>
  <c r="A848" i="1"/>
  <c r="L847" i="1"/>
  <c r="D847" i="1"/>
  <c r="B847" i="1"/>
  <c r="A847" i="1"/>
  <c r="D846" i="1"/>
  <c r="B846" i="1"/>
  <c r="A846" i="1"/>
  <c r="L846" i="1"/>
  <c r="P614" i="7"/>
  <c r="O614" i="7"/>
  <c r="N614" i="7"/>
  <c r="M614" i="7"/>
  <c r="K614" i="7"/>
  <c r="E880" i="1" s="1"/>
  <c r="J614" i="7"/>
  <c r="L614" i="7" s="1"/>
  <c r="F880" i="1" s="1"/>
  <c r="P613" i="7"/>
  <c r="O613" i="7"/>
  <c r="N613" i="7"/>
  <c r="M613" i="7"/>
  <c r="K613" i="7"/>
  <c r="E879" i="1" s="1"/>
  <c r="J613" i="7"/>
  <c r="L613" i="7" s="1"/>
  <c r="F879" i="1" s="1"/>
  <c r="P612" i="7"/>
  <c r="O612" i="7"/>
  <c r="N612" i="7"/>
  <c r="M612" i="7"/>
  <c r="K612" i="7"/>
  <c r="E878" i="1" s="1"/>
  <c r="J612" i="7"/>
  <c r="L612" i="7" s="1"/>
  <c r="F878" i="1" s="1"/>
  <c r="P611" i="7"/>
  <c r="O611" i="7"/>
  <c r="N611" i="7"/>
  <c r="M611" i="7"/>
  <c r="K611" i="7"/>
  <c r="E877" i="1" s="1"/>
  <c r="J611" i="7"/>
  <c r="C877" i="1" s="1"/>
  <c r="P610" i="7"/>
  <c r="O610" i="7"/>
  <c r="N610" i="7"/>
  <c r="M610" i="7"/>
  <c r="K610" i="7"/>
  <c r="E876" i="1" s="1"/>
  <c r="J610" i="7"/>
  <c r="L610" i="7" s="1"/>
  <c r="F876" i="1" s="1"/>
  <c r="P609" i="7"/>
  <c r="O609" i="7"/>
  <c r="N609" i="7"/>
  <c r="M609" i="7"/>
  <c r="K609" i="7"/>
  <c r="E875" i="1" s="1"/>
  <c r="J609" i="7"/>
  <c r="L609" i="7" s="1"/>
  <c r="F875" i="1" s="1"/>
  <c r="P608" i="7"/>
  <c r="O608" i="7"/>
  <c r="N608" i="7"/>
  <c r="M608" i="7"/>
  <c r="K608" i="7"/>
  <c r="E874" i="1" s="1"/>
  <c r="J608" i="7"/>
  <c r="L608" i="7" s="1"/>
  <c r="F874" i="1" s="1"/>
  <c r="P607" i="7"/>
  <c r="O607" i="7"/>
  <c r="N607" i="7"/>
  <c r="M607" i="7"/>
  <c r="K607" i="7"/>
  <c r="E873" i="1" s="1"/>
  <c r="J607" i="7"/>
  <c r="L607" i="7" s="1"/>
  <c r="F873" i="1" s="1"/>
  <c r="P606" i="7"/>
  <c r="O606" i="7"/>
  <c r="N606" i="7"/>
  <c r="M606" i="7"/>
  <c r="K606" i="7"/>
  <c r="E872" i="1" s="1"/>
  <c r="J606" i="7"/>
  <c r="L606" i="7" s="1"/>
  <c r="F872" i="1" s="1"/>
  <c r="P605" i="7"/>
  <c r="O605" i="7"/>
  <c r="N605" i="7"/>
  <c r="M605" i="7"/>
  <c r="K605" i="7"/>
  <c r="E871" i="1" s="1"/>
  <c r="J605" i="7"/>
  <c r="L605" i="7" s="1"/>
  <c r="F871" i="1" s="1"/>
  <c r="P604" i="7"/>
  <c r="O604" i="7"/>
  <c r="N604" i="7"/>
  <c r="M604" i="7"/>
  <c r="K604" i="7"/>
  <c r="E870" i="1" s="1"/>
  <c r="J604" i="7"/>
  <c r="L604" i="7" s="1"/>
  <c r="F870" i="1" s="1"/>
  <c r="P603" i="7"/>
  <c r="O603" i="7"/>
  <c r="N603" i="7"/>
  <c r="M603" i="7"/>
  <c r="K603" i="7"/>
  <c r="E869" i="1" s="1"/>
  <c r="J603" i="7"/>
  <c r="C869" i="1" s="1"/>
  <c r="P602" i="7"/>
  <c r="O602" i="7"/>
  <c r="N602" i="7"/>
  <c r="M602" i="7"/>
  <c r="K602" i="7"/>
  <c r="E868" i="1" s="1"/>
  <c r="J602" i="7"/>
  <c r="L602" i="7" s="1"/>
  <c r="F868" i="1" s="1"/>
  <c r="P601" i="7"/>
  <c r="O601" i="7"/>
  <c r="N601" i="7"/>
  <c r="M601" i="7"/>
  <c r="K601" i="7"/>
  <c r="E867" i="1" s="1"/>
  <c r="J601" i="7"/>
  <c r="L601" i="7" s="1"/>
  <c r="F867" i="1" s="1"/>
  <c r="P600" i="7"/>
  <c r="O600" i="7"/>
  <c r="N600" i="7"/>
  <c r="M600" i="7"/>
  <c r="K600" i="7"/>
  <c r="E866" i="1" s="1"/>
  <c r="J600" i="7"/>
  <c r="L600" i="7" s="1"/>
  <c r="F866" i="1" s="1"/>
  <c r="P599" i="7"/>
  <c r="O599" i="7"/>
  <c r="N599" i="7"/>
  <c r="M599" i="7"/>
  <c r="K599" i="7"/>
  <c r="E865" i="1" s="1"/>
  <c r="J599" i="7"/>
  <c r="C865" i="1" s="1"/>
  <c r="P598" i="7"/>
  <c r="O598" i="7"/>
  <c r="N598" i="7"/>
  <c r="M598" i="7"/>
  <c r="K598" i="7"/>
  <c r="E864" i="1" s="1"/>
  <c r="J598" i="7"/>
  <c r="L598" i="7" s="1"/>
  <c r="F864" i="1" s="1"/>
  <c r="P597" i="7"/>
  <c r="O597" i="7"/>
  <c r="N597" i="7"/>
  <c r="M597" i="7"/>
  <c r="K597" i="7"/>
  <c r="E863" i="1" s="1"/>
  <c r="J597" i="7"/>
  <c r="L597" i="7" s="1"/>
  <c r="F863" i="1" s="1"/>
  <c r="P596" i="7"/>
  <c r="O596" i="7"/>
  <c r="N596" i="7"/>
  <c r="M596" i="7"/>
  <c r="K596" i="7"/>
  <c r="E862" i="1" s="1"/>
  <c r="J596" i="7"/>
  <c r="C862" i="1" s="1"/>
  <c r="P595" i="7"/>
  <c r="O595" i="7"/>
  <c r="N595" i="7"/>
  <c r="M595" i="7"/>
  <c r="K595" i="7"/>
  <c r="E861" i="1" s="1"/>
  <c r="J595" i="7"/>
  <c r="C861" i="1" s="1"/>
  <c r="P594" i="7"/>
  <c r="O594" i="7"/>
  <c r="N594" i="7"/>
  <c r="M594" i="7"/>
  <c r="K594" i="7"/>
  <c r="E860" i="1" s="1"/>
  <c r="J594" i="7"/>
  <c r="L594" i="7" s="1"/>
  <c r="F860" i="1" s="1"/>
  <c r="P593" i="7"/>
  <c r="O593" i="7"/>
  <c r="N593" i="7"/>
  <c r="M593" i="7"/>
  <c r="K593" i="7"/>
  <c r="E859" i="1" s="1"/>
  <c r="J593" i="7"/>
  <c r="L593" i="7" s="1"/>
  <c r="F859" i="1" s="1"/>
  <c r="P592" i="7"/>
  <c r="O592" i="7"/>
  <c r="N592" i="7"/>
  <c r="M592" i="7"/>
  <c r="K592" i="7"/>
  <c r="E858" i="1" s="1"/>
  <c r="J592" i="7"/>
  <c r="C858" i="1" s="1"/>
  <c r="P591" i="7"/>
  <c r="O591" i="7"/>
  <c r="N591" i="7"/>
  <c r="M591" i="7"/>
  <c r="L591" i="7"/>
  <c r="F857" i="1" s="1"/>
  <c r="K591" i="7"/>
  <c r="E857" i="1" s="1"/>
  <c r="J591" i="7"/>
  <c r="C857" i="1" s="1"/>
  <c r="P590" i="7"/>
  <c r="O590" i="7"/>
  <c r="N590" i="7"/>
  <c r="M590" i="7"/>
  <c r="K590" i="7"/>
  <c r="E856" i="1" s="1"/>
  <c r="J590" i="7"/>
  <c r="L590" i="7" s="1"/>
  <c r="F856" i="1" s="1"/>
  <c r="P589" i="7"/>
  <c r="O589" i="7"/>
  <c r="N589" i="7"/>
  <c r="M589" i="7"/>
  <c r="K589" i="7"/>
  <c r="E855" i="1" s="1"/>
  <c r="J589" i="7"/>
  <c r="L589" i="7" s="1"/>
  <c r="F855" i="1" s="1"/>
  <c r="P588" i="7"/>
  <c r="O588" i="7"/>
  <c r="N588" i="7"/>
  <c r="M588" i="7"/>
  <c r="K588" i="7"/>
  <c r="E854" i="1" s="1"/>
  <c r="J588" i="7"/>
  <c r="C854" i="1" s="1"/>
  <c r="P587" i="7"/>
  <c r="O587" i="7"/>
  <c r="N587" i="7"/>
  <c r="M587" i="7"/>
  <c r="K587" i="7"/>
  <c r="E853" i="1" s="1"/>
  <c r="J587" i="7"/>
  <c r="C853" i="1" s="1"/>
  <c r="P586" i="7"/>
  <c r="O586" i="7"/>
  <c r="N586" i="7"/>
  <c r="M586" i="7"/>
  <c r="K586" i="7"/>
  <c r="E852" i="1" s="1"/>
  <c r="J586" i="7"/>
  <c r="L586" i="7" s="1"/>
  <c r="F852" i="1" s="1"/>
  <c r="P585" i="7"/>
  <c r="O585" i="7"/>
  <c r="N585" i="7"/>
  <c r="M585" i="7"/>
  <c r="K585" i="7"/>
  <c r="E851" i="1" s="1"/>
  <c r="J585" i="7"/>
  <c r="L585" i="7" s="1"/>
  <c r="F851" i="1" s="1"/>
  <c r="P584" i="7"/>
  <c r="O584" i="7"/>
  <c r="N584" i="7"/>
  <c r="M584" i="7"/>
  <c r="K584" i="7"/>
  <c r="E850" i="1" s="1"/>
  <c r="J584" i="7"/>
  <c r="C850" i="1" s="1"/>
  <c r="P583" i="7"/>
  <c r="O583" i="7"/>
  <c r="N583" i="7"/>
  <c r="M583" i="7"/>
  <c r="K583" i="7"/>
  <c r="E849" i="1" s="1"/>
  <c r="J583" i="7"/>
  <c r="C849" i="1" s="1"/>
  <c r="P582" i="7"/>
  <c r="O582" i="7"/>
  <c r="N582" i="7"/>
  <c r="M582" i="7"/>
  <c r="K582" i="7"/>
  <c r="E848" i="1" s="1"/>
  <c r="J582" i="7"/>
  <c r="L582" i="7" s="1"/>
  <c r="F848" i="1" s="1"/>
  <c r="P581" i="7"/>
  <c r="O581" i="7"/>
  <c r="N581" i="7"/>
  <c r="M581" i="7"/>
  <c r="K581" i="7"/>
  <c r="E847" i="1" s="1"/>
  <c r="J581" i="7"/>
  <c r="L581" i="7" s="1"/>
  <c r="F847" i="1" s="1"/>
  <c r="P580" i="7"/>
  <c r="O580" i="7"/>
  <c r="N580" i="7"/>
  <c r="M580" i="7"/>
  <c r="K580" i="7"/>
  <c r="E846" i="1" s="1"/>
  <c r="J580" i="7"/>
  <c r="C846" i="1" s="1"/>
  <c r="E69" i="2"/>
  <c r="C69" i="2"/>
  <c r="L592" i="7" l="1"/>
  <c r="F858" i="1" s="1"/>
  <c r="L611" i="7"/>
  <c r="F877" i="1" s="1"/>
  <c r="C855" i="1"/>
  <c r="C863" i="1"/>
  <c r="C871" i="1"/>
  <c r="C847" i="1"/>
  <c r="C879" i="1"/>
  <c r="L584" i="7"/>
  <c r="F850" i="1" s="1"/>
  <c r="C875" i="1"/>
  <c r="L583" i="7"/>
  <c r="F849" i="1" s="1"/>
  <c r="L599" i="7"/>
  <c r="F865" i="1" s="1"/>
  <c r="C859" i="1"/>
  <c r="C867" i="1"/>
  <c r="L580" i="7"/>
  <c r="F846" i="1" s="1"/>
  <c r="L588" i="7"/>
  <c r="F854" i="1" s="1"/>
  <c r="L596" i="7"/>
  <c r="F862" i="1" s="1"/>
  <c r="C866" i="1"/>
  <c r="C870" i="1"/>
  <c r="C874" i="1"/>
  <c r="C878" i="1"/>
  <c r="C851" i="1"/>
  <c r="L587" i="7"/>
  <c r="F853" i="1" s="1"/>
  <c r="L595" i="7"/>
  <c r="F861" i="1" s="1"/>
  <c r="L603" i="7"/>
  <c r="F869" i="1" s="1"/>
  <c r="C873" i="1"/>
  <c r="C848" i="1"/>
  <c r="C852" i="1"/>
  <c r="C856" i="1"/>
  <c r="C860" i="1"/>
  <c r="C864" i="1"/>
  <c r="C868" i="1"/>
  <c r="C872" i="1"/>
  <c r="C876" i="1"/>
  <c r="C880" i="1"/>
  <c r="L845" i="1"/>
  <c r="D845" i="1"/>
  <c r="B845" i="1"/>
  <c r="A845" i="1"/>
  <c r="L844" i="1"/>
  <c r="D844" i="1"/>
  <c r="B844" i="1"/>
  <c r="A844" i="1"/>
  <c r="L843" i="1"/>
  <c r="D843" i="1"/>
  <c r="B843" i="1"/>
  <c r="A843" i="1"/>
  <c r="L842" i="1"/>
  <c r="D842" i="1"/>
  <c r="B842" i="1"/>
  <c r="A842" i="1"/>
  <c r="L841" i="1"/>
  <c r="D841" i="1"/>
  <c r="B841" i="1"/>
  <c r="A841" i="1"/>
  <c r="L840" i="1"/>
  <c r="D840" i="1"/>
  <c r="B840" i="1"/>
  <c r="A840" i="1"/>
  <c r="L839" i="1"/>
  <c r="D839" i="1"/>
  <c r="B839" i="1"/>
  <c r="A839" i="1"/>
  <c r="L838" i="1"/>
  <c r="D838" i="1"/>
  <c r="B838" i="1"/>
  <c r="A838" i="1"/>
  <c r="L837" i="1"/>
  <c r="D837" i="1"/>
  <c r="B837" i="1"/>
  <c r="A837" i="1"/>
  <c r="L836" i="1"/>
  <c r="D836" i="1"/>
  <c r="B836" i="1"/>
  <c r="A836" i="1"/>
  <c r="L835" i="1"/>
  <c r="D835" i="1"/>
  <c r="B835" i="1"/>
  <c r="A835" i="1"/>
  <c r="L834" i="1"/>
  <c r="D834" i="1"/>
  <c r="B834" i="1"/>
  <c r="A834" i="1"/>
  <c r="L833" i="1"/>
  <c r="D833" i="1"/>
  <c r="B833" i="1"/>
  <c r="A833" i="1"/>
  <c r="L832" i="1"/>
  <c r="D832" i="1"/>
  <c r="B832" i="1"/>
  <c r="A832" i="1"/>
  <c r="L831" i="1"/>
  <c r="D831" i="1"/>
  <c r="B831" i="1"/>
  <c r="A831" i="1"/>
  <c r="L830" i="1"/>
  <c r="D830" i="1"/>
  <c r="B830" i="1"/>
  <c r="A830" i="1"/>
  <c r="L829" i="1"/>
  <c r="D829" i="1"/>
  <c r="B829" i="1"/>
  <c r="A829" i="1"/>
  <c r="L828" i="1"/>
  <c r="D828" i="1"/>
  <c r="B828" i="1"/>
  <c r="A828" i="1"/>
  <c r="L827" i="1"/>
  <c r="D827" i="1"/>
  <c r="B827" i="1"/>
  <c r="A827" i="1"/>
  <c r="L826" i="1"/>
  <c r="D826" i="1"/>
  <c r="B826" i="1"/>
  <c r="A826" i="1"/>
  <c r="L825" i="1"/>
  <c r="D825" i="1"/>
  <c r="B825" i="1"/>
  <c r="A825" i="1"/>
  <c r="L824" i="1"/>
  <c r="D824" i="1"/>
  <c r="B824" i="1"/>
  <c r="A824" i="1"/>
  <c r="L823" i="1"/>
  <c r="D823" i="1"/>
  <c r="B823" i="1"/>
  <c r="A823" i="1"/>
  <c r="L822" i="1"/>
  <c r="D822" i="1"/>
  <c r="B822" i="1"/>
  <c r="A822" i="1"/>
  <c r="L821" i="1"/>
  <c r="D821" i="1"/>
  <c r="B821" i="1"/>
  <c r="A821" i="1"/>
  <c r="L820" i="1"/>
  <c r="D820" i="1"/>
  <c r="B820" i="1"/>
  <c r="A820" i="1"/>
  <c r="L819" i="1"/>
  <c r="D819" i="1"/>
  <c r="B819" i="1"/>
  <c r="A819" i="1"/>
  <c r="L818" i="1"/>
  <c r="D818" i="1"/>
  <c r="B818" i="1"/>
  <c r="A818" i="1"/>
  <c r="L817" i="1"/>
  <c r="D817" i="1"/>
  <c r="B817" i="1"/>
  <c r="A817" i="1"/>
  <c r="L816" i="1"/>
  <c r="D816" i="1"/>
  <c r="B816" i="1"/>
  <c r="A816" i="1"/>
  <c r="L815" i="1"/>
  <c r="D815" i="1"/>
  <c r="B815" i="1"/>
  <c r="A815" i="1"/>
  <c r="L814" i="1"/>
  <c r="D814" i="1"/>
  <c r="B814" i="1"/>
  <c r="A814" i="1"/>
  <c r="L813" i="1"/>
  <c r="D813" i="1"/>
  <c r="B813" i="1"/>
  <c r="A813" i="1"/>
  <c r="L812" i="1"/>
  <c r="D812" i="1"/>
  <c r="B812" i="1"/>
  <c r="A812" i="1"/>
  <c r="L811" i="1"/>
  <c r="D811" i="1"/>
  <c r="B811" i="1"/>
  <c r="A811" i="1"/>
  <c r="L810" i="1"/>
  <c r="D810" i="1"/>
  <c r="B810" i="1"/>
  <c r="A810" i="1"/>
  <c r="L809" i="1"/>
  <c r="D809" i="1"/>
  <c r="B809" i="1"/>
  <c r="A809" i="1"/>
  <c r="L808" i="1"/>
  <c r="D808" i="1"/>
  <c r="B808" i="1"/>
  <c r="A808" i="1"/>
  <c r="L807" i="1"/>
  <c r="D807" i="1"/>
  <c r="B807" i="1"/>
  <c r="A807" i="1"/>
  <c r="L806" i="1"/>
  <c r="D806" i="1"/>
  <c r="B806" i="1"/>
  <c r="A806" i="1"/>
  <c r="L805" i="1"/>
  <c r="D805" i="1"/>
  <c r="B805" i="1"/>
  <c r="A805" i="1"/>
  <c r="D804" i="1"/>
  <c r="B804" i="1"/>
  <c r="A804" i="1"/>
  <c r="L804" i="1"/>
  <c r="P579" i="7"/>
  <c r="O579" i="7"/>
  <c r="N579" i="7"/>
  <c r="M579" i="7"/>
  <c r="K579" i="7"/>
  <c r="E845" i="1" s="1"/>
  <c r="J579" i="7"/>
  <c r="L579" i="7" s="1"/>
  <c r="F845" i="1" s="1"/>
  <c r="P578" i="7"/>
  <c r="O578" i="7"/>
  <c r="N578" i="7"/>
  <c r="M578" i="7"/>
  <c r="K578" i="7"/>
  <c r="E844" i="1" s="1"/>
  <c r="J578" i="7"/>
  <c r="C844" i="1" s="1"/>
  <c r="P577" i="7"/>
  <c r="O577" i="7"/>
  <c r="N577" i="7"/>
  <c r="M577" i="7"/>
  <c r="K577" i="7"/>
  <c r="E843" i="1" s="1"/>
  <c r="J577" i="7"/>
  <c r="C843" i="1" s="1"/>
  <c r="P576" i="7"/>
  <c r="O576" i="7"/>
  <c r="N576" i="7"/>
  <c r="M576" i="7"/>
  <c r="K576" i="7"/>
  <c r="E842" i="1" s="1"/>
  <c r="J576" i="7"/>
  <c r="L576" i="7" s="1"/>
  <c r="F842" i="1" s="1"/>
  <c r="P575" i="7"/>
  <c r="O575" i="7"/>
  <c r="N575" i="7"/>
  <c r="M575" i="7"/>
  <c r="K575" i="7"/>
  <c r="E841" i="1" s="1"/>
  <c r="J575" i="7"/>
  <c r="L575" i="7" s="1"/>
  <c r="F841" i="1" s="1"/>
  <c r="P574" i="7"/>
  <c r="O574" i="7"/>
  <c r="N574" i="7"/>
  <c r="M574" i="7"/>
  <c r="L574" i="7"/>
  <c r="F840" i="1" s="1"/>
  <c r="K574" i="7"/>
  <c r="E840" i="1" s="1"/>
  <c r="J574" i="7"/>
  <c r="C840" i="1" s="1"/>
  <c r="P573" i="7"/>
  <c r="O573" i="7"/>
  <c r="N573" i="7"/>
  <c r="M573" i="7"/>
  <c r="K573" i="7"/>
  <c r="E839" i="1" s="1"/>
  <c r="J573" i="7"/>
  <c r="C839" i="1" s="1"/>
  <c r="P572" i="7"/>
  <c r="O572" i="7"/>
  <c r="N572" i="7"/>
  <c r="M572" i="7"/>
  <c r="K572" i="7"/>
  <c r="E838" i="1" s="1"/>
  <c r="J572" i="7"/>
  <c r="L572" i="7" s="1"/>
  <c r="F838" i="1" s="1"/>
  <c r="P571" i="7"/>
  <c r="O571" i="7"/>
  <c r="N571" i="7"/>
  <c r="M571" i="7"/>
  <c r="K571" i="7"/>
  <c r="E837" i="1" s="1"/>
  <c r="J571" i="7"/>
  <c r="L571" i="7" s="1"/>
  <c r="F837" i="1" s="1"/>
  <c r="P570" i="7"/>
  <c r="O570" i="7"/>
  <c r="N570" i="7"/>
  <c r="M570" i="7"/>
  <c r="K570" i="7"/>
  <c r="E836" i="1" s="1"/>
  <c r="J570" i="7"/>
  <c r="C836" i="1" s="1"/>
  <c r="P569" i="7"/>
  <c r="O569" i="7"/>
  <c r="N569" i="7"/>
  <c r="M569" i="7"/>
  <c r="K569" i="7"/>
  <c r="E835" i="1" s="1"/>
  <c r="J569" i="7"/>
  <c r="C835" i="1" s="1"/>
  <c r="P568" i="7"/>
  <c r="O568" i="7"/>
  <c r="N568" i="7"/>
  <c r="M568" i="7"/>
  <c r="K568" i="7"/>
  <c r="E834" i="1" s="1"/>
  <c r="J568" i="7"/>
  <c r="L568" i="7" s="1"/>
  <c r="F834" i="1" s="1"/>
  <c r="P567" i="7"/>
  <c r="O567" i="7"/>
  <c r="N567" i="7"/>
  <c r="M567" i="7"/>
  <c r="K567" i="7"/>
  <c r="E833" i="1" s="1"/>
  <c r="J567" i="7"/>
  <c r="L567" i="7" s="1"/>
  <c r="F833" i="1" s="1"/>
  <c r="P566" i="7"/>
  <c r="O566" i="7"/>
  <c r="N566" i="7"/>
  <c r="M566" i="7"/>
  <c r="K566" i="7"/>
  <c r="E832" i="1" s="1"/>
  <c r="J566" i="7"/>
  <c r="C832" i="1" s="1"/>
  <c r="P565" i="7"/>
  <c r="O565" i="7"/>
  <c r="N565" i="7"/>
  <c r="M565" i="7"/>
  <c r="L565" i="7"/>
  <c r="F831" i="1" s="1"/>
  <c r="K565" i="7"/>
  <c r="E831" i="1" s="1"/>
  <c r="J565" i="7"/>
  <c r="C831" i="1" s="1"/>
  <c r="P564" i="7"/>
  <c r="O564" i="7"/>
  <c r="N564" i="7"/>
  <c r="M564" i="7"/>
  <c r="K564" i="7"/>
  <c r="E830" i="1" s="1"/>
  <c r="J564" i="7"/>
  <c r="L564" i="7" s="1"/>
  <c r="F830" i="1" s="1"/>
  <c r="P563" i="7"/>
  <c r="O563" i="7"/>
  <c r="N563" i="7"/>
  <c r="M563" i="7"/>
  <c r="K563" i="7"/>
  <c r="E829" i="1" s="1"/>
  <c r="J563" i="7"/>
  <c r="L563" i="7" s="1"/>
  <c r="F829" i="1" s="1"/>
  <c r="P562" i="7"/>
  <c r="O562" i="7"/>
  <c r="N562" i="7"/>
  <c r="M562" i="7"/>
  <c r="K562" i="7"/>
  <c r="E828" i="1" s="1"/>
  <c r="J562" i="7"/>
  <c r="C828" i="1" s="1"/>
  <c r="P561" i="7"/>
  <c r="O561" i="7"/>
  <c r="N561" i="7"/>
  <c r="M561" i="7"/>
  <c r="K561" i="7"/>
  <c r="E827" i="1" s="1"/>
  <c r="J561" i="7"/>
  <c r="C827" i="1" s="1"/>
  <c r="P560" i="7"/>
  <c r="O560" i="7"/>
  <c r="N560" i="7"/>
  <c r="M560" i="7"/>
  <c r="K560" i="7"/>
  <c r="E826" i="1" s="1"/>
  <c r="J560" i="7"/>
  <c r="L560" i="7" s="1"/>
  <c r="F826" i="1" s="1"/>
  <c r="P559" i="7"/>
  <c r="O559" i="7"/>
  <c r="N559" i="7"/>
  <c r="M559" i="7"/>
  <c r="K559" i="7"/>
  <c r="E825" i="1" s="1"/>
  <c r="J559" i="7"/>
  <c r="L559" i="7" s="1"/>
  <c r="F825" i="1" s="1"/>
  <c r="P558" i="7"/>
  <c r="O558" i="7"/>
  <c r="N558" i="7"/>
  <c r="M558" i="7"/>
  <c r="K558" i="7"/>
  <c r="E824" i="1" s="1"/>
  <c r="J558" i="7"/>
  <c r="C824" i="1" s="1"/>
  <c r="P557" i="7"/>
  <c r="O557" i="7"/>
  <c r="N557" i="7"/>
  <c r="M557" i="7"/>
  <c r="K557" i="7"/>
  <c r="E823" i="1" s="1"/>
  <c r="J557" i="7"/>
  <c r="C823" i="1" s="1"/>
  <c r="P556" i="7"/>
  <c r="O556" i="7"/>
  <c r="N556" i="7"/>
  <c r="M556" i="7"/>
  <c r="K556" i="7"/>
  <c r="E822" i="1" s="1"/>
  <c r="J556" i="7"/>
  <c r="L556" i="7" s="1"/>
  <c r="F822" i="1" s="1"/>
  <c r="P555" i="7"/>
  <c r="O555" i="7"/>
  <c r="N555" i="7"/>
  <c r="M555" i="7"/>
  <c r="K555" i="7"/>
  <c r="E821" i="1" s="1"/>
  <c r="J555" i="7"/>
  <c r="L555" i="7" s="1"/>
  <c r="F821" i="1" s="1"/>
  <c r="P554" i="7"/>
  <c r="O554" i="7"/>
  <c r="N554" i="7"/>
  <c r="M554" i="7"/>
  <c r="K554" i="7"/>
  <c r="E820" i="1" s="1"/>
  <c r="J554" i="7"/>
  <c r="C820" i="1" s="1"/>
  <c r="P553" i="7"/>
  <c r="O553" i="7"/>
  <c r="N553" i="7"/>
  <c r="M553" i="7"/>
  <c r="K553" i="7"/>
  <c r="E819" i="1" s="1"/>
  <c r="J553" i="7"/>
  <c r="C819" i="1" s="1"/>
  <c r="P552" i="7"/>
  <c r="O552" i="7"/>
  <c r="N552" i="7"/>
  <c r="M552" i="7"/>
  <c r="K552" i="7"/>
  <c r="E818" i="1" s="1"/>
  <c r="J552" i="7"/>
  <c r="L552" i="7" s="1"/>
  <c r="F818" i="1" s="1"/>
  <c r="P551" i="7"/>
  <c r="O551" i="7"/>
  <c r="N551" i="7"/>
  <c r="M551" i="7"/>
  <c r="K551" i="7"/>
  <c r="E817" i="1" s="1"/>
  <c r="J551" i="7"/>
  <c r="L551" i="7" s="1"/>
  <c r="F817" i="1" s="1"/>
  <c r="P550" i="7"/>
  <c r="O550" i="7"/>
  <c r="N550" i="7"/>
  <c r="M550" i="7"/>
  <c r="K550" i="7"/>
  <c r="E816" i="1" s="1"/>
  <c r="J550" i="7"/>
  <c r="C816" i="1" s="1"/>
  <c r="P549" i="7"/>
  <c r="O549" i="7"/>
  <c r="N549" i="7"/>
  <c r="M549" i="7"/>
  <c r="K549" i="7"/>
  <c r="E815" i="1" s="1"/>
  <c r="J549" i="7"/>
  <c r="C815" i="1" s="1"/>
  <c r="P548" i="7"/>
  <c r="O548" i="7"/>
  <c r="N548" i="7"/>
  <c r="M548" i="7"/>
  <c r="K548" i="7"/>
  <c r="E814" i="1" s="1"/>
  <c r="J548" i="7"/>
  <c r="L548" i="7" s="1"/>
  <c r="F814" i="1" s="1"/>
  <c r="P547" i="7"/>
  <c r="O547" i="7"/>
  <c r="N547" i="7"/>
  <c r="M547" i="7"/>
  <c r="K547" i="7"/>
  <c r="E813" i="1" s="1"/>
  <c r="J547" i="7"/>
  <c r="L547" i="7" s="1"/>
  <c r="F813" i="1" s="1"/>
  <c r="P546" i="7"/>
  <c r="O546" i="7"/>
  <c r="N546" i="7"/>
  <c r="M546" i="7"/>
  <c r="K546" i="7"/>
  <c r="E812" i="1" s="1"/>
  <c r="J546" i="7"/>
  <c r="C812" i="1" s="1"/>
  <c r="P545" i="7"/>
  <c r="O545" i="7"/>
  <c r="N545" i="7"/>
  <c r="M545" i="7"/>
  <c r="K545" i="7"/>
  <c r="E811" i="1" s="1"/>
  <c r="J545" i="7"/>
  <c r="C811" i="1" s="1"/>
  <c r="P544" i="7"/>
  <c r="O544" i="7"/>
  <c r="N544" i="7"/>
  <c r="M544" i="7"/>
  <c r="K544" i="7"/>
  <c r="E810" i="1" s="1"/>
  <c r="J544" i="7"/>
  <c r="L544" i="7" s="1"/>
  <c r="F810" i="1" s="1"/>
  <c r="P543" i="7"/>
  <c r="O543" i="7"/>
  <c r="N543" i="7"/>
  <c r="M543" i="7"/>
  <c r="K543" i="7"/>
  <c r="E809" i="1" s="1"/>
  <c r="J543" i="7"/>
  <c r="L543" i="7" s="1"/>
  <c r="F809" i="1" s="1"/>
  <c r="P542" i="7"/>
  <c r="O542" i="7"/>
  <c r="N542" i="7"/>
  <c r="M542" i="7"/>
  <c r="L542" i="7"/>
  <c r="F808" i="1" s="1"/>
  <c r="K542" i="7"/>
  <c r="E808" i="1" s="1"/>
  <c r="J542" i="7"/>
  <c r="C808" i="1" s="1"/>
  <c r="P541" i="7"/>
  <c r="O541" i="7"/>
  <c r="N541" i="7"/>
  <c r="M541" i="7"/>
  <c r="K541" i="7"/>
  <c r="E807" i="1" s="1"/>
  <c r="J541" i="7"/>
  <c r="C807" i="1" s="1"/>
  <c r="P540" i="7"/>
  <c r="O540" i="7"/>
  <c r="N540" i="7"/>
  <c r="M540" i="7"/>
  <c r="K540" i="7"/>
  <c r="E806" i="1" s="1"/>
  <c r="J540" i="7"/>
  <c r="L540" i="7" s="1"/>
  <c r="F806" i="1" s="1"/>
  <c r="P539" i="7"/>
  <c r="O539" i="7"/>
  <c r="N539" i="7"/>
  <c r="M539" i="7"/>
  <c r="K539" i="7"/>
  <c r="E805" i="1" s="1"/>
  <c r="J539" i="7"/>
  <c r="L539" i="7" s="1"/>
  <c r="F805" i="1" s="1"/>
  <c r="P538" i="7"/>
  <c r="O538" i="7"/>
  <c r="N538" i="7"/>
  <c r="M538" i="7"/>
  <c r="K538" i="7"/>
  <c r="E804" i="1" s="1"/>
  <c r="J538" i="7"/>
  <c r="C804" i="1" s="1"/>
  <c r="E68" i="2"/>
  <c r="C68" i="2"/>
  <c r="L803" i="1"/>
  <c r="D803" i="1"/>
  <c r="B803" i="1"/>
  <c r="A803" i="1"/>
  <c r="L802" i="1"/>
  <c r="D802" i="1"/>
  <c r="B802" i="1"/>
  <c r="A802" i="1"/>
  <c r="L801" i="1"/>
  <c r="D801" i="1"/>
  <c r="B801" i="1"/>
  <c r="A801" i="1"/>
  <c r="L800" i="1"/>
  <c r="D800" i="1"/>
  <c r="B800" i="1"/>
  <c r="A800" i="1"/>
  <c r="L799" i="1"/>
  <c r="D799" i="1"/>
  <c r="B799" i="1"/>
  <c r="A799" i="1"/>
  <c r="L798" i="1"/>
  <c r="D798" i="1"/>
  <c r="B798" i="1"/>
  <c r="A798" i="1"/>
  <c r="L797" i="1"/>
  <c r="D797" i="1"/>
  <c r="B797" i="1"/>
  <c r="A797" i="1"/>
  <c r="L796" i="1"/>
  <c r="D796" i="1"/>
  <c r="B796" i="1"/>
  <c r="A796" i="1"/>
  <c r="L795" i="1"/>
  <c r="D795" i="1"/>
  <c r="B795" i="1"/>
  <c r="A795" i="1"/>
  <c r="L794" i="1"/>
  <c r="D794" i="1"/>
  <c r="B794" i="1"/>
  <c r="A794" i="1"/>
  <c r="L793" i="1"/>
  <c r="D793" i="1"/>
  <c r="B793" i="1"/>
  <c r="A793" i="1"/>
  <c r="L792" i="1"/>
  <c r="D792" i="1"/>
  <c r="B792" i="1"/>
  <c r="A792" i="1"/>
  <c r="L791" i="1"/>
  <c r="D791" i="1"/>
  <c r="B791" i="1"/>
  <c r="A791" i="1"/>
  <c r="L790" i="1"/>
  <c r="D790" i="1"/>
  <c r="B790" i="1"/>
  <c r="A790" i="1"/>
  <c r="L789" i="1"/>
  <c r="D789" i="1"/>
  <c r="B789" i="1"/>
  <c r="A789" i="1"/>
  <c r="L788" i="1"/>
  <c r="D788" i="1"/>
  <c r="B788" i="1"/>
  <c r="A788" i="1"/>
  <c r="L787" i="1"/>
  <c r="D787" i="1"/>
  <c r="B787" i="1"/>
  <c r="A787" i="1"/>
  <c r="L786" i="1"/>
  <c r="D786" i="1"/>
  <c r="B786" i="1"/>
  <c r="A786" i="1"/>
  <c r="L785" i="1"/>
  <c r="D785" i="1"/>
  <c r="B785" i="1"/>
  <c r="A785" i="1"/>
  <c r="L784" i="1"/>
  <c r="D784" i="1"/>
  <c r="B784" i="1"/>
  <c r="A784" i="1"/>
  <c r="L783" i="1"/>
  <c r="D783" i="1"/>
  <c r="B783" i="1"/>
  <c r="A783" i="1"/>
  <c r="L782" i="1"/>
  <c r="D782" i="1"/>
  <c r="B782" i="1"/>
  <c r="A782" i="1"/>
  <c r="L781" i="1"/>
  <c r="D781" i="1"/>
  <c r="B781" i="1"/>
  <c r="A781" i="1"/>
  <c r="L780" i="1"/>
  <c r="D780" i="1"/>
  <c r="B780" i="1"/>
  <c r="A780" i="1"/>
  <c r="L779" i="1"/>
  <c r="D779" i="1"/>
  <c r="B779" i="1"/>
  <c r="A779" i="1"/>
  <c r="L778" i="1"/>
  <c r="D778" i="1"/>
  <c r="B778" i="1"/>
  <c r="A778" i="1"/>
  <c r="L777" i="1"/>
  <c r="D777" i="1"/>
  <c r="B777" i="1"/>
  <c r="A777" i="1"/>
  <c r="L776" i="1"/>
  <c r="D776" i="1"/>
  <c r="B776" i="1"/>
  <c r="A776" i="1"/>
  <c r="L775" i="1"/>
  <c r="D775" i="1"/>
  <c r="B775" i="1"/>
  <c r="A775" i="1"/>
  <c r="L774" i="1"/>
  <c r="D774" i="1"/>
  <c r="B774" i="1"/>
  <c r="A774" i="1"/>
  <c r="L773" i="1"/>
  <c r="D773" i="1"/>
  <c r="B773" i="1"/>
  <c r="A773" i="1"/>
  <c r="L772" i="1"/>
  <c r="D772" i="1"/>
  <c r="B772" i="1"/>
  <c r="A772" i="1"/>
  <c r="L771" i="1"/>
  <c r="D771" i="1"/>
  <c r="B771" i="1"/>
  <c r="A771" i="1"/>
  <c r="L770" i="1"/>
  <c r="D770" i="1"/>
  <c r="B770" i="1"/>
  <c r="A770" i="1"/>
  <c r="L769" i="1"/>
  <c r="D769" i="1"/>
  <c r="B769" i="1"/>
  <c r="A769" i="1"/>
  <c r="L768" i="1"/>
  <c r="D768" i="1"/>
  <c r="B768" i="1"/>
  <c r="A768" i="1"/>
  <c r="L767" i="1"/>
  <c r="D767" i="1"/>
  <c r="B767" i="1"/>
  <c r="A767" i="1"/>
  <c r="L766" i="1"/>
  <c r="D766" i="1"/>
  <c r="B766" i="1"/>
  <c r="A766" i="1"/>
  <c r="L765" i="1"/>
  <c r="D765" i="1"/>
  <c r="B765" i="1"/>
  <c r="A765" i="1"/>
  <c r="L764" i="1"/>
  <c r="D764" i="1"/>
  <c r="B764" i="1"/>
  <c r="A764" i="1"/>
  <c r="L763" i="1"/>
  <c r="D763" i="1"/>
  <c r="B763" i="1"/>
  <c r="A763" i="1"/>
  <c r="L762" i="1"/>
  <c r="D762" i="1"/>
  <c r="B762" i="1"/>
  <c r="A762" i="1"/>
  <c r="L761" i="1"/>
  <c r="D761" i="1"/>
  <c r="B761" i="1"/>
  <c r="A761" i="1"/>
  <c r="L760" i="1"/>
  <c r="D760" i="1"/>
  <c r="B760" i="1"/>
  <c r="A760" i="1"/>
  <c r="L759" i="1"/>
  <c r="D759" i="1"/>
  <c r="B759" i="1"/>
  <c r="A759" i="1"/>
  <c r="L758" i="1"/>
  <c r="D758" i="1"/>
  <c r="B758" i="1"/>
  <c r="A758" i="1"/>
  <c r="L757" i="1"/>
  <c r="D757" i="1"/>
  <c r="B757" i="1"/>
  <c r="A757" i="1"/>
  <c r="L756" i="1"/>
  <c r="D756" i="1"/>
  <c r="B756" i="1"/>
  <c r="A756" i="1"/>
  <c r="L755" i="1"/>
  <c r="D755" i="1"/>
  <c r="B755" i="1"/>
  <c r="A755" i="1"/>
  <c r="L754" i="1"/>
  <c r="D754" i="1"/>
  <c r="B754" i="1"/>
  <c r="A754" i="1"/>
  <c r="L753" i="1"/>
  <c r="D753" i="1"/>
  <c r="B753" i="1"/>
  <c r="A753" i="1"/>
  <c r="L752" i="1"/>
  <c r="D752" i="1"/>
  <c r="B752" i="1"/>
  <c r="A752" i="1"/>
  <c r="L751" i="1"/>
  <c r="D751" i="1"/>
  <c r="B751" i="1"/>
  <c r="A751" i="1"/>
  <c r="L750" i="1"/>
  <c r="D750" i="1"/>
  <c r="B750" i="1"/>
  <c r="A750" i="1"/>
  <c r="L749" i="1"/>
  <c r="D749" i="1"/>
  <c r="B749" i="1"/>
  <c r="A749" i="1"/>
  <c r="L748" i="1"/>
  <c r="D748" i="1"/>
  <c r="B748" i="1"/>
  <c r="A748" i="1"/>
  <c r="L747" i="1"/>
  <c r="D747" i="1"/>
  <c r="B747" i="1"/>
  <c r="A747" i="1"/>
  <c r="L746" i="1"/>
  <c r="D746" i="1"/>
  <c r="B746" i="1"/>
  <c r="A746" i="1"/>
  <c r="L745" i="1"/>
  <c r="D745" i="1"/>
  <c r="B745" i="1"/>
  <c r="A745" i="1"/>
  <c r="L744" i="1"/>
  <c r="D744" i="1"/>
  <c r="B744" i="1"/>
  <c r="A744" i="1"/>
  <c r="L743" i="1"/>
  <c r="D743" i="1"/>
  <c r="B743" i="1"/>
  <c r="A743" i="1"/>
  <c r="L742" i="1"/>
  <c r="D742" i="1"/>
  <c r="B742" i="1"/>
  <c r="A742" i="1"/>
  <c r="L741" i="1"/>
  <c r="D741" i="1"/>
  <c r="B741" i="1"/>
  <c r="A741" i="1"/>
  <c r="L740" i="1"/>
  <c r="D740" i="1"/>
  <c r="B740" i="1"/>
  <c r="A740" i="1"/>
  <c r="L739" i="1"/>
  <c r="D739" i="1"/>
  <c r="B739" i="1"/>
  <c r="A739" i="1"/>
  <c r="L738" i="1"/>
  <c r="D738" i="1"/>
  <c r="B738" i="1"/>
  <c r="A738" i="1"/>
  <c r="L737" i="1"/>
  <c r="D737" i="1"/>
  <c r="B737" i="1"/>
  <c r="A737" i="1"/>
  <c r="L736" i="1"/>
  <c r="D736" i="1"/>
  <c r="B736" i="1"/>
  <c r="A736" i="1"/>
  <c r="L735" i="1"/>
  <c r="D735" i="1"/>
  <c r="B735" i="1"/>
  <c r="A735" i="1"/>
  <c r="L734" i="1"/>
  <c r="D734" i="1"/>
  <c r="B734" i="1"/>
  <c r="A734" i="1"/>
  <c r="P537" i="7"/>
  <c r="O537" i="7"/>
  <c r="N537" i="7"/>
  <c r="M537" i="7"/>
  <c r="K537" i="7"/>
  <c r="E803" i="1" s="1"/>
  <c r="J537" i="7"/>
  <c r="C803" i="1" s="1"/>
  <c r="P536" i="7"/>
  <c r="O536" i="7"/>
  <c r="N536" i="7"/>
  <c r="M536" i="7"/>
  <c r="K536" i="7"/>
  <c r="E802" i="1" s="1"/>
  <c r="J536" i="7"/>
  <c r="C802" i="1" s="1"/>
  <c r="P535" i="7"/>
  <c r="O535" i="7"/>
  <c r="N535" i="7"/>
  <c r="M535" i="7"/>
  <c r="K535" i="7"/>
  <c r="E801" i="1" s="1"/>
  <c r="J535" i="7"/>
  <c r="P534" i="7"/>
  <c r="O534" i="7"/>
  <c r="N534" i="7"/>
  <c r="M534" i="7"/>
  <c r="K534" i="7"/>
  <c r="E800" i="1" s="1"/>
  <c r="J534" i="7"/>
  <c r="L534" i="7" s="1"/>
  <c r="F800" i="1" s="1"/>
  <c r="P533" i="7"/>
  <c r="O533" i="7"/>
  <c r="N533" i="7"/>
  <c r="M533" i="7"/>
  <c r="K533" i="7"/>
  <c r="E799" i="1" s="1"/>
  <c r="J533" i="7"/>
  <c r="C799" i="1" s="1"/>
  <c r="P532" i="7"/>
  <c r="O532" i="7"/>
  <c r="N532" i="7"/>
  <c r="M532" i="7"/>
  <c r="K532" i="7"/>
  <c r="E798" i="1" s="1"/>
  <c r="J532" i="7"/>
  <c r="P531" i="7"/>
  <c r="O531" i="7"/>
  <c r="N531" i="7"/>
  <c r="M531" i="7"/>
  <c r="K531" i="7"/>
  <c r="E797" i="1" s="1"/>
  <c r="J531" i="7"/>
  <c r="L531" i="7" s="1"/>
  <c r="F797" i="1" s="1"/>
  <c r="P530" i="7"/>
  <c r="O530" i="7"/>
  <c r="N530" i="7"/>
  <c r="M530" i="7"/>
  <c r="K530" i="7"/>
  <c r="E796" i="1" s="1"/>
  <c r="J530" i="7"/>
  <c r="L530" i="7" s="1"/>
  <c r="F796" i="1" s="1"/>
  <c r="P529" i="7"/>
  <c r="O529" i="7"/>
  <c r="N529" i="7"/>
  <c r="M529" i="7"/>
  <c r="K529" i="7"/>
  <c r="E795" i="1" s="1"/>
  <c r="J529" i="7"/>
  <c r="C795" i="1" s="1"/>
  <c r="P528" i="7"/>
  <c r="O528" i="7"/>
  <c r="N528" i="7"/>
  <c r="M528" i="7"/>
  <c r="L528" i="7"/>
  <c r="F794" i="1" s="1"/>
  <c r="K528" i="7"/>
  <c r="E794" i="1" s="1"/>
  <c r="J528" i="7"/>
  <c r="C794" i="1" s="1"/>
  <c r="P527" i="7"/>
  <c r="O527" i="7"/>
  <c r="N527" i="7"/>
  <c r="M527" i="7"/>
  <c r="K527" i="7"/>
  <c r="E793" i="1" s="1"/>
  <c r="J527" i="7"/>
  <c r="P526" i="7"/>
  <c r="O526" i="7"/>
  <c r="N526" i="7"/>
  <c r="M526" i="7"/>
  <c r="K526" i="7"/>
  <c r="E792" i="1" s="1"/>
  <c r="J526" i="7"/>
  <c r="L526" i="7" s="1"/>
  <c r="F792" i="1" s="1"/>
  <c r="P525" i="7"/>
  <c r="O525" i="7"/>
  <c r="N525" i="7"/>
  <c r="M525" i="7"/>
  <c r="K525" i="7"/>
  <c r="E791" i="1" s="1"/>
  <c r="J525" i="7"/>
  <c r="C791" i="1" s="1"/>
  <c r="P524" i="7"/>
  <c r="O524" i="7"/>
  <c r="N524" i="7"/>
  <c r="M524" i="7"/>
  <c r="K524" i="7"/>
  <c r="E790" i="1" s="1"/>
  <c r="J524" i="7"/>
  <c r="P523" i="7"/>
  <c r="O523" i="7"/>
  <c r="N523" i="7"/>
  <c r="M523" i="7"/>
  <c r="K523" i="7"/>
  <c r="E789" i="1" s="1"/>
  <c r="J523" i="7"/>
  <c r="L523" i="7" s="1"/>
  <c r="F789" i="1" s="1"/>
  <c r="P522" i="7"/>
  <c r="O522" i="7"/>
  <c r="N522" i="7"/>
  <c r="M522" i="7"/>
  <c r="K522" i="7"/>
  <c r="E788" i="1" s="1"/>
  <c r="J522" i="7"/>
  <c r="L522" i="7" s="1"/>
  <c r="F788" i="1" s="1"/>
  <c r="P521" i="7"/>
  <c r="O521" i="7"/>
  <c r="N521" i="7"/>
  <c r="M521" i="7"/>
  <c r="K521" i="7"/>
  <c r="E787" i="1" s="1"/>
  <c r="J521" i="7"/>
  <c r="C787" i="1" s="1"/>
  <c r="P520" i="7"/>
  <c r="O520" i="7"/>
  <c r="N520" i="7"/>
  <c r="M520" i="7"/>
  <c r="K520" i="7"/>
  <c r="E786" i="1" s="1"/>
  <c r="J520" i="7"/>
  <c r="C786" i="1" s="1"/>
  <c r="P519" i="7"/>
  <c r="O519" i="7"/>
  <c r="N519" i="7"/>
  <c r="M519" i="7"/>
  <c r="K519" i="7"/>
  <c r="E785" i="1" s="1"/>
  <c r="J519" i="7"/>
  <c r="P518" i="7"/>
  <c r="O518" i="7"/>
  <c r="N518" i="7"/>
  <c r="M518" i="7"/>
  <c r="K518" i="7"/>
  <c r="E784" i="1" s="1"/>
  <c r="J518" i="7"/>
  <c r="L518" i="7" s="1"/>
  <c r="F784" i="1" s="1"/>
  <c r="P517" i="7"/>
  <c r="O517" i="7"/>
  <c r="N517" i="7"/>
  <c r="M517" i="7"/>
  <c r="K517" i="7"/>
  <c r="E783" i="1" s="1"/>
  <c r="J517" i="7"/>
  <c r="C783" i="1" s="1"/>
  <c r="P516" i="7"/>
  <c r="O516" i="7"/>
  <c r="N516" i="7"/>
  <c r="M516" i="7"/>
  <c r="K516" i="7"/>
  <c r="E782" i="1" s="1"/>
  <c r="J516" i="7"/>
  <c r="P515" i="7"/>
  <c r="O515" i="7"/>
  <c r="N515" i="7"/>
  <c r="M515" i="7"/>
  <c r="K515" i="7"/>
  <c r="E781" i="1" s="1"/>
  <c r="J515" i="7"/>
  <c r="L515" i="7" s="1"/>
  <c r="F781" i="1" s="1"/>
  <c r="P514" i="7"/>
  <c r="O514" i="7"/>
  <c r="N514" i="7"/>
  <c r="M514" i="7"/>
  <c r="K514" i="7"/>
  <c r="E780" i="1" s="1"/>
  <c r="J514" i="7"/>
  <c r="L514" i="7" s="1"/>
  <c r="F780" i="1" s="1"/>
  <c r="P513" i="7"/>
  <c r="O513" i="7"/>
  <c r="N513" i="7"/>
  <c r="M513" i="7"/>
  <c r="K513" i="7"/>
  <c r="E779" i="1" s="1"/>
  <c r="J513" i="7"/>
  <c r="C779" i="1" s="1"/>
  <c r="P512" i="7"/>
  <c r="O512" i="7"/>
  <c r="N512" i="7"/>
  <c r="M512" i="7"/>
  <c r="K512" i="7"/>
  <c r="E778" i="1" s="1"/>
  <c r="J512" i="7"/>
  <c r="C778" i="1" s="1"/>
  <c r="P511" i="7"/>
  <c r="O511" i="7"/>
  <c r="N511" i="7"/>
  <c r="M511" i="7"/>
  <c r="K511" i="7"/>
  <c r="E777" i="1" s="1"/>
  <c r="J511" i="7"/>
  <c r="P510" i="7"/>
  <c r="O510" i="7"/>
  <c r="N510" i="7"/>
  <c r="M510" i="7"/>
  <c r="K510" i="7"/>
  <c r="E776" i="1" s="1"/>
  <c r="J510" i="7"/>
  <c r="L510" i="7" s="1"/>
  <c r="F776" i="1" s="1"/>
  <c r="P509" i="7"/>
  <c r="O509" i="7"/>
  <c r="N509" i="7"/>
  <c r="M509" i="7"/>
  <c r="K509" i="7"/>
  <c r="E775" i="1" s="1"/>
  <c r="J509" i="7"/>
  <c r="C775" i="1" s="1"/>
  <c r="P508" i="7"/>
  <c r="O508" i="7"/>
  <c r="N508" i="7"/>
  <c r="M508" i="7"/>
  <c r="K508" i="7"/>
  <c r="E774" i="1" s="1"/>
  <c r="J508" i="7"/>
  <c r="P507" i="7"/>
  <c r="O507" i="7"/>
  <c r="N507" i="7"/>
  <c r="M507" i="7"/>
  <c r="K507" i="7"/>
  <c r="E773" i="1" s="1"/>
  <c r="J507" i="7"/>
  <c r="L507" i="7" s="1"/>
  <c r="F773" i="1" s="1"/>
  <c r="P506" i="7"/>
  <c r="O506" i="7"/>
  <c r="N506" i="7"/>
  <c r="M506" i="7"/>
  <c r="K506" i="7"/>
  <c r="E772" i="1" s="1"/>
  <c r="J506" i="7"/>
  <c r="L506" i="7" s="1"/>
  <c r="F772" i="1" s="1"/>
  <c r="P505" i="7"/>
  <c r="O505" i="7"/>
  <c r="N505" i="7"/>
  <c r="M505" i="7"/>
  <c r="K505" i="7"/>
  <c r="E771" i="1" s="1"/>
  <c r="J505" i="7"/>
  <c r="C771" i="1" s="1"/>
  <c r="P504" i="7"/>
  <c r="O504" i="7"/>
  <c r="N504" i="7"/>
  <c r="M504" i="7"/>
  <c r="K504" i="7"/>
  <c r="E770" i="1" s="1"/>
  <c r="J504" i="7"/>
  <c r="C770" i="1" s="1"/>
  <c r="P503" i="7"/>
  <c r="O503" i="7"/>
  <c r="N503" i="7"/>
  <c r="M503" i="7"/>
  <c r="K503" i="7"/>
  <c r="E769" i="1" s="1"/>
  <c r="J503" i="7"/>
  <c r="P502" i="7"/>
  <c r="O502" i="7"/>
  <c r="N502" i="7"/>
  <c r="M502" i="7"/>
  <c r="K502" i="7"/>
  <c r="E768" i="1" s="1"/>
  <c r="J502" i="7"/>
  <c r="L502" i="7" s="1"/>
  <c r="F768" i="1" s="1"/>
  <c r="P501" i="7"/>
  <c r="O501" i="7"/>
  <c r="N501" i="7"/>
  <c r="M501" i="7"/>
  <c r="K501" i="7"/>
  <c r="E767" i="1" s="1"/>
  <c r="J501" i="7"/>
  <c r="C767" i="1" s="1"/>
  <c r="P500" i="7"/>
  <c r="O500" i="7"/>
  <c r="N500" i="7"/>
  <c r="M500" i="7"/>
  <c r="K500" i="7"/>
  <c r="E766" i="1" s="1"/>
  <c r="J500" i="7"/>
  <c r="P499" i="7"/>
  <c r="O499" i="7"/>
  <c r="N499" i="7"/>
  <c r="M499" i="7"/>
  <c r="K499" i="7"/>
  <c r="E765" i="1" s="1"/>
  <c r="J499" i="7"/>
  <c r="L499" i="7" s="1"/>
  <c r="F765" i="1" s="1"/>
  <c r="P498" i="7"/>
  <c r="O498" i="7"/>
  <c r="N498" i="7"/>
  <c r="M498" i="7"/>
  <c r="K498" i="7"/>
  <c r="E764" i="1" s="1"/>
  <c r="J498" i="7"/>
  <c r="L498" i="7" s="1"/>
  <c r="F764" i="1" s="1"/>
  <c r="P497" i="7"/>
  <c r="O497" i="7"/>
  <c r="N497" i="7"/>
  <c r="M497" i="7"/>
  <c r="K497" i="7"/>
  <c r="E763" i="1" s="1"/>
  <c r="J497" i="7"/>
  <c r="C763" i="1" s="1"/>
  <c r="P496" i="7"/>
  <c r="O496" i="7"/>
  <c r="N496" i="7"/>
  <c r="M496" i="7"/>
  <c r="K496" i="7"/>
  <c r="E762" i="1" s="1"/>
  <c r="J496" i="7"/>
  <c r="C762" i="1" s="1"/>
  <c r="P495" i="7"/>
  <c r="O495" i="7"/>
  <c r="N495" i="7"/>
  <c r="M495" i="7"/>
  <c r="K495" i="7"/>
  <c r="E761" i="1" s="1"/>
  <c r="J495" i="7"/>
  <c r="P494" i="7"/>
  <c r="O494" i="7"/>
  <c r="N494" i="7"/>
  <c r="M494" i="7"/>
  <c r="K494" i="7"/>
  <c r="E760" i="1" s="1"/>
  <c r="J494" i="7"/>
  <c r="L494" i="7" s="1"/>
  <c r="F760" i="1" s="1"/>
  <c r="P493" i="7"/>
  <c r="O493" i="7"/>
  <c r="N493" i="7"/>
  <c r="M493" i="7"/>
  <c r="K493" i="7"/>
  <c r="E759" i="1" s="1"/>
  <c r="J493" i="7"/>
  <c r="C759" i="1" s="1"/>
  <c r="P492" i="7"/>
  <c r="O492" i="7"/>
  <c r="N492" i="7"/>
  <c r="M492" i="7"/>
  <c r="K492" i="7"/>
  <c r="E758" i="1" s="1"/>
  <c r="J492" i="7"/>
  <c r="P491" i="7"/>
  <c r="O491" i="7"/>
  <c r="N491" i="7"/>
  <c r="M491" i="7"/>
  <c r="K491" i="7"/>
  <c r="E757" i="1" s="1"/>
  <c r="J491" i="7"/>
  <c r="L491" i="7" s="1"/>
  <c r="F757" i="1" s="1"/>
  <c r="P490" i="7"/>
  <c r="O490" i="7"/>
  <c r="N490" i="7"/>
  <c r="M490" i="7"/>
  <c r="K490" i="7"/>
  <c r="E756" i="1" s="1"/>
  <c r="J490" i="7"/>
  <c r="L490" i="7" s="1"/>
  <c r="F756" i="1" s="1"/>
  <c r="P489" i="7"/>
  <c r="O489" i="7"/>
  <c r="N489" i="7"/>
  <c r="M489" i="7"/>
  <c r="K489" i="7"/>
  <c r="E755" i="1" s="1"/>
  <c r="J489" i="7"/>
  <c r="C755" i="1" s="1"/>
  <c r="P488" i="7"/>
  <c r="O488" i="7"/>
  <c r="N488" i="7"/>
  <c r="M488" i="7"/>
  <c r="K488" i="7"/>
  <c r="E754" i="1" s="1"/>
  <c r="J488" i="7"/>
  <c r="C754" i="1" s="1"/>
  <c r="P487" i="7"/>
  <c r="O487" i="7"/>
  <c r="N487" i="7"/>
  <c r="M487" i="7"/>
  <c r="K487" i="7"/>
  <c r="E753" i="1" s="1"/>
  <c r="J487" i="7"/>
  <c r="P486" i="7"/>
  <c r="O486" i="7"/>
  <c r="N486" i="7"/>
  <c r="M486" i="7"/>
  <c r="K486" i="7"/>
  <c r="E752" i="1" s="1"/>
  <c r="J486" i="7"/>
  <c r="L486" i="7" s="1"/>
  <c r="F752" i="1" s="1"/>
  <c r="P485" i="7"/>
  <c r="O485" i="7"/>
  <c r="N485" i="7"/>
  <c r="M485" i="7"/>
  <c r="K485" i="7"/>
  <c r="E751" i="1" s="1"/>
  <c r="J485" i="7"/>
  <c r="C751" i="1" s="1"/>
  <c r="P484" i="7"/>
  <c r="O484" i="7"/>
  <c r="N484" i="7"/>
  <c r="M484" i="7"/>
  <c r="K484" i="7"/>
  <c r="E750" i="1" s="1"/>
  <c r="J484" i="7"/>
  <c r="P483" i="7"/>
  <c r="O483" i="7"/>
  <c r="N483" i="7"/>
  <c r="M483" i="7"/>
  <c r="K483" i="7"/>
  <c r="E749" i="1" s="1"/>
  <c r="J483" i="7"/>
  <c r="L483" i="7" s="1"/>
  <c r="F749" i="1" s="1"/>
  <c r="P482" i="7"/>
  <c r="O482" i="7"/>
  <c r="N482" i="7"/>
  <c r="M482" i="7"/>
  <c r="K482" i="7"/>
  <c r="E748" i="1" s="1"/>
  <c r="J482" i="7"/>
  <c r="L482" i="7" s="1"/>
  <c r="F748" i="1" s="1"/>
  <c r="P481" i="7"/>
  <c r="O481" i="7"/>
  <c r="N481" i="7"/>
  <c r="M481" i="7"/>
  <c r="K481" i="7"/>
  <c r="E747" i="1" s="1"/>
  <c r="J481" i="7"/>
  <c r="C747" i="1" s="1"/>
  <c r="P480" i="7"/>
  <c r="O480" i="7"/>
  <c r="N480" i="7"/>
  <c r="M480" i="7"/>
  <c r="K480" i="7"/>
  <c r="E746" i="1" s="1"/>
  <c r="J480" i="7"/>
  <c r="C746" i="1" s="1"/>
  <c r="P479" i="7"/>
  <c r="O479" i="7"/>
  <c r="N479" i="7"/>
  <c r="M479" i="7"/>
  <c r="K479" i="7"/>
  <c r="E745" i="1" s="1"/>
  <c r="J479" i="7"/>
  <c r="P478" i="7"/>
  <c r="O478" i="7"/>
  <c r="N478" i="7"/>
  <c r="M478" i="7"/>
  <c r="K478" i="7"/>
  <c r="E744" i="1" s="1"/>
  <c r="J478" i="7"/>
  <c r="L478" i="7" s="1"/>
  <c r="F744" i="1" s="1"/>
  <c r="P477" i="7"/>
  <c r="O477" i="7"/>
  <c r="N477" i="7"/>
  <c r="M477" i="7"/>
  <c r="K477" i="7"/>
  <c r="E743" i="1" s="1"/>
  <c r="J477" i="7"/>
  <c r="C743" i="1" s="1"/>
  <c r="P476" i="7"/>
  <c r="O476" i="7"/>
  <c r="N476" i="7"/>
  <c r="M476" i="7"/>
  <c r="K476" i="7"/>
  <c r="E742" i="1" s="1"/>
  <c r="J476" i="7"/>
  <c r="P475" i="7"/>
  <c r="O475" i="7"/>
  <c r="N475" i="7"/>
  <c r="M475" i="7"/>
  <c r="K475" i="7"/>
  <c r="E741" i="1" s="1"/>
  <c r="J475" i="7"/>
  <c r="L475" i="7" s="1"/>
  <c r="F741" i="1" s="1"/>
  <c r="P474" i="7"/>
  <c r="O474" i="7"/>
  <c r="N474" i="7"/>
  <c r="M474" i="7"/>
  <c r="K474" i="7"/>
  <c r="E740" i="1" s="1"/>
  <c r="J474" i="7"/>
  <c r="L474" i="7" s="1"/>
  <c r="F740" i="1" s="1"/>
  <c r="P473" i="7"/>
  <c r="O473" i="7"/>
  <c r="N473" i="7"/>
  <c r="M473" i="7"/>
  <c r="K473" i="7"/>
  <c r="E739" i="1" s="1"/>
  <c r="J473" i="7"/>
  <c r="C739" i="1" s="1"/>
  <c r="P472" i="7"/>
  <c r="O472" i="7"/>
  <c r="N472" i="7"/>
  <c r="M472" i="7"/>
  <c r="K472" i="7"/>
  <c r="E738" i="1" s="1"/>
  <c r="J472" i="7"/>
  <c r="C738" i="1" s="1"/>
  <c r="P471" i="7"/>
  <c r="O471" i="7"/>
  <c r="N471" i="7"/>
  <c r="M471" i="7"/>
  <c r="K471" i="7"/>
  <c r="E737" i="1" s="1"/>
  <c r="J471" i="7"/>
  <c r="P470" i="7"/>
  <c r="O470" i="7"/>
  <c r="N470" i="7"/>
  <c r="M470" i="7"/>
  <c r="K470" i="7"/>
  <c r="E736" i="1" s="1"/>
  <c r="J470" i="7"/>
  <c r="L470" i="7" s="1"/>
  <c r="F736" i="1" s="1"/>
  <c r="P469" i="7"/>
  <c r="O469" i="7"/>
  <c r="N469" i="7"/>
  <c r="M469" i="7"/>
  <c r="K469" i="7"/>
  <c r="E735" i="1" s="1"/>
  <c r="J469" i="7"/>
  <c r="C735" i="1" s="1"/>
  <c r="P468" i="7"/>
  <c r="O468" i="7"/>
  <c r="N468" i="7"/>
  <c r="M468" i="7"/>
  <c r="K468" i="7"/>
  <c r="E734" i="1" s="1"/>
  <c r="J468" i="7"/>
  <c r="E67" i="2"/>
  <c r="C67" i="2"/>
  <c r="L733" i="1"/>
  <c r="D733" i="1"/>
  <c r="B733" i="1"/>
  <c r="A733" i="1"/>
  <c r="L732" i="1"/>
  <c r="D732" i="1"/>
  <c r="B732" i="1"/>
  <c r="A732" i="1"/>
  <c r="L731" i="1"/>
  <c r="D731" i="1"/>
  <c r="B731" i="1"/>
  <c r="A731" i="1"/>
  <c r="L730" i="1"/>
  <c r="D730" i="1"/>
  <c r="B730" i="1"/>
  <c r="A730" i="1"/>
  <c r="L729" i="1"/>
  <c r="D729" i="1"/>
  <c r="B729" i="1"/>
  <c r="A729" i="1"/>
  <c r="L728" i="1"/>
  <c r="D728" i="1"/>
  <c r="B728" i="1"/>
  <c r="A728" i="1"/>
  <c r="L727" i="1"/>
  <c r="D727" i="1"/>
  <c r="B727" i="1"/>
  <c r="A727" i="1"/>
  <c r="L726" i="1"/>
  <c r="D726" i="1"/>
  <c r="B726" i="1"/>
  <c r="A726" i="1"/>
  <c r="L725" i="1"/>
  <c r="D725" i="1"/>
  <c r="B725" i="1"/>
  <c r="A725" i="1"/>
  <c r="L724" i="1"/>
  <c r="D724" i="1"/>
  <c r="B724" i="1"/>
  <c r="A724" i="1"/>
  <c r="L723" i="1"/>
  <c r="D723" i="1"/>
  <c r="B723" i="1"/>
  <c r="A723" i="1"/>
  <c r="L722" i="1"/>
  <c r="D722" i="1"/>
  <c r="B722" i="1"/>
  <c r="A722" i="1"/>
  <c r="L721" i="1"/>
  <c r="D721" i="1"/>
  <c r="B721" i="1"/>
  <c r="A721" i="1"/>
  <c r="L720" i="1"/>
  <c r="D720" i="1"/>
  <c r="B720" i="1"/>
  <c r="A720" i="1"/>
  <c r="L719" i="1"/>
  <c r="D719" i="1"/>
  <c r="B719" i="1"/>
  <c r="A719" i="1"/>
  <c r="L718" i="1"/>
  <c r="D718" i="1"/>
  <c r="B718" i="1"/>
  <c r="A718" i="1"/>
  <c r="L717" i="1"/>
  <c r="D717" i="1"/>
  <c r="B717" i="1"/>
  <c r="A717" i="1"/>
  <c r="L716" i="1"/>
  <c r="D716" i="1"/>
  <c r="B716" i="1"/>
  <c r="A716" i="1"/>
  <c r="L715" i="1"/>
  <c r="D715" i="1"/>
  <c r="B715" i="1"/>
  <c r="A715" i="1"/>
  <c r="L714" i="1"/>
  <c r="D714" i="1"/>
  <c r="B714" i="1"/>
  <c r="A714" i="1"/>
  <c r="L713" i="1"/>
  <c r="D713" i="1"/>
  <c r="B713" i="1"/>
  <c r="A713" i="1"/>
  <c r="L712" i="1"/>
  <c r="D712" i="1"/>
  <c r="B712" i="1"/>
  <c r="A712" i="1"/>
  <c r="L711" i="1"/>
  <c r="D711" i="1"/>
  <c r="B711" i="1"/>
  <c r="A711" i="1"/>
  <c r="L710" i="1"/>
  <c r="D710" i="1"/>
  <c r="B710" i="1"/>
  <c r="A710" i="1"/>
  <c r="L709" i="1"/>
  <c r="D709" i="1"/>
  <c r="B709" i="1"/>
  <c r="A709" i="1"/>
  <c r="L708" i="1"/>
  <c r="D708" i="1"/>
  <c r="B708" i="1"/>
  <c r="A708" i="1"/>
  <c r="L707" i="1"/>
  <c r="D707" i="1"/>
  <c r="B707" i="1"/>
  <c r="A707" i="1"/>
  <c r="L706" i="1"/>
  <c r="D706" i="1"/>
  <c r="B706" i="1"/>
  <c r="A706" i="1"/>
  <c r="L705" i="1"/>
  <c r="D705" i="1"/>
  <c r="B705" i="1"/>
  <c r="A705" i="1"/>
  <c r="L704" i="1"/>
  <c r="D704" i="1"/>
  <c r="B704" i="1"/>
  <c r="A704" i="1"/>
  <c r="L703" i="1"/>
  <c r="D703" i="1"/>
  <c r="B703" i="1"/>
  <c r="A703" i="1"/>
  <c r="L702" i="1"/>
  <c r="D702" i="1"/>
  <c r="B702" i="1"/>
  <c r="A702" i="1"/>
  <c r="L701" i="1"/>
  <c r="D701" i="1"/>
  <c r="B701" i="1"/>
  <c r="A701" i="1"/>
  <c r="L700" i="1"/>
  <c r="D700" i="1"/>
  <c r="B700" i="1"/>
  <c r="A700" i="1"/>
  <c r="L699" i="1"/>
  <c r="D699" i="1"/>
  <c r="B699" i="1"/>
  <c r="A699" i="1"/>
  <c r="L698" i="1"/>
  <c r="D698" i="1"/>
  <c r="B698" i="1"/>
  <c r="A698" i="1"/>
  <c r="L697" i="1"/>
  <c r="D697" i="1"/>
  <c r="B697" i="1"/>
  <c r="A697" i="1"/>
  <c r="L696" i="1"/>
  <c r="D696" i="1"/>
  <c r="B696" i="1"/>
  <c r="A696" i="1"/>
  <c r="L695" i="1"/>
  <c r="D695" i="1"/>
  <c r="B695" i="1"/>
  <c r="A695" i="1"/>
  <c r="L694" i="1"/>
  <c r="D694" i="1"/>
  <c r="B694" i="1"/>
  <c r="A694" i="1"/>
  <c r="L693" i="1"/>
  <c r="D693" i="1"/>
  <c r="B693" i="1"/>
  <c r="A693" i="1"/>
  <c r="L692" i="1"/>
  <c r="D692" i="1"/>
  <c r="B692" i="1"/>
  <c r="A692" i="1"/>
  <c r="L691" i="1"/>
  <c r="D691" i="1"/>
  <c r="B691" i="1"/>
  <c r="A691" i="1"/>
  <c r="L690" i="1"/>
  <c r="D690" i="1"/>
  <c r="B690" i="1"/>
  <c r="A690" i="1"/>
  <c r="L689" i="1"/>
  <c r="D689" i="1"/>
  <c r="B689" i="1"/>
  <c r="A689" i="1"/>
  <c r="L688" i="1"/>
  <c r="D688" i="1"/>
  <c r="B688" i="1"/>
  <c r="A688" i="1"/>
  <c r="L687" i="1"/>
  <c r="D687" i="1"/>
  <c r="B687" i="1"/>
  <c r="A687" i="1"/>
  <c r="L686" i="1"/>
  <c r="D686" i="1"/>
  <c r="B686" i="1"/>
  <c r="A686" i="1"/>
  <c r="D685" i="1"/>
  <c r="B685" i="1"/>
  <c r="L685" i="1"/>
  <c r="A685" i="1"/>
  <c r="P467" i="7"/>
  <c r="O467" i="7"/>
  <c r="N467" i="7"/>
  <c r="M467" i="7"/>
  <c r="K467" i="7"/>
  <c r="E733" i="1" s="1"/>
  <c r="J467" i="7"/>
  <c r="L467" i="7" s="1"/>
  <c r="F733" i="1" s="1"/>
  <c r="P466" i="7"/>
  <c r="O466" i="7"/>
  <c r="N466" i="7"/>
  <c r="M466" i="7"/>
  <c r="K466" i="7"/>
  <c r="E732" i="1" s="1"/>
  <c r="J466" i="7"/>
  <c r="P465" i="7"/>
  <c r="O465" i="7"/>
  <c r="N465" i="7"/>
  <c r="M465" i="7"/>
  <c r="K465" i="7"/>
  <c r="E731" i="1" s="1"/>
  <c r="J465" i="7"/>
  <c r="L465" i="7" s="1"/>
  <c r="F731" i="1" s="1"/>
  <c r="P464" i="7"/>
  <c r="O464" i="7"/>
  <c r="N464" i="7"/>
  <c r="M464" i="7"/>
  <c r="K464" i="7"/>
  <c r="E730" i="1" s="1"/>
  <c r="J464" i="7"/>
  <c r="P463" i="7"/>
  <c r="O463" i="7"/>
  <c r="N463" i="7"/>
  <c r="M463" i="7"/>
  <c r="K463" i="7"/>
  <c r="E729" i="1" s="1"/>
  <c r="J463" i="7"/>
  <c r="P462" i="7"/>
  <c r="O462" i="7"/>
  <c r="N462" i="7"/>
  <c r="M462" i="7"/>
  <c r="K462" i="7"/>
  <c r="E728" i="1" s="1"/>
  <c r="J462" i="7"/>
  <c r="P461" i="7"/>
  <c r="O461" i="7"/>
  <c r="N461" i="7"/>
  <c r="M461" i="7"/>
  <c r="K461" i="7"/>
  <c r="E727" i="1" s="1"/>
  <c r="J461" i="7"/>
  <c r="L461" i="7" s="1"/>
  <c r="F727" i="1" s="1"/>
  <c r="P460" i="7"/>
  <c r="O460" i="7"/>
  <c r="N460" i="7"/>
  <c r="M460" i="7"/>
  <c r="K460" i="7"/>
  <c r="E726" i="1" s="1"/>
  <c r="J460" i="7"/>
  <c r="C726" i="1" s="1"/>
  <c r="P459" i="7"/>
  <c r="O459" i="7"/>
  <c r="N459" i="7"/>
  <c r="M459" i="7"/>
  <c r="K459" i="7"/>
  <c r="E725" i="1" s="1"/>
  <c r="J459" i="7"/>
  <c r="C725" i="1" s="1"/>
  <c r="P458" i="7"/>
  <c r="O458" i="7"/>
  <c r="N458" i="7"/>
  <c r="M458" i="7"/>
  <c r="K458" i="7"/>
  <c r="E724" i="1" s="1"/>
  <c r="J458" i="7"/>
  <c r="L458" i="7" s="1"/>
  <c r="F724" i="1" s="1"/>
  <c r="P457" i="7"/>
  <c r="O457" i="7"/>
  <c r="N457" i="7"/>
  <c r="M457" i="7"/>
  <c r="K457" i="7"/>
  <c r="E723" i="1" s="1"/>
  <c r="J457" i="7"/>
  <c r="L457" i="7" s="1"/>
  <c r="F723" i="1" s="1"/>
  <c r="P456" i="7"/>
  <c r="O456" i="7"/>
  <c r="N456" i="7"/>
  <c r="M456" i="7"/>
  <c r="K456" i="7"/>
  <c r="E722" i="1" s="1"/>
  <c r="J456" i="7"/>
  <c r="C722" i="1" s="1"/>
  <c r="P455" i="7"/>
  <c r="O455" i="7"/>
  <c r="N455" i="7"/>
  <c r="M455" i="7"/>
  <c r="K455" i="7"/>
  <c r="E721" i="1" s="1"/>
  <c r="J455" i="7"/>
  <c r="P454" i="7"/>
  <c r="O454" i="7"/>
  <c r="N454" i="7"/>
  <c r="M454" i="7"/>
  <c r="K454" i="7"/>
  <c r="E720" i="1" s="1"/>
  <c r="J454" i="7"/>
  <c r="P453" i="7"/>
  <c r="O453" i="7"/>
  <c r="N453" i="7"/>
  <c r="M453" i="7"/>
  <c r="K453" i="7"/>
  <c r="E719" i="1" s="1"/>
  <c r="J453" i="7"/>
  <c r="L453" i="7" s="1"/>
  <c r="F719" i="1" s="1"/>
  <c r="P452" i="7"/>
  <c r="O452" i="7"/>
  <c r="N452" i="7"/>
  <c r="M452" i="7"/>
  <c r="K452" i="7"/>
  <c r="E718" i="1" s="1"/>
  <c r="J452" i="7"/>
  <c r="C718" i="1" s="1"/>
  <c r="P451" i="7"/>
  <c r="O451" i="7"/>
  <c r="N451" i="7"/>
  <c r="M451" i="7"/>
  <c r="K451" i="7"/>
  <c r="E717" i="1" s="1"/>
  <c r="J451" i="7"/>
  <c r="P450" i="7"/>
  <c r="O450" i="7"/>
  <c r="N450" i="7"/>
  <c r="M450" i="7"/>
  <c r="K450" i="7"/>
  <c r="E716" i="1" s="1"/>
  <c r="J450" i="7"/>
  <c r="L450" i="7" s="1"/>
  <c r="F716" i="1" s="1"/>
  <c r="P449" i="7"/>
  <c r="O449" i="7"/>
  <c r="N449" i="7"/>
  <c r="M449" i="7"/>
  <c r="K449" i="7"/>
  <c r="E715" i="1" s="1"/>
  <c r="J449" i="7"/>
  <c r="L449" i="7" s="1"/>
  <c r="F715" i="1" s="1"/>
  <c r="P448" i="7"/>
  <c r="O448" i="7"/>
  <c r="N448" i="7"/>
  <c r="M448" i="7"/>
  <c r="K448" i="7"/>
  <c r="E714" i="1" s="1"/>
  <c r="J448" i="7"/>
  <c r="C714" i="1" s="1"/>
  <c r="P447" i="7"/>
  <c r="O447" i="7"/>
  <c r="N447" i="7"/>
  <c r="M447" i="7"/>
  <c r="K447" i="7"/>
  <c r="E713" i="1" s="1"/>
  <c r="J447" i="7"/>
  <c r="P446" i="7"/>
  <c r="O446" i="7"/>
  <c r="N446" i="7"/>
  <c r="M446" i="7"/>
  <c r="K446" i="7"/>
  <c r="E712" i="1" s="1"/>
  <c r="J446" i="7"/>
  <c r="P445" i="7"/>
  <c r="O445" i="7"/>
  <c r="N445" i="7"/>
  <c r="M445" i="7"/>
  <c r="K445" i="7"/>
  <c r="E711" i="1" s="1"/>
  <c r="J445" i="7"/>
  <c r="L445" i="7" s="1"/>
  <c r="F711" i="1" s="1"/>
  <c r="P444" i="7"/>
  <c r="O444" i="7"/>
  <c r="N444" i="7"/>
  <c r="M444" i="7"/>
  <c r="K444" i="7"/>
  <c r="E710" i="1" s="1"/>
  <c r="J444" i="7"/>
  <c r="C710" i="1" s="1"/>
  <c r="P443" i="7"/>
  <c r="O443" i="7"/>
  <c r="N443" i="7"/>
  <c r="M443" i="7"/>
  <c r="K443" i="7"/>
  <c r="E709" i="1" s="1"/>
  <c r="J443" i="7"/>
  <c r="C709" i="1" s="1"/>
  <c r="P442" i="7"/>
  <c r="O442" i="7"/>
  <c r="N442" i="7"/>
  <c r="M442" i="7"/>
  <c r="K442" i="7"/>
  <c r="E708" i="1" s="1"/>
  <c r="J442" i="7"/>
  <c r="P441" i="7"/>
  <c r="O441" i="7"/>
  <c r="N441" i="7"/>
  <c r="M441" i="7"/>
  <c r="K441" i="7"/>
  <c r="E707" i="1" s="1"/>
  <c r="J441" i="7"/>
  <c r="L441" i="7" s="1"/>
  <c r="F707" i="1" s="1"/>
  <c r="P440" i="7"/>
  <c r="O440" i="7"/>
  <c r="N440" i="7"/>
  <c r="M440" i="7"/>
  <c r="K440" i="7"/>
  <c r="E706" i="1" s="1"/>
  <c r="J440" i="7"/>
  <c r="C706" i="1" s="1"/>
  <c r="P439" i="7"/>
  <c r="O439" i="7"/>
  <c r="N439" i="7"/>
  <c r="M439" i="7"/>
  <c r="K439" i="7"/>
  <c r="E705" i="1" s="1"/>
  <c r="J439" i="7"/>
  <c r="L439" i="7" s="1"/>
  <c r="F705" i="1" s="1"/>
  <c r="P438" i="7"/>
  <c r="O438" i="7"/>
  <c r="N438" i="7"/>
  <c r="M438" i="7"/>
  <c r="K438" i="7"/>
  <c r="E704" i="1" s="1"/>
  <c r="J438" i="7"/>
  <c r="L438" i="7" s="1"/>
  <c r="F704" i="1" s="1"/>
  <c r="P437" i="7"/>
  <c r="O437" i="7"/>
  <c r="N437" i="7"/>
  <c r="M437" i="7"/>
  <c r="K437" i="7"/>
  <c r="E703" i="1" s="1"/>
  <c r="J437" i="7"/>
  <c r="L437" i="7" s="1"/>
  <c r="F703" i="1" s="1"/>
  <c r="P436" i="7"/>
  <c r="O436" i="7"/>
  <c r="N436" i="7"/>
  <c r="M436" i="7"/>
  <c r="K436" i="7"/>
  <c r="E702" i="1" s="1"/>
  <c r="J436" i="7"/>
  <c r="C702" i="1" s="1"/>
  <c r="P435" i="7"/>
  <c r="O435" i="7"/>
  <c r="N435" i="7"/>
  <c r="M435" i="7"/>
  <c r="K435" i="7"/>
  <c r="E701" i="1" s="1"/>
  <c r="J435" i="7"/>
  <c r="L435" i="7" s="1"/>
  <c r="F701" i="1" s="1"/>
  <c r="P434" i="7"/>
  <c r="O434" i="7"/>
  <c r="N434" i="7"/>
  <c r="M434" i="7"/>
  <c r="K434" i="7"/>
  <c r="E700" i="1" s="1"/>
  <c r="J434" i="7"/>
  <c r="L434" i="7" s="1"/>
  <c r="F700" i="1" s="1"/>
  <c r="P433" i="7"/>
  <c r="O433" i="7"/>
  <c r="N433" i="7"/>
  <c r="M433" i="7"/>
  <c r="K433" i="7"/>
  <c r="E699" i="1" s="1"/>
  <c r="J433" i="7"/>
  <c r="P432" i="7"/>
  <c r="O432" i="7"/>
  <c r="N432" i="7"/>
  <c r="M432" i="7"/>
  <c r="K432" i="7"/>
  <c r="E698" i="1" s="1"/>
  <c r="J432" i="7"/>
  <c r="C698" i="1" s="1"/>
  <c r="P431" i="7"/>
  <c r="O431" i="7"/>
  <c r="N431" i="7"/>
  <c r="M431" i="7"/>
  <c r="K431" i="7"/>
  <c r="E697" i="1" s="1"/>
  <c r="J431" i="7"/>
  <c r="L431" i="7" s="1"/>
  <c r="F697" i="1" s="1"/>
  <c r="P430" i="7"/>
  <c r="O430" i="7"/>
  <c r="N430" i="7"/>
  <c r="M430" i="7"/>
  <c r="K430" i="7"/>
  <c r="E696" i="1" s="1"/>
  <c r="J430" i="7"/>
  <c r="L430" i="7" s="1"/>
  <c r="F696" i="1" s="1"/>
  <c r="P429" i="7"/>
  <c r="O429" i="7"/>
  <c r="N429" i="7"/>
  <c r="M429" i="7"/>
  <c r="K429" i="7"/>
  <c r="E695" i="1" s="1"/>
  <c r="J429" i="7"/>
  <c r="L429" i="7" s="1"/>
  <c r="F695" i="1" s="1"/>
  <c r="P428" i="7"/>
  <c r="O428" i="7"/>
  <c r="N428" i="7"/>
  <c r="M428" i="7"/>
  <c r="K428" i="7"/>
  <c r="E694" i="1" s="1"/>
  <c r="J428" i="7"/>
  <c r="C694" i="1" s="1"/>
  <c r="P427" i="7"/>
  <c r="O427" i="7"/>
  <c r="N427" i="7"/>
  <c r="M427" i="7"/>
  <c r="K427" i="7"/>
  <c r="E693" i="1" s="1"/>
  <c r="J427" i="7"/>
  <c r="L427" i="7" s="1"/>
  <c r="F693" i="1" s="1"/>
  <c r="P426" i="7"/>
  <c r="O426" i="7"/>
  <c r="N426" i="7"/>
  <c r="M426" i="7"/>
  <c r="K426" i="7"/>
  <c r="E692" i="1" s="1"/>
  <c r="J426" i="7"/>
  <c r="L426" i="7" s="1"/>
  <c r="F692" i="1" s="1"/>
  <c r="P425" i="7"/>
  <c r="O425" i="7"/>
  <c r="N425" i="7"/>
  <c r="M425" i="7"/>
  <c r="K425" i="7"/>
  <c r="E691" i="1" s="1"/>
  <c r="J425" i="7"/>
  <c r="C691" i="1" s="1"/>
  <c r="P424" i="7"/>
  <c r="O424" i="7"/>
  <c r="N424" i="7"/>
  <c r="M424" i="7"/>
  <c r="K424" i="7"/>
  <c r="E690" i="1" s="1"/>
  <c r="J424" i="7"/>
  <c r="C690" i="1" s="1"/>
  <c r="P423" i="7"/>
  <c r="O423" i="7"/>
  <c r="N423" i="7"/>
  <c r="M423" i="7"/>
  <c r="K423" i="7"/>
  <c r="E689" i="1" s="1"/>
  <c r="J423" i="7"/>
  <c r="L423" i="7" s="1"/>
  <c r="F689" i="1" s="1"/>
  <c r="P422" i="7"/>
  <c r="O422" i="7"/>
  <c r="N422" i="7"/>
  <c r="M422" i="7"/>
  <c r="K422" i="7"/>
  <c r="E688" i="1" s="1"/>
  <c r="J422" i="7"/>
  <c r="L422" i="7" s="1"/>
  <c r="F688" i="1" s="1"/>
  <c r="P421" i="7"/>
  <c r="O421" i="7"/>
  <c r="N421" i="7"/>
  <c r="M421" i="7"/>
  <c r="K421" i="7"/>
  <c r="E687" i="1" s="1"/>
  <c r="J421" i="7"/>
  <c r="L421" i="7" s="1"/>
  <c r="F687" i="1" s="1"/>
  <c r="P420" i="7"/>
  <c r="O420" i="7"/>
  <c r="N420" i="7"/>
  <c r="M420" i="7"/>
  <c r="K420" i="7"/>
  <c r="E686" i="1" s="1"/>
  <c r="J420" i="7"/>
  <c r="C686" i="1" s="1"/>
  <c r="P419" i="7"/>
  <c r="O419" i="7"/>
  <c r="N419" i="7"/>
  <c r="M419" i="7"/>
  <c r="K419" i="7"/>
  <c r="E685" i="1" s="1"/>
  <c r="J419" i="7"/>
  <c r="L419" i="7" s="1"/>
  <c r="F685" i="1" s="1"/>
  <c r="E66" i="2"/>
  <c r="C66" i="2"/>
  <c r="L425" i="7" l="1"/>
  <c r="F691" i="1" s="1"/>
  <c r="L505" i="7"/>
  <c r="F771" i="1" s="1"/>
  <c r="L496" i="7"/>
  <c r="F762" i="1" s="1"/>
  <c r="L558" i="7"/>
  <c r="F824" i="1" s="1"/>
  <c r="L473" i="7"/>
  <c r="F739" i="1" s="1"/>
  <c r="L537" i="7"/>
  <c r="F803" i="1" s="1"/>
  <c r="L549" i="7"/>
  <c r="F815" i="1" s="1"/>
  <c r="C756" i="1"/>
  <c r="C792" i="1"/>
  <c r="C810" i="1"/>
  <c r="C842" i="1"/>
  <c r="C723" i="1"/>
  <c r="C800" i="1"/>
  <c r="C834" i="1"/>
  <c r="L459" i="7"/>
  <c r="F725" i="1" s="1"/>
  <c r="C715" i="1"/>
  <c r="L489" i="7"/>
  <c r="F755" i="1" s="1"/>
  <c r="L521" i="7"/>
  <c r="F787" i="1" s="1"/>
  <c r="C788" i="1"/>
  <c r="L541" i="7"/>
  <c r="F807" i="1" s="1"/>
  <c r="L557" i="7"/>
  <c r="F823" i="1" s="1"/>
  <c r="L573" i="7"/>
  <c r="F839" i="1" s="1"/>
  <c r="C826" i="1"/>
  <c r="L440" i="7"/>
  <c r="F706" i="1" s="1"/>
  <c r="L480" i="7"/>
  <c r="F746" i="1" s="1"/>
  <c r="L512" i="7"/>
  <c r="F778" i="1" s="1"/>
  <c r="C736" i="1"/>
  <c r="L550" i="7"/>
  <c r="F816" i="1" s="1"/>
  <c r="L566" i="7"/>
  <c r="F832" i="1" s="1"/>
  <c r="C818" i="1"/>
  <c r="C806" i="1"/>
  <c r="C814" i="1"/>
  <c r="C838" i="1"/>
  <c r="L424" i="7"/>
  <c r="F690" i="1" s="1"/>
  <c r="C719" i="1"/>
  <c r="C731" i="1"/>
  <c r="L472" i="7"/>
  <c r="F738" i="1" s="1"/>
  <c r="L488" i="7"/>
  <c r="F754" i="1" s="1"/>
  <c r="L504" i="7"/>
  <c r="F770" i="1" s="1"/>
  <c r="L520" i="7"/>
  <c r="F786" i="1" s="1"/>
  <c r="L536" i="7"/>
  <c r="F802" i="1" s="1"/>
  <c r="C744" i="1"/>
  <c r="C752" i="1"/>
  <c r="C772" i="1"/>
  <c r="L538" i="7"/>
  <c r="F804" i="1" s="1"/>
  <c r="L546" i="7"/>
  <c r="F812" i="1" s="1"/>
  <c r="L554" i="7"/>
  <c r="F820" i="1" s="1"/>
  <c r="L562" i="7"/>
  <c r="F828" i="1" s="1"/>
  <c r="L570" i="7"/>
  <c r="F836" i="1" s="1"/>
  <c r="L578" i="7"/>
  <c r="F844" i="1" s="1"/>
  <c r="C805" i="1"/>
  <c r="C809" i="1"/>
  <c r="C813" i="1"/>
  <c r="C817" i="1"/>
  <c r="C821" i="1"/>
  <c r="C825" i="1"/>
  <c r="C829" i="1"/>
  <c r="C833" i="1"/>
  <c r="C837" i="1"/>
  <c r="C841" i="1"/>
  <c r="C845" i="1"/>
  <c r="C822" i="1"/>
  <c r="C830" i="1"/>
  <c r="L443" i="7"/>
  <c r="F709" i="1" s="1"/>
  <c r="C707" i="1"/>
  <c r="L481" i="7"/>
  <c r="F747" i="1" s="1"/>
  <c r="L497" i="7"/>
  <c r="F763" i="1" s="1"/>
  <c r="L513" i="7"/>
  <c r="F779" i="1" s="1"/>
  <c r="L529" i="7"/>
  <c r="F795" i="1" s="1"/>
  <c r="C760" i="1"/>
  <c r="C768" i="1"/>
  <c r="L545" i="7"/>
  <c r="F811" i="1" s="1"/>
  <c r="L553" i="7"/>
  <c r="F819" i="1" s="1"/>
  <c r="L561" i="7"/>
  <c r="F827" i="1" s="1"/>
  <c r="L569" i="7"/>
  <c r="F835" i="1" s="1"/>
  <c r="L577" i="7"/>
  <c r="F843" i="1" s="1"/>
  <c r="C740" i="1"/>
  <c r="C776" i="1"/>
  <c r="C784" i="1"/>
  <c r="C699" i="1"/>
  <c r="L433" i="7"/>
  <c r="F699" i="1" s="1"/>
  <c r="L454" i="7"/>
  <c r="F720" i="1" s="1"/>
  <c r="C720" i="1"/>
  <c r="L447" i="7"/>
  <c r="F713" i="1" s="1"/>
  <c r="C713" i="1"/>
  <c r="L448" i="7"/>
  <c r="F714" i="1" s="1"/>
  <c r="C727" i="1"/>
  <c r="L471" i="7"/>
  <c r="F737" i="1" s="1"/>
  <c r="C737" i="1"/>
  <c r="C742" i="1"/>
  <c r="L476" i="7"/>
  <c r="F742" i="1" s="1"/>
  <c r="L487" i="7"/>
  <c r="F753" i="1" s="1"/>
  <c r="C753" i="1"/>
  <c r="C758" i="1"/>
  <c r="L492" i="7"/>
  <c r="F758" i="1" s="1"/>
  <c r="L503" i="7"/>
  <c r="F769" i="1" s="1"/>
  <c r="C769" i="1"/>
  <c r="C774" i="1"/>
  <c r="L508" i="7"/>
  <c r="F774" i="1" s="1"/>
  <c r="L519" i="7"/>
  <c r="F785" i="1" s="1"/>
  <c r="C785" i="1"/>
  <c r="C790" i="1"/>
  <c r="L524" i="7"/>
  <c r="F790" i="1" s="1"/>
  <c r="L535" i="7"/>
  <c r="F801" i="1" s="1"/>
  <c r="C801" i="1"/>
  <c r="L463" i="7"/>
  <c r="F729" i="1" s="1"/>
  <c r="C729" i="1"/>
  <c r="L432" i="7"/>
  <c r="F698" i="1" s="1"/>
  <c r="L442" i="7"/>
  <c r="F708" i="1" s="1"/>
  <c r="C708" i="1"/>
  <c r="C717" i="1"/>
  <c r="L451" i="7"/>
  <c r="F717" i="1" s="1"/>
  <c r="L455" i="7"/>
  <c r="F721" i="1" s="1"/>
  <c r="C721" i="1"/>
  <c r="L456" i="7"/>
  <c r="F722" i="1" s="1"/>
  <c r="L462" i="7"/>
  <c r="F728" i="1" s="1"/>
  <c r="C728" i="1"/>
  <c r="L464" i="7"/>
  <c r="F730" i="1" s="1"/>
  <c r="C730" i="1"/>
  <c r="L466" i="7"/>
  <c r="F732" i="1" s="1"/>
  <c r="C732" i="1"/>
  <c r="C711" i="1"/>
  <c r="C748" i="1"/>
  <c r="C764" i="1"/>
  <c r="C780" i="1"/>
  <c r="C796" i="1"/>
  <c r="L446" i="7"/>
  <c r="F712" i="1" s="1"/>
  <c r="C712" i="1"/>
  <c r="C734" i="1"/>
  <c r="L468" i="7"/>
  <c r="F734" i="1" s="1"/>
  <c r="L479" i="7"/>
  <c r="F745" i="1" s="1"/>
  <c r="C745" i="1"/>
  <c r="C750" i="1"/>
  <c r="L484" i="7"/>
  <c r="F750" i="1" s="1"/>
  <c r="L495" i="7"/>
  <c r="F761" i="1" s="1"/>
  <c r="C761" i="1"/>
  <c r="C766" i="1"/>
  <c r="L500" i="7"/>
  <c r="F766" i="1" s="1"/>
  <c r="L511" i="7"/>
  <c r="F777" i="1" s="1"/>
  <c r="C777" i="1"/>
  <c r="C782" i="1"/>
  <c r="L516" i="7"/>
  <c r="F782" i="1" s="1"/>
  <c r="L527" i="7"/>
  <c r="F793" i="1" s="1"/>
  <c r="C793" i="1"/>
  <c r="C798" i="1"/>
  <c r="L532" i="7"/>
  <c r="F798" i="1" s="1"/>
  <c r="L469" i="7"/>
  <c r="F735" i="1" s="1"/>
  <c r="L477" i="7"/>
  <c r="F743" i="1" s="1"/>
  <c r="L485" i="7"/>
  <c r="F751" i="1" s="1"/>
  <c r="L493" i="7"/>
  <c r="F759" i="1" s="1"/>
  <c r="L501" i="7"/>
  <c r="F767" i="1" s="1"/>
  <c r="L509" i="7"/>
  <c r="F775" i="1" s="1"/>
  <c r="L517" i="7"/>
  <c r="F783" i="1" s="1"/>
  <c r="L525" i="7"/>
  <c r="F791" i="1" s="1"/>
  <c r="L533" i="7"/>
  <c r="F799" i="1" s="1"/>
  <c r="C733" i="1"/>
  <c r="C716" i="1"/>
  <c r="C724" i="1"/>
  <c r="C741" i="1"/>
  <c r="C749" i="1"/>
  <c r="C757" i="1"/>
  <c r="C765" i="1"/>
  <c r="C773" i="1"/>
  <c r="C781" i="1"/>
  <c r="C789" i="1"/>
  <c r="C797" i="1"/>
  <c r="C687" i="1"/>
  <c r="C695" i="1"/>
  <c r="L420" i="7"/>
  <c r="F686" i="1" s="1"/>
  <c r="L428" i="7"/>
  <c r="F694" i="1" s="1"/>
  <c r="L436" i="7"/>
  <c r="F702" i="1" s="1"/>
  <c r="L444" i="7"/>
  <c r="F710" i="1" s="1"/>
  <c r="L452" i="7"/>
  <c r="F718" i="1" s="1"/>
  <c r="L460" i="7"/>
  <c r="F726" i="1" s="1"/>
  <c r="C685" i="1"/>
  <c r="C688" i="1"/>
  <c r="C692" i="1"/>
  <c r="C696" i="1"/>
  <c r="C700" i="1"/>
  <c r="C704" i="1"/>
  <c r="C703" i="1"/>
  <c r="C689" i="1"/>
  <c r="C693" i="1"/>
  <c r="C697" i="1"/>
  <c r="C701" i="1"/>
  <c r="C705" i="1"/>
  <c r="L684" i="1"/>
  <c r="D684" i="1"/>
  <c r="B684" i="1"/>
  <c r="A684" i="1"/>
  <c r="L683" i="1"/>
  <c r="D683" i="1"/>
  <c r="B683" i="1"/>
  <c r="A683" i="1"/>
  <c r="L682" i="1"/>
  <c r="D682" i="1"/>
  <c r="B682" i="1"/>
  <c r="A682" i="1"/>
  <c r="L681" i="1"/>
  <c r="D681" i="1"/>
  <c r="B681" i="1"/>
  <c r="A681" i="1"/>
  <c r="L680" i="1"/>
  <c r="D680" i="1"/>
  <c r="B680" i="1"/>
  <c r="A680" i="1"/>
  <c r="L679" i="1"/>
  <c r="D679" i="1"/>
  <c r="B679" i="1"/>
  <c r="A679" i="1"/>
  <c r="L678" i="1"/>
  <c r="D678" i="1"/>
  <c r="B678" i="1"/>
  <c r="A678" i="1"/>
  <c r="L677" i="1"/>
  <c r="D677" i="1"/>
  <c r="B677" i="1"/>
  <c r="A677" i="1"/>
  <c r="L676" i="1"/>
  <c r="D676" i="1"/>
  <c r="B676" i="1"/>
  <c r="A676" i="1"/>
  <c r="L675" i="1"/>
  <c r="D675" i="1"/>
  <c r="B675" i="1"/>
  <c r="A675" i="1"/>
  <c r="L674" i="1"/>
  <c r="D674" i="1"/>
  <c r="B674" i="1"/>
  <c r="A674" i="1"/>
  <c r="L673" i="1"/>
  <c r="D673" i="1"/>
  <c r="B673" i="1"/>
  <c r="A673" i="1"/>
  <c r="L672" i="1"/>
  <c r="D672" i="1"/>
  <c r="B672" i="1"/>
  <c r="A672" i="1"/>
  <c r="L671" i="1"/>
  <c r="D671" i="1"/>
  <c r="B671" i="1"/>
  <c r="A671" i="1"/>
  <c r="L670" i="1"/>
  <c r="D670" i="1"/>
  <c r="B670" i="1"/>
  <c r="A670" i="1"/>
  <c r="L669" i="1"/>
  <c r="D669" i="1"/>
  <c r="B669" i="1"/>
  <c r="A669" i="1"/>
  <c r="L668" i="1"/>
  <c r="D668" i="1"/>
  <c r="B668" i="1"/>
  <c r="A668" i="1"/>
  <c r="L667" i="1"/>
  <c r="D667" i="1"/>
  <c r="B667" i="1"/>
  <c r="A667" i="1"/>
  <c r="L666" i="1"/>
  <c r="D666" i="1"/>
  <c r="B666" i="1"/>
  <c r="A666" i="1"/>
  <c r="L665" i="1"/>
  <c r="D665" i="1"/>
  <c r="B665" i="1"/>
  <c r="A665" i="1"/>
  <c r="L664" i="1"/>
  <c r="D664" i="1"/>
  <c r="B664" i="1"/>
  <c r="A664" i="1"/>
  <c r="L663" i="1"/>
  <c r="D663" i="1"/>
  <c r="B663" i="1"/>
  <c r="A663" i="1"/>
  <c r="L662" i="1"/>
  <c r="D662" i="1"/>
  <c r="B662" i="1"/>
  <c r="A662" i="1"/>
  <c r="L661" i="1"/>
  <c r="D661" i="1"/>
  <c r="B661" i="1"/>
  <c r="A661" i="1"/>
  <c r="L660" i="1"/>
  <c r="D660" i="1"/>
  <c r="B660" i="1"/>
  <c r="A660" i="1"/>
  <c r="L659" i="1"/>
  <c r="D659" i="1"/>
  <c r="B659" i="1"/>
  <c r="A659" i="1"/>
  <c r="L658" i="1"/>
  <c r="D658" i="1"/>
  <c r="B658" i="1"/>
  <c r="A658" i="1"/>
  <c r="L657" i="1"/>
  <c r="D657" i="1"/>
  <c r="B657" i="1"/>
  <c r="A657" i="1"/>
  <c r="L656" i="1"/>
  <c r="D656" i="1"/>
  <c r="B656" i="1"/>
  <c r="A656" i="1"/>
  <c r="L655" i="1"/>
  <c r="D655" i="1"/>
  <c r="B655" i="1"/>
  <c r="A655" i="1"/>
  <c r="L654" i="1"/>
  <c r="D654" i="1"/>
  <c r="B654" i="1"/>
  <c r="A654" i="1"/>
  <c r="L653" i="1"/>
  <c r="D653" i="1"/>
  <c r="B653" i="1"/>
  <c r="A653" i="1"/>
  <c r="L652" i="1"/>
  <c r="D652" i="1"/>
  <c r="B652" i="1"/>
  <c r="A652" i="1"/>
  <c r="L651" i="1"/>
  <c r="D651" i="1"/>
  <c r="B651" i="1"/>
  <c r="A651" i="1"/>
  <c r="L650" i="1"/>
  <c r="D650" i="1"/>
  <c r="B650" i="1"/>
  <c r="A650" i="1"/>
  <c r="L649" i="1"/>
  <c r="D649" i="1"/>
  <c r="B649" i="1"/>
  <c r="A649" i="1"/>
  <c r="L648" i="1"/>
  <c r="D648" i="1"/>
  <c r="B648" i="1"/>
  <c r="A648" i="1"/>
  <c r="L647" i="1"/>
  <c r="D647" i="1"/>
  <c r="B647" i="1"/>
  <c r="A647" i="1"/>
  <c r="L646" i="1"/>
  <c r="D646" i="1"/>
  <c r="A646" i="1"/>
  <c r="L645" i="1"/>
  <c r="D645" i="1"/>
  <c r="B645" i="1"/>
  <c r="A645" i="1"/>
  <c r="L644" i="1"/>
  <c r="D644" i="1"/>
  <c r="B644" i="1"/>
  <c r="A644" i="1"/>
  <c r="L643" i="1"/>
  <c r="D643" i="1"/>
  <c r="B643" i="1"/>
  <c r="A643" i="1"/>
  <c r="L642" i="1"/>
  <c r="D642" i="1"/>
  <c r="B642" i="1"/>
  <c r="A642" i="1"/>
  <c r="L641" i="1"/>
  <c r="D641" i="1"/>
  <c r="B641" i="1"/>
  <c r="A641" i="1"/>
  <c r="L640" i="1"/>
  <c r="D640" i="1"/>
  <c r="B640" i="1"/>
  <c r="A640" i="1"/>
  <c r="L639" i="1"/>
  <c r="D639" i="1"/>
  <c r="B639" i="1"/>
  <c r="A639" i="1"/>
  <c r="L638" i="1"/>
  <c r="D638" i="1"/>
  <c r="B638" i="1"/>
  <c r="A638" i="1"/>
  <c r="L637" i="1"/>
  <c r="D637" i="1"/>
  <c r="B637" i="1"/>
  <c r="A637" i="1"/>
  <c r="L636" i="1"/>
  <c r="D636" i="1"/>
  <c r="B636" i="1"/>
  <c r="A636" i="1"/>
  <c r="L635" i="1"/>
  <c r="D635" i="1"/>
  <c r="B635" i="1"/>
  <c r="A635" i="1"/>
  <c r="L634" i="1"/>
  <c r="D634" i="1"/>
  <c r="B634" i="1"/>
  <c r="A634" i="1"/>
  <c r="L633" i="1"/>
  <c r="D633" i="1"/>
  <c r="B633" i="1"/>
  <c r="A633" i="1"/>
  <c r="P418" i="7"/>
  <c r="O418" i="7"/>
  <c r="N418" i="7"/>
  <c r="M418" i="7"/>
  <c r="K418" i="7"/>
  <c r="E684" i="1" s="1"/>
  <c r="J418" i="7"/>
  <c r="L418" i="7" s="1"/>
  <c r="F684" i="1" s="1"/>
  <c r="P417" i="7"/>
  <c r="O417" i="7"/>
  <c r="N417" i="7"/>
  <c r="M417" i="7"/>
  <c r="K417" i="7"/>
  <c r="E683" i="1" s="1"/>
  <c r="J417" i="7"/>
  <c r="L417" i="7" s="1"/>
  <c r="F683" i="1" s="1"/>
  <c r="P416" i="7"/>
  <c r="O416" i="7"/>
  <c r="N416" i="7"/>
  <c r="M416" i="7"/>
  <c r="K416" i="7"/>
  <c r="E682" i="1" s="1"/>
  <c r="J416" i="7"/>
  <c r="L416" i="7" s="1"/>
  <c r="F682" i="1" s="1"/>
  <c r="P415" i="7"/>
  <c r="O415" i="7"/>
  <c r="N415" i="7"/>
  <c r="M415" i="7"/>
  <c r="K415" i="7"/>
  <c r="E681" i="1" s="1"/>
  <c r="J415" i="7"/>
  <c r="L415" i="7" s="1"/>
  <c r="F681" i="1" s="1"/>
  <c r="P414" i="7"/>
  <c r="O414" i="7"/>
  <c r="N414" i="7"/>
  <c r="M414" i="7"/>
  <c r="K414" i="7"/>
  <c r="E680" i="1" s="1"/>
  <c r="J414" i="7"/>
  <c r="L414" i="7" s="1"/>
  <c r="F680" i="1" s="1"/>
  <c r="P413" i="7"/>
  <c r="O413" i="7"/>
  <c r="N413" i="7"/>
  <c r="M413" i="7"/>
  <c r="K413" i="7"/>
  <c r="E679" i="1" s="1"/>
  <c r="J413" i="7"/>
  <c r="L413" i="7" s="1"/>
  <c r="F679" i="1" s="1"/>
  <c r="P412" i="7"/>
  <c r="O412" i="7"/>
  <c r="N412" i="7"/>
  <c r="M412" i="7"/>
  <c r="K412" i="7"/>
  <c r="E678" i="1" s="1"/>
  <c r="J412" i="7"/>
  <c r="L412" i="7" s="1"/>
  <c r="F678" i="1" s="1"/>
  <c r="P411" i="7"/>
  <c r="O411" i="7"/>
  <c r="N411" i="7"/>
  <c r="M411" i="7"/>
  <c r="K411" i="7"/>
  <c r="E677" i="1" s="1"/>
  <c r="J411" i="7"/>
  <c r="L411" i="7" s="1"/>
  <c r="F677" i="1" s="1"/>
  <c r="P410" i="7"/>
  <c r="O410" i="7"/>
  <c r="N410" i="7"/>
  <c r="M410" i="7"/>
  <c r="K410" i="7"/>
  <c r="E676" i="1" s="1"/>
  <c r="J410" i="7"/>
  <c r="L410" i="7" s="1"/>
  <c r="F676" i="1" s="1"/>
  <c r="P409" i="7"/>
  <c r="O409" i="7"/>
  <c r="N409" i="7"/>
  <c r="M409" i="7"/>
  <c r="K409" i="7"/>
  <c r="E675" i="1" s="1"/>
  <c r="J409" i="7"/>
  <c r="L409" i="7" s="1"/>
  <c r="F675" i="1" s="1"/>
  <c r="P408" i="7"/>
  <c r="O408" i="7"/>
  <c r="N408" i="7"/>
  <c r="M408" i="7"/>
  <c r="K408" i="7"/>
  <c r="E674" i="1" s="1"/>
  <c r="J408" i="7"/>
  <c r="C674" i="1" s="1"/>
  <c r="P407" i="7"/>
  <c r="O407" i="7"/>
  <c r="N407" i="7"/>
  <c r="M407" i="7"/>
  <c r="K407" i="7"/>
  <c r="E673" i="1" s="1"/>
  <c r="J407" i="7"/>
  <c r="L407" i="7" s="1"/>
  <c r="F673" i="1" s="1"/>
  <c r="P406" i="7"/>
  <c r="O406" i="7"/>
  <c r="N406" i="7"/>
  <c r="M406" i="7"/>
  <c r="K406" i="7"/>
  <c r="E672" i="1" s="1"/>
  <c r="J406" i="7"/>
  <c r="L406" i="7" s="1"/>
  <c r="F672" i="1" s="1"/>
  <c r="P405" i="7"/>
  <c r="O405" i="7"/>
  <c r="N405" i="7"/>
  <c r="M405" i="7"/>
  <c r="K405" i="7"/>
  <c r="E671" i="1" s="1"/>
  <c r="J405" i="7"/>
  <c r="L405" i="7" s="1"/>
  <c r="F671" i="1" s="1"/>
  <c r="P404" i="7"/>
  <c r="O404" i="7"/>
  <c r="N404" i="7"/>
  <c r="M404" i="7"/>
  <c r="K404" i="7"/>
  <c r="E670" i="1" s="1"/>
  <c r="J404" i="7"/>
  <c r="L404" i="7" s="1"/>
  <c r="F670" i="1" s="1"/>
  <c r="P403" i="7"/>
  <c r="O403" i="7"/>
  <c r="N403" i="7"/>
  <c r="M403" i="7"/>
  <c r="K403" i="7"/>
  <c r="E669" i="1" s="1"/>
  <c r="J403" i="7"/>
  <c r="L403" i="7" s="1"/>
  <c r="F669" i="1" s="1"/>
  <c r="P402" i="7"/>
  <c r="O402" i="7"/>
  <c r="N402" i="7"/>
  <c r="M402" i="7"/>
  <c r="K402" i="7"/>
  <c r="E668" i="1" s="1"/>
  <c r="J402" i="7"/>
  <c r="L402" i="7" s="1"/>
  <c r="F668" i="1" s="1"/>
  <c r="P401" i="7"/>
  <c r="O401" i="7"/>
  <c r="N401" i="7"/>
  <c r="M401" i="7"/>
  <c r="K401" i="7"/>
  <c r="E667" i="1" s="1"/>
  <c r="J401" i="7"/>
  <c r="L401" i="7" s="1"/>
  <c r="F667" i="1" s="1"/>
  <c r="P400" i="7"/>
  <c r="O400" i="7"/>
  <c r="N400" i="7"/>
  <c r="M400" i="7"/>
  <c r="K400" i="7"/>
  <c r="E666" i="1" s="1"/>
  <c r="J400" i="7"/>
  <c r="C666" i="1" s="1"/>
  <c r="P399" i="7"/>
  <c r="O399" i="7"/>
  <c r="N399" i="7"/>
  <c r="M399" i="7"/>
  <c r="K399" i="7"/>
  <c r="E665" i="1" s="1"/>
  <c r="J399" i="7"/>
  <c r="L399" i="7" s="1"/>
  <c r="F665" i="1" s="1"/>
  <c r="P398" i="7"/>
  <c r="O398" i="7"/>
  <c r="N398" i="7"/>
  <c r="M398" i="7"/>
  <c r="K398" i="7"/>
  <c r="E664" i="1" s="1"/>
  <c r="J398" i="7"/>
  <c r="L398" i="7" s="1"/>
  <c r="F664" i="1" s="1"/>
  <c r="P397" i="7"/>
  <c r="O397" i="7"/>
  <c r="N397" i="7"/>
  <c r="M397" i="7"/>
  <c r="K397" i="7"/>
  <c r="E663" i="1" s="1"/>
  <c r="J397" i="7"/>
  <c r="L397" i="7" s="1"/>
  <c r="F663" i="1" s="1"/>
  <c r="P396" i="7"/>
  <c r="O396" i="7"/>
  <c r="N396" i="7"/>
  <c r="M396" i="7"/>
  <c r="K396" i="7"/>
  <c r="E662" i="1" s="1"/>
  <c r="J396" i="7"/>
  <c r="C662" i="1" s="1"/>
  <c r="P395" i="7"/>
  <c r="O395" i="7"/>
  <c r="N395" i="7"/>
  <c r="M395" i="7"/>
  <c r="K395" i="7"/>
  <c r="E661" i="1" s="1"/>
  <c r="J395" i="7"/>
  <c r="L395" i="7" s="1"/>
  <c r="F661" i="1" s="1"/>
  <c r="P394" i="7"/>
  <c r="O394" i="7"/>
  <c r="N394" i="7"/>
  <c r="M394" i="7"/>
  <c r="K394" i="7"/>
  <c r="E660" i="1" s="1"/>
  <c r="J394" i="7"/>
  <c r="L394" i="7" s="1"/>
  <c r="F660" i="1" s="1"/>
  <c r="P393" i="7"/>
  <c r="O393" i="7"/>
  <c r="N393" i="7"/>
  <c r="M393" i="7"/>
  <c r="K393" i="7"/>
  <c r="E659" i="1" s="1"/>
  <c r="J393" i="7"/>
  <c r="L393" i="7" s="1"/>
  <c r="F659" i="1" s="1"/>
  <c r="P392" i="7"/>
  <c r="O392" i="7"/>
  <c r="N392" i="7"/>
  <c r="M392" i="7"/>
  <c r="K392" i="7"/>
  <c r="E658" i="1" s="1"/>
  <c r="J392" i="7"/>
  <c r="C658" i="1" s="1"/>
  <c r="P391" i="7"/>
  <c r="O391" i="7"/>
  <c r="N391" i="7"/>
  <c r="M391" i="7"/>
  <c r="L391" i="7"/>
  <c r="F657" i="1" s="1"/>
  <c r="K391" i="7"/>
  <c r="E657" i="1" s="1"/>
  <c r="J391" i="7"/>
  <c r="C657" i="1" s="1"/>
  <c r="P390" i="7"/>
  <c r="O390" i="7"/>
  <c r="N390" i="7"/>
  <c r="M390" i="7"/>
  <c r="K390" i="7"/>
  <c r="E656" i="1" s="1"/>
  <c r="J390" i="7"/>
  <c r="L390" i="7" s="1"/>
  <c r="F656" i="1" s="1"/>
  <c r="P389" i="7"/>
  <c r="O389" i="7"/>
  <c r="N389" i="7"/>
  <c r="M389" i="7"/>
  <c r="K389" i="7"/>
  <c r="E655" i="1" s="1"/>
  <c r="J389" i="7"/>
  <c r="L389" i="7" s="1"/>
  <c r="F655" i="1" s="1"/>
  <c r="P388" i="7"/>
  <c r="O388" i="7"/>
  <c r="N388" i="7"/>
  <c r="M388" i="7"/>
  <c r="K388" i="7"/>
  <c r="E654" i="1" s="1"/>
  <c r="J388" i="7"/>
  <c r="C654" i="1" s="1"/>
  <c r="P387" i="7"/>
  <c r="O387" i="7"/>
  <c r="N387" i="7"/>
  <c r="M387" i="7"/>
  <c r="K387" i="7"/>
  <c r="E653" i="1" s="1"/>
  <c r="J387" i="7"/>
  <c r="L387" i="7" s="1"/>
  <c r="F653" i="1" s="1"/>
  <c r="P386" i="7"/>
  <c r="O386" i="7"/>
  <c r="N386" i="7"/>
  <c r="M386" i="7"/>
  <c r="K386" i="7"/>
  <c r="E652" i="1" s="1"/>
  <c r="J386" i="7"/>
  <c r="L386" i="7" s="1"/>
  <c r="F652" i="1" s="1"/>
  <c r="P385" i="7"/>
  <c r="O385" i="7"/>
  <c r="N385" i="7"/>
  <c r="M385" i="7"/>
  <c r="K385" i="7"/>
  <c r="E651" i="1" s="1"/>
  <c r="J385" i="7"/>
  <c r="L385" i="7" s="1"/>
  <c r="F651" i="1" s="1"/>
  <c r="P384" i="7"/>
  <c r="O384" i="7"/>
  <c r="N384" i="7"/>
  <c r="M384" i="7"/>
  <c r="K384" i="7"/>
  <c r="E650" i="1" s="1"/>
  <c r="J384" i="7"/>
  <c r="C650" i="1" s="1"/>
  <c r="P383" i="7"/>
  <c r="O383" i="7"/>
  <c r="N383" i="7"/>
  <c r="M383" i="7"/>
  <c r="K383" i="7"/>
  <c r="E649" i="1" s="1"/>
  <c r="J383" i="7"/>
  <c r="C649" i="1" s="1"/>
  <c r="P382" i="7"/>
  <c r="O382" i="7"/>
  <c r="N382" i="7"/>
  <c r="M382" i="7"/>
  <c r="K382" i="7"/>
  <c r="E648" i="1" s="1"/>
  <c r="J382" i="7"/>
  <c r="L382" i="7" s="1"/>
  <c r="F648" i="1" s="1"/>
  <c r="P381" i="7"/>
  <c r="O381" i="7"/>
  <c r="N381" i="7"/>
  <c r="M381" i="7"/>
  <c r="K381" i="7"/>
  <c r="E647" i="1" s="1"/>
  <c r="J381" i="7"/>
  <c r="L381" i="7" s="1"/>
  <c r="F647" i="1" s="1"/>
  <c r="P380" i="7"/>
  <c r="O380" i="7"/>
  <c r="N380" i="7"/>
  <c r="M380" i="7"/>
  <c r="K380" i="7"/>
  <c r="E646" i="1" s="1"/>
  <c r="J380" i="7"/>
  <c r="L380" i="7" s="1"/>
  <c r="F646" i="1" s="1"/>
  <c r="P379" i="7"/>
  <c r="O379" i="7"/>
  <c r="N379" i="7"/>
  <c r="M379" i="7"/>
  <c r="K379" i="7"/>
  <c r="E645" i="1" s="1"/>
  <c r="J379" i="7"/>
  <c r="C645" i="1" s="1"/>
  <c r="P378" i="7"/>
  <c r="O378" i="7"/>
  <c r="N378" i="7"/>
  <c r="M378" i="7"/>
  <c r="K378" i="7"/>
  <c r="E644" i="1" s="1"/>
  <c r="J378" i="7"/>
  <c r="L378" i="7" s="1"/>
  <c r="F644" i="1" s="1"/>
  <c r="P377" i="7"/>
  <c r="O377" i="7"/>
  <c r="N377" i="7"/>
  <c r="M377" i="7"/>
  <c r="K377" i="7"/>
  <c r="E643" i="1" s="1"/>
  <c r="J377" i="7"/>
  <c r="L377" i="7" s="1"/>
  <c r="F643" i="1" s="1"/>
  <c r="P376" i="7"/>
  <c r="O376" i="7"/>
  <c r="N376" i="7"/>
  <c r="M376" i="7"/>
  <c r="K376" i="7"/>
  <c r="E642" i="1" s="1"/>
  <c r="J376" i="7"/>
  <c r="C642" i="1" s="1"/>
  <c r="P375" i="7"/>
  <c r="O375" i="7"/>
  <c r="N375" i="7"/>
  <c r="M375" i="7"/>
  <c r="K375" i="7"/>
  <c r="E641" i="1" s="1"/>
  <c r="J375" i="7"/>
  <c r="C641" i="1" s="1"/>
  <c r="P374" i="7"/>
  <c r="O374" i="7"/>
  <c r="N374" i="7"/>
  <c r="M374" i="7"/>
  <c r="K374" i="7"/>
  <c r="E640" i="1" s="1"/>
  <c r="J374" i="7"/>
  <c r="L374" i="7" s="1"/>
  <c r="F640" i="1" s="1"/>
  <c r="P373" i="7"/>
  <c r="O373" i="7"/>
  <c r="N373" i="7"/>
  <c r="M373" i="7"/>
  <c r="K373" i="7"/>
  <c r="E639" i="1" s="1"/>
  <c r="J373" i="7"/>
  <c r="L373" i="7" s="1"/>
  <c r="F639" i="1" s="1"/>
  <c r="P372" i="7"/>
  <c r="O372" i="7"/>
  <c r="N372" i="7"/>
  <c r="M372" i="7"/>
  <c r="K372" i="7"/>
  <c r="E638" i="1" s="1"/>
  <c r="J372" i="7"/>
  <c r="L372" i="7" s="1"/>
  <c r="F638" i="1" s="1"/>
  <c r="P371" i="7"/>
  <c r="O371" i="7"/>
  <c r="N371" i="7"/>
  <c r="M371" i="7"/>
  <c r="K371" i="7"/>
  <c r="E637" i="1" s="1"/>
  <c r="J371" i="7"/>
  <c r="C637" i="1" s="1"/>
  <c r="P370" i="7"/>
  <c r="O370" i="7"/>
  <c r="N370" i="7"/>
  <c r="M370" i="7"/>
  <c r="K370" i="7"/>
  <c r="E636" i="1" s="1"/>
  <c r="J370" i="7"/>
  <c r="L370" i="7" s="1"/>
  <c r="F636" i="1" s="1"/>
  <c r="P369" i="7"/>
  <c r="O369" i="7"/>
  <c r="N369" i="7"/>
  <c r="M369" i="7"/>
  <c r="K369" i="7"/>
  <c r="E635" i="1" s="1"/>
  <c r="J369" i="7"/>
  <c r="L369" i="7" s="1"/>
  <c r="F635" i="1" s="1"/>
  <c r="P368" i="7"/>
  <c r="O368" i="7"/>
  <c r="N368" i="7"/>
  <c r="M368" i="7"/>
  <c r="K368" i="7"/>
  <c r="E634" i="1" s="1"/>
  <c r="J368" i="7"/>
  <c r="C634" i="1" s="1"/>
  <c r="P367" i="7"/>
  <c r="O367" i="7"/>
  <c r="N367" i="7"/>
  <c r="M367" i="7"/>
  <c r="K367" i="7"/>
  <c r="E633" i="1" s="1"/>
  <c r="J367" i="7"/>
  <c r="L367" i="7" s="1"/>
  <c r="F633" i="1" s="1"/>
  <c r="E65" i="2"/>
  <c r="C65" i="2"/>
  <c r="L384" i="7" l="1"/>
  <c r="F650" i="1" s="1"/>
  <c r="L379" i="7"/>
  <c r="F645" i="1" s="1"/>
  <c r="L368" i="7"/>
  <c r="F634" i="1" s="1"/>
  <c r="L408" i="7"/>
  <c r="F674" i="1" s="1"/>
  <c r="C656" i="1"/>
  <c r="C683" i="1"/>
  <c r="L376" i="7"/>
  <c r="F642" i="1" s="1"/>
  <c r="L383" i="7"/>
  <c r="F649" i="1" s="1"/>
  <c r="L371" i="7"/>
  <c r="F637" i="1" s="1"/>
  <c r="L392" i="7"/>
  <c r="F658" i="1" s="1"/>
  <c r="C659" i="1"/>
  <c r="C670" i="1"/>
  <c r="C646" i="1"/>
  <c r="C661" i="1"/>
  <c r="C639" i="1"/>
  <c r="C678" i="1"/>
  <c r="C633" i="1"/>
  <c r="C636" i="1"/>
  <c r="C638" i="1"/>
  <c r="C648" i="1"/>
  <c r="C651" i="1"/>
  <c r="C653" i="1"/>
  <c r="C663" i="1"/>
  <c r="C665" i="1"/>
  <c r="C667" i="1"/>
  <c r="C672" i="1"/>
  <c r="C675" i="1"/>
  <c r="C677" i="1"/>
  <c r="C680" i="1"/>
  <c r="C682" i="1"/>
  <c r="L375" i="7"/>
  <c r="F641" i="1" s="1"/>
  <c r="L388" i="7"/>
  <c r="F654" i="1" s="1"/>
  <c r="L396" i="7"/>
  <c r="F662" i="1" s="1"/>
  <c r="C640" i="1"/>
  <c r="C643" i="1"/>
  <c r="C655" i="1"/>
  <c r="C660" i="1"/>
  <c r="C669" i="1"/>
  <c r="C684" i="1"/>
  <c r="C644" i="1"/>
  <c r="L400" i="7"/>
  <c r="F666" i="1" s="1"/>
  <c r="C635" i="1"/>
  <c r="C647" i="1"/>
  <c r="C652" i="1"/>
  <c r="C664" i="1"/>
  <c r="C668" i="1"/>
  <c r="C671" i="1"/>
  <c r="C673" i="1"/>
  <c r="C676" i="1"/>
  <c r="C679" i="1"/>
  <c r="C681" i="1"/>
  <c r="L632" i="1"/>
  <c r="D632" i="1"/>
  <c r="B632" i="1"/>
  <c r="A632" i="1"/>
  <c r="L631" i="1"/>
  <c r="D631" i="1"/>
  <c r="B631" i="1"/>
  <c r="A631" i="1"/>
  <c r="L630" i="1"/>
  <c r="D630" i="1"/>
  <c r="B630" i="1"/>
  <c r="A630" i="1"/>
  <c r="L629" i="1"/>
  <c r="D629" i="1"/>
  <c r="B629" i="1"/>
  <c r="A629" i="1"/>
  <c r="L628" i="1"/>
  <c r="D628" i="1"/>
  <c r="B628" i="1"/>
  <c r="A628" i="1"/>
  <c r="L627" i="1"/>
  <c r="D627" i="1"/>
  <c r="B627" i="1"/>
  <c r="A627" i="1"/>
  <c r="L626" i="1"/>
  <c r="D626" i="1"/>
  <c r="B626" i="1"/>
  <c r="A626" i="1"/>
  <c r="L625" i="1"/>
  <c r="D625" i="1"/>
  <c r="B625" i="1"/>
  <c r="A625" i="1"/>
  <c r="L624" i="1"/>
  <c r="D624" i="1"/>
  <c r="B624" i="1"/>
  <c r="A624" i="1"/>
  <c r="L623" i="1"/>
  <c r="D623" i="1"/>
  <c r="B623" i="1"/>
  <c r="A623" i="1"/>
  <c r="L622" i="1"/>
  <c r="D622" i="1"/>
  <c r="B622" i="1"/>
  <c r="A622" i="1"/>
  <c r="L621" i="1"/>
  <c r="D621" i="1"/>
  <c r="B621" i="1"/>
  <c r="A621" i="1"/>
  <c r="L620" i="1"/>
  <c r="D620" i="1"/>
  <c r="B620" i="1"/>
  <c r="A620" i="1"/>
  <c r="L619" i="1"/>
  <c r="D619" i="1"/>
  <c r="B619" i="1"/>
  <c r="A619" i="1"/>
  <c r="L618" i="1"/>
  <c r="D618" i="1"/>
  <c r="B618" i="1"/>
  <c r="A618" i="1"/>
  <c r="L617" i="1"/>
  <c r="D617" i="1"/>
  <c r="B617" i="1"/>
  <c r="A617" i="1"/>
  <c r="L616" i="1"/>
  <c r="D616" i="1"/>
  <c r="B616" i="1"/>
  <c r="A616" i="1"/>
  <c r="L615" i="1"/>
  <c r="D615" i="1"/>
  <c r="B615" i="1"/>
  <c r="A615" i="1"/>
  <c r="L614" i="1"/>
  <c r="D614" i="1"/>
  <c r="B614" i="1"/>
  <c r="A614" i="1"/>
  <c r="L613" i="1"/>
  <c r="D613" i="1"/>
  <c r="B613" i="1"/>
  <c r="A613" i="1"/>
  <c r="L612" i="1"/>
  <c r="D612" i="1"/>
  <c r="B612" i="1"/>
  <c r="A612" i="1"/>
  <c r="L611" i="1"/>
  <c r="D611" i="1"/>
  <c r="B611" i="1"/>
  <c r="A611" i="1"/>
  <c r="L610" i="1"/>
  <c r="D610" i="1"/>
  <c r="B610" i="1"/>
  <c r="A610" i="1"/>
  <c r="L609" i="1"/>
  <c r="D609" i="1"/>
  <c r="B609" i="1"/>
  <c r="A609" i="1"/>
  <c r="L608" i="1"/>
  <c r="D608" i="1"/>
  <c r="B608" i="1"/>
  <c r="A608" i="1"/>
  <c r="L607" i="1"/>
  <c r="D607" i="1"/>
  <c r="B607" i="1"/>
  <c r="A607" i="1"/>
  <c r="L606" i="1"/>
  <c r="D606" i="1"/>
  <c r="B606" i="1"/>
  <c r="A606" i="1"/>
  <c r="L605" i="1"/>
  <c r="D605" i="1"/>
  <c r="B605" i="1"/>
  <c r="A605" i="1"/>
  <c r="L604" i="1"/>
  <c r="D604" i="1"/>
  <c r="B604" i="1"/>
  <c r="A604" i="1"/>
  <c r="L603" i="1"/>
  <c r="D603" i="1"/>
  <c r="B603" i="1"/>
  <c r="A603" i="1"/>
  <c r="L602" i="1"/>
  <c r="D602" i="1"/>
  <c r="B602" i="1"/>
  <c r="A602" i="1"/>
  <c r="L601" i="1"/>
  <c r="D601" i="1"/>
  <c r="B601" i="1"/>
  <c r="A601" i="1"/>
  <c r="L600" i="1"/>
  <c r="D600" i="1"/>
  <c r="B600" i="1"/>
  <c r="A600" i="1"/>
  <c r="L599" i="1"/>
  <c r="D599" i="1"/>
  <c r="B599" i="1"/>
  <c r="A599" i="1"/>
  <c r="L598" i="1"/>
  <c r="D598" i="1"/>
  <c r="B598" i="1"/>
  <c r="A598" i="1"/>
  <c r="L597" i="1"/>
  <c r="D597" i="1"/>
  <c r="B597" i="1"/>
  <c r="A597" i="1"/>
  <c r="L596" i="1"/>
  <c r="D596" i="1"/>
  <c r="B596" i="1"/>
  <c r="A596" i="1"/>
  <c r="L595" i="1"/>
  <c r="D595" i="1"/>
  <c r="B595" i="1"/>
  <c r="A595" i="1"/>
  <c r="L594" i="1"/>
  <c r="D594" i="1"/>
  <c r="B594" i="1"/>
  <c r="A594" i="1"/>
  <c r="L593" i="1"/>
  <c r="D593" i="1"/>
  <c r="B593" i="1"/>
  <c r="A593" i="1"/>
  <c r="L592" i="1"/>
  <c r="D592" i="1"/>
  <c r="B592" i="1"/>
  <c r="A592" i="1"/>
  <c r="L591" i="1"/>
  <c r="D591" i="1"/>
  <c r="B591" i="1"/>
  <c r="A591" i="1"/>
  <c r="L590" i="1"/>
  <c r="D590" i="1"/>
  <c r="B590" i="1"/>
  <c r="A590" i="1"/>
  <c r="L589" i="1"/>
  <c r="D589" i="1"/>
  <c r="B589" i="1"/>
  <c r="A589" i="1"/>
  <c r="L588" i="1"/>
  <c r="D588" i="1"/>
  <c r="B588" i="1"/>
  <c r="A588" i="1"/>
  <c r="L587" i="1"/>
  <c r="D587" i="1"/>
  <c r="B587" i="1"/>
  <c r="A587" i="1"/>
  <c r="L586" i="1"/>
  <c r="D586" i="1"/>
  <c r="B586" i="1"/>
  <c r="A586" i="1"/>
  <c r="L585" i="1"/>
  <c r="D585" i="1"/>
  <c r="B585" i="1"/>
  <c r="A585" i="1"/>
  <c r="L584" i="1"/>
  <c r="D584" i="1"/>
  <c r="B584" i="1"/>
  <c r="A584" i="1"/>
  <c r="L583" i="1"/>
  <c r="D583" i="1"/>
  <c r="B583" i="1"/>
  <c r="A583" i="1"/>
  <c r="L582" i="1"/>
  <c r="D582" i="1"/>
  <c r="B582" i="1"/>
  <c r="A582" i="1"/>
  <c r="L581" i="1"/>
  <c r="D581" i="1"/>
  <c r="B581" i="1"/>
  <c r="A581" i="1"/>
  <c r="L580" i="1"/>
  <c r="D580" i="1"/>
  <c r="B580" i="1"/>
  <c r="A580" i="1"/>
  <c r="L579" i="1"/>
  <c r="D579" i="1"/>
  <c r="B579" i="1"/>
  <c r="A579" i="1"/>
  <c r="L578" i="1"/>
  <c r="D578" i="1"/>
  <c r="B578" i="1"/>
  <c r="A578" i="1"/>
  <c r="L577" i="1"/>
  <c r="D577" i="1"/>
  <c r="B577" i="1"/>
  <c r="A577" i="1"/>
  <c r="L576" i="1"/>
  <c r="D576" i="1"/>
  <c r="B576" i="1"/>
  <c r="A576" i="1"/>
  <c r="L575" i="1"/>
  <c r="D575" i="1"/>
  <c r="B575" i="1"/>
  <c r="A575" i="1"/>
  <c r="L574" i="1"/>
  <c r="D574" i="1"/>
  <c r="B574" i="1"/>
  <c r="A574" i="1"/>
  <c r="L573" i="1"/>
  <c r="D573" i="1"/>
  <c r="B573" i="1"/>
  <c r="A573" i="1"/>
  <c r="L572" i="1"/>
  <c r="D572" i="1"/>
  <c r="B572" i="1"/>
  <c r="A572" i="1"/>
  <c r="L571" i="1"/>
  <c r="D571" i="1"/>
  <c r="B571" i="1"/>
  <c r="A571" i="1"/>
  <c r="L570" i="1"/>
  <c r="D570" i="1"/>
  <c r="B570" i="1"/>
  <c r="A570" i="1"/>
  <c r="L569" i="1"/>
  <c r="D569" i="1"/>
  <c r="B569" i="1"/>
  <c r="A569" i="1"/>
  <c r="L568" i="1"/>
  <c r="D568" i="1"/>
  <c r="B568" i="1"/>
  <c r="A568" i="1"/>
  <c r="L567" i="1"/>
  <c r="D567" i="1"/>
  <c r="B567" i="1"/>
  <c r="A567" i="1"/>
  <c r="L566" i="1"/>
  <c r="D566" i="1"/>
  <c r="B566" i="1"/>
  <c r="A566" i="1"/>
  <c r="L565" i="1"/>
  <c r="D565" i="1"/>
  <c r="B565" i="1"/>
  <c r="A565" i="1"/>
  <c r="L564" i="1"/>
  <c r="D564" i="1"/>
  <c r="B564" i="1"/>
  <c r="A564" i="1"/>
  <c r="L563" i="1"/>
  <c r="D563" i="1"/>
  <c r="B563" i="1"/>
  <c r="A563" i="1"/>
  <c r="L562" i="1"/>
  <c r="D562" i="1"/>
  <c r="B562" i="1"/>
  <c r="A562" i="1"/>
  <c r="L561" i="1"/>
  <c r="D561" i="1"/>
  <c r="B561" i="1"/>
  <c r="A561" i="1"/>
  <c r="L560" i="1"/>
  <c r="D560" i="1"/>
  <c r="B560" i="1"/>
  <c r="A560" i="1"/>
  <c r="P366" i="7"/>
  <c r="O366" i="7"/>
  <c r="N366" i="7"/>
  <c r="M366" i="7"/>
  <c r="K366" i="7"/>
  <c r="E632" i="1" s="1"/>
  <c r="J366" i="7"/>
  <c r="L366" i="7" s="1"/>
  <c r="F632" i="1" s="1"/>
  <c r="P365" i="7"/>
  <c r="O365" i="7"/>
  <c r="N365" i="7"/>
  <c r="M365" i="7"/>
  <c r="K365" i="7"/>
  <c r="E631" i="1" s="1"/>
  <c r="J365" i="7"/>
  <c r="C631" i="1" s="1"/>
  <c r="P364" i="7"/>
  <c r="O364" i="7"/>
  <c r="N364" i="7"/>
  <c r="M364" i="7"/>
  <c r="K364" i="7"/>
  <c r="E630" i="1" s="1"/>
  <c r="J364" i="7"/>
  <c r="L364" i="7" s="1"/>
  <c r="F630" i="1" s="1"/>
  <c r="P363" i="7"/>
  <c r="O363" i="7"/>
  <c r="N363" i="7"/>
  <c r="M363" i="7"/>
  <c r="K363" i="7"/>
  <c r="E629" i="1" s="1"/>
  <c r="J363" i="7"/>
  <c r="L363" i="7" s="1"/>
  <c r="F629" i="1" s="1"/>
  <c r="P362" i="7"/>
  <c r="O362" i="7"/>
  <c r="N362" i="7"/>
  <c r="M362" i="7"/>
  <c r="K362" i="7"/>
  <c r="E628" i="1" s="1"/>
  <c r="J362" i="7"/>
  <c r="L362" i="7" s="1"/>
  <c r="F628" i="1" s="1"/>
  <c r="P361" i="7"/>
  <c r="O361" i="7"/>
  <c r="N361" i="7"/>
  <c r="M361" i="7"/>
  <c r="K361" i="7"/>
  <c r="E627" i="1" s="1"/>
  <c r="J361" i="7"/>
  <c r="C627" i="1" s="1"/>
  <c r="P360" i="7"/>
  <c r="O360" i="7"/>
  <c r="N360" i="7"/>
  <c r="M360" i="7"/>
  <c r="K360" i="7"/>
  <c r="E626" i="1" s="1"/>
  <c r="J360" i="7"/>
  <c r="L360" i="7" s="1"/>
  <c r="F626" i="1" s="1"/>
  <c r="P359" i="7"/>
  <c r="O359" i="7"/>
  <c r="N359" i="7"/>
  <c r="M359" i="7"/>
  <c r="K359" i="7"/>
  <c r="E625" i="1" s="1"/>
  <c r="J359" i="7"/>
  <c r="L359" i="7" s="1"/>
  <c r="F625" i="1" s="1"/>
  <c r="P358" i="7"/>
  <c r="O358" i="7"/>
  <c r="N358" i="7"/>
  <c r="M358" i="7"/>
  <c r="K358" i="7"/>
  <c r="E624" i="1" s="1"/>
  <c r="J358" i="7"/>
  <c r="L358" i="7" s="1"/>
  <c r="F624" i="1" s="1"/>
  <c r="P357" i="7"/>
  <c r="O357" i="7"/>
  <c r="N357" i="7"/>
  <c r="M357" i="7"/>
  <c r="K357" i="7"/>
  <c r="E623" i="1" s="1"/>
  <c r="J357" i="7"/>
  <c r="C623" i="1" s="1"/>
  <c r="P356" i="7"/>
  <c r="O356" i="7"/>
  <c r="N356" i="7"/>
  <c r="M356" i="7"/>
  <c r="K356" i="7"/>
  <c r="E622" i="1" s="1"/>
  <c r="J356" i="7"/>
  <c r="L356" i="7" s="1"/>
  <c r="F622" i="1" s="1"/>
  <c r="P355" i="7"/>
  <c r="O355" i="7"/>
  <c r="N355" i="7"/>
  <c r="M355" i="7"/>
  <c r="K355" i="7"/>
  <c r="E621" i="1" s="1"/>
  <c r="J355" i="7"/>
  <c r="L355" i="7" s="1"/>
  <c r="F621" i="1" s="1"/>
  <c r="P354" i="7"/>
  <c r="O354" i="7"/>
  <c r="N354" i="7"/>
  <c r="M354" i="7"/>
  <c r="K354" i="7"/>
  <c r="E620" i="1" s="1"/>
  <c r="J354" i="7"/>
  <c r="L354" i="7" s="1"/>
  <c r="F620" i="1" s="1"/>
  <c r="P353" i="7"/>
  <c r="O353" i="7"/>
  <c r="N353" i="7"/>
  <c r="M353" i="7"/>
  <c r="K353" i="7"/>
  <c r="E619" i="1" s="1"/>
  <c r="J353" i="7"/>
  <c r="C619" i="1" s="1"/>
  <c r="P352" i="7"/>
  <c r="O352" i="7"/>
  <c r="N352" i="7"/>
  <c r="M352" i="7"/>
  <c r="K352" i="7"/>
  <c r="E618" i="1" s="1"/>
  <c r="J352" i="7"/>
  <c r="C618" i="1" s="1"/>
  <c r="P351" i="7"/>
  <c r="O351" i="7"/>
  <c r="N351" i="7"/>
  <c r="M351" i="7"/>
  <c r="K351" i="7"/>
  <c r="E617" i="1" s="1"/>
  <c r="J351" i="7"/>
  <c r="L351" i="7" s="1"/>
  <c r="F617" i="1" s="1"/>
  <c r="P350" i="7"/>
  <c r="O350" i="7"/>
  <c r="N350" i="7"/>
  <c r="M350" i="7"/>
  <c r="K350" i="7"/>
  <c r="E616" i="1" s="1"/>
  <c r="J350" i="7"/>
  <c r="L350" i="7" s="1"/>
  <c r="F616" i="1" s="1"/>
  <c r="P349" i="7"/>
  <c r="O349" i="7"/>
  <c r="N349" i="7"/>
  <c r="M349" i="7"/>
  <c r="K349" i="7"/>
  <c r="E615" i="1" s="1"/>
  <c r="J349" i="7"/>
  <c r="C615" i="1" s="1"/>
  <c r="P348" i="7"/>
  <c r="O348" i="7"/>
  <c r="N348" i="7"/>
  <c r="M348" i="7"/>
  <c r="K348" i="7"/>
  <c r="E614" i="1" s="1"/>
  <c r="J348" i="7"/>
  <c r="L348" i="7" s="1"/>
  <c r="F614" i="1" s="1"/>
  <c r="P347" i="7"/>
  <c r="O347" i="7"/>
  <c r="N347" i="7"/>
  <c r="M347" i="7"/>
  <c r="K347" i="7"/>
  <c r="E613" i="1" s="1"/>
  <c r="J347" i="7"/>
  <c r="L347" i="7" s="1"/>
  <c r="F613" i="1" s="1"/>
  <c r="P346" i="7"/>
  <c r="O346" i="7"/>
  <c r="N346" i="7"/>
  <c r="M346" i="7"/>
  <c r="K346" i="7"/>
  <c r="E612" i="1" s="1"/>
  <c r="J346" i="7"/>
  <c r="L346" i="7" s="1"/>
  <c r="F612" i="1" s="1"/>
  <c r="P345" i="7"/>
  <c r="O345" i="7"/>
  <c r="N345" i="7"/>
  <c r="M345" i="7"/>
  <c r="K345" i="7"/>
  <c r="E611" i="1" s="1"/>
  <c r="J345" i="7"/>
  <c r="C611" i="1" s="1"/>
  <c r="P344" i="7"/>
  <c r="O344" i="7"/>
  <c r="N344" i="7"/>
  <c r="M344" i="7"/>
  <c r="K344" i="7"/>
  <c r="E610" i="1" s="1"/>
  <c r="J344" i="7"/>
  <c r="L344" i="7" s="1"/>
  <c r="F610" i="1" s="1"/>
  <c r="P343" i="7"/>
  <c r="O343" i="7"/>
  <c r="N343" i="7"/>
  <c r="M343" i="7"/>
  <c r="K343" i="7"/>
  <c r="E609" i="1" s="1"/>
  <c r="J343" i="7"/>
  <c r="L343" i="7" s="1"/>
  <c r="F609" i="1" s="1"/>
  <c r="P342" i="7"/>
  <c r="O342" i="7"/>
  <c r="N342" i="7"/>
  <c r="M342" i="7"/>
  <c r="K342" i="7"/>
  <c r="E608" i="1" s="1"/>
  <c r="J342" i="7"/>
  <c r="L342" i="7" s="1"/>
  <c r="F608" i="1" s="1"/>
  <c r="P341" i="7"/>
  <c r="O341" i="7"/>
  <c r="N341" i="7"/>
  <c r="M341" i="7"/>
  <c r="K341" i="7"/>
  <c r="E607" i="1" s="1"/>
  <c r="J341" i="7"/>
  <c r="C607" i="1" s="1"/>
  <c r="P340" i="7"/>
  <c r="O340" i="7"/>
  <c r="N340" i="7"/>
  <c r="M340" i="7"/>
  <c r="K340" i="7"/>
  <c r="E606" i="1" s="1"/>
  <c r="J340" i="7"/>
  <c r="L340" i="7" s="1"/>
  <c r="F606" i="1" s="1"/>
  <c r="P339" i="7"/>
  <c r="O339" i="7"/>
  <c r="N339" i="7"/>
  <c r="M339" i="7"/>
  <c r="K339" i="7"/>
  <c r="E605" i="1" s="1"/>
  <c r="J339" i="7"/>
  <c r="L339" i="7" s="1"/>
  <c r="F605" i="1" s="1"/>
  <c r="P338" i="7"/>
  <c r="O338" i="7"/>
  <c r="N338" i="7"/>
  <c r="M338" i="7"/>
  <c r="K338" i="7"/>
  <c r="E604" i="1" s="1"/>
  <c r="J338" i="7"/>
  <c r="L338" i="7" s="1"/>
  <c r="F604" i="1" s="1"/>
  <c r="P337" i="7"/>
  <c r="O337" i="7"/>
  <c r="N337" i="7"/>
  <c r="M337" i="7"/>
  <c r="K337" i="7"/>
  <c r="E603" i="1" s="1"/>
  <c r="J337" i="7"/>
  <c r="C603" i="1" s="1"/>
  <c r="P336" i="7"/>
  <c r="O336" i="7"/>
  <c r="N336" i="7"/>
  <c r="M336" i="7"/>
  <c r="K336" i="7"/>
  <c r="E602" i="1" s="1"/>
  <c r="J336" i="7"/>
  <c r="C602" i="1" s="1"/>
  <c r="P335" i="7"/>
  <c r="O335" i="7"/>
  <c r="N335" i="7"/>
  <c r="M335" i="7"/>
  <c r="K335" i="7"/>
  <c r="E601" i="1" s="1"/>
  <c r="J335" i="7"/>
  <c r="L335" i="7" s="1"/>
  <c r="F601" i="1" s="1"/>
  <c r="P334" i="7"/>
  <c r="O334" i="7"/>
  <c r="N334" i="7"/>
  <c r="M334" i="7"/>
  <c r="K334" i="7"/>
  <c r="E600" i="1" s="1"/>
  <c r="J334" i="7"/>
  <c r="L334" i="7" s="1"/>
  <c r="F600" i="1" s="1"/>
  <c r="P333" i="7"/>
  <c r="O333" i="7"/>
  <c r="N333" i="7"/>
  <c r="M333" i="7"/>
  <c r="K333" i="7"/>
  <c r="E599" i="1" s="1"/>
  <c r="J333" i="7"/>
  <c r="C599" i="1" s="1"/>
  <c r="P332" i="7"/>
  <c r="O332" i="7"/>
  <c r="N332" i="7"/>
  <c r="M332" i="7"/>
  <c r="K332" i="7"/>
  <c r="E598" i="1" s="1"/>
  <c r="J332" i="7"/>
  <c r="L332" i="7" s="1"/>
  <c r="F598" i="1" s="1"/>
  <c r="P331" i="7"/>
  <c r="O331" i="7"/>
  <c r="N331" i="7"/>
  <c r="M331" i="7"/>
  <c r="K331" i="7"/>
  <c r="E597" i="1" s="1"/>
  <c r="J331" i="7"/>
  <c r="L331" i="7" s="1"/>
  <c r="F597" i="1" s="1"/>
  <c r="P330" i="7"/>
  <c r="O330" i="7"/>
  <c r="N330" i="7"/>
  <c r="M330" i="7"/>
  <c r="K330" i="7"/>
  <c r="E596" i="1" s="1"/>
  <c r="J330" i="7"/>
  <c r="L330" i="7" s="1"/>
  <c r="F596" i="1" s="1"/>
  <c r="P329" i="7"/>
  <c r="O329" i="7"/>
  <c r="N329" i="7"/>
  <c r="M329" i="7"/>
  <c r="K329" i="7"/>
  <c r="E595" i="1" s="1"/>
  <c r="J329" i="7"/>
  <c r="C595" i="1" s="1"/>
  <c r="P328" i="7"/>
  <c r="O328" i="7"/>
  <c r="N328" i="7"/>
  <c r="M328" i="7"/>
  <c r="K328" i="7"/>
  <c r="E594" i="1" s="1"/>
  <c r="J328" i="7"/>
  <c r="L328" i="7" s="1"/>
  <c r="F594" i="1" s="1"/>
  <c r="P327" i="7"/>
  <c r="O327" i="7"/>
  <c r="N327" i="7"/>
  <c r="M327" i="7"/>
  <c r="K327" i="7"/>
  <c r="E593" i="1" s="1"/>
  <c r="J327" i="7"/>
  <c r="L327" i="7" s="1"/>
  <c r="F593" i="1" s="1"/>
  <c r="P326" i="7"/>
  <c r="O326" i="7"/>
  <c r="N326" i="7"/>
  <c r="M326" i="7"/>
  <c r="K326" i="7"/>
  <c r="E592" i="1" s="1"/>
  <c r="J326" i="7"/>
  <c r="L326" i="7" s="1"/>
  <c r="F592" i="1" s="1"/>
  <c r="P325" i="7"/>
  <c r="O325" i="7"/>
  <c r="N325" i="7"/>
  <c r="M325" i="7"/>
  <c r="K325" i="7"/>
  <c r="E591" i="1" s="1"/>
  <c r="J325" i="7"/>
  <c r="C591" i="1" s="1"/>
  <c r="P324" i="7"/>
  <c r="O324" i="7"/>
  <c r="N324" i="7"/>
  <c r="M324" i="7"/>
  <c r="K324" i="7"/>
  <c r="E590" i="1" s="1"/>
  <c r="J324" i="7"/>
  <c r="L324" i="7" s="1"/>
  <c r="F590" i="1" s="1"/>
  <c r="P323" i="7"/>
  <c r="O323" i="7"/>
  <c r="N323" i="7"/>
  <c r="M323" i="7"/>
  <c r="K323" i="7"/>
  <c r="E589" i="1" s="1"/>
  <c r="J323" i="7"/>
  <c r="L323" i="7" s="1"/>
  <c r="F589" i="1" s="1"/>
  <c r="P322" i="7"/>
  <c r="O322" i="7"/>
  <c r="N322" i="7"/>
  <c r="M322" i="7"/>
  <c r="K322" i="7"/>
  <c r="E588" i="1" s="1"/>
  <c r="J322" i="7"/>
  <c r="L322" i="7" s="1"/>
  <c r="F588" i="1" s="1"/>
  <c r="P321" i="7"/>
  <c r="O321" i="7"/>
  <c r="N321" i="7"/>
  <c r="M321" i="7"/>
  <c r="K321" i="7"/>
  <c r="E587" i="1" s="1"/>
  <c r="J321" i="7"/>
  <c r="C587" i="1" s="1"/>
  <c r="P320" i="7"/>
  <c r="O320" i="7"/>
  <c r="N320" i="7"/>
  <c r="M320" i="7"/>
  <c r="K320" i="7"/>
  <c r="E586" i="1" s="1"/>
  <c r="J320" i="7"/>
  <c r="C586" i="1" s="1"/>
  <c r="P319" i="7"/>
  <c r="O319" i="7"/>
  <c r="N319" i="7"/>
  <c r="M319" i="7"/>
  <c r="K319" i="7"/>
  <c r="E585" i="1" s="1"/>
  <c r="J319" i="7"/>
  <c r="L319" i="7" s="1"/>
  <c r="F585" i="1" s="1"/>
  <c r="P318" i="7"/>
  <c r="O318" i="7"/>
  <c r="N318" i="7"/>
  <c r="M318" i="7"/>
  <c r="K318" i="7"/>
  <c r="E584" i="1" s="1"/>
  <c r="J318" i="7"/>
  <c r="L318" i="7" s="1"/>
  <c r="F584" i="1" s="1"/>
  <c r="P317" i="7"/>
  <c r="O317" i="7"/>
  <c r="N317" i="7"/>
  <c r="M317" i="7"/>
  <c r="K317" i="7"/>
  <c r="E583" i="1" s="1"/>
  <c r="J317" i="7"/>
  <c r="C583" i="1" s="1"/>
  <c r="P316" i="7"/>
  <c r="O316" i="7"/>
  <c r="N316" i="7"/>
  <c r="M316" i="7"/>
  <c r="K316" i="7"/>
  <c r="E582" i="1" s="1"/>
  <c r="J316" i="7"/>
  <c r="L316" i="7" s="1"/>
  <c r="F582" i="1" s="1"/>
  <c r="P315" i="7"/>
  <c r="O315" i="7"/>
  <c r="N315" i="7"/>
  <c r="M315" i="7"/>
  <c r="K315" i="7"/>
  <c r="E581" i="1" s="1"/>
  <c r="J315" i="7"/>
  <c r="L315" i="7" s="1"/>
  <c r="F581" i="1" s="1"/>
  <c r="P314" i="7"/>
  <c r="O314" i="7"/>
  <c r="N314" i="7"/>
  <c r="M314" i="7"/>
  <c r="K314" i="7"/>
  <c r="E580" i="1" s="1"/>
  <c r="J314" i="7"/>
  <c r="L314" i="7" s="1"/>
  <c r="F580" i="1" s="1"/>
  <c r="P313" i="7"/>
  <c r="O313" i="7"/>
  <c r="N313" i="7"/>
  <c r="M313" i="7"/>
  <c r="K313" i="7"/>
  <c r="E579" i="1" s="1"/>
  <c r="J313" i="7"/>
  <c r="C579" i="1" s="1"/>
  <c r="P312" i="7"/>
  <c r="O312" i="7"/>
  <c r="N312" i="7"/>
  <c r="M312" i="7"/>
  <c r="K312" i="7"/>
  <c r="E578" i="1" s="1"/>
  <c r="J312" i="7"/>
  <c r="L312" i="7" s="1"/>
  <c r="F578" i="1" s="1"/>
  <c r="P311" i="7"/>
  <c r="O311" i="7"/>
  <c r="N311" i="7"/>
  <c r="M311" i="7"/>
  <c r="K311" i="7"/>
  <c r="E577" i="1" s="1"/>
  <c r="J311" i="7"/>
  <c r="L311" i="7" s="1"/>
  <c r="F577" i="1" s="1"/>
  <c r="P310" i="7"/>
  <c r="O310" i="7"/>
  <c r="N310" i="7"/>
  <c r="M310" i="7"/>
  <c r="K310" i="7"/>
  <c r="E576" i="1" s="1"/>
  <c r="J310" i="7"/>
  <c r="L310" i="7" s="1"/>
  <c r="F576" i="1" s="1"/>
  <c r="P309" i="7"/>
  <c r="O309" i="7"/>
  <c r="N309" i="7"/>
  <c r="M309" i="7"/>
  <c r="K309" i="7"/>
  <c r="E575" i="1" s="1"/>
  <c r="J309" i="7"/>
  <c r="C575" i="1" s="1"/>
  <c r="P308" i="7"/>
  <c r="O308" i="7"/>
  <c r="N308" i="7"/>
  <c r="M308" i="7"/>
  <c r="K308" i="7"/>
  <c r="E574" i="1" s="1"/>
  <c r="J308" i="7"/>
  <c r="L308" i="7" s="1"/>
  <c r="F574" i="1" s="1"/>
  <c r="P307" i="7"/>
  <c r="O307" i="7"/>
  <c r="N307" i="7"/>
  <c r="M307" i="7"/>
  <c r="K307" i="7"/>
  <c r="E573" i="1" s="1"/>
  <c r="J307" i="7"/>
  <c r="L307" i="7" s="1"/>
  <c r="F573" i="1" s="1"/>
  <c r="P306" i="7"/>
  <c r="O306" i="7"/>
  <c r="N306" i="7"/>
  <c r="M306" i="7"/>
  <c r="K306" i="7"/>
  <c r="E572" i="1" s="1"/>
  <c r="J306" i="7"/>
  <c r="L306" i="7" s="1"/>
  <c r="F572" i="1" s="1"/>
  <c r="P305" i="7"/>
  <c r="O305" i="7"/>
  <c r="N305" i="7"/>
  <c r="M305" i="7"/>
  <c r="K305" i="7"/>
  <c r="E571" i="1" s="1"/>
  <c r="J305" i="7"/>
  <c r="C571" i="1" s="1"/>
  <c r="P304" i="7"/>
  <c r="O304" i="7"/>
  <c r="N304" i="7"/>
  <c r="M304" i="7"/>
  <c r="K304" i="7"/>
  <c r="E570" i="1" s="1"/>
  <c r="J304" i="7"/>
  <c r="L304" i="7" s="1"/>
  <c r="F570" i="1" s="1"/>
  <c r="P303" i="7"/>
  <c r="O303" i="7"/>
  <c r="N303" i="7"/>
  <c r="M303" i="7"/>
  <c r="K303" i="7"/>
  <c r="E569" i="1" s="1"/>
  <c r="J303" i="7"/>
  <c r="L303" i="7" s="1"/>
  <c r="F569" i="1" s="1"/>
  <c r="P302" i="7"/>
  <c r="O302" i="7"/>
  <c r="N302" i="7"/>
  <c r="M302" i="7"/>
  <c r="K302" i="7"/>
  <c r="E568" i="1" s="1"/>
  <c r="J302" i="7"/>
  <c r="L302" i="7" s="1"/>
  <c r="F568" i="1" s="1"/>
  <c r="P301" i="7"/>
  <c r="O301" i="7"/>
  <c r="N301" i="7"/>
  <c r="M301" i="7"/>
  <c r="K301" i="7"/>
  <c r="E567" i="1" s="1"/>
  <c r="J301" i="7"/>
  <c r="C567" i="1" s="1"/>
  <c r="P300" i="7"/>
  <c r="O300" i="7"/>
  <c r="N300" i="7"/>
  <c r="M300" i="7"/>
  <c r="K300" i="7"/>
  <c r="E566" i="1" s="1"/>
  <c r="J300" i="7"/>
  <c r="L300" i="7" s="1"/>
  <c r="F566" i="1" s="1"/>
  <c r="P299" i="7"/>
  <c r="O299" i="7"/>
  <c r="N299" i="7"/>
  <c r="M299" i="7"/>
  <c r="K299" i="7"/>
  <c r="E565" i="1" s="1"/>
  <c r="J299" i="7"/>
  <c r="L299" i="7" s="1"/>
  <c r="F565" i="1" s="1"/>
  <c r="P298" i="7"/>
  <c r="O298" i="7"/>
  <c r="N298" i="7"/>
  <c r="M298" i="7"/>
  <c r="K298" i="7"/>
  <c r="E564" i="1" s="1"/>
  <c r="J298" i="7"/>
  <c r="L298" i="7" s="1"/>
  <c r="F564" i="1" s="1"/>
  <c r="P297" i="7"/>
  <c r="O297" i="7"/>
  <c r="N297" i="7"/>
  <c r="M297" i="7"/>
  <c r="K297" i="7"/>
  <c r="E563" i="1" s="1"/>
  <c r="J297" i="7"/>
  <c r="C563" i="1" s="1"/>
  <c r="P296" i="7"/>
  <c r="O296" i="7"/>
  <c r="N296" i="7"/>
  <c r="M296" i="7"/>
  <c r="K296" i="7"/>
  <c r="E562" i="1" s="1"/>
  <c r="J296" i="7"/>
  <c r="C562" i="1" s="1"/>
  <c r="P295" i="7"/>
  <c r="O295" i="7"/>
  <c r="N295" i="7"/>
  <c r="M295" i="7"/>
  <c r="K295" i="7"/>
  <c r="E561" i="1" s="1"/>
  <c r="J295" i="7"/>
  <c r="L295" i="7" s="1"/>
  <c r="F561" i="1" s="1"/>
  <c r="P294" i="7"/>
  <c r="O294" i="7"/>
  <c r="N294" i="7"/>
  <c r="M294" i="7"/>
  <c r="K294" i="7"/>
  <c r="E560" i="1" s="1"/>
  <c r="J294" i="7"/>
  <c r="L294" i="7" s="1"/>
  <c r="F560" i="1" s="1"/>
  <c r="C64" i="2"/>
  <c r="E64" i="2"/>
  <c r="L320" i="7" l="1"/>
  <c r="F586" i="1" s="1"/>
  <c r="L352" i="7"/>
  <c r="F618" i="1" s="1"/>
  <c r="L309" i="7"/>
  <c r="F575" i="1" s="1"/>
  <c r="L341" i="7"/>
  <c r="F607" i="1" s="1"/>
  <c r="C570" i="1"/>
  <c r="C610" i="1"/>
  <c r="L336" i="7"/>
  <c r="F602" i="1" s="1"/>
  <c r="C594" i="1"/>
  <c r="L325" i="7"/>
  <c r="F591" i="1" s="1"/>
  <c r="L357" i="7"/>
  <c r="F623" i="1" s="1"/>
  <c r="C578" i="1"/>
  <c r="C626" i="1"/>
  <c r="L301" i="7"/>
  <c r="F567" i="1" s="1"/>
  <c r="L317" i="7"/>
  <c r="F583" i="1" s="1"/>
  <c r="L333" i="7"/>
  <c r="F599" i="1" s="1"/>
  <c r="L349" i="7"/>
  <c r="F615" i="1" s="1"/>
  <c r="L365" i="7"/>
  <c r="F631" i="1" s="1"/>
  <c r="L296" i="7"/>
  <c r="F562" i="1" s="1"/>
  <c r="C574" i="1"/>
  <c r="C582" i="1"/>
  <c r="C630" i="1"/>
  <c r="C561" i="1"/>
  <c r="C565" i="1"/>
  <c r="C569" i="1"/>
  <c r="C573" i="1"/>
  <c r="C577" i="1"/>
  <c r="C581" i="1"/>
  <c r="C585" i="1"/>
  <c r="C589" i="1"/>
  <c r="C593" i="1"/>
  <c r="C597" i="1"/>
  <c r="C601" i="1"/>
  <c r="C605" i="1"/>
  <c r="C609" i="1"/>
  <c r="C613" i="1"/>
  <c r="C617" i="1"/>
  <c r="C621" i="1"/>
  <c r="C625" i="1"/>
  <c r="C629" i="1"/>
  <c r="C598" i="1"/>
  <c r="C606" i="1"/>
  <c r="C614" i="1"/>
  <c r="C622" i="1"/>
  <c r="C560" i="1"/>
  <c r="C564" i="1"/>
  <c r="C568" i="1"/>
  <c r="C572" i="1"/>
  <c r="C576" i="1"/>
  <c r="C580" i="1"/>
  <c r="C584" i="1"/>
  <c r="C588" i="1"/>
  <c r="C592" i="1"/>
  <c r="C596" i="1"/>
  <c r="C600" i="1"/>
  <c r="C604" i="1"/>
  <c r="C608" i="1"/>
  <c r="C612" i="1"/>
  <c r="C616" i="1"/>
  <c r="C620" i="1"/>
  <c r="C624" i="1"/>
  <c r="C628" i="1"/>
  <c r="C632" i="1"/>
  <c r="C566" i="1"/>
  <c r="C590" i="1"/>
  <c r="L297" i="7"/>
  <c r="F563" i="1" s="1"/>
  <c r="L305" i="7"/>
  <c r="F571" i="1" s="1"/>
  <c r="L313" i="7"/>
  <c r="F579" i="1" s="1"/>
  <c r="L321" i="7"/>
  <c r="F587" i="1" s="1"/>
  <c r="L329" i="7"/>
  <c r="F595" i="1" s="1"/>
  <c r="L337" i="7"/>
  <c r="F603" i="1" s="1"/>
  <c r="L345" i="7"/>
  <c r="F611" i="1" s="1"/>
  <c r="L353" i="7"/>
  <c r="F619" i="1" s="1"/>
  <c r="L361" i="7"/>
  <c r="F627" i="1" s="1"/>
  <c r="E63" i="2"/>
  <c r="C63" i="2"/>
  <c r="L559" i="1"/>
  <c r="D559" i="1"/>
  <c r="B559" i="1"/>
  <c r="A559" i="1"/>
  <c r="L558" i="1"/>
  <c r="D558" i="1"/>
  <c r="B558" i="1"/>
  <c r="A558" i="1"/>
  <c r="L557" i="1"/>
  <c r="D557" i="1"/>
  <c r="B557" i="1"/>
  <c r="A557" i="1"/>
  <c r="L556" i="1"/>
  <c r="D556" i="1"/>
  <c r="B556" i="1"/>
  <c r="A556" i="1"/>
  <c r="L555" i="1"/>
  <c r="D555" i="1"/>
  <c r="B555" i="1"/>
  <c r="A555" i="1"/>
  <c r="L554" i="1"/>
  <c r="D554" i="1"/>
  <c r="B554" i="1"/>
  <c r="A554" i="1"/>
  <c r="L553" i="1"/>
  <c r="D553" i="1"/>
  <c r="B553" i="1"/>
  <c r="A553" i="1"/>
  <c r="L552" i="1"/>
  <c r="D552" i="1"/>
  <c r="B552" i="1"/>
  <c r="A552" i="1"/>
  <c r="L551" i="1"/>
  <c r="D551" i="1"/>
  <c r="B551" i="1"/>
  <c r="A551" i="1"/>
  <c r="L550" i="1"/>
  <c r="D550" i="1"/>
  <c r="B550" i="1"/>
  <c r="A550" i="1"/>
  <c r="L549" i="1"/>
  <c r="D549" i="1"/>
  <c r="B549" i="1"/>
  <c r="A549" i="1"/>
  <c r="L548" i="1"/>
  <c r="D548" i="1"/>
  <c r="B548" i="1"/>
  <c r="A548" i="1"/>
  <c r="L547" i="1"/>
  <c r="D547" i="1"/>
  <c r="B547" i="1"/>
  <c r="A547" i="1"/>
  <c r="L546" i="1"/>
  <c r="D546" i="1"/>
  <c r="B546" i="1"/>
  <c r="A546" i="1"/>
  <c r="L545" i="1"/>
  <c r="D545" i="1"/>
  <c r="B545" i="1"/>
  <c r="A545" i="1"/>
  <c r="L544" i="1"/>
  <c r="D544" i="1"/>
  <c r="B544" i="1"/>
  <c r="A544" i="1"/>
  <c r="L543" i="1"/>
  <c r="D543" i="1"/>
  <c r="B543" i="1"/>
  <c r="A543" i="1"/>
  <c r="L542" i="1"/>
  <c r="D542" i="1"/>
  <c r="B542" i="1"/>
  <c r="A542" i="1"/>
  <c r="L541" i="1"/>
  <c r="D541" i="1"/>
  <c r="B541" i="1"/>
  <c r="A541" i="1"/>
  <c r="L540" i="1"/>
  <c r="D540" i="1"/>
  <c r="B540" i="1"/>
  <c r="A540" i="1"/>
  <c r="L539" i="1"/>
  <c r="D539" i="1"/>
  <c r="B539" i="1"/>
  <c r="A539" i="1"/>
  <c r="L538" i="1"/>
  <c r="D538" i="1"/>
  <c r="B538" i="1"/>
  <c r="A538" i="1"/>
  <c r="L537" i="1"/>
  <c r="D537" i="1"/>
  <c r="B537" i="1"/>
  <c r="A537" i="1"/>
  <c r="L536" i="1"/>
  <c r="D536" i="1"/>
  <c r="B536" i="1"/>
  <c r="A536" i="1"/>
  <c r="L535" i="1"/>
  <c r="D535" i="1"/>
  <c r="B535" i="1"/>
  <c r="A535" i="1"/>
  <c r="L534" i="1"/>
  <c r="D534" i="1"/>
  <c r="B534" i="1"/>
  <c r="A534" i="1"/>
  <c r="L533" i="1"/>
  <c r="D533" i="1"/>
  <c r="B533" i="1"/>
  <c r="A533" i="1"/>
  <c r="L532" i="1"/>
  <c r="D532" i="1"/>
  <c r="B532" i="1"/>
  <c r="A532" i="1"/>
  <c r="L531" i="1"/>
  <c r="D531" i="1"/>
  <c r="B531" i="1"/>
  <c r="A531" i="1"/>
  <c r="L530" i="1"/>
  <c r="D530" i="1"/>
  <c r="B530" i="1"/>
  <c r="A530" i="1"/>
  <c r="L529" i="1"/>
  <c r="D529" i="1"/>
  <c r="B529" i="1"/>
  <c r="A529" i="1"/>
  <c r="L528" i="1"/>
  <c r="D528" i="1"/>
  <c r="B528" i="1"/>
  <c r="A528" i="1"/>
  <c r="L527" i="1"/>
  <c r="D527" i="1"/>
  <c r="B527" i="1"/>
  <c r="A527" i="1"/>
  <c r="L526" i="1"/>
  <c r="D526" i="1"/>
  <c r="B526" i="1"/>
  <c r="A526" i="1"/>
  <c r="L525" i="1"/>
  <c r="D525" i="1"/>
  <c r="B525" i="1"/>
  <c r="A525" i="1"/>
  <c r="L524" i="1"/>
  <c r="D524" i="1"/>
  <c r="B524" i="1"/>
  <c r="A524" i="1"/>
  <c r="L523" i="1"/>
  <c r="D523" i="1"/>
  <c r="B523" i="1"/>
  <c r="A523" i="1"/>
  <c r="L522" i="1"/>
  <c r="D522" i="1"/>
  <c r="B522" i="1"/>
  <c r="A522" i="1"/>
  <c r="D521" i="1"/>
  <c r="B521" i="1"/>
  <c r="A521" i="1"/>
  <c r="L520" i="1"/>
  <c r="D520" i="1"/>
  <c r="B520" i="1"/>
  <c r="A520" i="1"/>
  <c r="L519" i="1"/>
  <c r="D519" i="1"/>
  <c r="B519" i="1"/>
  <c r="A519" i="1"/>
  <c r="L518" i="1"/>
  <c r="D518" i="1"/>
  <c r="B518" i="1"/>
  <c r="A518" i="1"/>
  <c r="L517" i="1"/>
  <c r="D517" i="1"/>
  <c r="B517" i="1"/>
  <c r="A517" i="1"/>
  <c r="L516" i="1"/>
  <c r="D516" i="1"/>
  <c r="B516" i="1"/>
  <c r="A516" i="1"/>
  <c r="L515" i="1"/>
  <c r="D515" i="1"/>
  <c r="B515" i="1"/>
  <c r="A515" i="1"/>
  <c r="L514" i="1"/>
  <c r="D514" i="1"/>
  <c r="B514" i="1"/>
  <c r="A514" i="1"/>
  <c r="L513" i="1"/>
  <c r="D513" i="1"/>
  <c r="B513" i="1"/>
  <c r="A513" i="1"/>
  <c r="L512" i="1"/>
  <c r="D512" i="1"/>
  <c r="B512" i="1"/>
  <c r="A512" i="1"/>
  <c r="L511" i="1"/>
  <c r="D511" i="1"/>
  <c r="B511" i="1"/>
  <c r="A511" i="1"/>
  <c r="P293" i="7"/>
  <c r="O293" i="7"/>
  <c r="N293" i="7"/>
  <c r="M293" i="7"/>
  <c r="K293" i="7"/>
  <c r="E559" i="1" s="1"/>
  <c r="J293" i="7"/>
  <c r="L293" i="7" s="1"/>
  <c r="F559" i="1" s="1"/>
  <c r="P292" i="7"/>
  <c r="O292" i="7"/>
  <c r="N292" i="7"/>
  <c r="M292" i="7"/>
  <c r="K292" i="7"/>
  <c r="E558" i="1" s="1"/>
  <c r="J292" i="7"/>
  <c r="L292" i="7" s="1"/>
  <c r="F558" i="1" s="1"/>
  <c r="P291" i="7"/>
  <c r="O291" i="7"/>
  <c r="N291" i="7"/>
  <c r="M291" i="7"/>
  <c r="K291" i="7"/>
  <c r="E557" i="1" s="1"/>
  <c r="J291" i="7"/>
  <c r="C557" i="1" s="1"/>
  <c r="P290" i="7"/>
  <c r="O290" i="7"/>
  <c r="N290" i="7"/>
  <c r="M290" i="7"/>
  <c r="K290" i="7"/>
  <c r="E556" i="1" s="1"/>
  <c r="J290" i="7"/>
  <c r="L290" i="7" s="1"/>
  <c r="F556" i="1" s="1"/>
  <c r="P289" i="7"/>
  <c r="O289" i="7"/>
  <c r="N289" i="7"/>
  <c r="M289" i="7"/>
  <c r="K289" i="7"/>
  <c r="E555" i="1" s="1"/>
  <c r="J289" i="7"/>
  <c r="L289" i="7" s="1"/>
  <c r="F555" i="1" s="1"/>
  <c r="P288" i="7"/>
  <c r="O288" i="7"/>
  <c r="N288" i="7"/>
  <c r="M288" i="7"/>
  <c r="K288" i="7"/>
  <c r="E554" i="1" s="1"/>
  <c r="J288" i="7"/>
  <c r="L288" i="7" s="1"/>
  <c r="F554" i="1" s="1"/>
  <c r="P287" i="7"/>
  <c r="O287" i="7"/>
  <c r="N287" i="7"/>
  <c r="M287" i="7"/>
  <c r="K287" i="7"/>
  <c r="E553" i="1" s="1"/>
  <c r="J287" i="7"/>
  <c r="C553" i="1" s="1"/>
  <c r="P286" i="7"/>
  <c r="O286" i="7"/>
  <c r="N286" i="7"/>
  <c r="M286" i="7"/>
  <c r="K286" i="7"/>
  <c r="E552" i="1" s="1"/>
  <c r="J286" i="7"/>
  <c r="C552" i="1" s="1"/>
  <c r="P285" i="7"/>
  <c r="O285" i="7"/>
  <c r="N285" i="7"/>
  <c r="M285" i="7"/>
  <c r="K285" i="7"/>
  <c r="E551" i="1" s="1"/>
  <c r="J285" i="7"/>
  <c r="L285" i="7" s="1"/>
  <c r="F551" i="1" s="1"/>
  <c r="P284" i="7"/>
  <c r="O284" i="7"/>
  <c r="N284" i="7"/>
  <c r="M284" i="7"/>
  <c r="K284" i="7"/>
  <c r="E550" i="1" s="1"/>
  <c r="J284" i="7"/>
  <c r="L284" i="7" s="1"/>
  <c r="F550" i="1" s="1"/>
  <c r="P283" i="7"/>
  <c r="O283" i="7"/>
  <c r="N283" i="7"/>
  <c r="M283" i="7"/>
  <c r="K283" i="7"/>
  <c r="E549" i="1" s="1"/>
  <c r="J283" i="7"/>
  <c r="C549" i="1" s="1"/>
  <c r="P282" i="7"/>
  <c r="O282" i="7"/>
  <c r="N282" i="7"/>
  <c r="M282" i="7"/>
  <c r="K282" i="7"/>
  <c r="E548" i="1" s="1"/>
  <c r="J282" i="7"/>
  <c r="C548" i="1" s="1"/>
  <c r="P281" i="7"/>
  <c r="O281" i="7"/>
  <c r="N281" i="7"/>
  <c r="M281" i="7"/>
  <c r="K281" i="7"/>
  <c r="E547" i="1" s="1"/>
  <c r="J281" i="7"/>
  <c r="L281" i="7" s="1"/>
  <c r="F547" i="1" s="1"/>
  <c r="P280" i="7"/>
  <c r="O280" i="7"/>
  <c r="N280" i="7"/>
  <c r="M280" i="7"/>
  <c r="K280" i="7"/>
  <c r="E546" i="1" s="1"/>
  <c r="J280" i="7"/>
  <c r="L280" i="7" s="1"/>
  <c r="F546" i="1" s="1"/>
  <c r="P279" i="7"/>
  <c r="O279" i="7"/>
  <c r="N279" i="7"/>
  <c r="M279" i="7"/>
  <c r="K279" i="7"/>
  <c r="E545" i="1" s="1"/>
  <c r="J279" i="7"/>
  <c r="C545" i="1" s="1"/>
  <c r="P278" i="7"/>
  <c r="O278" i="7"/>
  <c r="N278" i="7"/>
  <c r="M278" i="7"/>
  <c r="K278" i="7"/>
  <c r="E544" i="1" s="1"/>
  <c r="J278" i="7"/>
  <c r="L278" i="7" s="1"/>
  <c r="F544" i="1" s="1"/>
  <c r="P277" i="7"/>
  <c r="O277" i="7"/>
  <c r="N277" i="7"/>
  <c r="M277" i="7"/>
  <c r="K277" i="7"/>
  <c r="E543" i="1" s="1"/>
  <c r="J277" i="7"/>
  <c r="L277" i="7" s="1"/>
  <c r="F543" i="1" s="1"/>
  <c r="P276" i="7"/>
  <c r="O276" i="7"/>
  <c r="N276" i="7"/>
  <c r="M276" i="7"/>
  <c r="K276" i="7"/>
  <c r="E542" i="1" s="1"/>
  <c r="J276" i="7"/>
  <c r="L276" i="7" s="1"/>
  <c r="F542" i="1" s="1"/>
  <c r="P275" i="7"/>
  <c r="O275" i="7"/>
  <c r="N275" i="7"/>
  <c r="M275" i="7"/>
  <c r="K275" i="7"/>
  <c r="E541" i="1" s="1"/>
  <c r="J275" i="7"/>
  <c r="C541" i="1" s="1"/>
  <c r="P274" i="7"/>
  <c r="O274" i="7"/>
  <c r="N274" i="7"/>
  <c r="M274" i="7"/>
  <c r="K274" i="7"/>
  <c r="E540" i="1" s="1"/>
  <c r="J274" i="7"/>
  <c r="L274" i="7" s="1"/>
  <c r="F540" i="1" s="1"/>
  <c r="P273" i="7"/>
  <c r="O273" i="7"/>
  <c r="N273" i="7"/>
  <c r="M273" i="7"/>
  <c r="K273" i="7"/>
  <c r="E539" i="1" s="1"/>
  <c r="J273" i="7"/>
  <c r="L273" i="7" s="1"/>
  <c r="F539" i="1" s="1"/>
  <c r="P272" i="7"/>
  <c r="O272" i="7"/>
  <c r="N272" i="7"/>
  <c r="M272" i="7"/>
  <c r="K272" i="7"/>
  <c r="E538" i="1" s="1"/>
  <c r="J272" i="7"/>
  <c r="L272" i="7" s="1"/>
  <c r="F538" i="1" s="1"/>
  <c r="P271" i="7"/>
  <c r="O271" i="7"/>
  <c r="N271" i="7"/>
  <c r="M271" i="7"/>
  <c r="K271" i="7"/>
  <c r="E537" i="1" s="1"/>
  <c r="J271" i="7"/>
  <c r="C537" i="1" s="1"/>
  <c r="P270" i="7"/>
  <c r="O270" i="7"/>
  <c r="N270" i="7"/>
  <c r="M270" i="7"/>
  <c r="K270" i="7"/>
  <c r="E536" i="1" s="1"/>
  <c r="J270" i="7"/>
  <c r="L270" i="7" s="1"/>
  <c r="F536" i="1" s="1"/>
  <c r="P269" i="7"/>
  <c r="O269" i="7"/>
  <c r="N269" i="7"/>
  <c r="M269" i="7"/>
  <c r="K269" i="7"/>
  <c r="E535" i="1" s="1"/>
  <c r="J269" i="7"/>
  <c r="L269" i="7" s="1"/>
  <c r="F535" i="1" s="1"/>
  <c r="P268" i="7"/>
  <c r="O268" i="7"/>
  <c r="N268" i="7"/>
  <c r="M268" i="7"/>
  <c r="K268" i="7"/>
  <c r="E534" i="1" s="1"/>
  <c r="J268" i="7"/>
  <c r="L268" i="7" s="1"/>
  <c r="F534" i="1" s="1"/>
  <c r="P267" i="7"/>
  <c r="O267" i="7"/>
  <c r="N267" i="7"/>
  <c r="M267" i="7"/>
  <c r="K267" i="7"/>
  <c r="E533" i="1" s="1"/>
  <c r="J267" i="7"/>
  <c r="C533" i="1" s="1"/>
  <c r="P266" i="7"/>
  <c r="O266" i="7"/>
  <c r="N266" i="7"/>
  <c r="M266" i="7"/>
  <c r="K266" i="7"/>
  <c r="E532" i="1" s="1"/>
  <c r="J266" i="7"/>
  <c r="C532" i="1" s="1"/>
  <c r="P265" i="7"/>
  <c r="O265" i="7"/>
  <c r="N265" i="7"/>
  <c r="M265" i="7"/>
  <c r="K265" i="7"/>
  <c r="E531" i="1" s="1"/>
  <c r="J265" i="7"/>
  <c r="L265" i="7" s="1"/>
  <c r="F531" i="1" s="1"/>
  <c r="P264" i="7"/>
  <c r="O264" i="7"/>
  <c r="N264" i="7"/>
  <c r="M264" i="7"/>
  <c r="K264" i="7"/>
  <c r="E530" i="1" s="1"/>
  <c r="J264" i="7"/>
  <c r="L264" i="7" s="1"/>
  <c r="F530" i="1" s="1"/>
  <c r="P263" i="7"/>
  <c r="O263" i="7"/>
  <c r="N263" i="7"/>
  <c r="M263" i="7"/>
  <c r="K263" i="7"/>
  <c r="E529" i="1" s="1"/>
  <c r="J263" i="7"/>
  <c r="C529" i="1" s="1"/>
  <c r="P262" i="7"/>
  <c r="O262" i="7"/>
  <c r="N262" i="7"/>
  <c r="M262" i="7"/>
  <c r="K262" i="7"/>
  <c r="E528" i="1" s="1"/>
  <c r="J262" i="7"/>
  <c r="L262" i="7" s="1"/>
  <c r="F528" i="1" s="1"/>
  <c r="P261" i="7"/>
  <c r="O261" i="7"/>
  <c r="N261" i="7"/>
  <c r="M261" i="7"/>
  <c r="K261" i="7"/>
  <c r="E527" i="1" s="1"/>
  <c r="J261" i="7"/>
  <c r="L261" i="7" s="1"/>
  <c r="F527" i="1" s="1"/>
  <c r="P260" i="7"/>
  <c r="O260" i="7"/>
  <c r="N260" i="7"/>
  <c r="M260" i="7"/>
  <c r="K260" i="7"/>
  <c r="E526" i="1" s="1"/>
  <c r="J260" i="7"/>
  <c r="L260" i="7" s="1"/>
  <c r="F526" i="1" s="1"/>
  <c r="P259" i="7"/>
  <c r="O259" i="7"/>
  <c r="N259" i="7"/>
  <c r="M259" i="7"/>
  <c r="K259" i="7"/>
  <c r="E525" i="1" s="1"/>
  <c r="J259" i="7"/>
  <c r="C525" i="1" s="1"/>
  <c r="P258" i="7"/>
  <c r="O258" i="7"/>
  <c r="N258" i="7"/>
  <c r="M258" i="7"/>
  <c r="K258" i="7"/>
  <c r="E524" i="1" s="1"/>
  <c r="J258" i="7"/>
  <c r="L258" i="7" s="1"/>
  <c r="F524" i="1" s="1"/>
  <c r="P257" i="7"/>
  <c r="O257" i="7"/>
  <c r="N257" i="7"/>
  <c r="M257" i="7"/>
  <c r="K257" i="7"/>
  <c r="E523" i="1" s="1"/>
  <c r="J257" i="7"/>
  <c r="L257" i="7" s="1"/>
  <c r="F523" i="1" s="1"/>
  <c r="P256" i="7"/>
  <c r="O256" i="7"/>
  <c r="N256" i="7"/>
  <c r="M256" i="7"/>
  <c r="K256" i="7"/>
  <c r="E522" i="1" s="1"/>
  <c r="J256" i="7"/>
  <c r="C522" i="1" s="1"/>
  <c r="P255" i="7"/>
  <c r="O255" i="7"/>
  <c r="N255" i="7"/>
  <c r="M255" i="7"/>
  <c r="K255" i="7"/>
  <c r="E521" i="1" s="1"/>
  <c r="J255" i="7"/>
  <c r="C521" i="1" s="1"/>
  <c r="P254" i="7"/>
  <c r="O254" i="7"/>
  <c r="N254" i="7"/>
  <c r="M254" i="7"/>
  <c r="K254" i="7"/>
  <c r="E520" i="1" s="1"/>
  <c r="J254" i="7"/>
  <c r="L254" i="7" s="1"/>
  <c r="F520" i="1" s="1"/>
  <c r="P253" i="7"/>
  <c r="O253" i="7"/>
  <c r="N253" i="7"/>
  <c r="M253" i="7"/>
  <c r="K253" i="7"/>
  <c r="E519" i="1" s="1"/>
  <c r="J253" i="7"/>
  <c r="L253" i="7" s="1"/>
  <c r="F519" i="1" s="1"/>
  <c r="P252" i="7"/>
  <c r="O252" i="7"/>
  <c r="N252" i="7"/>
  <c r="M252" i="7"/>
  <c r="K252" i="7"/>
  <c r="E518" i="1" s="1"/>
  <c r="J252" i="7"/>
  <c r="C518" i="1" s="1"/>
  <c r="P251" i="7"/>
  <c r="O251" i="7"/>
  <c r="N251" i="7"/>
  <c r="M251" i="7"/>
  <c r="K251" i="7"/>
  <c r="E517" i="1" s="1"/>
  <c r="J251" i="7"/>
  <c r="L251" i="7" s="1"/>
  <c r="F517" i="1" s="1"/>
  <c r="P250" i="7"/>
  <c r="O250" i="7"/>
  <c r="N250" i="7"/>
  <c r="M250" i="7"/>
  <c r="K250" i="7"/>
  <c r="E516" i="1" s="1"/>
  <c r="J250" i="7"/>
  <c r="L250" i="7" s="1"/>
  <c r="F516" i="1" s="1"/>
  <c r="P249" i="7"/>
  <c r="O249" i="7"/>
  <c r="N249" i="7"/>
  <c r="M249" i="7"/>
  <c r="K249" i="7"/>
  <c r="E515" i="1" s="1"/>
  <c r="J249" i="7"/>
  <c r="L249" i="7" s="1"/>
  <c r="F515" i="1" s="1"/>
  <c r="P248" i="7"/>
  <c r="O248" i="7"/>
  <c r="N248" i="7"/>
  <c r="M248" i="7"/>
  <c r="K248" i="7"/>
  <c r="E514" i="1" s="1"/>
  <c r="J248" i="7"/>
  <c r="C514" i="1" s="1"/>
  <c r="P247" i="7"/>
  <c r="O247" i="7"/>
  <c r="N247" i="7"/>
  <c r="M247" i="7"/>
  <c r="K247" i="7"/>
  <c r="E513" i="1" s="1"/>
  <c r="J247" i="7"/>
  <c r="L247" i="7" s="1"/>
  <c r="F513" i="1" s="1"/>
  <c r="P246" i="7"/>
  <c r="O246" i="7"/>
  <c r="N246" i="7"/>
  <c r="M246" i="7"/>
  <c r="K246" i="7"/>
  <c r="E512" i="1" s="1"/>
  <c r="J246" i="7"/>
  <c r="L246" i="7" s="1"/>
  <c r="F512" i="1" s="1"/>
  <c r="P245" i="7"/>
  <c r="O245" i="7"/>
  <c r="N245" i="7"/>
  <c r="M245" i="7"/>
  <c r="K245" i="7"/>
  <c r="E511" i="1" s="1"/>
  <c r="J245" i="7"/>
  <c r="L245" i="7" s="1"/>
  <c r="F511" i="1" s="1"/>
  <c r="L255" i="7" l="1"/>
  <c r="F521" i="1" s="1"/>
  <c r="L266" i="7"/>
  <c r="F532" i="1" s="1"/>
  <c r="L248" i="7"/>
  <c r="F514" i="1" s="1"/>
  <c r="L271" i="7"/>
  <c r="F537" i="1" s="1"/>
  <c r="C517" i="1"/>
  <c r="C524" i="1"/>
  <c r="L287" i="7"/>
  <c r="F553" i="1" s="1"/>
  <c r="L282" i="7"/>
  <c r="F548" i="1" s="1"/>
  <c r="C513" i="1"/>
  <c r="C540" i="1"/>
  <c r="C556" i="1"/>
  <c r="L263" i="7"/>
  <c r="F529" i="1" s="1"/>
  <c r="L279" i="7"/>
  <c r="F545" i="1" s="1"/>
  <c r="L256" i="7"/>
  <c r="F522" i="1" s="1"/>
  <c r="C528" i="1"/>
  <c r="C512" i="1"/>
  <c r="C516" i="1"/>
  <c r="C520" i="1"/>
  <c r="C523" i="1"/>
  <c r="C527" i="1"/>
  <c r="C531" i="1"/>
  <c r="C535" i="1"/>
  <c r="C539" i="1"/>
  <c r="C543" i="1"/>
  <c r="C547" i="1"/>
  <c r="C551" i="1"/>
  <c r="C555" i="1"/>
  <c r="C559" i="1"/>
  <c r="C536" i="1"/>
  <c r="C544" i="1"/>
  <c r="L252" i="7"/>
  <c r="F518" i="1" s="1"/>
  <c r="L286" i="7"/>
  <c r="F552" i="1" s="1"/>
  <c r="C511" i="1"/>
  <c r="C515" i="1"/>
  <c r="C519" i="1"/>
  <c r="C526" i="1"/>
  <c r="C530" i="1"/>
  <c r="C534" i="1"/>
  <c r="C538" i="1"/>
  <c r="C542" i="1"/>
  <c r="C546" i="1"/>
  <c r="C550" i="1"/>
  <c r="C554" i="1"/>
  <c r="C558" i="1"/>
  <c r="L259" i="7"/>
  <c r="F525" i="1" s="1"/>
  <c r="L267" i="7"/>
  <c r="F533" i="1" s="1"/>
  <c r="L275" i="7"/>
  <c r="F541" i="1" s="1"/>
  <c r="L283" i="7"/>
  <c r="F549" i="1" s="1"/>
  <c r="L291" i="7"/>
  <c r="F557" i="1" s="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7" i="1"/>
  <c r="B348" i="1"/>
  <c r="B349" i="1"/>
  <c r="P243" i="7" l="1"/>
  <c r="O243" i="7"/>
  <c r="P242" i="7"/>
  <c r="O242" i="7"/>
  <c r="P241" i="7"/>
  <c r="O241" i="7"/>
  <c r="P240" i="7"/>
  <c r="O240" i="7"/>
  <c r="P239" i="7"/>
  <c r="O239" i="7"/>
  <c r="P238" i="7"/>
  <c r="O238" i="7"/>
  <c r="P237" i="7"/>
  <c r="O237" i="7"/>
  <c r="P236" i="7"/>
  <c r="O236" i="7"/>
  <c r="P235" i="7"/>
  <c r="O235" i="7"/>
  <c r="P234" i="7"/>
  <c r="O234" i="7"/>
  <c r="P233" i="7"/>
  <c r="O233" i="7"/>
  <c r="P232" i="7"/>
  <c r="O232" i="7"/>
  <c r="P231" i="7"/>
  <c r="O231" i="7"/>
  <c r="P230" i="7"/>
  <c r="O230" i="7"/>
  <c r="P229" i="7"/>
  <c r="O229" i="7"/>
  <c r="P228" i="7"/>
  <c r="O228" i="7"/>
  <c r="P227" i="7"/>
  <c r="O227" i="7"/>
  <c r="P226" i="7"/>
  <c r="O226" i="7"/>
  <c r="P225" i="7"/>
  <c r="O225" i="7"/>
  <c r="P224" i="7"/>
  <c r="O224" i="7"/>
  <c r="P223" i="7"/>
  <c r="O223" i="7"/>
  <c r="P222" i="7"/>
  <c r="O222" i="7"/>
  <c r="P221" i="7"/>
  <c r="O221" i="7"/>
  <c r="P220" i="7"/>
  <c r="O220" i="7"/>
  <c r="P219" i="7"/>
  <c r="O219" i="7"/>
  <c r="P218" i="7"/>
  <c r="O218" i="7"/>
  <c r="P217" i="7"/>
  <c r="O217" i="7"/>
  <c r="P216" i="7"/>
  <c r="O216" i="7"/>
  <c r="P215" i="7"/>
  <c r="O215" i="7"/>
  <c r="P214" i="7"/>
  <c r="O214" i="7"/>
  <c r="P213" i="7"/>
  <c r="O213" i="7"/>
  <c r="P212" i="7"/>
  <c r="O212" i="7"/>
  <c r="P211" i="7"/>
  <c r="O211" i="7"/>
  <c r="P210" i="7"/>
  <c r="O210" i="7"/>
  <c r="P209" i="7"/>
  <c r="O209" i="7"/>
  <c r="P208" i="7"/>
  <c r="O208" i="7"/>
  <c r="P207" i="7"/>
  <c r="O207" i="7"/>
  <c r="P206" i="7"/>
  <c r="O206" i="7"/>
  <c r="P205" i="7"/>
  <c r="O205" i="7"/>
  <c r="P204" i="7"/>
  <c r="O204" i="7"/>
  <c r="P203" i="7"/>
  <c r="O203" i="7"/>
  <c r="P202" i="7"/>
  <c r="O202" i="7"/>
  <c r="P201" i="7"/>
  <c r="O201" i="7"/>
  <c r="P200" i="7"/>
  <c r="O200" i="7"/>
  <c r="P199" i="7"/>
  <c r="O199" i="7"/>
  <c r="P198" i="7"/>
  <c r="O198" i="7"/>
  <c r="P197" i="7"/>
  <c r="O197" i="7"/>
  <c r="P196" i="7"/>
  <c r="O196" i="7"/>
  <c r="P195" i="7"/>
  <c r="O195" i="7"/>
  <c r="P194" i="7"/>
  <c r="O194" i="7"/>
  <c r="P193" i="7"/>
  <c r="O193" i="7"/>
  <c r="P192" i="7"/>
  <c r="O192" i="7"/>
  <c r="P191" i="7"/>
  <c r="O191" i="7"/>
  <c r="P190" i="7"/>
  <c r="O190" i="7"/>
  <c r="P189" i="7"/>
  <c r="O189" i="7"/>
  <c r="P188" i="7"/>
  <c r="O188" i="7"/>
  <c r="P187" i="7"/>
  <c r="O187" i="7"/>
  <c r="P186" i="7"/>
  <c r="O186" i="7"/>
  <c r="P185" i="7"/>
  <c r="O185" i="7"/>
  <c r="P184" i="7"/>
  <c r="O184" i="7"/>
  <c r="P183" i="7"/>
  <c r="O183" i="7"/>
  <c r="P182" i="7"/>
  <c r="O182" i="7"/>
  <c r="P181" i="7"/>
  <c r="O181" i="7"/>
  <c r="P244" i="7"/>
  <c r="O244" i="7"/>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D510" i="1"/>
  <c r="A510" i="1"/>
  <c r="D509" i="1"/>
  <c r="A509" i="1"/>
  <c r="D508" i="1"/>
  <c r="A508" i="1"/>
  <c r="D507" i="1"/>
  <c r="A507" i="1"/>
  <c r="D506" i="1"/>
  <c r="A506" i="1"/>
  <c r="D505" i="1"/>
  <c r="A505" i="1"/>
  <c r="D504" i="1"/>
  <c r="A504" i="1"/>
  <c r="D503" i="1"/>
  <c r="A503" i="1"/>
  <c r="D502" i="1"/>
  <c r="A502" i="1"/>
  <c r="D501" i="1"/>
  <c r="A501" i="1"/>
  <c r="D500" i="1"/>
  <c r="A500" i="1"/>
  <c r="D499" i="1"/>
  <c r="A499" i="1"/>
  <c r="D498" i="1"/>
  <c r="A498" i="1"/>
  <c r="D497" i="1"/>
  <c r="A497" i="1"/>
  <c r="D496" i="1"/>
  <c r="A496" i="1"/>
  <c r="D495" i="1"/>
  <c r="A495" i="1"/>
  <c r="D494" i="1"/>
  <c r="A494" i="1"/>
  <c r="D493" i="1"/>
  <c r="A493" i="1"/>
  <c r="D492" i="1"/>
  <c r="A492" i="1"/>
  <c r="D491" i="1"/>
  <c r="A491" i="1"/>
  <c r="D490" i="1"/>
  <c r="A490" i="1"/>
  <c r="D489" i="1"/>
  <c r="A489" i="1"/>
  <c r="D488" i="1"/>
  <c r="A488" i="1"/>
  <c r="D487" i="1"/>
  <c r="A487" i="1"/>
  <c r="D486" i="1"/>
  <c r="A486" i="1"/>
  <c r="D485" i="1"/>
  <c r="A485" i="1"/>
  <c r="D484" i="1"/>
  <c r="A484" i="1"/>
  <c r="D483" i="1"/>
  <c r="A483" i="1"/>
  <c r="D482" i="1"/>
  <c r="A482" i="1"/>
  <c r="D481" i="1"/>
  <c r="A481" i="1"/>
  <c r="D480" i="1"/>
  <c r="A480" i="1"/>
  <c r="D479" i="1"/>
  <c r="A479" i="1"/>
  <c r="D478" i="1"/>
  <c r="A478" i="1"/>
  <c r="D477" i="1"/>
  <c r="A477" i="1"/>
  <c r="D476" i="1"/>
  <c r="A476" i="1"/>
  <c r="D475" i="1"/>
  <c r="A475" i="1"/>
  <c r="D474" i="1"/>
  <c r="A474" i="1"/>
  <c r="D473" i="1"/>
  <c r="A473" i="1"/>
  <c r="D472" i="1"/>
  <c r="A472" i="1"/>
  <c r="D471" i="1"/>
  <c r="A471" i="1"/>
  <c r="D470" i="1"/>
  <c r="A470" i="1"/>
  <c r="D469" i="1"/>
  <c r="A469" i="1"/>
  <c r="D468" i="1"/>
  <c r="A468" i="1"/>
  <c r="D467" i="1"/>
  <c r="A467" i="1"/>
  <c r="D466" i="1"/>
  <c r="A466" i="1"/>
  <c r="D465" i="1"/>
  <c r="A465" i="1"/>
  <c r="D464" i="1"/>
  <c r="A464" i="1"/>
  <c r="D463" i="1"/>
  <c r="A463" i="1"/>
  <c r="D462" i="1"/>
  <c r="A462" i="1"/>
  <c r="D461" i="1"/>
  <c r="A461" i="1"/>
  <c r="D460" i="1"/>
  <c r="A460" i="1"/>
  <c r="D459" i="1"/>
  <c r="A459" i="1"/>
  <c r="D458" i="1"/>
  <c r="A458" i="1"/>
  <c r="D457"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N244" i="7"/>
  <c r="M244" i="7"/>
  <c r="K244" i="7"/>
  <c r="E510" i="1" s="1"/>
  <c r="J244" i="7"/>
  <c r="L244" i="7" s="1"/>
  <c r="F510" i="1" s="1"/>
  <c r="N243" i="7"/>
  <c r="M243" i="7"/>
  <c r="K243" i="7"/>
  <c r="E509" i="1" s="1"/>
  <c r="J243" i="7"/>
  <c r="L243" i="7" s="1"/>
  <c r="F509" i="1" s="1"/>
  <c r="N242" i="7"/>
  <c r="M242" i="7"/>
  <c r="K242" i="7"/>
  <c r="E508" i="1" s="1"/>
  <c r="J242" i="7"/>
  <c r="C508" i="1" s="1"/>
  <c r="N241" i="7"/>
  <c r="M241" i="7"/>
  <c r="K241" i="7"/>
  <c r="E507" i="1" s="1"/>
  <c r="J241" i="7"/>
  <c r="L241" i="7" s="1"/>
  <c r="F507" i="1" s="1"/>
  <c r="N240" i="7"/>
  <c r="M240" i="7"/>
  <c r="K240" i="7"/>
  <c r="E506" i="1" s="1"/>
  <c r="J240" i="7"/>
  <c r="L240" i="7" s="1"/>
  <c r="F506" i="1" s="1"/>
  <c r="N239" i="7"/>
  <c r="M239" i="7"/>
  <c r="K239" i="7"/>
  <c r="E505" i="1" s="1"/>
  <c r="J239" i="7"/>
  <c r="L239" i="7" s="1"/>
  <c r="F505" i="1" s="1"/>
  <c r="N238" i="7"/>
  <c r="M238" i="7"/>
  <c r="K238" i="7"/>
  <c r="E504" i="1" s="1"/>
  <c r="J238" i="7"/>
  <c r="C504" i="1" s="1"/>
  <c r="N237" i="7"/>
  <c r="M237" i="7"/>
  <c r="K237" i="7"/>
  <c r="E503" i="1" s="1"/>
  <c r="J237" i="7"/>
  <c r="L237" i="7" s="1"/>
  <c r="F503" i="1" s="1"/>
  <c r="N236" i="7"/>
  <c r="M236" i="7"/>
  <c r="K236" i="7"/>
  <c r="E502" i="1" s="1"/>
  <c r="J236" i="7"/>
  <c r="L236" i="7" s="1"/>
  <c r="F502" i="1" s="1"/>
  <c r="N235" i="7"/>
  <c r="M235" i="7"/>
  <c r="K235" i="7"/>
  <c r="E501" i="1" s="1"/>
  <c r="J235" i="7"/>
  <c r="L235" i="7" s="1"/>
  <c r="F501" i="1" s="1"/>
  <c r="N234" i="7"/>
  <c r="M234" i="7"/>
  <c r="K234" i="7"/>
  <c r="E500" i="1" s="1"/>
  <c r="J234" i="7"/>
  <c r="L234" i="7" s="1"/>
  <c r="F500" i="1" s="1"/>
  <c r="N233" i="7"/>
  <c r="M233" i="7"/>
  <c r="K233" i="7"/>
  <c r="E499" i="1" s="1"/>
  <c r="J233" i="7"/>
  <c r="L233" i="7" s="1"/>
  <c r="F499" i="1" s="1"/>
  <c r="N232" i="7"/>
  <c r="M232" i="7"/>
  <c r="K232" i="7"/>
  <c r="E498" i="1" s="1"/>
  <c r="J232" i="7"/>
  <c r="L232" i="7" s="1"/>
  <c r="F498" i="1" s="1"/>
  <c r="N231" i="7"/>
  <c r="M231" i="7"/>
  <c r="K231" i="7"/>
  <c r="E497" i="1" s="1"/>
  <c r="J231" i="7"/>
  <c r="L231" i="7" s="1"/>
  <c r="F497" i="1" s="1"/>
  <c r="N230" i="7"/>
  <c r="M230" i="7"/>
  <c r="K230" i="7"/>
  <c r="E496" i="1" s="1"/>
  <c r="J230" i="7"/>
  <c r="C496" i="1" s="1"/>
  <c r="N229" i="7"/>
  <c r="M229" i="7"/>
  <c r="K229" i="7"/>
  <c r="E495" i="1" s="1"/>
  <c r="J229" i="7"/>
  <c r="L229" i="7" s="1"/>
  <c r="F495" i="1" s="1"/>
  <c r="N228" i="7"/>
  <c r="M228" i="7"/>
  <c r="K228" i="7"/>
  <c r="E494" i="1" s="1"/>
  <c r="J228" i="7"/>
  <c r="L228" i="7" s="1"/>
  <c r="F494" i="1" s="1"/>
  <c r="N227" i="7"/>
  <c r="M227" i="7"/>
  <c r="K227" i="7"/>
  <c r="E493" i="1" s="1"/>
  <c r="J227" i="7"/>
  <c r="L227" i="7" s="1"/>
  <c r="F493" i="1" s="1"/>
  <c r="N226" i="7"/>
  <c r="M226" i="7"/>
  <c r="K226" i="7"/>
  <c r="E492" i="1" s="1"/>
  <c r="J226" i="7"/>
  <c r="L226" i="7" s="1"/>
  <c r="F492" i="1" s="1"/>
  <c r="N225" i="7"/>
  <c r="M225" i="7"/>
  <c r="K225" i="7"/>
  <c r="E491" i="1" s="1"/>
  <c r="J225" i="7"/>
  <c r="C491" i="1" s="1"/>
  <c r="N224" i="7"/>
  <c r="M224" i="7"/>
  <c r="K224" i="7"/>
  <c r="E490" i="1" s="1"/>
  <c r="J224" i="7"/>
  <c r="L224" i="7" s="1"/>
  <c r="F490" i="1" s="1"/>
  <c r="N223" i="7"/>
  <c r="M223" i="7"/>
  <c r="K223" i="7"/>
  <c r="E489" i="1" s="1"/>
  <c r="J223" i="7"/>
  <c r="L223" i="7" s="1"/>
  <c r="F489" i="1" s="1"/>
  <c r="N222" i="7"/>
  <c r="M222" i="7"/>
  <c r="K222" i="7"/>
  <c r="E488" i="1" s="1"/>
  <c r="J222" i="7"/>
  <c r="C488" i="1" s="1"/>
  <c r="N221" i="7"/>
  <c r="M221" i="7"/>
  <c r="K221" i="7"/>
  <c r="E487" i="1" s="1"/>
  <c r="J221" i="7"/>
  <c r="L221" i="7" s="1"/>
  <c r="F487" i="1" s="1"/>
  <c r="N220" i="7"/>
  <c r="M220" i="7"/>
  <c r="K220" i="7"/>
  <c r="E486" i="1" s="1"/>
  <c r="J220" i="7"/>
  <c r="L220" i="7" s="1"/>
  <c r="F486" i="1" s="1"/>
  <c r="N219" i="7"/>
  <c r="M219" i="7"/>
  <c r="K219" i="7"/>
  <c r="E485" i="1" s="1"/>
  <c r="J219" i="7"/>
  <c r="L219" i="7" s="1"/>
  <c r="F485" i="1" s="1"/>
  <c r="N218" i="7"/>
  <c r="M218" i="7"/>
  <c r="K218" i="7"/>
  <c r="E484" i="1" s="1"/>
  <c r="J218" i="7"/>
  <c r="L218" i="7" s="1"/>
  <c r="F484" i="1" s="1"/>
  <c r="N217" i="7"/>
  <c r="M217" i="7"/>
  <c r="K217" i="7"/>
  <c r="E483" i="1" s="1"/>
  <c r="J217" i="7"/>
  <c r="L217" i="7" s="1"/>
  <c r="F483" i="1" s="1"/>
  <c r="N216" i="7"/>
  <c r="M216" i="7"/>
  <c r="K216" i="7"/>
  <c r="E482" i="1" s="1"/>
  <c r="J216" i="7"/>
  <c r="L216" i="7" s="1"/>
  <c r="F482" i="1" s="1"/>
  <c r="N215" i="7"/>
  <c r="M215" i="7"/>
  <c r="K215" i="7"/>
  <c r="E481" i="1" s="1"/>
  <c r="J215" i="7"/>
  <c r="L215" i="7" s="1"/>
  <c r="F481" i="1" s="1"/>
  <c r="N214" i="7"/>
  <c r="M214" i="7"/>
  <c r="K214" i="7"/>
  <c r="E480" i="1" s="1"/>
  <c r="J214" i="7"/>
  <c r="C480" i="1" s="1"/>
  <c r="N213" i="7"/>
  <c r="M213" i="7"/>
  <c r="K213" i="7"/>
  <c r="E479" i="1" s="1"/>
  <c r="J213" i="7"/>
  <c r="L213" i="7" s="1"/>
  <c r="F479" i="1" s="1"/>
  <c r="N212" i="7"/>
  <c r="M212" i="7"/>
  <c r="K212" i="7"/>
  <c r="E478" i="1" s="1"/>
  <c r="J212" i="7"/>
  <c r="L212" i="7" s="1"/>
  <c r="F478" i="1" s="1"/>
  <c r="N211" i="7"/>
  <c r="M211" i="7"/>
  <c r="K211" i="7"/>
  <c r="E477" i="1" s="1"/>
  <c r="J211" i="7"/>
  <c r="L211" i="7" s="1"/>
  <c r="F477" i="1" s="1"/>
  <c r="N210" i="7"/>
  <c r="M210" i="7"/>
  <c r="K210" i="7"/>
  <c r="E476" i="1" s="1"/>
  <c r="J210" i="7"/>
  <c r="L210" i="7" s="1"/>
  <c r="F476" i="1" s="1"/>
  <c r="N209" i="7"/>
  <c r="M209" i="7"/>
  <c r="K209" i="7"/>
  <c r="E475" i="1" s="1"/>
  <c r="J209" i="7"/>
  <c r="C475" i="1" s="1"/>
  <c r="N208" i="7"/>
  <c r="M208" i="7"/>
  <c r="K208" i="7"/>
  <c r="E474" i="1" s="1"/>
  <c r="J208" i="7"/>
  <c r="L208" i="7" s="1"/>
  <c r="F474" i="1" s="1"/>
  <c r="N207" i="7"/>
  <c r="M207" i="7"/>
  <c r="K207" i="7"/>
  <c r="E473" i="1" s="1"/>
  <c r="J207" i="7"/>
  <c r="L207" i="7" s="1"/>
  <c r="F473" i="1" s="1"/>
  <c r="N206" i="7"/>
  <c r="M206" i="7"/>
  <c r="L206" i="7"/>
  <c r="F472" i="1" s="1"/>
  <c r="K206" i="7"/>
  <c r="E472" i="1" s="1"/>
  <c r="J206" i="7"/>
  <c r="C472" i="1" s="1"/>
  <c r="N205" i="7"/>
  <c r="M205" i="7"/>
  <c r="K205" i="7"/>
  <c r="E471" i="1" s="1"/>
  <c r="J205" i="7"/>
  <c r="L205" i="7" s="1"/>
  <c r="F471" i="1" s="1"/>
  <c r="N204" i="7"/>
  <c r="M204" i="7"/>
  <c r="K204" i="7"/>
  <c r="E470" i="1" s="1"/>
  <c r="J204" i="7"/>
  <c r="L204" i="7" s="1"/>
  <c r="F470" i="1" s="1"/>
  <c r="N203" i="7"/>
  <c r="M203" i="7"/>
  <c r="K203" i="7"/>
  <c r="E469" i="1" s="1"/>
  <c r="J203" i="7"/>
  <c r="L203" i="7" s="1"/>
  <c r="F469" i="1" s="1"/>
  <c r="N202" i="7"/>
  <c r="M202" i="7"/>
  <c r="K202" i="7"/>
  <c r="E468" i="1" s="1"/>
  <c r="J202" i="7"/>
  <c r="L202" i="7" s="1"/>
  <c r="F468" i="1" s="1"/>
  <c r="N201" i="7"/>
  <c r="M201" i="7"/>
  <c r="K201" i="7"/>
  <c r="E467" i="1" s="1"/>
  <c r="J201" i="7"/>
  <c r="L201" i="7" s="1"/>
  <c r="F467" i="1" s="1"/>
  <c r="N200" i="7"/>
  <c r="M200" i="7"/>
  <c r="K200" i="7"/>
  <c r="E466" i="1" s="1"/>
  <c r="J200" i="7"/>
  <c r="L200" i="7" s="1"/>
  <c r="F466" i="1" s="1"/>
  <c r="N199" i="7"/>
  <c r="M199" i="7"/>
  <c r="K199" i="7"/>
  <c r="E465" i="1" s="1"/>
  <c r="J199" i="7"/>
  <c r="L199" i="7" s="1"/>
  <c r="F465" i="1" s="1"/>
  <c r="N198" i="7"/>
  <c r="M198" i="7"/>
  <c r="K198" i="7"/>
  <c r="E464" i="1" s="1"/>
  <c r="J198" i="7"/>
  <c r="C464" i="1" s="1"/>
  <c r="N197" i="7"/>
  <c r="M197" i="7"/>
  <c r="K197" i="7"/>
  <c r="E463" i="1" s="1"/>
  <c r="J197" i="7"/>
  <c r="L197" i="7" s="1"/>
  <c r="F463" i="1" s="1"/>
  <c r="N196" i="7"/>
  <c r="M196" i="7"/>
  <c r="K196" i="7"/>
  <c r="E462" i="1" s="1"/>
  <c r="J196" i="7"/>
  <c r="L196" i="7" s="1"/>
  <c r="F462" i="1" s="1"/>
  <c r="N195" i="7"/>
  <c r="M195" i="7"/>
  <c r="K195" i="7"/>
  <c r="E461" i="1" s="1"/>
  <c r="J195" i="7"/>
  <c r="L195" i="7" s="1"/>
  <c r="F461" i="1" s="1"/>
  <c r="N194" i="7"/>
  <c r="M194" i="7"/>
  <c r="K194" i="7"/>
  <c r="E460" i="1" s="1"/>
  <c r="J194" i="7"/>
  <c r="L194" i="7" s="1"/>
  <c r="F460" i="1" s="1"/>
  <c r="N193" i="7"/>
  <c r="M193" i="7"/>
  <c r="K193" i="7"/>
  <c r="E459" i="1" s="1"/>
  <c r="J193" i="7"/>
  <c r="L193" i="7" s="1"/>
  <c r="F459" i="1" s="1"/>
  <c r="N192" i="7"/>
  <c r="M192" i="7"/>
  <c r="K192" i="7"/>
  <c r="E458" i="1" s="1"/>
  <c r="J192" i="7"/>
  <c r="L192" i="7" s="1"/>
  <c r="F458" i="1" s="1"/>
  <c r="N191" i="7"/>
  <c r="M191" i="7"/>
  <c r="K191" i="7"/>
  <c r="E457" i="1" s="1"/>
  <c r="J191" i="7"/>
  <c r="L191" i="7" s="1"/>
  <c r="F457" i="1" s="1"/>
  <c r="N190" i="7"/>
  <c r="M190" i="7"/>
  <c r="K190" i="7"/>
  <c r="J190" i="7"/>
  <c r="L190" i="7" s="1"/>
  <c r="E62" i="2"/>
  <c r="C62" i="2"/>
  <c r="L238" i="7" l="1"/>
  <c r="F504" i="1" s="1"/>
  <c r="L209" i="7"/>
  <c r="F475" i="1" s="1"/>
  <c r="L225" i="7"/>
  <c r="F491" i="1" s="1"/>
  <c r="L230" i="7"/>
  <c r="F496" i="1" s="1"/>
  <c r="C479" i="1"/>
  <c r="L214" i="7"/>
  <c r="F480" i="1" s="1"/>
  <c r="C459" i="1"/>
  <c r="C487" i="1"/>
  <c r="L222" i="7"/>
  <c r="F488" i="1" s="1"/>
  <c r="L242" i="7"/>
  <c r="F508" i="1" s="1"/>
  <c r="C495" i="1"/>
  <c r="C507" i="1"/>
  <c r="C463" i="1"/>
  <c r="C471" i="1"/>
  <c r="C503" i="1"/>
  <c r="C467" i="1"/>
  <c r="L198" i="7"/>
  <c r="F464" i="1" s="1"/>
  <c r="C460" i="1"/>
  <c r="C468" i="1"/>
  <c r="C476" i="1"/>
  <c r="C484" i="1"/>
  <c r="C492" i="1"/>
  <c r="C500" i="1"/>
  <c r="C483" i="1"/>
  <c r="C499" i="1"/>
  <c r="C457" i="1"/>
  <c r="C461" i="1"/>
  <c r="C465" i="1"/>
  <c r="C469" i="1"/>
  <c r="C473" i="1"/>
  <c r="C477" i="1"/>
  <c r="C481" i="1"/>
  <c r="C485" i="1"/>
  <c r="C489" i="1"/>
  <c r="C493" i="1"/>
  <c r="C497" i="1"/>
  <c r="C501" i="1"/>
  <c r="C505" i="1"/>
  <c r="C509" i="1"/>
  <c r="C458" i="1"/>
  <c r="C462" i="1"/>
  <c r="C466" i="1"/>
  <c r="C470" i="1"/>
  <c r="C474" i="1"/>
  <c r="C478" i="1"/>
  <c r="C482" i="1"/>
  <c r="C486" i="1"/>
  <c r="C490" i="1"/>
  <c r="C494" i="1"/>
  <c r="C498" i="1"/>
  <c r="C502" i="1"/>
  <c r="C506" i="1"/>
  <c r="C510" i="1"/>
  <c r="E61" i="2"/>
  <c r="C61" i="2"/>
  <c r="L456" i="1" l="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F456" i="1"/>
  <c r="E456"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C456" i="1"/>
  <c r="N189" i="7"/>
  <c r="M189" i="7"/>
  <c r="N188" i="7"/>
  <c r="M188" i="7"/>
  <c r="N187" i="7"/>
  <c r="M187" i="7"/>
  <c r="N186" i="7"/>
  <c r="M186" i="7"/>
  <c r="N185" i="7"/>
  <c r="M185" i="7"/>
  <c r="N184" i="7"/>
  <c r="M184" i="7"/>
  <c r="N183" i="7"/>
  <c r="M183" i="7"/>
  <c r="N182" i="7"/>
  <c r="M182" i="7"/>
  <c r="N181" i="7"/>
  <c r="M181" i="7"/>
  <c r="N180" i="7"/>
  <c r="M180" i="7"/>
  <c r="N179" i="7"/>
  <c r="M179" i="7"/>
  <c r="N178" i="7"/>
  <c r="M178" i="7"/>
  <c r="N177" i="7"/>
  <c r="M177" i="7"/>
  <c r="N176" i="7"/>
  <c r="M176" i="7"/>
  <c r="N175" i="7"/>
  <c r="M175" i="7"/>
  <c r="N174" i="7"/>
  <c r="M174" i="7"/>
  <c r="N173" i="7"/>
  <c r="M173" i="7"/>
  <c r="N172" i="7"/>
  <c r="M172" i="7"/>
  <c r="N171" i="7"/>
  <c r="M171" i="7"/>
  <c r="N170" i="7"/>
  <c r="M170" i="7"/>
  <c r="N169" i="7"/>
  <c r="M169" i="7"/>
  <c r="N168" i="7"/>
  <c r="M168" i="7"/>
  <c r="N167" i="7"/>
  <c r="M167" i="7"/>
  <c r="N166" i="7"/>
  <c r="M166" i="7"/>
  <c r="N165" i="7"/>
  <c r="M165" i="7"/>
  <c r="N164" i="7"/>
  <c r="M164" i="7"/>
  <c r="N163" i="7"/>
  <c r="M163" i="7"/>
  <c r="N162" i="7"/>
  <c r="M162" i="7"/>
  <c r="N161" i="7"/>
  <c r="M161" i="7"/>
  <c r="N160" i="7"/>
  <c r="M160" i="7"/>
  <c r="N159" i="7"/>
  <c r="M159" i="7"/>
  <c r="N158" i="7"/>
  <c r="M158" i="7"/>
  <c r="N157" i="7"/>
  <c r="M157" i="7"/>
  <c r="N156" i="7"/>
  <c r="M156" i="7"/>
  <c r="N155" i="7"/>
  <c r="M155" i="7"/>
  <c r="N154" i="7"/>
  <c r="M154" i="7"/>
  <c r="N153" i="7"/>
  <c r="M153" i="7"/>
  <c r="N152" i="7"/>
  <c r="M152" i="7"/>
  <c r="N151" i="7"/>
  <c r="M151" i="7"/>
  <c r="N150" i="7"/>
  <c r="M150" i="7"/>
  <c r="N149" i="7"/>
  <c r="M149" i="7"/>
  <c r="N148" i="7"/>
  <c r="M148" i="7"/>
  <c r="N147" i="7"/>
  <c r="M147" i="7"/>
  <c r="N146" i="7"/>
  <c r="M146" i="7"/>
  <c r="N145" i="7"/>
  <c r="M145" i="7"/>
  <c r="N144" i="7"/>
  <c r="M144" i="7"/>
  <c r="N143" i="7"/>
  <c r="M143" i="7"/>
  <c r="N142" i="7"/>
  <c r="M142" i="7"/>
  <c r="N141" i="7"/>
  <c r="M141" i="7"/>
  <c r="N140" i="7"/>
  <c r="M140" i="7"/>
  <c r="N139" i="7"/>
  <c r="M139" i="7"/>
  <c r="N138" i="7"/>
  <c r="M138" i="7"/>
  <c r="N137" i="7"/>
  <c r="M137" i="7"/>
  <c r="N136" i="7"/>
  <c r="M136" i="7"/>
  <c r="N135" i="7"/>
  <c r="M135" i="7"/>
  <c r="N134" i="7"/>
  <c r="M134" i="7"/>
  <c r="N133" i="7"/>
  <c r="M133" i="7"/>
  <c r="N132" i="7"/>
  <c r="M132" i="7"/>
  <c r="N131" i="7"/>
  <c r="M131" i="7"/>
  <c r="N130" i="7"/>
  <c r="M130" i="7"/>
  <c r="N129" i="7"/>
  <c r="M129" i="7"/>
  <c r="N128" i="7"/>
  <c r="M128" i="7"/>
  <c r="N127" i="7"/>
  <c r="M127" i="7"/>
  <c r="N126" i="7"/>
  <c r="M126" i="7"/>
  <c r="N125" i="7"/>
  <c r="M125" i="7"/>
  <c r="N124" i="7"/>
  <c r="M124" i="7"/>
  <c r="N123" i="7"/>
  <c r="M123" i="7"/>
  <c r="N122" i="7"/>
  <c r="M122" i="7"/>
  <c r="N121" i="7"/>
  <c r="M121" i="7"/>
  <c r="N120" i="7"/>
  <c r="M120" i="7"/>
  <c r="N119" i="7"/>
  <c r="M119" i="7"/>
  <c r="N118" i="7"/>
  <c r="M118" i="7"/>
  <c r="N117" i="7"/>
  <c r="M117" i="7"/>
  <c r="N116" i="7"/>
  <c r="M116" i="7"/>
  <c r="N115" i="7"/>
  <c r="M115" i="7"/>
  <c r="N114" i="7"/>
  <c r="M114" i="7"/>
  <c r="N113" i="7"/>
  <c r="M113" i="7"/>
  <c r="N112" i="7"/>
  <c r="M112" i="7"/>
  <c r="N111" i="7"/>
  <c r="M111" i="7"/>
  <c r="N110" i="7"/>
  <c r="M110" i="7"/>
  <c r="N109" i="7"/>
  <c r="M109" i="7"/>
  <c r="N108" i="7"/>
  <c r="M108" i="7"/>
  <c r="N107" i="7"/>
  <c r="M107" i="7"/>
  <c r="N106" i="7"/>
  <c r="M106" i="7"/>
  <c r="N105" i="7"/>
  <c r="M105" i="7"/>
  <c r="N104" i="7"/>
  <c r="M104" i="7"/>
  <c r="N103" i="7"/>
  <c r="M103" i="7"/>
  <c r="N102" i="7"/>
  <c r="M102" i="7"/>
  <c r="N101" i="7"/>
  <c r="M101" i="7"/>
  <c r="N100" i="7"/>
  <c r="M100" i="7"/>
  <c r="N99" i="7"/>
  <c r="M99" i="7"/>
  <c r="N98" i="7"/>
  <c r="M98" i="7"/>
  <c r="N97" i="7"/>
  <c r="M97" i="7"/>
  <c r="N96" i="7"/>
  <c r="M96" i="7"/>
  <c r="N95" i="7"/>
  <c r="M95" i="7"/>
  <c r="N94" i="7"/>
  <c r="M94" i="7"/>
  <c r="N93" i="7"/>
  <c r="M93" i="7"/>
  <c r="N92" i="7"/>
  <c r="M92" i="7"/>
  <c r="N91" i="7"/>
  <c r="M91" i="7"/>
  <c r="N90" i="7"/>
  <c r="M90" i="7"/>
  <c r="N89" i="7"/>
  <c r="M89" i="7"/>
  <c r="N88" i="7"/>
  <c r="M88" i="7"/>
  <c r="N87" i="7"/>
  <c r="M87" i="7"/>
  <c r="N86" i="7"/>
  <c r="M86" i="7"/>
  <c r="N85" i="7"/>
  <c r="M85" i="7"/>
  <c r="N84" i="7"/>
  <c r="M84" i="7"/>
  <c r="N83" i="7"/>
  <c r="M83" i="7"/>
  <c r="N82" i="7"/>
  <c r="M82" i="7"/>
  <c r="N81" i="7"/>
  <c r="M81" i="7"/>
  <c r="K189" i="7"/>
  <c r="E455" i="1" s="1"/>
  <c r="K188" i="7"/>
  <c r="E454" i="1" s="1"/>
  <c r="K187" i="7"/>
  <c r="E453" i="1" s="1"/>
  <c r="K186" i="7"/>
  <c r="E452" i="1" s="1"/>
  <c r="K185" i="7"/>
  <c r="E451" i="1" s="1"/>
  <c r="K184" i="7"/>
  <c r="E450" i="1" s="1"/>
  <c r="K183" i="7"/>
  <c r="E449" i="1" s="1"/>
  <c r="K182" i="7"/>
  <c r="E448" i="1" s="1"/>
  <c r="K181" i="7"/>
  <c r="E447" i="1" s="1"/>
  <c r="K180" i="7"/>
  <c r="E446" i="1" s="1"/>
  <c r="K179" i="7"/>
  <c r="E445" i="1" s="1"/>
  <c r="K178" i="7"/>
  <c r="E444" i="1" s="1"/>
  <c r="K177" i="7"/>
  <c r="E443" i="1" s="1"/>
  <c r="K176" i="7"/>
  <c r="E442" i="1" s="1"/>
  <c r="K175" i="7"/>
  <c r="E441" i="1" s="1"/>
  <c r="K174" i="7"/>
  <c r="E440" i="1" s="1"/>
  <c r="K173" i="7"/>
  <c r="E439" i="1" s="1"/>
  <c r="K172" i="7"/>
  <c r="E438" i="1" s="1"/>
  <c r="K171" i="7"/>
  <c r="E437" i="1" s="1"/>
  <c r="K170" i="7"/>
  <c r="E436" i="1" s="1"/>
  <c r="K169" i="7"/>
  <c r="E435" i="1" s="1"/>
  <c r="K168" i="7"/>
  <c r="E434" i="1" s="1"/>
  <c r="K167" i="7"/>
  <c r="E433" i="1" s="1"/>
  <c r="K166" i="7"/>
  <c r="E432" i="1" s="1"/>
  <c r="K165" i="7"/>
  <c r="E431" i="1" s="1"/>
  <c r="K164" i="7"/>
  <c r="E430" i="1" s="1"/>
  <c r="K163" i="7"/>
  <c r="E429" i="1" s="1"/>
  <c r="K162" i="7"/>
  <c r="E428" i="1" s="1"/>
  <c r="K161" i="7"/>
  <c r="E427" i="1" s="1"/>
  <c r="K160" i="7"/>
  <c r="E426" i="1" s="1"/>
  <c r="K159" i="7"/>
  <c r="E425" i="1" s="1"/>
  <c r="K158" i="7"/>
  <c r="E424" i="1" s="1"/>
  <c r="K157" i="7"/>
  <c r="E423" i="1" s="1"/>
  <c r="K156" i="7"/>
  <c r="E422" i="1" s="1"/>
  <c r="K155" i="7"/>
  <c r="E421" i="1" s="1"/>
  <c r="K154" i="7"/>
  <c r="E420" i="1" s="1"/>
  <c r="K153" i="7"/>
  <c r="E419" i="1" s="1"/>
  <c r="K152" i="7"/>
  <c r="E418" i="1" s="1"/>
  <c r="K151" i="7"/>
  <c r="E417" i="1" s="1"/>
  <c r="K150" i="7"/>
  <c r="E416" i="1" s="1"/>
  <c r="K149" i="7"/>
  <c r="E415" i="1" s="1"/>
  <c r="K148" i="7"/>
  <c r="E414" i="1" s="1"/>
  <c r="K147" i="7"/>
  <c r="E413" i="1" s="1"/>
  <c r="K146" i="7"/>
  <c r="E412" i="1" s="1"/>
  <c r="K145" i="7"/>
  <c r="E411" i="1" s="1"/>
  <c r="K144" i="7"/>
  <c r="E410" i="1" s="1"/>
  <c r="K143" i="7"/>
  <c r="E409" i="1" s="1"/>
  <c r="K142" i="7"/>
  <c r="E408" i="1" s="1"/>
  <c r="K141" i="7"/>
  <c r="E407" i="1" s="1"/>
  <c r="K140" i="7"/>
  <c r="E406" i="1" s="1"/>
  <c r="K139" i="7"/>
  <c r="E405" i="1" s="1"/>
  <c r="K138" i="7"/>
  <c r="E404" i="1" s="1"/>
  <c r="K137" i="7"/>
  <c r="E403" i="1" s="1"/>
  <c r="K136" i="7"/>
  <c r="E402" i="1" s="1"/>
  <c r="K135" i="7"/>
  <c r="E401" i="1" s="1"/>
  <c r="K134" i="7"/>
  <c r="E400" i="1" s="1"/>
  <c r="K133" i="7"/>
  <c r="E399" i="1" s="1"/>
  <c r="K132" i="7"/>
  <c r="E398" i="1" s="1"/>
  <c r="K131" i="7"/>
  <c r="E397" i="1" s="1"/>
  <c r="K130" i="7"/>
  <c r="E396" i="1" s="1"/>
  <c r="K129" i="7"/>
  <c r="E395" i="1" s="1"/>
  <c r="K128" i="7"/>
  <c r="E394" i="1" s="1"/>
  <c r="K127" i="7"/>
  <c r="E393" i="1" s="1"/>
  <c r="K126" i="7"/>
  <c r="E392" i="1" s="1"/>
  <c r="K125" i="7"/>
  <c r="E391" i="1" s="1"/>
  <c r="K124" i="7"/>
  <c r="E390" i="1" s="1"/>
  <c r="K123" i="7"/>
  <c r="E389" i="1" s="1"/>
  <c r="K122" i="7"/>
  <c r="E388" i="1" s="1"/>
  <c r="K121" i="7"/>
  <c r="E387" i="1" s="1"/>
  <c r="K120" i="7"/>
  <c r="E386" i="1" s="1"/>
  <c r="K119" i="7"/>
  <c r="E385" i="1" s="1"/>
  <c r="K118" i="7"/>
  <c r="E384" i="1" s="1"/>
  <c r="K117" i="7"/>
  <c r="E383" i="1" s="1"/>
  <c r="K116" i="7"/>
  <c r="E382" i="1" s="1"/>
  <c r="K115" i="7"/>
  <c r="E381" i="1" s="1"/>
  <c r="K114" i="7"/>
  <c r="E380" i="1" s="1"/>
  <c r="K113" i="7"/>
  <c r="E379" i="1" s="1"/>
  <c r="K112" i="7"/>
  <c r="E378" i="1" s="1"/>
  <c r="K111" i="7"/>
  <c r="E377" i="1" s="1"/>
  <c r="K110" i="7"/>
  <c r="E376" i="1" s="1"/>
  <c r="K109" i="7"/>
  <c r="E375" i="1" s="1"/>
  <c r="K108" i="7"/>
  <c r="E374" i="1" s="1"/>
  <c r="K107" i="7"/>
  <c r="E373" i="1" s="1"/>
  <c r="K106" i="7"/>
  <c r="E372" i="1" s="1"/>
  <c r="K105" i="7"/>
  <c r="E371" i="1" s="1"/>
  <c r="K104" i="7"/>
  <c r="E370" i="1" s="1"/>
  <c r="K103" i="7"/>
  <c r="E369" i="1" s="1"/>
  <c r="K102" i="7"/>
  <c r="E368" i="1" s="1"/>
  <c r="K101" i="7"/>
  <c r="E367" i="1" s="1"/>
  <c r="K100" i="7"/>
  <c r="E366" i="1" s="1"/>
  <c r="K99" i="7"/>
  <c r="E365" i="1" s="1"/>
  <c r="K98" i="7"/>
  <c r="E364" i="1" s="1"/>
  <c r="K97" i="7"/>
  <c r="E363" i="1" s="1"/>
  <c r="K96" i="7"/>
  <c r="E362" i="1" s="1"/>
  <c r="K95" i="7"/>
  <c r="E361" i="1" s="1"/>
  <c r="K94" i="7"/>
  <c r="E360" i="1" s="1"/>
  <c r="K93" i="7"/>
  <c r="E359" i="1" s="1"/>
  <c r="K92" i="7"/>
  <c r="E358" i="1" s="1"/>
  <c r="J189" i="7"/>
  <c r="L189" i="7" s="1"/>
  <c r="F455" i="1" s="1"/>
  <c r="J188" i="7"/>
  <c r="J187" i="7"/>
  <c r="J186" i="7"/>
  <c r="C452" i="1" s="1"/>
  <c r="J185" i="7"/>
  <c r="L185" i="7" s="1"/>
  <c r="F451" i="1" s="1"/>
  <c r="J184" i="7"/>
  <c r="L184" i="7" s="1"/>
  <c r="F450" i="1" s="1"/>
  <c r="J183" i="7"/>
  <c r="C449" i="1" s="1"/>
  <c r="J182" i="7"/>
  <c r="C448" i="1" s="1"/>
  <c r="J181" i="7"/>
  <c r="J180" i="7"/>
  <c r="C446" i="1" s="1"/>
  <c r="J179" i="7"/>
  <c r="C445" i="1" s="1"/>
  <c r="J178" i="7"/>
  <c r="J177" i="7"/>
  <c r="J176" i="7"/>
  <c r="C442" i="1" s="1"/>
  <c r="J175" i="7"/>
  <c r="L175" i="7" s="1"/>
  <c r="F441" i="1" s="1"/>
  <c r="J174" i="7"/>
  <c r="J173" i="7"/>
  <c r="C439" i="1" s="1"/>
  <c r="J172" i="7"/>
  <c r="C438" i="1" s="1"/>
  <c r="J171" i="7"/>
  <c r="J170" i="7"/>
  <c r="J169" i="7"/>
  <c r="C435" i="1" s="1"/>
  <c r="J168" i="7"/>
  <c r="L168" i="7" s="1"/>
  <c r="F434" i="1" s="1"/>
  <c r="J167" i="7"/>
  <c r="J166" i="7"/>
  <c r="J165" i="7"/>
  <c r="C431" i="1" s="1"/>
  <c r="J164" i="7"/>
  <c r="L164" i="7" s="1"/>
  <c r="F430" i="1" s="1"/>
  <c r="J163" i="7"/>
  <c r="L163" i="7" s="1"/>
  <c r="F429" i="1" s="1"/>
  <c r="J162" i="7"/>
  <c r="J161" i="7"/>
  <c r="C427" i="1" s="1"/>
  <c r="J160" i="7"/>
  <c r="C426" i="1" s="1"/>
  <c r="J159" i="7"/>
  <c r="L159" i="7" s="1"/>
  <c r="F425" i="1" s="1"/>
  <c r="J158" i="7"/>
  <c r="J157" i="7"/>
  <c r="C423" i="1" s="1"/>
  <c r="J156" i="7"/>
  <c r="C422" i="1" s="1"/>
  <c r="J155" i="7"/>
  <c r="J154" i="7"/>
  <c r="J153" i="7"/>
  <c r="L153" i="7" s="1"/>
  <c r="F419" i="1" s="1"/>
  <c r="J152" i="7"/>
  <c r="C418" i="1" s="1"/>
  <c r="J151" i="7"/>
  <c r="J150" i="7"/>
  <c r="J149" i="7"/>
  <c r="C415" i="1" s="1"/>
  <c r="J148" i="7"/>
  <c r="L148" i="7" s="1"/>
  <c r="F414" i="1" s="1"/>
  <c r="J147" i="7"/>
  <c r="L147" i="7" s="1"/>
  <c r="F413" i="1" s="1"/>
  <c r="J146" i="7"/>
  <c r="J145" i="7"/>
  <c r="C411" i="1" s="1"/>
  <c r="J144" i="7"/>
  <c r="C410" i="1" s="1"/>
  <c r="J143" i="7"/>
  <c r="L143" i="7" s="1"/>
  <c r="F409" i="1" s="1"/>
  <c r="J142" i="7"/>
  <c r="J141" i="7"/>
  <c r="C407" i="1" s="1"/>
  <c r="J140" i="7"/>
  <c r="C406" i="1" s="1"/>
  <c r="J139" i="7"/>
  <c r="J138" i="7"/>
  <c r="J137" i="7"/>
  <c r="C403" i="1" s="1"/>
  <c r="J136" i="7"/>
  <c r="L136" i="7" s="1"/>
  <c r="F402" i="1" s="1"/>
  <c r="J135" i="7"/>
  <c r="J134" i="7"/>
  <c r="J133" i="7"/>
  <c r="C399" i="1" s="1"/>
  <c r="J132" i="7"/>
  <c r="L132" i="7" s="1"/>
  <c r="F398" i="1" s="1"/>
  <c r="J131" i="7"/>
  <c r="L131" i="7" s="1"/>
  <c r="F397" i="1" s="1"/>
  <c r="J130" i="7"/>
  <c r="J129" i="7"/>
  <c r="C395" i="1" s="1"/>
  <c r="J128" i="7"/>
  <c r="C394" i="1" s="1"/>
  <c r="J127" i="7"/>
  <c r="L127" i="7" s="1"/>
  <c r="F393" i="1" s="1"/>
  <c r="J126" i="7"/>
  <c r="J125" i="7"/>
  <c r="L125" i="7" s="1"/>
  <c r="F391" i="1" s="1"/>
  <c r="J124" i="7"/>
  <c r="C390" i="1" s="1"/>
  <c r="J123" i="7"/>
  <c r="J122" i="7"/>
  <c r="J121" i="7"/>
  <c r="L121" i="7" s="1"/>
  <c r="F387" i="1" s="1"/>
  <c r="J120" i="7"/>
  <c r="C386" i="1" s="1"/>
  <c r="J119" i="7"/>
  <c r="J118" i="7"/>
  <c r="J117" i="7"/>
  <c r="C383" i="1" s="1"/>
  <c r="J116" i="7"/>
  <c r="C382" i="1" s="1"/>
  <c r="J115" i="7"/>
  <c r="L115" i="7" s="1"/>
  <c r="F381" i="1" s="1"/>
  <c r="J114" i="7"/>
  <c r="J113" i="7"/>
  <c r="C379" i="1" s="1"/>
  <c r="J112" i="7"/>
  <c r="C378" i="1" s="1"/>
  <c r="J111" i="7"/>
  <c r="L111" i="7" s="1"/>
  <c r="F377" i="1" s="1"/>
  <c r="J110" i="7"/>
  <c r="J109" i="7"/>
  <c r="C375" i="1" s="1"/>
  <c r="J108" i="7"/>
  <c r="C374" i="1" s="1"/>
  <c r="J107" i="7"/>
  <c r="J106" i="7"/>
  <c r="J105" i="7"/>
  <c r="L105" i="7" s="1"/>
  <c r="F371" i="1" s="1"/>
  <c r="J104" i="7"/>
  <c r="L104" i="7" s="1"/>
  <c r="F370" i="1" s="1"/>
  <c r="J103" i="7"/>
  <c r="J102" i="7"/>
  <c r="J101" i="7"/>
  <c r="C367" i="1" s="1"/>
  <c r="J100" i="7"/>
  <c r="L100" i="7" s="1"/>
  <c r="F366" i="1" s="1"/>
  <c r="J99" i="7"/>
  <c r="L99" i="7" s="1"/>
  <c r="F365" i="1" s="1"/>
  <c r="J98" i="7"/>
  <c r="J97" i="7"/>
  <c r="C363" i="1" s="1"/>
  <c r="J96" i="7"/>
  <c r="C362" i="1" s="1"/>
  <c r="J95" i="7"/>
  <c r="L95" i="7" s="1"/>
  <c r="F361" i="1" s="1"/>
  <c r="J94" i="7"/>
  <c r="J93" i="7"/>
  <c r="C359" i="1" s="1"/>
  <c r="J92" i="7"/>
  <c r="C358" i="1" s="1"/>
  <c r="K91" i="7"/>
  <c r="E357" i="1" s="1"/>
  <c r="J91" i="7"/>
  <c r="K90" i="7"/>
  <c r="E356" i="1" s="1"/>
  <c r="J90" i="7"/>
  <c r="K89" i="7"/>
  <c r="E355" i="1" s="1"/>
  <c r="J89" i="7"/>
  <c r="L89" i="7" s="1"/>
  <c r="F355" i="1" s="1"/>
  <c r="K88" i="7"/>
  <c r="E354" i="1" s="1"/>
  <c r="J88" i="7"/>
  <c r="C354" i="1" s="1"/>
  <c r="K87" i="7"/>
  <c r="E353" i="1" s="1"/>
  <c r="J87" i="7"/>
  <c r="K86" i="7"/>
  <c r="E352" i="1" s="1"/>
  <c r="J86" i="7"/>
  <c r="K85" i="7"/>
  <c r="E351" i="1" s="1"/>
  <c r="J85" i="7"/>
  <c r="C351" i="1" s="1"/>
  <c r="K84" i="7"/>
  <c r="E350" i="1" s="1"/>
  <c r="J84" i="7"/>
  <c r="C350" i="1" s="1"/>
  <c r="K83" i="7"/>
  <c r="E349" i="1" s="1"/>
  <c r="J83" i="7"/>
  <c r="C349" i="1" s="1"/>
  <c r="K82" i="7"/>
  <c r="E348" i="1" s="1"/>
  <c r="J82" i="7"/>
  <c r="K81" i="7"/>
  <c r="E347" i="1" s="1"/>
  <c r="J81" i="7"/>
  <c r="C347" i="1" s="1"/>
  <c r="C60" i="2"/>
  <c r="E60" i="2"/>
  <c r="E59" i="2"/>
  <c r="C59" i="2"/>
  <c r="L83" i="7" l="1"/>
  <c r="F349" i="1" s="1"/>
  <c r="C391" i="1"/>
  <c r="L93" i="7"/>
  <c r="F359" i="1" s="1"/>
  <c r="L182" i="7"/>
  <c r="F448" i="1" s="1"/>
  <c r="L81" i="7"/>
  <c r="F347" i="1" s="1"/>
  <c r="L157" i="7"/>
  <c r="F423" i="1" s="1"/>
  <c r="C355" i="1"/>
  <c r="L101" i="7"/>
  <c r="F367" i="1" s="1"/>
  <c r="L133" i="7"/>
  <c r="F399" i="1" s="1"/>
  <c r="L165" i="7"/>
  <c r="F431" i="1" s="1"/>
  <c r="C398" i="1"/>
  <c r="C451" i="1"/>
  <c r="C430" i="1"/>
  <c r="L85" i="7"/>
  <c r="F351" i="1" s="1"/>
  <c r="L109" i="7"/>
  <c r="F375" i="1" s="1"/>
  <c r="L141" i="7"/>
  <c r="F407" i="1" s="1"/>
  <c r="L173" i="7"/>
  <c r="F439" i="1" s="1"/>
  <c r="L186" i="7"/>
  <c r="F452" i="1" s="1"/>
  <c r="C366" i="1"/>
  <c r="C419" i="1"/>
  <c r="C455" i="1"/>
  <c r="L117" i="7"/>
  <c r="F383" i="1" s="1"/>
  <c r="L149" i="7"/>
  <c r="F415" i="1" s="1"/>
  <c r="C387" i="1"/>
  <c r="C369" i="1"/>
  <c r="L103" i="7"/>
  <c r="F369" i="1" s="1"/>
  <c r="C385" i="1"/>
  <c r="L119" i="7"/>
  <c r="F385" i="1" s="1"/>
  <c r="C389" i="1"/>
  <c r="L123" i="7"/>
  <c r="F389" i="1" s="1"/>
  <c r="C401" i="1"/>
  <c r="L135" i="7"/>
  <c r="F401" i="1" s="1"/>
  <c r="C405" i="1"/>
  <c r="L139" i="7"/>
  <c r="F405" i="1" s="1"/>
  <c r="C377" i="1"/>
  <c r="C409" i="1"/>
  <c r="C441" i="1"/>
  <c r="C348" i="1"/>
  <c r="L82" i="7"/>
  <c r="F348" i="1" s="1"/>
  <c r="L84" i="7"/>
  <c r="F350" i="1" s="1"/>
  <c r="L92" i="7"/>
  <c r="F358" i="1" s="1"/>
  <c r="L108" i="7"/>
  <c r="F374" i="1" s="1"/>
  <c r="L124" i="7"/>
  <c r="F390" i="1" s="1"/>
  <c r="L140" i="7"/>
  <c r="F406" i="1" s="1"/>
  <c r="L156" i="7"/>
  <c r="F422" i="1" s="1"/>
  <c r="L172" i="7"/>
  <c r="F438" i="1" s="1"/>
  <c r="L180" i="7"/>
  <c r="F446" i="1" s="1"/>
  <c r="C370" i="1"/>
  <c r="C381" i="1"/>
  <c r="L97" i="7"/>
  <c r="F363" i="1" s="1"/>
  <c r="L129" i="7"/>
  <c r="F395" i="1" s="1"/>
  <c r="L137" i="7"/>
  <c r="F403" i="1" s="1"/>
  <c r="L161" i="7"/>
  <c r="F427" i="1" s="1"/>
  <c r="L169" i="7"/>
  <c r="F435" i="1" s="1"/>
  <c r="L179" i="7"/>
  <c r="F445" i="1" s="1"/>
  <c r="C371" i="1"/>
  <c r="C393" i="1"/>
  <c r="C414" i="1"/>
  <c r="C373" i="1"/>
  <c r="L107" i="7"/>
  <c r="F373" i="1" s="1"/>
  <c r="C417" i="1"/>
  <c r="L151" i="7"/>
  <c r="F417" i="1" s="1"/>
  <c r="C421" i="1"/>
  <c r="L155" i="7"/>
  <c r="F421" i="1" s="1"/>
  <c r="C433" i="1"/>
  <c r="L167" i="7"/>
  <c r="F433" i="1" s="1"/>
  <c r="C437" i="1"/>
  <c r="L171" i="7"/>
  <c r="F437" i="1" s="1"/>
  <c r="L187" i="7"/>
  <c r="F453" i="1" s="1"/>
  <c r="C453" i="1"/>
  <c r="C352" i="1"/>
  <c r="L86" i="7"/>
  <c r="F352" i="1" s="1"/>
  <c r="C356" i="1"/>
  <c r="L90" i="7"/>
  <c r="F356" i="1" s="1"/>
  <c r="C454" i="1"/>
  <c r="L188" i="7"/>
  <c r="F454" i="1" s="1"/>
  <c r="L116" i="7"/>
  <c r="F382" i="1" s="1"/>
  <c r="L183" i="7"/>
  <c r="F449" i="1" s="1"/>
  <c r="C402" i="1"/>
  <c r="C413" i="1"/>
  <c r="C434" i="1"/>
  <c r="L177" i="7"/>
  <c r="F443" i="1" s="1"/>
  <c r="C443" i="1"/>
  <c r="L181" i="7"/>
  <c r="F447" i="1" s="1"/>
  <c r="C447" i="1"/>
  <c r="L113" i="7"/>
  <c r="F379" i="1" s="1"/>
  <c r="L145" i="7"/>
  <c r="F411" i="1" s="1"/>
  <c r="C361" i="1"/>
  <c r="C425" i="1"/>
  <c r="C353" i="1"/>
  <c r="L87" i="7"/>
  <c r="F353" i="1" s="1"/>
  <c r="C357" i="1"/>
  <c r="L91" i="7"/>
  <c r="F357" i="1" s="1"/>
  <c r="C360" i="1"/>
  <c r="L94" i="7"/>
  <c r="F360" i="1" s="1"/>
  <c r="C364" i="1"/>
  <c r="L98" i="7"/>
  <c r="F364" i="1" s="1"/>
  <c r="C368" i="1"/>
  <c r="L102" i="7"/>
  <c r="F368" i="1" s="1"/>
  <c r="C372" i="1"/>
  <c r="L106" i="7"/>
  <c r="F372" i="1" s="1"/>
  <c r="C376" i="1"/>
  <c r="L110" i="7"/>
  <c r="F376" i="1" s="1"/>
  <c r="C380" i="1"/>
  <c r="L114" i="7"/>
  <c r="F380" i="1" s="1"/>
  <c r="C384" i="1"/>
  <c r="L118" i="7"/>
  <c r="F384" i="1" s="1"/>
  <c r="C388" i="1"/>
  <c r="L122" i="7"/>
  <c r="F388" i="1" s="1"/>
  <c r="C392" i="1"/>
  <c r="L126" i="7"/>
  <c r="F392" i="1" s="1"/>
  <c r="C396" i="1"/>
  <c r="L130" i="7"/>
  <c r="F396" i="1" s="1"/>
  <c r="C400" i="1"/>
  <c r="L134" i="7"/>
  <c r="F400" i="1" s="1"/>
  <c r="C404" i="1"/>
  <c r="L138" i="7"/>
  <c r="F404" i="1" s="1"/>
  <c r="C408" i="1"/>
  <c r="L142" i="7"/>
  <c r="F408" i="1" s="1"/>
  <c r="C412" i="1"/>
  <c r="L146" i="7"/>
  <c r="F412" i="1" s="1"/>
  <c r="C416" i="1"/>
  <c r="L150" i="7"/>
  <c r="F416" i="1" s="1"/>
  <c r="C420" i="1"/>
  <c r="L154" i="7"/>
  <c r="F420" i="1" s="1"/>
  <c r="C424" i="1"/>
  <c r="L158" i="7"/>
  <c r="F424" i="1" s="1"/>
  <c r="C428" i="1"/>
  <c r="L162" i="7"/>
  <c r="F428" i="1" s="1"/>
  <c r="C432" i="1"/>
  <c r="L166" i="7"/>
  <c r="F432" i="1" s="1"/>
  <c r="C436" i="1"/>
  <c r="L170" i="7"/>
  <c r="F436" i="1" s="1"/>
  <c r="C440" i="1"/>
  <c r="L174" i="7"/>
  <c r="F440" i="1" s="1"/>
  <c r="C444" i="1"/>
  <c r="L178" i="7"/>
  <c r="F444" i="1" s="1"/>
  <c r="L88" i="7"/>
  <c r="F354" i="1" s="1"/>
  <c r="L96" i="7"/>
  <c r="F362" i="1" s="1"/>
  <c r="L112" i="7"/>
  <c r="F378" i="1" s="1"/>
  <c r="L120" i="7"/>
  <c r="F386" i="1" s="1"/>
  <c r="L128" i="7"/>
  <c r="F394" i="1" s="1"/>
  <c r="L144" i="7"/>
  <c r="F410" i="1" s="1"/>
  <c r="L152" i="7"/>
  <c r="F418" i="1" s="1"/>
  <c r="L160" i="7"/>
  <c r="F426" i="1" s="1"/>
  <c r="L176" i="7"/>
  <c r="F442" i="1" s="1"/>
  <c r="C365" i="1"/>
  <c r="C397" i="1"/>
  <c r="C429" i="1"/>
  <c r="C450" i="1"/>
  <c r="N80" i="7"/>
  <c r="M80" i="7"/>
  <c r="N79" i="7"/>
  <c r="M79" i="7"/>
  <c r="N78" i="7"/>
  <c r="M78" i="7"/>
  <c r="N77" i="7"/>
  <c r="M77" i="7"/>
  <c r="N76" i="7"/>
  <c r="M76" i="7"/>
  <c r="N75" i="7"/>
  <c r="M75" i="7"/>
  <c r="N74" i="7"/>
  <c r="M74" i="7"/>
  <c r="N73" i="7"/>
  <c r="M73" i="7"/>
  <c r="N72" i="7"/>
  <c r="M72" i="7"/>
  <c r="N71" i="7"/>
  <c r="M71" i="7"/>
  <c r="N70" i="7"/>
  <c r="M70" i="7"/>
  <c r="N69" i="7"/>
  <c r="M69" i="7"/>
  <c r="N68" i="7"/>
  <c r="M68" i="7"/>
  <c r="N67" i="7"/>
  <c r="M67" i="7"/>
  <c r="N66" i="7"/>
  <c r="M66" i="7"/>
  <c r="N65" i="7"/>
  <c r="M65" i="7"/>
  <c r="N64" i="7"/>
  <c r="M64" i="7"/>
  <c r="N63" i="7"/>
  <c r="M63" i="7"/>
  <c r="N62" i="7"/>
  <c r="M62" i="7"/>
  <c r="N61" i="7"/>
  <c r="M61" i="7"/>
  <c r="N60" i="7"/>
  <c r="M60" i="7"/>
  <c r="N59" i="7"/>
  <c r="M59" i="7"/>
  <c r="N58" i="7"/>
  <c r="M58" i="7"/>
  <c r="N57" i="7"/>
  <c r="M57" i="7"/>
  <c r="N56" i="7"/>
  <c r="M56" i="7"/>
  <c r="N55" i="7"/>
  <c r="M55" i="7"/>
  <c r="N54" i="7"/>
  <c r="M54" i="7"/>
  <c r="N53" i="7"/>
  <c r="M53" i="7"/>
  <c r="N52" i="7"/>
  <c r="M52" i="7"/>
  <c r="N51" i="7"/>
  <c r="M51" i="7"/>
  <c r="N50" i="7"/>
  <c r="M50" i="7"/>
  <c r="N49" i="7"/>
  <c r="M49"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K49" i="7"/>
  <c r="J80" i="7"/>
  <c r="L80" i="7" s="1"/>
  <c r="J79" i="7"/>
  <c r="L79" i="7" s="1"/>
  <c r="J78" i="7"/>
  <c r="L78" i="7" s="1"/>
  <c r="J77" i="7"/>
  <c r="L77" i="7" s="1"/>
  <c r="J76" i="7"/>
  <c r="L76" i="7" s="1"/>
  <c r="J75" i="7"/>
  <c r="L75" i="7" s="1"/>
  <c r="J74" i="7"/>
  <c r="L74" i="7" s="1"/>
  <c r="J73" i="7"/>
  <c r="L73" i="7" s="1"/>
  <c r="J72" i="7"/>
  <c r="L72" i="7" s="1"/>
  <c r="J71" i="7"/>
  <c r="L71" i="7" s="1"/>
  <c r="J70" i="7"/>
  <c r="L70" i="7" s="1"/>
  <c r="J69" i="7"/>
  <c r="L69" i="7" s="1"/>
  <c r="J68" i="7"/>
  <c r="L68" i="7" s="1"/>
  <c r="J67" i="7"/>
  <c r="L67" i="7" s="1"/>
  <c r="J66" i="7"/>
  <c r="L66" i="7" s="1"/>
  <c r="J65" i="7"/>
  <c r="L65" i="7" s="1"/>
  <c r="J64" i="7"/>
  <c r="L64" i="7" s="1"/>
  <c r="J63" i="7"/>
  <c r="L63" i="7" s="1"/>
  <c r="J62" i="7"/>
  <c r="L62" i="7" s="1"/>
  <c r="J61" i="7"/>
  <c r="L61" i="7" s="1"/>
  <c r="J60" i="7"/>
  <c r="L60" i="7" s="1"/>
  <c r="J59" i="7"/>
  <c r="L59" i="7" s="1"/>
  <c r="J58" i="7"/>
  <c r="L58" i="7" s="1"/>
  <c r="J57" i="7"/>
  <c r="L57" i="7" s="1"/>
  <c r="J56" i="7"/>
  <c r="L56" i="7" s="1"/>
  <c r="J55" i="7"/>
  <c r="L55" i="7" s="1"/>
  <c r="J54" i="7"/>
  <c r="L54" i="7" s="1"/>
  <c r="J53" i="7"/>
  <c r="L53" i="7" s="1"/>
  <c r="J52" i="7"/>
  <c r="L52" i="7" s="1"/>
  <c r="J51" i="7"/>
  <c r="L51" i="7" s="1"/>
  <c r="J50" i="7"/>
  <c r="L50" i="7" s="1"/>
  <c r="J49" i="7"/>
  <c r="L49" i="7" s="1"/>
  <c r="E58" i="2"/>
  <c r="C58" i="2"/>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<sst xmlns="http://schemas.openxmlformats.org/spreadsheetml/2006/main" count="11742" uniqueCount="1480">
  <si>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</si>
  <si>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</si>
  <si>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</si>
  <si>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</si>
  <si>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</si>
  <si>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</si>
  <si>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</si>
  <si>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</si>
  <si>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</si>
  <si>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</si>
  <si>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</si>
  <si>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</si>
  <si>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</si>
  <si>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</si>
  <si>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</si>
  <si>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</si>
  <si>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</si>
  <si>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</si>
  <si>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</si>
  <si>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</si>
  <si>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</si>
  <si>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</si>
  <si>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</si>
  <si>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</si>
  <si>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</si>
  <si>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</si>
  <si>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</si>
  <si>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</si>
  <si>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</si>
  <si>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</si>
  <si>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</si>
  <si>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</si>
  <si>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</si>
  <si>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</si>
  <si>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</si>
  <si>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</si>
  <si>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</si>
  <si>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</si>
  <si>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</si>
  <si>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</si>
  <si>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</si>
  <si>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</si>
  <si>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</si>
  <si>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</si>
  <si>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</si>
  <si>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</si>
  <si>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</si>
  <si>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</si>
  <si>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</si>
  <si>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</si>
  <si>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</si>
  <si>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</si>
  <si>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</si>
  <si>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</si>
  <si>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</si>
  <si>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</si>
  <si>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</si>
  <si>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</si>
  <si>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</si>
  <si>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</si>
  <si>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</si>
  <si>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</si>
  <si>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</si>
  <si>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</si>
  <si>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</si>
  <si>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</si>
  <si>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</si>
  <si>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</si>
  <si>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</si>
  <si>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</si>
  <si>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</si>
  <si>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</si>
  <si>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</si>
  <si>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</si>
  <si>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</si>
  <si>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</si>
  <si>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</si>
  <si>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</si>
  <si>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</si>
  <si>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</si>
  <si>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</si>
  <si>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</si>
  <si>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</si>
  <si>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</si>
  <si>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</si>
  <si>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</si>
  <si>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</si>
  <si>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</si>
  <si>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</si>
  <si>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</si>
  <si>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</si>
  <si>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</si>
  <si>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</si>
  <si>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</si>
  <si>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</si>
  <si>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</si>
  <si>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</si>
  <si>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</si>
  <si>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</si>
  <si>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</si>
  <si>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</si>
  <si>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</si>
  <si>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</si>
  <si>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</si>
  <si>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</si>
  <si>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</si>
  <si>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</si>
  <si>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</si>
  <si>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</si>
  <si>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</si>
  <si>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</si>
  <si>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</si>
  <si>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</si>
  <si>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</si>
  <si>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</si>
  <si>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</si>
  <si>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</si>
  <si>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</si>
  <si>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</si>
  <si>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</si>
  <si>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</si>
  <si>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</si>
  <si>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</si>
  <si>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</si>
  <si>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</si>
  <si>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</si>
  <si>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</si>
  <si>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</si>
  <si>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</si>
  <si>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</si>
  <si>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</si>
  <si>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</si>
  <si>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</si>
  <si>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</si>
  <si>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</si>
  <si>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</si>
  <si>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</si>
  <si>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</si>
  <si>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</si>
  <si>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</si>
  <si>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</si>
  <si>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</si>
  <si>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</si>
  <si>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</si>
  <si>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</si>
  <si>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</si>
  <si>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</si>
  <si>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</si>
  <si>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</si>
  <si>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</si>
  <si>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</si>
  <si>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</si>
  <si>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</si>
  <si>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</si>
  <si>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</si>
  <si>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</si>
  <si>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</si>
  <si>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</si>
  <si>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</si>
  <si>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</si>
  <si>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</si>
  <si>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</si>
  <si>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</si>
  <si>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</si>
  <si>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</si>
  <si>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</si>
  <si>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</si>
  <si>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</si>
  <si>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</si>
  <si>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</si>
  <si>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</si>
  <si>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</si>
  <si>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</si>
  <si>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</si>
  <si>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</si>
  <si>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</si>
  <si>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</si>
  <si>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</si>
  <si>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</si>
  <si>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</si>
  <si>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</si>
  <si>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</si>
  <si>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</si>
  <si>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</si>
  <si>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</si>
  <si>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</si>
  <si>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</si>
  <si>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</si>
  <si>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</si>
  <si>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</si>
  <si>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</si>
  <si>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</si>
  <si>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</si>
  <si>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</si>
  <si>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</si>
  <si>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</si>
  <si>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</si>
  <si>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</si>
  <si>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</si>
  <si>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</si>
  <si>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</si>
  <si>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</si>
  <si>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</si>
  <si>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</si>
  <si>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</si>
  <si>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</si>
  <si>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</si>
  <si>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</si>
  <si>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</si>
  <si>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</si>
  <si>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</si>
  <si>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</si>
  <si>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</si>
  <si>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</si>
  <si>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</si>
  <si>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</si>
  <si>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</si>
  <si>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</si>
  <si>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</si>
  <si>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</si>
  <si>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</si>
  <si>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</si>
  <si>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</si>
  <si>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</si>
  <si>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</si>
  <si>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</si>
  <si>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</si>
  <si>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</si>
  <si>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</si>
  <si>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</si>
  <si>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</si>
  <si>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</si>
  <si>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</si>
  <si>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</si>
  <si>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</si>
  <si>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</si>
  <si>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</si>
  <si>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</si>
  <si>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</si>
  <si>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</si>
  <si>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</si>
  <si>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</si>
  <si>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</si>
  <si>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</si>
  <si>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</si>
  <si>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</si>
  <si>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</si>
  <si>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</si>
  <si>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</si>
  <si>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</si>
  <si>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</si>
  <si>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</si>
  <si>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</si>
  <si>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</si>
  <si>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</si>
  <si>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</si>
  <si>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</si>
  <si>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</si>
  <si>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</si>
  <si>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</si>
  <si>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</si>
  <si>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</si>
  <si>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</si>
  <si>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</si>
  <si>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</si>
  <si>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</si>
  <si>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</si>
  <si>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</si>
  <si>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</si>
  <si>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</si>
  <si>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</si>
  <si>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</si>
  <si>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</si>
  <si>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</si>
  <si>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</si>
  <si>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</si>
  <si>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</si>
  <si>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</si>
  <si>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</si>
  <si>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</si>
  <si>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</si>
  <si>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</si>
  <si>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</si>
  <si>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</si>
  <si>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</si>
  <si>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</si>
  <si>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</si>
  <si>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</si>
  <si>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</si>
  <si>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</si>
  <si>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</si>
  <si>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</si>
  <si>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</si>
  <si>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</si>
  <si>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</si>
  <si>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</si>
  <si>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</si>
  <si>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</si>
  <si>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</si>
  <si>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</si>
  <si>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</si>
  <si>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</si>
  <si>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</si>
  <si>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</si>
  <si>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</si>
  <si>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</si>
  <si>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</si>
  <si>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</si>
  <si>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</si>
  <si>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</si>
  <si>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</si>
  <si>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</si>
  <si>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</si>
  <si>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</si>
  <si>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</si>
  <si>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</si>
  <si>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</si>
  <si>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</si>
  <si>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</si>
  <si>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</si>
  <si>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</si>
  <si>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</si>
  <si>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</si>
  <si>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</si>
  <si>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</si>
  <si>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</si>
  <si>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</si>
  <si>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</si>
  <si>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</si>
  <si>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</si>
  <si>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</si>
  <si>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</si>
  <si>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</si>
  <si>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</si>
  <si>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</si>
  <si>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</si>
  <si>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</si>
  <si>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</si>
  <si>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</si>
  <si>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</si>
  <si>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</si>
  <si>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</si>
  <si>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</si>
  <si>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</si>
  <si>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</si>
  <si>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</si>
  <si>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</si>
  <si>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</si>
  <si>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</si>
  <si>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</si>
  <si>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</si>
  <si>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</si>
  <si>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</si>
  <si>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</si>
  <si>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</si>
  <si>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</si>
  <si>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</si>
  <si>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</si>
  <si>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</si>
  <si>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</si>
  <si>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</si>
  <si>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</si>
  <si>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</si>
  <si>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</si>
  <si>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</si>
  <si>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</si>
  <si>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</si>
  <si>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</si>
  <si>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</si>
  <si>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</si>
  <si>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</si>
  <si>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</si>
  <si>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</si>
  <si>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</si>
  <si>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</si>
  <si>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</si>
  <si>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</si>
  <si>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</si>
  <si>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</si>
  <si>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</si>
  <si>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</si>
  <si>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</si>
  <si>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</si>
  <si>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</si>
  <si>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</si>
  <si>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</si>
  <si>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</si>
  <si>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</si>
  <si>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</si>
  <si>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</si>
  <si>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</si>
  <si>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</si>
  <si>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</si>
  <si>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</si>
  <si>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</si>
  <si>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</si>
  <si>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</si>
  <si>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</si>
  <si>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</si>
  <si>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</si>
  <si>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</si>
  <si>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</si>
  <si>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</si>
  <si>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</si>
  <si>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</si>
  <si>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</si>
  <si>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</si>
  <si>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</si>
  <si>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</si>
  <si>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</si>
  <si>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</si>
  <si>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</si>
  <si>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</si>
  <si>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</si>
  <si>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</si>
  <si>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</si>
  <si>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</si>
  <si>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</si>
  <si>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</si>
  <si>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</si>
  <si>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</si>
  <si>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</si>
  <si>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</si>
  <si>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</si>
  <si>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</si>
  <si>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</si>
  <si>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</si>
  <si>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</si>
  <si>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</si>
  <si>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</si>
  <si>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</si>
  <si>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</si>
  <si>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</si>
  <si>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</si>
  <si>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</si>
  <si>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</si>
  <si>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</si>
  <si>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</si>
  <si>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</si>
  <si>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</si>
  <si>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</si>
  <si>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</si>
  <si>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</si>
  <si>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</si>
  <si>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</si>
  <si>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</si>
  <si>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</si>
  <si>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</si>
  <si>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</si>
  <si>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</si>
  <si>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</si>
  <si>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</si>
  <si>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</si>
  <si>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</si>
  <si>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</si>
  <si>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</si>
  <si>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</si>
  <si>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</si>
  <si>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</si>
  <si>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</si>
  <si>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</si>
  <si>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</si>
  <si>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</si>
  <si>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</si>
  <si>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</si>
  <si>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</si>
  <si>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</si>
  <si>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</si>
  <si>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</si>
  <si>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</si>
  <si>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</si>
  <si>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</si>
  <si>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</si>
  <si>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</si>
  <si>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</si>
  <si>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</si>
  <si>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</si>
  <si>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</si>
  <si>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</si>
  <si>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</si>
  <si>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</si>
  <si>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</si>
  <si>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</si>
  <si>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</si>
  <si>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</si>
  <si>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</si>
  <si>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</si>
  <si>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</si>
  <si>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</si>
  <si>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</si>
  <si>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</si>
  <si>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</si>
  <si>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</si>
  <si>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</si>
  <si>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</si>
  <si>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</si>
  <si>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</si>
  <si>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</si>
  <si>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</si>
  <si>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</si>
  <si>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</si>
  <si>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</si>
  <si>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</si>
  <si>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</si>
  <si>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</si>
  <si>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</si>
  <si>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</si>
  <si>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</si>
  <si>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</si>
  <si>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</si>
  <si>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</si>
  <si>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</si>
  <si>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</si>
  <si>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</si>
  <si>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</si>
  <si>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</si>
  <si>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</si>
  <si>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</si>
  <si>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</si>
  <si>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</si>
  <si>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</si>
  <si>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</si>
  <si>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</si>
  <si>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</si>
  <si>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</si>
  <si>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</si>
  <si>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</si>
  <si>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</si>
  <si>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</si>
  <si>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</si>
  <si>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</si>
  <si>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</si>
  <si>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</si>
  <si>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</si>
  <si>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</si>
  <si>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</si>
  <si>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</si>
  <si>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</si>
  <si>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</si>
  <si>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</si>
  <si>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</si>
  <si>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</si>
  <si>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</si>
  <si>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</si>
  <si>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</si>
  <si>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</si>
  <si>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</si>
  <si>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</si>
  <si>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</si>
  <si>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</si>
  <si>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</si>
  <si>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</si>
  <si>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</si>
  <si>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</si>
  <si>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</si>
  <si>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</si>
  <si>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</si>
  <si>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</si>
  <si>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</si>
  <si>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</si>
  <si>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</si>
  <si>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</si>
  <si>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</si>
  <si>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</si>
  <si>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</si>
  <si>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</si>
  <si>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</si>
  <si>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</si>
  <si>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</si>
  <si>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</si>
  <si>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</si>
  <si>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</si>
  <si>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</si>
  <si>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</si>
  <si>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</si>
  <si>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</si>
  <si>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</si>
  <si>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</si>
  <si>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</si>
  <si>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</si>
  <si>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</si>
  <si>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</si>
  <si>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</si>
  <si>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</si>
  <si>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</si>
  <si>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</si>
  <si>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</si>
  <si>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</si>
  <si>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</si>
  <si>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</si>
  <si>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</si>
  <si>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</si>
  <si>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</si>
  <si>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</si>
  <si>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</si>
  <si>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</si>
  <si>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</si>
  <si>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</si>
  <si>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</si>
  <si>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</si>
  <si>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</si>
  <si>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</si>
  <si>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</si>
  <si>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</si>
  <si>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</si>
  <si>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</si>
  <si>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</si>
  <si>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</si>
  <si>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</si>
  <si>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</si>
  <si>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</si>
  <si>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</si>
  <si>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</si>
  <si>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</si>
  <si>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</si>
  <si>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</si>
  <si>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</si>
  <si>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</si>
  <si>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</si>
  <si>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</si>
  <si>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</si>
  <si>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</si>
  <si>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</si>
  <si>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</si>
  <si>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</si>
  <si>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</si>
  <si>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</si>
  <si>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</si>
  <si>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</si>
  <si>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</si>
  <si>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</si>
  <si>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</si>
  <si>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</si>
  <si>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</si>
  <si>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</si>
  <si>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</si>
  <si>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</si>
  <si>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</si>
  <si>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</si>
  <si>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</si>
  <si>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</si>
  <si>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</si>
  <si>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</si>
  <si>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</si>
  <si>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</si>
  <si>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</si>
  <si>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</si>
  <si>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</si>
  <si>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</si>
  <si>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</si>
  <si>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</si>
  <si>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</si>
  <si>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</si>
  <si>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</si>
  <si>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</si>
  <si>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</si>
  <si>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</si>
  <si>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</si>
  <si>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</si>
  <si>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</si>
  <si>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</si>
  <si>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</si>
  <si>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</si>
  <si>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</si>
  <si>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</si>
  <si>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</si>
  <si>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</si>
  <si>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</si>
  <si>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</si>
  <si>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</si>
  <si>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</si>
  <si>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</si>
  <si>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</si>
  <si>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</si>
  <si>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</si>
  <si>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</si>
  <si>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</si>
  <si>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</si>
  <si>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</si>
  <si>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</si>
  <si>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</si>
  <si>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</si>
  <si>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</si>
  <si>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</si>
  <si>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</si>
  <si>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</si>
  <si>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</si>
  <si>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</si>
  <si>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</si>
  <si>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</si>
  <si>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</si>
  <si>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</si>
  <si>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</si>
  <si>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</si>
  <si>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</si>
  <si>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</si>
  <si>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</si>
  <si>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</si>
  <si>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</si>
  <si>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</si>
  <si>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</si>
  <si>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</si>
  <si>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</si>
  <si>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</si>
  <si>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</si>
  <si>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</si>
  <si>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</si>
  <si>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</si>
  <si>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</si>
  <si>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</si>
  <si>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</si>
  <si>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</si>
  <si>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</si>
  <si>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</si>
  <si>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</si>
  <si>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</si>
  <si>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</si>
  <si>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</si>
  <si>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</si>
  <si>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</si>
  <si>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</si>
  <si>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</si>
  <si>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</si>
  <si>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</si>
  <si>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</si>
  <si>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</si>
  <si>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</si>
  <si>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</si>
  <si>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</si>
  <si>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</si>
  <si>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</si>
  <si>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</si>
  <si>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</si>
  <si>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</si>
  <si>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</si>
  <si>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</si>
  <si>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</si>
  <si>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</si>
  <si>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</si>
  <si>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</si>
  <si>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</si>
  <si>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</si>
  <si>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</si>
  <si>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</si>
  <si>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</si>
  <si>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</si>
  <si>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</si>
  <si>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</si>
  <si>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</si>
  <si>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</si>
  <si>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</si>
  <si>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</si>
  <si>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</si>
  <si>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</si>
  <si>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</si>
  <si>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</si>
  <si>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</si>
  <si>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</si>
  <si>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</si>
  <si>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</si>
  <si>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</si>
  <si>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</si>
  <si>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</si>
  <si>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</si>
  <si>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</si>
  <si>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</si>
  <si>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</si>
  <si>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</si>
  <si>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</si>
  <si>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</si>
  <si>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</si>
  <si>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</si>
  <si>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</si>
  <si>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</si>
  <si>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</si>
  <si>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</si>
  <si>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</si>
  <si>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</si>
  <si>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</si>
  <si>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</si>
  <si>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</si>
  <si>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</si>
  <si>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</si>
  <si>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</si>
  <si>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</si>
  <si>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</si>
  <si>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</si>
  <si>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</si>
  <si>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</si>
  <si>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</si>
  <si>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</si>
  <si>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</si>
  <si>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</si>
  <si>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</si>
  <si>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</si>
  <si>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</si>
  <si>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</si>
  <si>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</si>
  <si>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</si>
  <si>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</si>
  <si>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</si>
  <si>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</si>
  <si>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</si>
  <si>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</si>
  <si>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</si>
  <si>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</si>
  <si>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</si>
  <si>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</si>
  <si>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</si>
  <si>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</si>
  <si>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</si>
  <si>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</si>
  <si>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</si>
  <si>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</si>
  <si>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</si>
  <si>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</si>
  <si>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</si>
  <si>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</si>
  <si>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</si>
  <si>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</si>
  <si>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</si>
  <si>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</si>
  <si>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</si>
  <si>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</si>
  <si>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45 Airport Cargo Road</t>
  </si>
  <si>
    <t>Flora Drive</t>
  </si>
  <si>
    <t>Upper Paya Lebar Road</t>
  </si>
  <si>
    <t>Yishun Central</t>
  </si>
  <si>
    <t>Outram Road</t>
  </si>
  <si>
    <t>Tiong Bahru Road</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</si>
  <si>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</si>
  <si>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</si>
  <si>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</si>
  <si>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</si>
  <si>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</si>
  <si>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</si>
  <si>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</si>
  <si>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</si>
  <si>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</si>
  <si>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</si>
  <si>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</si>
  <si>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</si>
  <si>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</si>
  <si>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</si>
  <si>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</si>
  <si>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</si>
  <si>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</si>
  <si>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</si>
  <si>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</si>
  <si>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</si>
  <si>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</si>
  <si>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</si>
  <si>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</si>
  <si>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</si>
  <si>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</si>
  <si>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</si>
  <si>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</si>
  <si>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</si>
  <si>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</si>
  <si>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</si>
  <si>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</si>
  <si>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</si>
  <si>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</si>
  <si>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</si>
  <si>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</si>
  <si>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</si>
  <si>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</si>
  <si>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</si>
  <si>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</si>
  <si>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</si>
  <si>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</si>
  <si>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</si>
  <si>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</si>
  <si>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</si>
  <si>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</si>
  <si>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</si>
  <si>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</si>
  <si>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</si>
  <si>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</si>
  <si>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</si>
  <si>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</si>
  <si>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</si>
  <si>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</si>
  <si>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</si>
  <si>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</si>
  <si>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</si>
  <si>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</si>
  <si>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</si>
  <si>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</si>
  <si>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</si>
  <si>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</si>
  <si>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</si>
  <si>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</si>
  <si>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</si>
  <si>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</si>
  <si>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</si>
  <si>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</si>
  <si>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</si>
  <si>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</si>
  <si>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</si>
  <si>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</si>
  <si>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</si>
  <si>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</si>
  <si>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</si>
  <si>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</si>
  <si>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</si>
  <si>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</si>
  <si>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</si>
  <si>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</si>
  <si>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</si>
  <si>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</si>
  <si>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</si>
  <si>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</si>
  <si>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</si>
  <si>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</si>
  <si>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</si>
  <si>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</si>
  <si>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</si>
  <si>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</si>
  <si>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</si>
  <si>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</si>
  <si>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</si>
  <si>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</si>
  <si>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</si>
  <si>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</si>
  <si>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</si>
  <si>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</si>
  <si>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</si>
  <si>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</si>
  <si>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</si>
  <si>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</si>
  <si>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</si>
  <si>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</si>
  <si>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</si>
  <si>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</si>
  <si>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</si>
  <si>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</si>
  <si>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</si>
  <si>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</si>
  <si>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</si>
  <si>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</si>
  <si>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</si>
  <si>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</si>
  <si>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</si>
  <si>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</si>
  <si>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</si>
  <si>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</si>
  <si>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</si>
  <si>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</si>
  <si>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</si>
  <si>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</si>
  <si>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</si>
  <si>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</si>
  <si>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</si>
  <si>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</si>
  <si>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</si>
  <si>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</si>
  <si>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</si>
  <si>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</si>
  <si>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</si>
  <si>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</si>
  <si>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</si>
  <si>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</si>
  <si>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</si>
  <si>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</si>
  <si>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</si>
  <si>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</si>
  <si>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</si>
  <si>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</si>
  <si>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</si>
  <si>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</si>
  <si>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</si>
  <si>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</si>
  <si>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</si>
  <si>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</si>
  <si>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</si>
  <si>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</si>
  <si>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</si>
  <si>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</si>
  <si>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</si>
  <si>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</si>
  <si>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</si>
  <si>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</si>
  <si>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</si>
  <si>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</si>
  <si>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</si>
  <si>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</si>
  <si>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</si>
  <si>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</si>
  <si>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</si>
  <si>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</si>
  <si>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</si>
  <si>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</si>
  <si>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</si>
  <si>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</si>
  <si>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</si>
  <si>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</si>
  <si>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</si>
  <si>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</si>
  <si>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</si>
  <si>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</si>
  <si>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</si>
  <si>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</si>
  <si>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</si>
  <si>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</si>
  <si>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</si>
  <si>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</si>
  <si>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</si>
  <si>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</si>
  <si>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</si>
  <si>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</si>
  <si>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</si>
  <si>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</si>
  <si>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</si>
  <si>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</si>
  <si>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</si>
  <si>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</si>
  <si>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</si>
  <si>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</si>
  <si>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</si>
  <si>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</si>
  <si>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</si>
  <si>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</si>
  <si>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</si>
  <si>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</si>
  <si>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</si>
  <si>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</si>
  <si>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</si>
  <si>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</si>
  <si>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</si>
  <si>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</si>
  <si>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</si>
  <si>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</si>
  <si>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</si>
  <si>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</si>
  <si>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</si>
  <si>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</si>
  <si>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</si>
  <si>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</si>
  <si>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</si>
  <si>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</si>
  <si>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</si>
  <si>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</si>
  <si>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</si>
  <si>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</si>
  <si>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</si>
  <si>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</si>
  <si>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</si>
  <si>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</si>
  <si>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</si>
  <si>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</si>
  <si>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</si>
  <si>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</si>
  <si>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</si>
  <si>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</si>
  <si>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</si>
  <si>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</si>
  <si>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</si>
  <si>
    <t xml:space="preserve">KTPH </t>
  </si>
  <si>
    <t xml:space="preserve">M </t>
  </si>
  <si>
    <t xml:space="preserve">Singapore Citizen </t>
  </si>
  <si>
    <t>Local unlinked</t>
  </si>
  <si>
    <t xml:space="preserve">NTFGH </t>
  </si>
  <si>
    <t xml:space="preserve">UK </t>
  </si>
  <si>
    <t xml:space="preserve">CGH </t>
  </si>
  <si>
    <t xml:space="preserve">Malaysia (Singapore Work Pass) </t>
  </si>
  <si>
    <t xml:space="preserve">SKH </t>
  </si>
  <si>
    <t>China (Singapore Long Term Pass)</t>
  </si>
  <si>
    <t xml:space="preserve">Philippines (Singapore Work Pass) </t>
  </si>
  <si>
    <t xml:space="preserve">Imported </t>
  </si>
  <si>
    <t>Contact of Case 279</t>
  </si>
  <si>
    <t xml:space="preserve">NCID </t>
  </si>
  <si>
    <t xml:space="preserve">Singapore Permanent Resident </t>
  </si>
  <si>
    <t xml:space="preserve">F </t>
  </si>
  <si>
    <t xml:space="preserve">AH </t>
  </si>
  <si>
    <t xml:space="preserve">Switzerland, France </t>
  </si>
  <si>
    <t xml:space="preserve">Brazil (Singapore Work Pass) </t>
  </si>
  <si>
    <t xml:space="preserve">UK, Netherlands </t>
  </si>
  <si>
    <t>Switzerland, Italy, Austria, Germany</t>
  </si>
  <si>
    <t xml:space="preserve">UK, Switzerland </t>
  </si>
  <si>
    <t>Family member of Case 268</t>
  </si>
  <si>
    <t xml:space="preserve">Turkey </t>
  </si>
  <si>
    <t>Family member of Case 292</t>
  </si>
  <si>
    <t>US (Singapore Long Term Pass)</t>
  </si>
  <si>
    <t>Columbia (Singapore Long Term Pass)</t>
  </si>
  <si>
    <t xml:space="preserve">US </t>
  </si>
  <si>
    <t xml:space="preserve">Local linked </t>
  </si>
  <si>
    <t>Switzerland (Singapore Work Pass)</t>
  </si>
  <si>
    <t xml:space="preserve">France, Switzerland </t>
  </si>
  <si>
    <t>Family member of Case 279</t>
  </si>
  <si>
    <t>Contact of Cases 222 and 307</t>
  </si>
  <si>
    <t>Germany (Singapore Work Pass)</t>
  </si>
  <si>
    <t xml:space="preserve">German (Singapore Work Pass) </t>
  </si>
  <si>
    <t xml:space="preserve">German </t>
  </si>
  <si>
    <t>Brazilian</t>
  </si>
  <si>
    <t>Columbian</t>
  </si>
  <si>
    <t xml:space="preserve">Case 316 is a Imported case, 25 years old male Malaysia (Singapore Work Pass)  and has been to Malaysia . He is currently admitted at CGH . </t>
  </si>
  <si>
    <t xml:space="preserve">Case 318 is a Local unlinked case, 58 years old female China (Singapore Long Term Pass) and has not been overseas. She is currently admitted at SKH . </t>
  </si>
  <si>
    <t>Case 319 is a Imported  case, 67 years old female Philippines (Singapore Work Pass)  and has been to Philippines . She is currently admitted at SKH . Contact of Case 279</t>
  </si>
  <si>
    <t xml:space="preserve">Case 320 is a Imported case, 34 years old male Singapore Permanent Resident  and has been to UK . He is currently admitted at NCID . </t>
  </si>
  <si>
    <t xml:space="preserve">Case 322 is a Imported case, 46 years old female Singapore Permanent Resident and has been to Switzerland, France . She is currently admitted at AH . </t>
  </si>
  <si>
    <t xml:space="preserve">Case 324 is a Imported case, 45 years old male Brazil (Singapore Work Pass)  and has been to UK . He is currently admitted at NCID . </t>
  </si>
  <si>
    <t xml:space="preserve">Case 325 is a Imported case, 38 years old male Philippines (Singapore Work Pass)  and has been to UK . He is currently admitted at NCID . </t>
  </si>
  <si>
    <t>Case 328 is a Imported  case, 63 years old female Singapore Permanent Resident  and has been to UK, Switzerland . She is currently admitted at NCID . Family member of Case 268</t>
  </si>
  <si>
    <t xml:space="preserve">Case 331 is a Imported case, 49 years old female Singapore Permanent Resident  and has been to UK . She is currently admitted at NCID . </t>
  </si>
  <si>
    <t xml:space="preserve">Case 332 is a Imported case, 36 years old female US (Singapore Long Term Pass) and has been to UK . She is currently admitted at NCID . </t>
  </si>
  <si>
    <t xml:space="preserve">Case 333 is a Imported case, 48 years old male Columbia (Singapore Long Term Pass) and has been to US . He is currently admitted at NCID . </t>
  </si>
  <si>
    <t xml:space="preserve">Case 337 is a Imported case, 31 years old male Switzerland (Singapore Work Pass) and has been to France, Switzerland . He is currently admitted at NUH . </t>
  </si>
  <si>
    <t xml:space="preserve">Case 341 is a Imported case, 31 years old male Germany (Singapore Work Pass) and has been to UK . He is currently admitted at NCID . </t>
  </si>
  <si>
    <t xml:space="preserve">Case 343 is a Imported case, 20 years old female Singapore Permanent Resident  and has been to UK . She is currently admitted at NCID . </t>
  </si>
  <si>
    <t>Case 345 is a Local linked  case, 30 years old male German (Singapore Work Pass)  and has been to UK . He is currently admitted at NCID . boulder+ Gym</t>
  </si>
  <si>
    <t xml:space="preserve">Case 314 is a Local unlinked case, 58 years old male Singapore Citizen  and has not been overseas. He is currently admitted at KTPH . </t>
  </si>
  <si>
    <t xml:space="preserve">Case 315 is a Imported case, 57 years old male Singapore Citizen  and has been to UK . He is currently admitted at NTFGH . </t>
  </si>
  <si>
    <t xml:space="preserve">Case 317 is a Imported case, 29 years old male Singapore Citizen  and has been to UK . He is currently admitted at SKH . </t>
  </si>
  <si>
    <t xml:space="preserve">Case 321 is a Local unlinked case, 65 years old female Singapore Citizen  and has not been overseas. She is currently admitted at NUH . </t>
  </si>
  <si>
    <t xml:space="preserve">Case 323 is a Imported case, 24 years old male Singapore Citizen  and has been to UK . He is currently admitted at NCID . </t>
  </si>
  <si>
    <t xml:space="preserve">Case 326 is a Imported case, 33 years old male Singapore Citizen  and has been to UK, Netherlands . He is currently admitted at NCID . </t>
  </si>
  <si>
    <t xml:space="preserve">Case 327 is a Imported case, 38 years old female Singapore Citizen and has been to Switzerland, Italy, Austria, Germany. She is currently admitted at NCID . </t>
  </si>
  <si>
    <t>Case 329 is a Imported  case, 64 years old male Singapore Citizen  and has been to Turkey . He is currently admitted at NCID . Family member of Case 292</t>
  </si>
  <si>
    <t xml:space="preserve">Case 330 is a Local unlinked case, 67 years old male Singapore Citizen  and has not been overseas. He is currently admitted at NCID . </t>
  </si>
  <si>
    <t xml:space="preserve">Case 334 is a Imported case, 32 years old female Singapore Citizen  and has been to US . She is currently admitted at NCID . </t>
  </si>
  <si>
    <t>Case 335 is a Local linked  case, 57 years old male Singapore Citizen  and has not been overseas. He is currently admitted at NCID . Family member of Case 234</t>
  </si>
  <si>
    <t xml:space="preserve">Case 336 is a Local unlinked case, 60 years old male Singapore Citizen  and has not been overseas. He is currently admitted at KTPH . </t>
  </si>
  <si>
    <t xml:space="preserve">Case 338 is a Local unlinked case, 57 years old male Singapore Citizen  and has not been overseas. He is currently admitted at NCID . </t>
  </si>
  <si>
    <t>Case 339 is a Imported  case, 66 years old male Singapore Citizen  and has been to Philippines . He is currently admitted at NCID . Family member of Case 279</t>
  </si>
  <si>
    <t>Case 340 is a Imported  case, 27 years old male Singapore Citizen  and has been to Philippines . He is currently admitted at NCID . Contact of Cases 222 and 307</t>
  </si>
  <si>
    <t xml:space="preserve">Case 342 is a Imported case, 31 years old male Singapore Citizen  and has been to Thailand . He is currently admitted at NCID . </t>
  </si>
  <si>
    <t xml:space="preserve">Case 344 is a Imported case, 21 years old female Singapore Citizen  and has been to UK . She is currently admitted at NCID . </t>
  </si>
  <si>
    <t>https://www.moh.gov.sg/news-highlights/details/seven-more-cases-discharged-32-new-cases-of-covid-19-infection-confirmed</t>
  </si>
  <si>
    <t>Travel</t>
  </si>
  <si>
    <t>https://www.moh.gov.sg/news-highlights/details/seven-more-cases-discharged-40-new-cases-of-covid-19-infection-confirmed</t>
  </si>
  <si>
    <t>https://www.moh.gov.sg/news-highlights/details/nine-more-cases-discharged-47-new-cases-of-covid-19-infection-confirmed</t>
  </si>
  <si>
    <t>Death</t>
  </si>
  <si>
    <t>Date Decease</t>
  </si>
  <si>
    <t>https://www.moh.gov.sg/news-highlights/details/four-more-cases-discharged-23-new-cases-of-covid-19-infection-confirmed</t>
  </si>
  <si>
    <t>Family member of Case 227</t>
  </si>
  <si>
    <t>Moscow, Russia, Copenhagen, Denmark</t>
  </si>
  <si>
    <t>Contact of Case 177</t>
  </si>
  <si>
    <t xml:space="preserve">SGH </t>
  </si>
  <si>
    <t>Contact of Case 265</t>
  </si>
  <si>
    <t>Australian (Long Term Visit Pass holder)</t>
  </si>
  <si>
    <t>Australian (Singapore Work Pass holder)</t>
  </si>
  <si>
    <t>MEH</t>
  </si>
  <si>
    <t>Germany, US, France, Monaco</t>
  </si>
  <si>
    <t>Contact of Case 321</t>
  </si>
  <si>
    <t>Contact of Case 318</t>
  </si>
  <si>
    <t>Germany (Long Term Pass holder)</t>
  </si>
  <si>
    <t xml:space="preserve">Germany, Holland </t>
  </si>
  <si>
    <t>Contact of Case 225</t>
  </si>
  <si>
    <t>Netherlands (Singapore Work Pass holder)</t>
  </si>
  <si>
    <t>Austria, Netherlands, UK</t>
  </si>
  <si>
    <t>Contact of Case 304</t>
  </si>
  <si>
    <t>Local linked</t>
  </si>
  <si>
    <t>Family member of Case 338</t>
  </si>
  <si>
    <t>Indonesian (Long Term Visit Pass holder)</t>
  </si>
  <si>
    <t>Contact of Cases 225 and 294</t>
  </si>
  <si>
    <t xml:space="preserve">Malaysia (Singapore Work Pass holder) </t>
  </si>
  <si>
    <t xml:space="preserve">UK (Long Term Visit Pass holder) </t>
  </si>
  <si>
    <t xml:space="preserve">Sweden (Singapore Work Pass holder) </t>
  </si>
  <si>
    <t xml:space="preserve">Switzerland (Singapore Work Pass holder) </t>
  </si>
  <si>
    <t>Family member of Case 351</t>
  </si>
  <si>
    <t xml:space="preserve">KKH </t>
  </si>
  <si>
    <t xml:space="preserve">Russia (Singapore Work Pass holder) </t>
  </si>
  <si>
    <t>Family member of Case 298</t>
  </si>
  <si>
    <t xml:space="preserve">Australia, US </t>
  </si>
  <si>
    <t xml:space="preserve">Philippines (Long Term Pass holder) </t>
  </si>
  <si>
    <t xml:space="preserve">Ireland (Singapore Work Pass holder) </t>
  </si>
  <si>
    <t xml:space="preserve">Ireland </t>
  </si>
  <si>
    <t>Contact of Case 180</t>
  </si>
  <si>
    <t xml:space="preserve">KTPH7 </t>
  </si>
  <si>
    <t>MENH</t>
  </si>
  <si>
    <t xml:space="preserve">Indonesia Indonesia </t>
  </si>
  <si>
    <t xml:space="preserve">MEH </t>
  </si>
  <si>
    <t xml:space="preserve">Indonesia (Long Term Pass holder) </t>
  </si>
  <si>
    <t xml:space="preserve">Australia (Long Term Pass holder) </t>
  </si>
  <si>
    <t xml:space="preserve">Malaysia, Philippines </t>
  </si>
  <si>
    <t xml:space="preserve">Local </t>
  </si>
  <si>
    <t xml:space="preserve">Pending </t>
  </si>
  <si>
    <t xml:space="preserve">Australia  (Singapore Work Pass holder) </t>
  </si>
  <si>
    <t>Family member of Case 212</t>
  </si>
  <si>
    <t xml:space="preserve">France (Long Term Pass holder) </t>
  </si>
  <si>
    <t>Contact of Case 425</t>
  </si>
  <si>
    <t>Contact of Case 424</t>
  </si>
  <si>
    <t xml:space="preserve">Germany, UK </t>
  </si>
  <si>
    <t>Family member of Case 350</t>
  </si>
  <si>
    <t xml:space="preserve">UK (Long Term Pass holder) </t>
  </si>
  <si>
    <t xml:space="preserve">UK (Singapore Work Pass holder) </t>
  </si>
  <si>
    <t xml:space="preserve">Demark, Switzerland, France </t>
  </si>
  <si>
    <t xml:space="preserve">Denmark (Long Term Pass holder) </t>
  </si>
  <si>
    <t xml:space="preserve">US, Mexico </t>
  </si>
  <si>
    <t>Family member of Case 308; Contact of Case 277</t>
  </si>
  <si>
    <t>Family member of Case 398</t>
  </si>
  <si>
    <t>Contact of Case 378</t>
  </si>
  <si>
    <t>Contact of Case 404</t>
  </si>
  <si>
    <t xml:space="preserve">India (Long Term Pass holder) </t>
  </si>
  <si>
    <t>Contact of Case 337</t>
  </si>
  <si>
    <t>Moscow</t>
  </si>
  <si>
    <t>Russia</t>
  </si>
  <si>
    <t>Copenhagen</t>
  </si>
  <si>
    <t>Denmark</t>
  </si>
  <si>
    <t>Monaco</t>
  </si>
  <si>
    <t xml:space="preserve">Holland </t>
  </si>
  <si>
    <t>Netherlands</t>
  </si>
  <si>
    <t>Australia</t>
  </si>
  <si>
    <t>Demark</t>
  </si>
  <si>
    <t xml:space="preserve">Mexico </t>
  </si>
  <si>
    <t xml:space="preserve">Myanmar (Singapore Work Pass holder) </t>
  </si>
  <si>
    <t xml:space="preserve">New Zealand </t>
  </si>
  <si>
    <t xml:space="preserve">Malaysia, Indonesia </t>
  </si>
  <si>
    <t xml:space="preserve">Spain, Malaysia </t>
  </si>
  <si>
    <t>Contact of Case 423</t>
  </si>
  <si>
    <t xml:space="preserve">Indonesia (Singapore Work Pass holder) </t>
  </si>
  <si>
    <t>Family member of Case 440</t>
  </si>
  <si>
    <t xml:space="preserve">France, UK </t>
  </si>
  <si>
    <t>Contact of Case 269</t>
  </si>
  <si>
    <t>Family member of Case 468</t>
  </si>
  <si>
    <t xml:space="preserve">Switzerland, Iceland </t>
  </si>
  <si>
    <t xml:space="preserve">Netherlands, UK </t>
  </si>
  <si>
    <t xml:space="preserve">Australia (Singapore Work Pass holder) </t>
  </si>
  <si>
    <t>https://www.moh.gov.sg/news-highlights/details/eight-more-cases-discharged-54-new-cases-of-covid-19-infection-confirmed</t>
  </si>
  <si>
    <t xml:space="preserve">Iceland </t>
  </si>
  <si>
    <t>Family member of Case 459; Contact of Case 490</t>
  </si>
  <si>
    <t>Contact of Case 94</t>
  </si>
  <si>
    <t>Family member of Case 394</t>
  </si>
  <si>
    <t xml:space="preserve">India (Singapore Work Pass holder)  </t>
  </si>
  <si>
    <t xml:space="preserve">ASEAN </t>
  </si>
  <si>
    <t xml:space="preserve">MAH </t>
  </si>
  <si>
    <t>Contact of Cases 338 and 367</t>
  </si>
  <si>
    <t>Family member of Case 403</t>
  </si>
  <si>
    <t>Family member of Case 451</t>
  </si>
  <si>
    <t>Contact of Case 384</t>
  </si>
  <si>
    <t xml:space="preserve">Malaysia (Long Term Pass holder) </t>
  </si>
  <si>
    <t xml:space="preserve">Turkey, United Arab Emirates </t>
  </si>
  <si>
    <t xml:space="preserve">Pakistan </t>
  </si>
  <si>
    <t>https://www.moh.gov.sg/news-highlights/details/three-more-cases-discharged-49-new-cases-of-covid-19-infection-confirmed</t>
  </si>
  <si>
    <t xml:space="preserve">United Arab Emirates </t>
  </si>
  <si>
    <t>Dover Court International School</t>
  </si>
  <si>
    <t>PCF Sparkletots Preschool @ Fengshan Blk 126</t>
  </si>
  <si>
    <t xml:space="preserve">France (Singapore Work Pass holder) </t>
  </si>
  <si>
    <t>Family member of Cases 521, 567, 572 and 601 PCF Fengshan</t>
  </si>
  <si>
    <t>Family member of Cases 521, 566, 572 and 601 PCF Fengshan</t>
  </si>
  <si>
    <t>Family member of Case 597</t>
  </si>
  <si>
    <t>Family member of Cases 521, 566, 567 and 601 PCF Fengshan</t>
  </si>
  <si>
    <t>Contact of Case 527</t>
  </si>
  <si>
    <t>Contact of Case 532</t>
  </si>
  <si>
    <t xml:space="preserve">US (Singapore Work Pass holder) </t>
  </si>
  <si>
    <t>Contact of Case 518</t>
  </si>
  <si>
    <t>Contact of Case 418</t>
  </si>
  <si>
    <t>Contact of Cases 516 and 584 PCF Fengshan</t>
  </si>
  <si>
    <t>Contact of Cases 516 and 583 PCF Fengshan</t>
  </si>
  <si>
    <t xml:space="preserve">Philippines (Singapore Work Pass holder) </t>
  </si>
  <si>
    <t>Contact of Case 523</t>
  </si>
  <si>
    <t>UK (Singapore Work Pass holder)</t>
  </si>
  <si>
    <t xml:space="preserve">China (Long Term Pass holder) </t>
  </si>
  <si>
    <t>Family member of Case 570</t>
  </si>
  <si>
    <t xml:space="preserve">India (Singapore Work Pass holder) </t>
  </si>
  <si>
    <t>Contact of Case 385</t>
  </si>
  <si>
    <t>Family member of Cases 521, 566, 567 and 572 PCF Fengshan</t>
  </si>
  <si>
    <t>Contact of Case 516 PCF Fengshan</t>
  </si>
  <si>
    <t>PCF Fengshan</t>
  </si>
  <si>
    <t>Contact of Case 556 Dover Court International School</t>
  </si>
  <si>
    <t>Family member of Case 557</t>
  </si>
  <si>
    <t>Contact of Case 557</t>
  </si>
  <si>
    <t>Contact of Case 453</t>
  </si>
  <si>
    <t>https://www.moh.gov.sg/news-highlights/details/five-more-cases-discharged-73-new-cases-of-covid-19-infection-confirmed</t>
  </si>
  <si>
    <t>Contact of Case 644</t>
  </si>
  <si>
    <t xml:space="preserve">Taiwan, Philippines </t>
  </si>
  <si>
    <t>Contact of Case 222</t>
  </si>
  <si>
    <t>Contact of Case 233</t>
  </si>
  <si>
    <t xml:space="preserve">UAE, UK, Germany </t>
  </si>
  <si>
    <t>Family member of Case 641</t>
  </si>
  <si>
    <t>Family member of Case 640</t>
  </si>
  <si>
    <t>Contact of Case 632</t>
  </si>
  <si>
    <t xml:space="preserve">Thailand, Malaysia </t>
  </si>
  <si>
    <t>Contact of Cases 418 and 582</t>
  </si>
  <si>
    <t xml:space="preserve">Sri Lanka </t>
  </si>
  <si>
    <t xml:space="preserve">Italy, Switzerland </t>
  </si>
  <si>
    <t>Family member of Cases 459 and 517</t>
  </si>
  <si>
    <t xml:space="preserve">Bangladesh (Long Term Pass holder) </t>
  </si>
  <si>
    <t>Contact of Case 600</t>
  </si>
  <si>
    <t>Family member of Case 528, 645 and 676</t>
  </si>
  <si>
    <t>Family member of Case 528, 645 and 675</t>
  </si>
  <si>
    <t xml:space="preserve">New Zealand (Singapore Work Pass holder) </t>
  </si>
  <si>
    <t>Contact of Case 477</t>
  </si>
  <si>
    <t>https://www.moh.gov.sg/news-highlights/details/12-more-cases-discharged-52-new-cases-of-covid-19-infection-confirmed</t>
  </si>
  <si>
    <t>Taiwan</t>
  </si>
  <si>
    <t>UAE</t>
  </si>
  <si>
    <t>SingPost Centre</t>
  </si>
  <si>
    <t xml:space="preserve">New Zealand (Long Term Pass holder) </t>
  </si>
  <si>
    <t>Contact of Case 588</t>
  </si>
  <si>
    <t>Family member of Case 196</t>
  </si>
  <si>
    <t>Family member of Case 698</t>
  </si>
  <si>
    <t>Family member of Case 697</t>
  </si>
  <si>
    <t>Family member of Cases 682 and 703</t>
  </si>
  <si>
    <t>Family member of Cases 682 and 702</t>
  </si>
  <si>
    <t>Contact of Cases 404 and 456</t>
  </si>
  <si>
    <t xml:space="preserve">South Korea (Singapore Work Pass holder) </t>
  </si>
  <si>
    <t>Contact of Case 670</t>
  </si>
  <si>
    <t xml:space="preserve">India(Long Term Pass holder) </t>
  </si>
  <si>
    <t>Contact of Case 658</t>
  </si>
  <si>
    <t>Contact of Cases 557 and 629</t>
  </si>
  <si>
    <t>https://www.moh.gov.sg/news-highlights/details/11-more-cases-discharged-49-new-cases-of-covid-19-infection-confirmed</t>
  </si>
  <si>
    <t>https://www.moh.gov.sg/news-highlights/details/15-more-cases-discharged-70-new-cases-of-covid-19-infection-confirmed</t>
  </si>
  <si>
    <t xml:space="preserve">US, UK </t>
  </si>
  <si>
    <t>Contact of Cases 533 and 659</t>
  </si>
  <si>
    <t xml:space="preserve">Vietnam </t>
  </si>
  <si>
    <t xml:space="preserve">China (Singapore Work Pass holder) </t>
  </si>
  <si>
    <t xml:space="preserve">Laos </t>
  </si>
  <si>
    <t xml:space="preserve">UK, France </t>
  </si>
  <si>
    <t>Contact of Case 683, 700, 702, 703 and 798</t>
  </si>
  <si>
    <t xml:space="preserve">South Africa (Singapore Work Pass holder) </t>
  </si>
  <si>
    <t xml:space="preserve">Spain (Singapore Work Pass holder) </t>
  </si>
  <si>
    <t xml:space="preserve">M  </t>
  </si>
  <si>
    <t xml:space="preserve">Bangladesh(Singapore Work Pass holder) </t>
  </si>
  <si>
    <t>Contact of Cases 577, 629 and 726</t>
  </si>
  <si>
    <t xml:space="preserve">UK, Portugal </t>
  </si>
  <si>
    <t xml:space="preserve">USA </t>
  </si>
  <si>
    <t>Family member of Case 667</t>
  </si>
  <si>
    <t>Contact of Case 596</t>
  </si>
  <si>
    <t>imported</t>
  </si>
  <si>
    <t>Family member of Case 653</t>
  </si>
  <si>
    <t>Contact of Case 652</t>
  </si>
  <si>
    <t>Contact of Case 722</t>
  </si>
  <si>
    <t>Contact of Cases 418 and 512</t>
  </si>
  <si>
    <t>Family member of Case 728</t>
  </si>
  <si>
    <t>Contact of Case 678</t>
  </si>
  <si>
    <t>Contact of Cases 533, 659, 734 and 797</t>
  </si>
  <si>
    <t>Contact of Cases 533, 659, 734 and 795</t>
  </si>
  <si>
    <t>Contact of Cases 683, 700, 702, 703 and 760</t>
  </si>
  <si>
    <t>Contact of Case 683</t>
  </si>
  <si>
    <t>Family member of Case 742</t>
  </si>
  <si>
    <t>Contact of Cases 745 and 802 The Wedding Brocade</t>
  </si>
  <si>
    <t>Family member of Case 506</t>
  </si>
  <si>
    <t xml:space="preserve">Local unlinked </t>
  </si>
  <si>
    <t>Family member of Case 787</t>
  </si>
  <si>
    <t xml:space="preserve">Japan (Singapore Work Pass holder) </t>
  </si>
  <si>
    <t>Family member of Cases 695 and 834</t>
  </si>
  <si>
    <t xml:space="preserve">Bangladeshi (Long Term Pass holder) </t>
  </si>
  <si>
    <t>Contact of Case 829</t>
  </si>
  <si>
    <t>Contact of Case 826</t>
  </si>
  <si>
    <t>Family member of Case 760</t>
  </si>
  <si>
    <t xml:space="preserve">UAE </t>
  </si>
  <si>
    <t>Family member of Cases 695 and 819</t>
  </si>
  <si>
    <t>Contact of Case 747</t>
  </si>
  <si>
    <t>Family member of Case 533</t>
  </si>
  <si>
    <t>https://www.moh.gov.sg/news-highlights/details/14-more-cases-discharged-42-new-cases-of-covid-19-infection-confirmed</t>
  </si>
  <si>
    <t>The Wedding Brocade (1 Yishun Industrial Street 1)</t>
  </si>
  <si>
    <t>SingPost Centre (10 Eunos Road 8)</t>
  </si>
  <si>
    <t>Dover Court International School (301 Dover Road)</t>
  </si>
  <si>
    <t>S11 Dormitory @ Punggol (2 Seletar North Link)</t>
  </si>
  <si>
    <t>Wilby Residences (25 Wilby Road)</t>
  </si>
  <si>
    <t>Hero’s (69 Circular Road)</t>
  </si>
  <si>
    <t>Family member of Cases 809 and 742</t>
  </si>
  <si>
    <t xml:space="preserve">UAE (Long Term Pass holder) </t>
  </si>
  <si>
    <t>Family member of Case 781</t>
  </si>
  <si>
    <t xml:space="preserve">Taiwan (Long Term Pass holder) </t>
  </si>
  <si>
    <t>Wilby Residences</t>
  </si>
  <si>
    <t xml:space="preserve">Brazil (Long Term Pass holder) </t>
  </si>
  <si>
    <t xml:space="preserve">Brazil </t>
  </si>
  <si>
    <t>S11 Dormitory</t>
  </si>
  <si>
    <t xml:space="preserve">Bangladesh (Singapore Work Pass holder) </t>
  </si>
  <si>
    <t>Contact of Case 767</t>
  </si>
  <si>
    <t>Family member of Case 727</t>
  </si>
  <si>
    <t xml:space="preserve">UK, US </t>
  </si>
  <si>
    <t>Contact of Case 488</t>
  </si>
  <si>
    <t>Family member of Case 434</t>
  </si>
  <si>
    <t>Family member of Case 393</t>
  </si>
  <si>
    <t>Contact of Case 832</t>
  </si>
  <si>
    <t>https://www.moh.gov.sg/news-highlights/details/16-more-cases-discharged-35-new-cases-of-covid-19-infection-confirmed</t>
  </si>
  <si>
    <t>https://www.moh.gov.sg/news-highlights/details/five-more-cases-discharged-74-new-cases-of-covid-19-infection-confirmed</t>
  </si>
  <si>
    <t>Lee Ah Mooi Old Age Home (1 Thomson Lane)</t>
  </si>
  <si>
    <t>Dormitory located at 55 Sungei Kadut Loop</t>
  </si>
  <si>
    <t>Westlite Toh Guan dormitory (18 Toh Guan Road East)</t>
  </si>
  <si>
    <t>Family member of Case 857</t>
  </si>
  <si>
    <t>Family member of Case 927</t>
  </si>
  <si>
    <t>Contact of Cases 897 and 921</t>
  </si>
  <si>
    <t xml:space="preserve">Sri Lanka (Singapore Work Pass holder) </t>
  </si>
  <si>
    <t>Contact of Cases 891 and 921</t>
  </si>
  <si>
    <t xml:space="preserve">Netherlands (Singapore Work Pass holder) </t>
  </si>
  <si>
    <t>Contact of Case 788</t>
  </si>
  <si>
    <t>Family member of Case 876</t>
  </si>
  <si>
    <t xml:space="preserve">Local Linked </t>
  </si>
  <si>
    <t>Westlite Toh Guan</t>
  </si>
  <si>
    <t>https://www.moh.gov.sg/news-highlights/details/12-more-cases-discharged-47-new-cases-of-covid-19-infection-confirmed</t>
  </si>
  <si>
    <t>Family member of Cases 889 and 942</t>
  </si>
  <si>
    <t>Family member of Cases 727 and 863</t>
  </si>
  <si>
    <t xml:space="preserve">Cameroon </t>
  </si>
  <si>
    <t>Hero’s</t>
  </si>
  <si>
    <t>Family member of Case 888</t>
  </si>
  <si>
    <t>Family member of Cases 889 and 927</t>
  </si>
  <si>
    <t xml:space="preserve">Indonesia, UK, US </t>
  </si>
  <si>
    <t xml:space="preserve">Netherlands, Austria, Slovenia </t>
  </si>
  <si>
    <t>Family member of Case 544</t>
  </si>
  <si>
    <t xml:space="preserve">South Africa </t>
  </si>
  <si>
    <t xml:space="preserve">Ethiopia </t>
  </si>
  <si>
    <t>Family member of Cases 851 and 969</t>
  </si>
  <si>
    <t xml:space="preserve">Brazil (Singapore Work Pass holder) </t>
  </si>
  <si>
    <t>Family member of Cases 851 and 968</t>
  </si>
  <si>
    <t>Dormitory at 55 Sungei Kadut Loop</t>
  </si>
  <si>
    <t>Lee Ah Mooi Home</t>
  </si>
  <si>
    <t>Family member of Cases 702, 703 and 682</t>
  </si>
  <si>
    <t>Local linked S11 Dormitory</t>
  </si>
  <si>
    <t>Family member of Cases 886 and 992</t>
  </si>
  <si>
    <t>Family member of Cases 886 and 991</t>
  </si>
  <si>
    <t>https://www.moh.gov.sg/news-highlights/details/21-more-cases-discharged-49-new-cases-of-covid-19-infection-confirmed</t>
  </si>
  <si>
    <t>Mustafa Centre (145 Syed Alwi Road)</t>
  </si>
  <si>
    <t>Keppel Shipyard (51 Pioneer Sector 1)</t>
  </si>
  <si>
    <t>Contact of Cases 892 and 1027</t>
  </si>
  <si>
    <t>Family member of Cases 1030 and 1031</t>
  </si>
  <si>
    <t>Maxwell MRT construction site</t>
  </si>
  <si>
    <t>Hero's</t>
  </si>
  <si>
    <t>Contact of Cases 658 and 718</t>
  </si>
  <si>
    <t>Contact of Case 726</t>
  </si>
  <si>
    <t>Contact of Cases 892 and 1002</t>
  </si>
  <si>
    <t xml:space="preserve">India, Malaysia </t>
  </si>
  <si>
    <t>Family member of Cases 1008 and 1031</t>
  </si>
  <si>
    <t>Family member of Cases 1008 and 1030</t>
  </si>
  <si>
    <t>Family member of Case 962</t>
  </si>
  <si>
    <t>Family member of Case 1041</t>
  </si>
  <si>
    <t>Family member of Case 1040</t>
  </si>
  <si>
    <t>Contact of Case 893</t>
  </si>
  <si>
    <t>Ce La Vi (1 Bay Front Avenue)</t>
  </si>
  <si>
    <t>Singapore Cricket Club (A Connaught Drive)</t>
  </si>
  <si>
    <t>Construction site at Maxwell MRT station (50 Neil Road)</t>
  </si>
  <si>
    <t>Singapore Cricket Club</t>
  </si>
  <si>
    <t>Lim Ah Mooi Home</t>
  </si>
  <si>
    <t xml:space="preserve">Bangladesh </t>
  </si>
  <si>
    <t xml:space="preserve">Netherlands (Long Term Pass holder) </t>
  </si>
  <si>
    <t>Family member of Case 907</t>
  </si>
  <si>
    <t>Family member of Cases 832 and 872</t>
  </si>
  <si>
    <t>Family member of Case 937</t>
  </si>
  <si>
    <t>Contact of Case 737</t>
  </si>
  <si>
    <t>Weslite Toh Guan</t>
  </si>
  <si>
    <t>Keppel Shipyard</t>
  </si>
  <si>
    <t>Contact of Cases 227, 348, 1029 and 1087</t>
  </si>
  <si>
    <t xml:space="preserve">Family member of Cases 227, 348, 1029; Contact of Case 1086 </t>
  </si>
  <si>
    <t xml:space="preserve">Romania </t>
  </si>
  <si>
    <t>Ce La Vi</t>
  </si>
  <si>
    <t>Contact of Case 790</t>
  </si>
  <si>
    <t xml:space="preserve">Contact of Case 1031 </t>
  </si>
  <si>
    <t>Project Glory</t>
  </si>
  <si>
    <t>Contact of Case 887</t>
  </si>
  <si>
    <t>Family member of Case 928</t>
  </si>
  <si>
    <t xml:space="preserve">Myanmar (Long Term Pass holder) </t>
  </si>
  <si>
    <t>https://www.moh.gov.sg/news-highlights/details/16-more-cases-discharged-65-new-cases-of-covid-19-infection-confirmed</t>
  </si>
  <si>
    <t>https://www.moh.gov.sg/news-highlights/details/15-more-cases-discharged-75-more-cases-of-covid-19-infection-confirmed</t>
  </si>
  <si>
    <t>Sungei Tengah Lodge (500 Old Choa Chu Kang Road)</t>
  </si>
  <si>
    <t>Toh Guan Dormitory (19A Toh Guan Road East)</t>
  </si>
  <si>
    <t>Cochrane Lodge II (49 Admiralty Road West)</t>
  </si>
  <si>
    <t>The Orange Ballroom (845 Geylang Road)</t>
  </si>
  <si>
    <t>Construction site at Project Glory (50 Market Street)</t>
  </si>
  <si>
    <t>Orange Ballroom</t>
  </si>
  <si>
    <t>Contact of Case 999</t>
  </si>
  <si>
    <t xml:space="preserve">Argentina, Hungary, Chile, US </t>
  </si>
  <si>
    <t>Family member of Case 1060</t>
  </si>
  <si>
    <t xml:space="preserve">France, Spain </t>
  </si>
  <si>
    <t>Family member of Case 884</t>
  </si>
  <si>
    <t>Project Glory and Sungei Tengah Lodge</t>
  </si>
  <si>
    <t xml:space="preserve">F  </t>
  </si>
  <si>
    <t xml:space="preserve">Venezuela (Long Term Pass holder) </t>
  </si>
  <si>
    <t>Family member of Case 352</t>
  </si>
  <si>
    <t>Family member of Case 1080</t>
  </si>
  <si>
    <t>Family member of Case 850</t>
  </si>
  <si>
    <t>Contact of Case 853</t>
  </si>
  <si>
    <t xml:space="preserve">Bangladesh (Singapore Work Pass Holder) </t>
  </si>
  <si>
    <t>Family member of Case 932</t>
  </si>
  <si>
    <t xml:space="preserve">Bangladesh(Long Term Pass holder) </t>
  </si>
  <si>
    <t xml:space="preserve">S11 Dormitory </t>
  </si>
  <si>
    <t>Toh Guan Dormitory</t>
  </si>
  <si>
    <t>Contact of Case 1078</t>
  </si>
  <si>
    <t>Family member of Case 933</t>
  </si>
  <si>
    <t>Family member of Case 953</t>
  </si>
  <si>
    <t xml:space="preserve">Bangladesh  (Singapore Work Pass holder) </t>
  </si>
  <si>
    <t>Contact of Case 1049</t>
  </si>
  <si>
    <t>Tampines Dormitory (2 Tampines Place)</t>
  </si>
  <si>
    <t>Cochrane Lodge I (51 Admiralty Road West)</t>
  </si>
  <si>
    <t>Construction site at 6 Battery Road</t>
  </si>
  <si>
    <t xml:space="preserve">Slovenia </t>
  </si>
  <si>
    <t>Argentina</t>
  </si>
  <si>
    <t>Chile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</si>
</sst>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0"/>
      <color rgb="FF333333"/>
      <name val="Arial"/>
      <family val="2"/>
    </font>
  </fonts>
  <fills count="15">
    <fill>
      <patternFill patternType="none"/>
    </fill>
    <fill>
      <patternFill patternType="gray125"/>
    </fill>
    <fill>
      <patternFill patternType="solid">
        <fgColor rgb="FFFF0000"/>
        <bgColor indexed="64"/>
      </patternFill>
    </fill>
    <fill>
      <patternFill patternType="solid">
        <fgColor rgb="FFFFE599"/>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9" tint="0.399975585192419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89">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1" fillId="0" borderId="0" xfId="1" applyAlignment="1">
      <alignment vertical="center"/>
    </xf>
    <xf numFmtId="16" fontId="0" fillId="0" borderId="0" xfId="0" applyNumberFormat="1"/>
    <xf numFmtId="0" fontId="2" fillId="3" borderId="0" xfId="0" applyFont="1" applyFill="1" applyBorder="1" applyAlignment="1">
      <alignment vertical="center" textRotation="90" wrapText="1"/>
    </xf>
    <xf numFmtId="0" fontId="3" fillId="0" borderId="0" xfId="0" applyFont="1" applyBorder="1" applyAlignment="1">
      <alignment vertical="center" wrapText="1"/>
    </xf>
    <xf numFmtId="0" fontId="0" fillId="0" borderId="0" xfId="0" applyBorder="1" applyAlignment="1">
      <alignment vertical="center" wrapText="1"/>
    </xf>
    <xf numFmtId="0" fontId="4" fillId="0" borderId="0" xfId="0" applyFont="1" applyBorder="1" applyAlignment="1">
      <alignment vertical="center" wrapText="1"/>
    </xf>
    <xf numFmtId="15" fontId="0" fillId="0" borderId="4" xfId="0" applyNumberFormat="1" applyBorder="1"/>
    <xf numFmtId="15" fontId="0" fillId="2" borderId="3" xfId="0" applyNumberFormat="1" applyFill="1" applyBorder="1"/>
    <xf numFmtId="0" fontId="5" fillId="0" borderId="1" xfId="0" applyFont="1" applyBorder="1"/>
    <xf numFmtId="0" fontId="0" fillId="4" borderId="0" xfId="0" applyFill="1"/>
    <xf numFmtId="0" fontId="0" fillId="5" borderId="0" xfId="0" applyFill="1"/>
    <xf numFmtId="0" fontId="0" fillId="6" borderId="0" xfId="0" applyFill="1"/>
    <xf numFmtId="0" fontId="0" fillId="6" borderId="1" xfId="0" applyFill="1" applyBorder="1"/>
    <xf numFmtId="15" fontId="0" fillId="6" borderId="1" xfId="0" applyNumberFormat="1" applyFill="1" applyBorder="1"/>
    <xf numFmtId="0" fontId="1" fillId="6" borderId="1" xfId="1" applyFill="1" applyBorder="1"/>
    <xf numFmtId="16" fontId="0" fillId="6" borderId="0" xfId="0" applyNumberFormat="1" applyFill="1"/>
    <xf numFmtId="15" fontId="0" fillId="7" borderId="1" xfId="0" applyNumberFormat="1" applyFill="1" applyBorder="1"/>
    <xf numFmtId="0" fontId="0" fillId="7" borderId="0" xfId="0" applyFill="1"/>
    <xf numFmtId="16" fontId="0" fillId="7" borderId="0" xfId="0" applyNumberFormat="1" applyFill="1"/>
    <xf numFmtId="0" fontId="0" fillId="7" borderId="1" xfId="0" applyFill="1" applyBorder="1"/>
    <xf numFmtId="0" fontId="1" fillId="7" borderId="1" xfId="1" applyFill="1" applyBorder="1"/>
    <xf numFmtId="15" fontId="0" fillId="8" borderId="1" xfId="0" applyNumberFormat="1" applyFill="1" applyBorder="1"/>
    <xf numFmtId="0" fontId="0" fillId="8" borderId="0" xfId="0" applyFill="1"/>
    <xf numFmtId="16" fontId="0" fillId="8" borderId="0" xfId="0" applyNumberFormat="1" applyFill="1"/>
    <xf numFmtId="0" fontId="0" fillId="8" borderId="1" xfId="0" applyFill="1" applyBorder="1"/>
    <xf numFmtId="0" fontId="1" fillId="8" borderId="1" xfId="1" applyFill="1" applyBorder="1"/>
    <xf numFmtId="15" fontId="0" fillId="9" borderId="1" xfId="0" applyNumberFormat="1" applyFill="1" applyBorder="1"/>
    <xf numFmtId="0" fontId="0" fillId="9" borderId="0" xfId="0" applyFill="1"/>
    <xf numFmtId="16" fontId="0" fillId="9" borderId="0" xfId="0" applyNumberFormat="1" applyFill="1"/>
    <xf numFmtId="0" fontId="0" fillId="9" borderId="1" xfId="0" applyFill="1" applyBorder="1"/>
    <xf numFmtId="0" fontId="1" fillId="9" borderId="1" xfId="1" applyFill="1" applyBorder="1"/>
    <xf numFmtId="15" fontId="0" fillId="11" borderId="0" xfId="0" applyNumberFormat="1" applyFill="1"/>
    <xf numFmtId="0" fontId="0" fillId="11" borderId="0" xfId="0" applyFill="1"/>
    <xf numFmtId="0" fontId="0" fillId="11" borderId="1" xfId="0" applyFill="1" applyBorder="1"/>
    <xf numFmtId="15" fontId="0" fillId="12" borderId="0" xfId="0" applyNumberFormat="1" applyFill="1" applyBorder="1"/>
    <xf numFmtId="0" fontId="0" fillId="12" borderId="0" xfId="0" applyFill="1"/>
    <xf numFmtId="16" fontId="0" fillId="12" borderId="0" xfId="0" applyNumberFormat="1" applyFill="1"/>
    <xf numFmtId="15" fontId="0" fillId="12" borderId="0" xfId="0" applyNumberFormat="1" applyFill="1"/>
    <xf numFmtId="0" fontId="0" fillId="12" borderId="5" xfId="0" applyFill="1" applyBorder="1"/>
    <xf numFmtId="0" fontId="0" fillId="12" borderId="1" xfId="0" applyFill="1" applyBorder="1"/>
    <xf numFmtId="0" fontId="0" fillId="11" borderId="5" xfId="0" applyFill="1" applyBorder="1"/>
    <xf numFmtId="16" fontId="0" fillId="11" borderId="0" xfId="0" applyNumberFormat="1" applyFill="1"/>
    <xf numFmtId="15" fontId="0" fillId="13" borderId="0" xfId="0" applyNumberFormat="1" applyFill="1"/>
    <xf numFmtId="0" fontId="0" fillId="13" borderId="0" xfId="0" applyFill="1"/>
    <xf numFmtId="16" fontId="0" fillId="13" borderId="0" xfId="0" applyNumberFormat="1" applyFill="1"/>
    <xf numFmtId="0" fontId="0" fillId="13" borderId="1" xfId="0" applyFill="1" applyBorder="1"/>
    <xf numFmtId="15" fontId="0" fillId="10" borderId="0" xfId="0" applyNumberFormat="1" applyFill="1" applyBorder="1"/>
    <xf numFmtId="15" fontId="0" fillId="14" borderId="0" xfId="0" applyNumberFormat="1" applyFill="1"/>
    <xf numFmtId="0" fontId="0" fillId="10" borderId="0" xfId="0" applyFill="1"/>
    <xf numFmtId="0" fontId="0" fillId="10" borderId="1" xfId="0" applyFill="1" applyBorder="1"/>
    <xf numFmtId="16" fontId="0" fillId="10" borderId="0" xfId="0" applyNumberFormat="1" applyFill="1"/>
    <xf numFmtId="0" fontId="0" fillId="14" borderId="0" xfId="0" applyFill="1"/>
    <xf numFmtId="15" fontId="0" fillId="5" borderId="0" xfId="0" applyNumberFormat="1" applyFill="1"/>
    <xf numFmtId="16" fontId="0" fillId="14" borderId="0" xfId="0" applyNumberFormat="1" applyFill="1"/>
    <xf numFmtId="0" fontId="0" fillId="14" borderId="1" xfId="0" applyFill="1" applyBorder="1"/>
    <xf numFmtId="0" fontId="0" fillId="5" borderId="1" xfId="0" applyFill="1" applyBorder="1"/>
    <xf numFmtId="15" fontId="0" fillId="14" borderId="1" xfId="0" applyNumberFormat="1" applyFill="1" applyBorder="1"/>
    <xf numFmtId="15" fontId="0" fillId="10" borderId="1" xfId="0" applyNumberFormat="1" applyFill="1" applyBorder="1"/>
    <xf numFmtId="15" fontId="0" fillId="12" borderId="1" xfId="0" applyNumberFormat="1" applyFill="1" applyBorder="1"/>
    <xf numFmtId="0" fontId="1" fillId="12" borderId="1" xfId="1" applyFill="1" applyBorder="1"/>
    <xf numFmtId="15" fontId="0" fillId="11" borderId="1" xfId="0" applyNumberFormat="1" applyFill="1" applyBorder="1"/>
    <xf numFmtId="0" fontId="1" fillId="11" borderId="1" xfId="1" applyFill="1" applyBorder="1"/>
    <xf numFmtId="15" fontId="0" fillId="5" borderId="1" xfId="0" applyNumberFormat="1" applyFill="1" applyBorder="1"/>
    <xf numFmtId="15" fontId="0" fillId="13" borderId="1" xfId="0" applyNumberFormat="1" applyFill="1" applyBorder="1"/>
    <xf numFmtId="0" fontId="1" fillId="13" borderId="1" xfId="1" applyFill="1" applyBorder="1"/>
    <xf numFmtId="0" fontId="1" fillId="10" borderId="1" xfId="1" applyFill="1" applyBorder="1"/>
    <xf numFmtId="0" fontId="1" fillId="14" borderId="1" xfId="1"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M1190"/>
  <sheetViews>
    <sheetView tabSelected="1" topLeftCell="A1177" workbookViewId="0">
      <selection activeCell="D1187" sqref="D1187"/>
    </sheetView>
  </sheetViews>
  <sheetFormatPr defaultRowHeight="13.8" customHeight="1" x14ac:dyDescent="0.3"/>
  <cols>
    <col min="1" max="1" width="4.88671875" bestFit="1" customWidth="1"/>
    <col min="2" max="2" width="16.44140625" bestFit="1" customWidth="1"/>
    <col min="3" max="4" width="16.44140625" customWidth="1"/>
    <col min="6" max="6" width="29.109375" customWidth="1"/>
    <col min="7" max="7" width="14.6640625" customWidth="1"/>
    <col min="8" max="8" width="14.33203125" bestFit="1" customWidth="1"/>
    <col min="9" max="10" width="14.33203125" customWidth="1"/>
    <col min="11" max="11" width="18.44140625" customWidth="1"/>
    <col min="12" max="12" width="13.5546875" customWidth="1"/>
  </cols>
  <sheetData>
    <row r="1" spans="1:13" ht="13.8" customHeight="1" x14ac:dyDescent="0.3">
      <c r="A1" s="1" t="s">
        <v>0</v>
      </c>
      <c r="B1" s="1" t="s">
        <v>76</v>
      </c>
      <c r="C1" s="1" t="s">
        <v>91</v>
      </c>
      <c r="D1" s="1" t="s">
        <v>92</v>
      </c>
      <c r="E1" s="1" t="s">
        <v>667</v>
      </c>
      <c r="F1" s="1" t="s">
        <v>51</v>
      </c>
      <c r="G1" s="1" t="s">
        <v>50</v>
      </c>
      <c r="H1" s="18" t="s">
        <v>49</v>
      </c>
      <c r="I1" s="18" t="s">
        <v>1133</v>
      </c>
      <c r="J1" s="1" t="s">
        <v>666</v>
      </c>
      <c r="K1" s="1" t="s">
        <v>18</v>
      </c>
      <c r="L1" s="1" t="s">
        <v>131</v>
      </c>
      <c r="M1" s="1" t="s">
        <v>48</v>
      </c>
    </row>
    <row r="2" spans="1:13" ht="13.8" customHeight="1" x14ac:dyDescent="0.3">
      <c r="A2" s="1">
        <v>1</v>
      </c>
      <c r="B2" s="1" t="s">
        <v>77</v>
      </c>
      <c r="C2" s="1" t="s">
        <v>93</v>
      </c>
      <c r="D2" s="1">
        <v>66</v>
      </c>
      <c r="E2" s="1" t="s">
        <v>473</v>
      </c>
      <c r="F2" s="1" t="s">
        <v>52</v>
      </c>
      <c r="G2" s="2">
        <v>43853</v>
      </c>
      <c r="H2" s="19">
        <v>43880</v>
      </c>
      <c r="I2" s="19"/>
      <c r="J2" s="2">
        <v>43851</v>
      </c>
      <c r="K2" s="1"/>
      <c r="L2" s="1" t="s">
        <v>132</v>
      </c>
      <c r="M2" s="1"/>
    </row>
    <row r="3" spans="1:13" ht="13.8" customHeight="1" x14ac:dyDescent="0.3">
      <c r="A3" s="1">
        <v>2</v>
      </c>
      <c r="B3" s="1" t="s">
        <v>77</v>
      </c>
      <c r="C3" s="6" t="s">
        <v>94</v>
      </c>
      <c r="D3" s="1">
        <v>54</v>
      </c>
      <c r="E3" s="1" t="s">
        <v>473</v>
      </c>
      <c r="F3" s="1" t="s">
        <v>53</v>
      </c>
      <c r="G3" s="2">
        <v>43854</v>
      </c>
      <c r="H3" s="19">
        <v>43868</v>
      </c>
      <c r="I3" s="19"/>
      <c r="J3" s="2">
        <v>43851</v>
      </c>
      <c r="K3" s="1"/>
      <c r="L3" s="1" t="s">
        <v>133</v>
      </c>
      <c r="M3" s="1"/>
    </row>
    <row r="4" spans="1:13" ht="13.8" customHeight="1" x14ac:dyDescent="0.3">
      <c r="A4" s="1">
        <v>3</v>
      </c>
      <c r="B4" s="1" t="s">
        <v>77</v>
      </c>
      <c r="C4" s="1" t="s">
        <v>93</v>
      </c>
      <c r="D4" s="1">
        <v>37</v>
      </c>
      <c r="E4" s="1" t="s">
        <v>473</v>
      </c>
      <c r="F4" s="1" t="s">
        <v>54</v>
      </c>
      <c r="G4" s="2">
        <v>43854</v>
      </c>
      <c r="H4" s="19">
        <v>43882</v>
      </c>
      <c r="I4" s="19"/>
      <c r="J4" s="2">
        <v>43853</v>
      </c>
      <c r="K4" s="1"/>
      <c r="L4" s="1" t="s">
        <v>132</v>
      </c>
      <c r="M4" s="1"/>
    </row>
    <row r="5" spans="1:13" ht="13.8" customHeight="1" x14ac:dyDescent="0.3">
      <c r="A5" s="1">
        <v>4</v>
      </c>
      <c r="B5" s="1" t="s">
        <v>77</v>
      </c>
      <c r="C5" s="1" t="s">
        <v>93</v>
      </c>
      <c r="D5" s="1">
        <v>35</v>
      </c>
      <c r="E5" s="1" t="s">
        <v>473</v>
      </c>
      <c r="F5" s="1" t="s">
        <v>58</v>
      </c>
      <c r="G5" s="2">
        <v>43855</v>
      </c>
      <c r="H5" s="19">
        <v>43873</v>
      </c>
      <c r="I5" s="19"/>
      <c r="J5" s="2">
        <v>43853</v>
      </c>
      <c r="K5" s="1"/>
      <c r="L5" s="1" t="s">
        <v>134</v>
      </c>
      <c r="M5" s="1"/>
    </row>
    <row r="6" spans="1:13" ht="13.8" customHeight="1" x14ac:dyDescent="0.3">
      <c r="A6" s="1">
        <v>5</v>
      </c>
      <c r="B6" s="1" t="s">
        <v>77</v>
      </c>
      <c r="C6" s="6" t="s">
        <v>94</v>
      </c>
      <c r="D6" s="1">
        <v>56</v>
      </c>
      <c r="E6" s="1" t="s">
        <v>473</v>
      </c>
      <c r="F6" s="1" t="s">
        <v>59</v>
      </c>
      <c r="G6" s="2">
        <v>43857</v>
      </c>
      <c r="H6" s="19">
        <v>43879</v>
      </c>
      <c r="I6" s="19"/>
      <c r="J6" s="2">
        <v>43854</v>
      </c>
      <c r="K6" s="1"/>
      <c r="L6" s="1" t="s">
        <v>133</v>
      </c>
      <c r="M6" s="1"/>
    </row>
    <row r="7" spans="1:13" ht="13.8" customHeight="1" x14ac:dyDescent="0.3">
      <c r="A7" s="1">
        <v>6</v>
      </c>
      <c r="B7" s="1" t="s">
        <v>77</v>
      </c>
      <c r="C7" s="1" t="s">
        <v>93</v>
      </c>
      <c r="D7" s="1">
        <v>56</v>
      </c>
      <c r="E7" s="1" t="s">
        <v>473</v>
      </c>
      <c r="F7" s="1" t="s">
        <v>60</v>
      </c>
      <c r="G7" s="2">
        <v>43858</v>
      </c>
      <c r="H7" s="19">
        <v>43881</v>
      </c>
      <c r="I7" s="19"/>
      <c r="J7" s="2">
        <v>43855</v>
      </c>
      <c r="K7" s="1"/>
      <c r="L7" s="1" t="s">
        <v>135</v>
      </c>
      <c r="M7" s="1"/>
    </row>
    <row r="8" spans="1:13" ht="13.8" customHeight="1" x14ac:dyDescent="0.3">
      <c r="A8" s="1">
        <v>7</v>
      </c>
      <c r="B8" s="1" t="s">
        <v>77</v>
      </c>
      <c r="C8" s="1" t="s">
        <v>93</v>
      </c>
      <c r="D8" s="1">
        <v>35</v>
      </c>
      <c r="E8" s="1" t="s">
        <v>473</v>
      </c>
      <c r="F8" s="1" t="s">
        <v>61</v>
      </c>
      <c r="G8" s="2">
        <v>43858</v>
      </c>
      <c r="H8" s="19">
        <v>43865</v>
      </c>
      <c r="I8" s="19"/>
      <c r="J8" s="2">
        <v>43854</v>
      </c>
      <c r="K8" s="1"/>
      <c r="L8" s="1" t="s">
        <v>133</v>
      </c>
      <c r="M8" s="1"/>
    </row>
    <row r="9" spans="1:13" ht="13.8" customHeight="1" x14ac:dyDescent="0.3">
      <c r="A9" s="1">
        <v>8</v>
      </c>
      <c r="B9" s="1" t="s">
        <v>77</v>
      </c>
      <c r="C9" s="6" t="s">
        <v>94</v>
      </c>
      <c r="D9" s="1">
        <v>56</v>
      </c>
      <c r="E9" s="1" t="s">
        <v>473</v>
      </c>
      <c r="F9" s="1" t="s">
        <v>62</v>
      </c>
      <c r="G9" s="2">
        <v>43859</v>
      </c>
      <c r="H9" s="19">
        <v>43879</v>
      </c>
      <c r="I9" s="19"/>
      <c r="J9" s="2">
        <v>43854</v>
      </c>
      <c r="K9" s="1" t="s">
        <v>17</v>
      </c>
      <c r="L9" s="1" t="s">
        <v>133</v>
      </c>
      <c r="M9" s="1"/>
    </row>
    <row r="10" spans="1:13" ht="13.8" customHeight="1" x14ac:dyDescent="0.3">
      <c r="A10" s="1">
        <v>9</v>
      </c>
      <c r="B10" s="1" t="s">
        <v>77</v>
      </c>
      <c r="C10" s="1" t="s">
        <v>93</v>
      </c>
      <c r="D10" s="1">
        <v>56</v>
      </c>
      <c r="E10" s="1" t="s">
        <v>473</v>
      </c>
      <c r="F10" s="1" t="s">
        <v>63</v>
      </c>
      <c r="G10" s="2">
        <v>43859</v>
      </c>
      <c r="H10" s="19">
        <v>43884</v>
      </c>
      <c r="I10" s="19"/>
      <c r="J10" s="2">
        <v>43854</v>
      </c>
      <c r="K10" s="1" t="s">
        <v>17</v>
      </c>
      <c r="L10" s="1" t="s">
        <v>133</v>
      </c>
      <c r="M10" s="1"/>
    </row>
    <row r="11" spans="1:13" ht="13.8" customHeight="1" x14ac:dyDescent="0.3">
      <c r="A11" s="1">
        <v>10</v>
      </c>
      <c r="B11" s="1" t="s">
        <v>77</v>
      </c>
      <c r="C11" s="1" t="s">
        <v>93</v>
      </c>
      <c r="D11" s="1">
        <v>56</v>
      </c>
      <c r="E11" s="1" t="s">
        <v>473</v>
      </c>
      <c r="F11" s="1" t="s">
        <v>60</v>
      </c>
      <c r="G11" s="2">
        <v>43859</v>
      </c>
      <c r="H11" s="19">
        <v>43870</v>
      </c>
      <c r="I11" s="19"/>
      <c r="J11" s="2">
        <v>43851</v>
      </c>
      <c r="K11" s="1"/>
      <c r="L11" s="1" t="s">
        <v>133</v>
      </c>
      <c r="M11" s="1"/>
    </row>
    <row r="12" spans="1:13" ht="13.8" customHeight="1" x14ac:dyDescent="0.3">
      <c r="A12" s="1">
        <v>11</v>
      </c>
      <c r="B12" s="1" t="s">
        <v>77</v>
      </c>
      <c r="C12" s="6" t="s">
        <v>94</v>
      </c>
      <c r="D12" s="1">
        <v>31</v>
      </c>
      <c r="E12" s="1" t="s">
        <v>473</v>
      </c>
      <c r="F12" s="1" t="s">
        <v>64</v>
      </c>
      <c r="G12" s="2">
        <v>43860</v>
      </c>
      <c r="H12" s="19">
        <v>43871</v>
      </c>
      <c r="I12" s="19"/>
      <c r="J12" s="2">
        <v>43857</v>
      </c>
      <c r="K12" s="1"/>
      <c r="L12" s="1" t="s">
        <v>133</v>
      </c>
      <c r="M12" s="1"/>
    </row>
    <row r="13" spans="1:13" ht="13.8" customHeight="1" x14ac:dyDescent="0.3">
      <c r="A13" s="1">
        <v>12</v>
      </c>
      <c r="B13" s="1" t="s">
        <v>77</v>
      </c>
      <c r="C13" s="6" t="s">
        <v>94</v>
      </c>
      <c r="D13" s="1">
        <v>37</v>
      </c>
      <c r="E13" s="1" t="s">
        <v>473</v>
      </c>
      <c r="F13" s="1" t="s">
        <v>65</v>
      </c>
      <c r="G13" s="2">
        <v>43860</v>
      </c>
      <c r="H13" s="19">
        <v>43873</v>
      </c>
      <c r="I13" s="19"/>
      <c r="J13" s="2">
        <v>43856</v>
      </c>
      <c r="K13" s="1"/>
      <c r="L13" s="1" t="s">
        <v>133</v>
      </c>
      <c r="M13" s="1"/>
    </row>
    <row r="14" spans="1:13" ht="13.8" customHeight="1" x14ac:dyDescent="0.3">
      <c r="A14" s="1">
        <v>13</v>
      </c>
      <c r="B14" s="1" t="s">
        <v>77</v>
      </c>
      <c r="C14" s="6" t="s">
        <v>94</v>
      </c>
      <c r="D14" s="1">
        <v>73</v>
      </c>
      <c r="E14" s="1" t="s">
        <v>473</v>
      </c>
      <c r="F14" s="1" t="s">
        <v>66</v>
      </c>
      <c r="G14" s="2">
        <v>43860</v>
      </c>
      <c r="H14" s="19">
        <v>43870</v>
      </c>
      <c r="I14" s="19"/>
      <c r="J14" s="2">
        <v>43858</v>
      </c>
      <c r="K14" s="1"/>
      <c r="L14" s="1" t="s">
        <v>133</v>
      </c>
      <c r="M14" s="1"/>
    </row>
    <row r="15" spans="1:13" ht="13.8" customHeight="1" x14ac:dyDescent="0.3">
      <c r="A15" s="1">
        <v>14</v>
      </c>
      <c r="B15" s="1" t="s">
        <v>77</v>
      </c>
      <c r="C15" s="1" t="s">
        <v>93</v>
      </c>
      <c r="D15" s="1">
        <v>31</v>
      </c>
      <c r="E15" s="1" t="s">
        <v>503</v>
      </c>
      <c r="F15" s="1" t="s">
        <v>67</v>
      </c>
      <c r="G15" s="2">
        <v>43861</v>
      </c>
      <c r="H15" s="8">
        <v>43878</v>
      </c>
      <c r="I15" s="8"/>
      <c r="J15" s="2">
        <v>43858</v>
      </c>
      <c r="K15" s="1"/>
      <c r="L15" s="1" t="s">
        <v>133</v>
      </c>
      <c r="M15" s="1"/>
    </row>
    <row r="16" spans="1:13" ht="13.8" customHeight="1" x14ac:dyDescent="0.3">
      <c r="A16" s="1">
        <v>15</v>
      </c>
      <c r="B16" s="1" t="s">
        <v>77</v>
      </c>
      <c r="C16" s="6" t="s">
        <v>94</v>
      </c>
      <c r="D16" s="1">
        <v>47</v>
      </c>
      <c r="E16" s="1" t="s">
        <v>503</v>
      </c>
      <c r="F16" s="1" t="s">
        <v>70</v>
      </c>
      <c r="G16" s="2">
        <v>43861</v>
      </c>
      <c r="H16" s="8">
        <v>43877</v>
      </c>
      <c r="I16" s="8"/>
      <c r="J16" s="2">
        <v>43860</v>
      </c>
      <c r="K16" s="1"/>
      <c r="L16" s="1" t="s">
        <v>133</v>
      </c>
      <c r="M16" s="1"/>
    </row>
    <row r="17" spans="1:13" ht="13.8" customHeight="1" x14ac:dyDescent="0.3">
      <c r="A17" s="1">
        <v>16</v>
      </c>
      <c r="B17" s="1" t="s">
        <v>77</v>
      </c>
      <c r="C17" s="1" t="s">
        <v>93</v>
      </c>
      <c r="D17" s="1">
        <v>38</v>
      </c>
      <c r="E17" s="1" t="s">
        <v>473</v>
      </c>
      <c r="F17" s="1" t="s">
        <v>68</v>
      </c>
      <c r="G17" s="2">
        <v>43861</v>
      </c>
      <c r="H17" s="19">
        <v>43881</v>
      </c>
      <c r="I17" s="19"/>
      <c r="J17" s="2">
        <v>43853</v>
      </c>
      <c r="K17" s="1"/>
      <c r="L17" s="1" t="s">
        <v>132</v>
      </c>
      <c r="M17" s="1"/>
    </row>
    <row r="18" spans="1:13" ht="13.8" customHeight="1" x14ac:dyDescent="0.3">
      <c r="A18" s="1">
        <v>17</v>
      </c>
      <c r="B18" s="1" t="s">
        <v>77</v>
      </c>
      <c r="C18" s="6" t="s">
        <v>94</v>
      </c>
      <c r="D18" s="1">
        <v>17</v>
      </c>
      <c r="E18" s="1" t="s">
        <v>503</v>
      </c>
      <c r="F18" s="1" t="s">
        <v>71</v>
      </c>
      <c r="G18" s="2">
        <v>43862</v>
      </c>
      <c r="H18" s="19">
        <v>43872</v>
      </c>
      <c r="I18" s="19"/>
      <c r="J18" s="2">
        <v>43860</v>
      </c>
      <c r="K18" s="1"/>
      <c r="L18" s="1" t="s">
        <v>133</v>
      </c>
      <c r="M18" s="1"/>
    </row>
    <row r="19" spans="1:13" ht="13.8" customHeight="1" x14ac:dyDescent="0.3">
      <c r="A19" s="1">
        <v>18</v>
      </c>
      <c r="B19" s="1" t="s">
        <v>77</v>
      </c>
      <c r="C19" s="6" t="s">
        <v>94</v>
      </c>
      <c r="D19" s="1">
        <v>31</v>
      </c>
      <c r="E19" s="1" t="s">
        <v>473</v>
      </c>
      <c r="F19" s="1" t="s">
        <v>64</v>
      </c>
      <c r="G19" s="2">
        <v>43862</v>
      </c>
      <c r="H19" s="19">
        <v>43888</v>
      </c>
      <c r="I19" s="19"/>
      <c r="J19" s="2">
        <v>43860</v>
      </c>
      <c r="K19" s="1"/>
      <c r="L19" s="1" t="s">
        <v>133</v>
      </c>
      <c r="M19" s="1"/>
    </row>
    <row r="20" spans="1:13" ht="13.8" customHeight="1" x14ac:dyDescent="0.3">
      <c r="A20" s="1">
        <v>19</v>
      </c>
      <c r="B20" s="1" t="s">
        <v>78</v>
      </c>
      <c r="C20" s="6" t="s">
        <v>94</v>
      </c>
      <c r="D20" s="1">
        <v>28</v>
      </c>
      <c r="E20" s="1" t="s">
        <v>503</v>
      </c>
      <c r="F20" s="3" t="s">
        <v>29</v>
      </c>
      <c r="G20" s="4">
        <v>43865</v>
      </c>
      <c r="H20" s="20">
        <v>43883</v>
      </c>
      <c r="I20" s="20"/>
      <c r="J20" s="2">
        <v>43859</v>
      </c>
      <c r="K20" s="1" t="s">
        <v>19</v>
      </c>
      <c r="L20" s="1" t="s">
        <v>132</v>
      </c>
      <c r="M20" s="5" t="s">
        <v>41</v>
      </c>
    </row>
    <row r="21" spans="1:13" ht="13.8" customHeight="1" x14ac:dyDescent="0.3">
      <c r="A21" s="1">
        <v>20</v>
      </c>
      <c r="B21" s="1" t="s">
        <v>78</v>
      </c>
      <c r="C21" s="6" t="s">
        <v>94</v>
      </c>
      <c r="D21" s="1">
        <v>48</v>
      </c>
      <c r="E21" s="1" t="s">
        <v>503</v>
      </c>
      <c r="F21" s="3" t="s">
        <v>30</v>
      </c>
      <c r="G21" s="4">
        <v>43865</v>
      </c>
      <c r="H21" s="20">
        <v>43890</v>
      </c>
      <c r="I21" s="20"/>
      <c r="J21" s="2">
        <v>43855</v>
      </c>
      <c r="K21" s="1" t="s">
        <v>19</v>
      </c>
      <c r="L21" s="1" t="s">
        <v>133</v>
      </c>
      <c r="M21" s="5" t="s">
        <v>41</v>
      </c>
    </row>
    <row r="22" spans="1:13" ht="13.8" customHeight="1" x14ac:dyDescent="0.3">
      <c r="A22" s="1">
        <v>21</v>
      </c>
      <c r="B22" s="1" t="s">
        <v>78</v>
      </c>
      <c r="C22" s="6" t="s">
        <v>94</v>
      </c>
      <c r="D22" s="1">
        <v>44</v>
      </c>
      <c r="E22" s="1" t="s">
        <v>519</v>
      </c>
      <c r="F22" s="3" t="s">
        <v>31</v>
      </c>
      <c r="G22" s="4">
        <v>43865</v>
      </c>
      <c r="H22" s="20">
        <v>43879</v>
      </c>
      <c r="I22" s="20"/>
      <c r="J22" s="2">
        <v>43863</v>
      </c>
      <c r="K22" s="1" t="s">
        <v>19</v>
      </c>
      <c r="L22" s="1" t="s">
        <v>132</v>
      </c>
      <c r="M22" s="5" t="s">
        <v>41</v>
      </c>
    </row>
    <row r="23" spans="1:13" ht="13.8" customHeight="1" x14ac:dyDescent="0.3">
      <c r="A23" s="1">
        <v>22</v>
      </c>
      <c r="B23" s="1" t="s">
        <v>79</v>
      </c>
      <c r="C23" s="1" t="s">
        <v>93</v>
      </c>
      <c r="D23" s="1">
        <v>41</v>
      </c>
      <c r="E23" s="1" t="s">
        <v>503</v>
      </c>
      <c r="F23" s="3" t="s">
        <v>151</v>
      </c>
      <c r="G23" s="4">
        <v>43865</v>
      </c>
      <c r="H23" s="19">
        <v>43870</v>
      </c>
      <c r="I23" s="19"/>
      <c r="J23" s="1"/>
      <c r="K23" s="1"/>
      <c r="L23" s="1" t="s">
        <v>133</v>
      </c>
      <c r="M23" s="5" t="s">
        <v>42</v>
      </c>
    </row>
    <row r="24" spans="1:13" ht="13.8" customHeight="1" x14ac:dyDescent="0.3">
      <c r="A24" s="1">
        <v>23</v>
      </c>
      <c r="B24" s="1" t="s">
        <v>79</v>
      </c>
      <c r="C24" s="1" t="s">
        <v>93</v>
      </c>
      <c r="D24" s="1">
        <v>17</v>
      </c>
      <c r="E24" s="1" t="s">
        <v>503</v>
      </c>
      <c r="F24" s="3" t="s">
        <v>152</v>
      </c>
      <c r="G24" s="4">
        <v>43865</v>
      </c>
      <c r="H24" s="20">
        <v>43882</v>
      </c>
      <c r="I24" s="20"/>
      <c r="J24" s="1"/>
      <c r="K24" s="1"/>
      <c r="L24" s="1" t="s">
        <v>133</v>
      </c>
      <c r="M24" s="5" t="s">
        <v>42</v>
      </c>
    </row>
    <row r="25" spans="1:13" ht="13.8" customHeight="1" x14ac:dyDescent="0.3">
      <c r="A25" s="1">
        <v>24</v>
      </c>
      <c r="B25" s="1" t="s">
        <v>78</v>
      </c>
      <c r="C25" s="6" t="s">
        <v>94</v>
      </c>
      <c r="D25" s="1">
        <v>32</v>
      </c>
      <c r="E25" s="1" t="s">
        <v>503</v>
      </c>
      <c r="F25" s="3" t="s">
        <v>43</v>
      </c>
      <c r="G25" s="4">
        <v>43865</v>
      </c>
      <c r="H25" s="20">
        <v>43876</v>
      </c>
      <c r="I25" s="20"/>
      <c r="J25" s="2">
        <v>43860</v>
      </c>
      <c r="K25" s="1" t="s">
        <v>19</v>
      </c>
      <c r="L25" s="1" t="s">
        <v>133</v>
      </c>
      <c r="M25" s="5" t="s">
        <v>42</v>
      </c>
    </row>
    <row r="26" spans="1:13" ht="13.8" customHeight="1" x14ac:dyDescent="0.3">
      <c r="A26" s="1">
        <v>25</v>
      </c>
      <c r="B26" s="1" t="s">
        <v>78</v>
      </c>
      <c r="C26" s="1" t="s">
        <v>93</v>
      </c>
      <c r="D26" s="1">
        <v>25</v>
      </c>
      <c r="E26" s="1" t="s">
        <v>503</v>
      </c>
      <c r="F26" s="3" t="s">
        <v>44</v>
      </c>
      <c r="G26" s="4">
        <v>43866</v>
      </c>
      <c r="H26" s="20">
        <v>43873</v>
      </c>
      <c r="I26" s="20"/>
      <c r="J26" s="2">
        <v>43854</v>
      </c>
      <c r="K26" s="1" t="s">
        <v>19</v>
      </c>
      <c r="L26" s="1" t="s">
        <v>133</v>
      </c>
      <c r="M26" s="5" t="s">
        <v>42</v>
      </c>
    </row>
    <row r="27" spans="1:13" ht="13.8" customHeight="1" x14ac:dyDescent="0.3">
      <c r="A27" s="1">
        <v>26</v>
      </c>
      <c r="B27" s="1" t="s">
        <v>77</v>
      </c>
      <c r="C27" s="6" t="s">
        <v>94</v>
      </c>
      <c r="D27" s="1">
        <v>42</v>
      </c>
      <c r="E27" s="1" t="s">
        <v>473</v>
      </c>
      <c r="F27" s="3" t="s">
        <v>69</v>
      </c>
      <c r="G27" s="4">
        <v>43866</v>
      </c>
      <c r="H27" s="19">
        <v>43870</v>
      </c>
      <c r="I27" s="19"/>
      <c r="J27" s="2">
        <v>43858</v>
      </c>
      <c r="K27" s="1"/>
      <c r="L27" s="1" t="s">
        <v>133</v>
      </c>
      <c r="M27" s="5" t="s">
        <v>42</v>
      </c>
    </row>
    <row r="28" spans="1:13" ht="13.8" customHeight="1" x14ac:dyDescent="0.3">
      <c r="A28" s="1">
        <v>27</v>
      </c>
      <c r="B28" s="1" t="s">
        <v>78</v>
      </c>
      <c r="C28" s="1" t="s">
        <v>93</v>
      </c>
      <c r="D28" s="1">
        <v>45</v>
      </c>
      <c r="E28" s="1" t="s">
        <v>503</v>
      </c>
      <c r="F28" s="3" t="s">
        <v>45</v>
      </c>
      <c r="G28" s="4">
        <v>43866</v>
      </c>
      <c r="H28" s="20">
        <v>43882</v>
      </c>
      <c r="I28" s="20"/>
      <c r="J28" s="2">
        <v>43862</v>
      </c>
      <c r="K28" s="1" t="s">
        <v>19</v>
      </c>
      <c r="L28" s="1" t="s">
        <v>133</v>
      </c>
      <c r="M28" s="5" t="s">
        <v>42</v>
      </c>
    </row>
    <row r="29" spans="1:13" ht="13.8" customHeight="1" x14ac:dyDescent="0.3">
      <c r="A29" s="1">
        <v>28</v>
      </c>
      <c r="B29" s="1" t="s">
        <v>78</v>
      </c>
      <c r="C29" s="1" t="s">
        <v>93</v>
      </c>
      <c r="D29" s="1">
        <v>0.5</v>
      </c>
      <c r="E29" s="1" t="s">
        <v>503</v>
      </c>
      <c r="F29" s="3" t="s">
        <v>45</v>
      </c>
      <c r="G29" s="4">
        <v>43866</v>
      </c>
      <c r="H29" s="20">
        <v>43883</v>
      </c>
      <c r="I29" s="20"/>
      <c r="J29" s="1"/>
      <c r="K29" s="1" t="s">
        <v>19</v>
      </c>
      <c r="L29" s="1" t="s">
        <v>136</v>
      </c>
      <c r="M29" s="5" t="s">
        <v>42</v>
      </c>
    </row>
    <row r="30" spans="1:13" ht="13.8" customHeight="1" x14ac:dyDescent="0.3">
      <c r="A30" s="1">
        <v>29</v>
      </c>
      <c r="B30" s="1" t="s">
        <v>78</v>
      </c>
      <c r="C30" s="1" t="s">
        <v>93</v>
      </c>
      <c r="D30" s="1">
        <v>41</v>
      </c>
      <c r="E30" s="1" t="s">
        <v>503</v>
      </c>
      <c r="F30" s="3" t="s">
        <v>46</v>
      </c>
      <c r="G30" s="4">
        <v>43867</v>
      </c>
      <c r="H30" s="20">
        <v>43873</v>
      </c>
      <c r="I30" s="20"/>
      <c r="J30" s="2">
        <v>43858</v>
      </c>
      <c r="K30" s="1"/>
      <c r="L30" s="1" t="s">
        <v>133</v>
      </c>
      <c r="M30" s="5" t="s">
        <v>47</v>
      </c>
    </row>
    <row r="31" spans="1:13" ht="13.8" customHeight="1" x14ac:dyDescent="0.3">
      <c r="A31" s="1">
        <v>30</v>
      </c>
      <c r="B31" s="1" t="s">
        <v>78</v>
      </c>
      <c r="C31" s="1" t="s">
        <v>93</v>
      </c>
      <c r="D31" s="1">
        <v>27</v>
      </c>
      <c r="E31" s="1" t="s">
        <v>503</v>
      </c>
      <c r="F31" s="3" t="s">
        <v>36</v>
      </c>
      <c r="G31" s="4">
        <v>43867</v>
      </c>
      <c r="H31" s="20">
        <v>43875</v>
      </c>
      <c r="I31" s="20"/>
      <c r="J31" s="2">
        <v>43851</v>
      </c>
      <c r="K31" s="1" t="s">
        <v>20</v>
      </c>
      <c r="L31" s="1" t="s">
        <v>133</v>
      </c>
      <c r="M31" s="5" t="s">
        <v>33</v>
      </c>
    </row>
    <row r="32" spans="1:13" ht="13.8" customHeight="1" x14ac:dyDescent="0.3">
      <c r="A32" s="1">
        <v>31</v>
      </c>
      <c r="B32" s="1" t="s">
        <v>78</v>
      </c>
      <c r="C32" s="1" t="s">
        <v>93</v>
      </c>
      <c r="D32" s="1">
        <v>53</v>
      </c>
      <c r="E32" s="1" t="s">
        <v>503</v>
      </c>
      <c r="F32" s="3" t="s">
        <v>32</v>
      </c>
      <c r="G32" s="4">
        <v>43868</v>
      </c>
      <c r="H32" s="8">
        <v>43878</v>
      </c>
      <c r="I32" s="8"/>
      <c r="J32" s="2">
        <v>43853</v>
      </c>
      <c r="K32" s="1" t="s">
        <v>17</v>
      </c>
      <c r="L32" s="1" t="s">
        <v>135</v>
      </c>
      <c r="M32" s="5" t="s">
        <v>33</v>
      </c>
    </row>
    <row r="33" spans="1:13" ht="13.8" customHeight="1" x14ac:dyDescent="0.3">
      <c r="A33" s="1">
        <v>32</v>
      </c>
      <c r="B33" s="1" t="s">
        <v>78</v>
      </c>
      <c r="C33" s="6" t="s">
        <v>94</v>
      </c>
      <c r="D33" s="1">
        <v>42</v>
      </c>
      <c r="E33" s="1" t="s">
        <v>503</v>
      </c>
      <c r="F33" s="3" t="s">
        <v>34</v>
      </c>
      <c r="G33" s="4">
        <v>43868</v>
      </c>
      <c r="H33" s="19">
        <v>43880</v>
      </c>
      <c r="I33" s="19"/>
      <c r="J33" s="2">
        <v>43863</v>
      </c>
      <c r="K33" s="1"/>
      <c r="L33" s="1" t="s">
        <v>133</v>
      </c>
      <c r="M33" s="5" t="s">
        <v>33</v>
      </c>
    </row>
    <row r="34" spans="1:13" ht="13.8" customHeight="1" x14ac:dyDescent="0.3">
      <c r="A34" s="1">
        <v>33</v>
      </c>
      <c r="B34" s="1" t="s">
        <v>78</v>
      </c>
      <c r="C34" s="6" t="s">
        <v>94</v>
      </c>
      <c r="D34" s="1">
        <v>39</v>
      </c>
      <c r="E34" s="1" t="s">
        <v>503</v>
      </c>
      <c r="F34" s="3" t="s">
        <v>35</v>
      </c>
      <c r="G34" s="4">
        <v>43868</v>
      </c>
      <c r="H34" s="19">
        <v>43880</v>
      </c>
      <c r="I34" s="19"/>
      <c r="J34" s="2">
        <v>43860</v>
      </c>
      <c r="K34" s="1" t="s">
        <v>17</v>
      </c>
      <c r="L34" s="1" t="s">
        <v>134</v>
      </c>
      <c r="M34" s="5" t="s">
        <v>33</v>
      </c>
    </row>
    <row r="35" spans="1:13" ht="13.8" customHeight="1" x14ac:dyDescent="0.3">
      <c r="A35" s="1">
        <v>34</v>
      </c>
      <c r="B35" s="1" t="s">
        <v>78</v>
      </c>
      <c r="C35" s="6" t="s">
        <v>94</v>
      </c>
      <c r="D35" s="1">
        <v>40</v>
      </c>
      <c r="E35" s="1" t="s">
        <v>503</v>
      </c>
      <c r="F35" s="3" t="s">
        <v>1</v>
      </c>
      <c r="G35" s="4">
        <v>43869</v>
      </c>
      <c r="H35" s="20">
        <v>43873</v>
      </c>
      <c r="I35" s="20"/>
      <c r="J35" s="2">
        <v>43857</v>
      </c>
      <c r="K35" s="1" t="s">
        <v>19</v>
      </c>
      <c r="L35" s="1" t="s">
        <v>133</v>
      </c>
      <c r="M35" s="5" t="s">
        <v>39</v>
      </c>
    </row>
    <row r="36" spans="1:13" ht="13.8" customHeight="1" x14ac:dyDescent="0.3">
      <c r="A36" s="1">
        <v>35</v>
      </c>
      <c r="B36" s="1" t="s">
        <v>78</v>
      </c>
      <c r="C36" s="1" t="s">
        <v>93</v>
      </c>
      <c r="D36" s="1">
        <v>64</v>
      </c>
      <c r="E36" s="1" t="s">
        <v>503</v>
      </c>
      <c r="F36" s="3" t="s">
        <v>2</v>
      </c>
      <c r="G36" s="4">
        <v>43869</v>
      </c>
      <c r="H36" s="21"/>
      <c r="I36" s="21"/>
      <c r="J36" s="2">
        <v>43860</v>
      </c>
      <c r="K36" s="1"/>
      <c r="L36" s="1" t="s">
        <v>132</v>
      </c>
      <c r="M36" s="5" t="s">
        <v>39</v>
      </c>
    </row>
    <row r="37" spans="1:13" ht="13.8" customHeight="1" x14ac:dyDescent="0.3">
      <c r="A37" s="1">
        <v>36</v>
      </c>
      <c r="B37" s="1" t="s">
        <v>78</v>
      </c>
      <c r="C37" s="6" t="s">
        <v>94</v>
      </c>
      <c r="D37" s="1">
        <v>38</v>
      </c>
      <c r="E37" s="1" t="s">
        <v>503</v>
      </c>
      <c r="F37" s="3" t="s">
        <v>3</v>
      </c>
      <c r="G37" s="4">
        <v>43869</v>
      </c>
      <c r="H37" s="20">
        <v>43872</v>
      </c>
      <c r="I37" s="20"/>
      <c r="J37" s="2">
        <v>43854</v>
      </c>
      <c r="K37" s="1" t="s">
        <v>20</v>
      </c>
      <c r="L37" s="1" t="s">
        <v>133</v>
      </c>
      <c r="M37" s="5" t="s">
        <v>39</v>
      </c>
    </row>
    <row r="38" spans="1:13" ht="13.8" customHeight="1" x14ac:dyDescent="0.3">
      <c r="A38" s="1">
        <v>37</v>
      </c>
      <c r="B38" s="1" t="s">
        <v>78</v>
      </c>
      <c r="C38" s="1" t="s">
        <v>93</v>
      </c>
      <c r="D38" s="1">
        <v>53</v>
      </c>
      <c r="E38" s="1" t="s">
        <v>503</v>
      </c>
      <c r="F38" s="3" t="s">
        <v>4</v>
      </c>
      <c r="G38" s="4">
        <v>43869</v>
      </c>
      <c r="H38" s="20">
        <v>43892</v>
      </c>
      <c r="I38" s="20"/>
      <c r="J38" s="2">
        <v>43860</v>
      </c>
      <c r="K38" s="1"/>
      <c r="L38" s="1" t="s">
        <v>133</v>
      </c>
      <c r="M38" s="5" t="s">
        <v>39</v>
      </c>
    </row>
    <row r="39" spans="1:13" ht="13.8" customHeight="1" x14ac:dyDescent="0.3">
      <c r="A39" s="1">
        <v>38</v>
      </c>
      <c r="B39" s="1" t="s">
        <v>78</v>
      </c>
      <c r="C39" s="6" t="s">
        <v>94</v>
      </c>
      <c r="D39" s="1">
        <v>52</v>
      </c>
      <c r="E39" s="1" t="s">
        <v>503</v>
      </c>
      <c r="F39" s="3" t="s">
        <v>5</v>
      </c>
      <c r="G39" s="4">
        <v>43869</v>
      </c>
      <c r="H39" s="20">
        <v>43879</v>
      </c>
      <c r="I39" s="20"/>
      <c r="J39" s="2">
        <v>43864</v>
      </c>
      <c r="K39" s="1" t="s">
        <v>17</v>
      </c>
      <c r="L39" s="1" t="s">
        <v>133</v>
      </c>
      <c r="M39" s="5" t="s">
        <v>39</v>
      </c>
    </row>
    <row r="40" spans="1:13" ht="13.8" customHeight="1" x14ac:dyDescent="0.3">
      <c r="A40" s="1">
        <v>39</v>
      </c>
      <c r="B40" s="1" t="s">
        <v>78</v>
      </c>
      <c r="C40" s="1" t="s">
        <v>93</v>
      </c>
      <c r="D40" s="1">
        <v>51</v>
      </c>
      <c r="E40" s="1" t="s">
        <v>503</v>
      </c>
      <c r="F40" s="3" t="s">
        <v>6</v>
      </c>
      <c r="G40" s="4">
        <v>43869</v>
      </c>
      <c r="H40" s="20">
        <v>43877</v>
      </c>
      <c r="I40" s="20"/>
      <c r="J40" s="2">
        <v>43859</v>
      </c>
      <c r="K40" s="1" t="s">
        <v>20</v>
      </c>
      <c r="L40" s="1" t="s">
        <v>133</v>
      </c>
      <c r="M40" s="5" t="s">
        <v>39</v>
      </c>
    </row>
    <row r="41" spans="1:13" ht="13.8" customHeight="1" x14ac:dyDescent="0.3">
      <c r="A41" s="1">
        <v>40</v>
      </c>
      <c r="B41" s="1" t="s">
        <v>78</v>
      </c>
      <c r="C41" s="1" t="s">
        <v>93</v>
      </c>
      <c r="D41" s="1">
        <v>36</v>
      </c>
      <c r="E41" s="1" t="s">
        <v>503</v>
      </c>
      <c r="F41" s="3" t="s">
        <v>7</v>
      </c>
      <c r="G41" s="4">
        <v>43869</v>
      </c>
      <c r="H41" s="20">
        <v>43873</v>
      </c>
      <c r="I41" s="20"/>
      <c r="J41" s="2">
        <v>43860</v>
      </c>
      <c r="K41" s="1" t="s">
        <v>19</v>
      </c>
      <c r="L41" s="1" t="s">
        <v>133</v>
      </c>
      <c r="M41" s="5" t="s">
        <v>39</v>
      </c>
    </row>
    <row r="42" spans="1:13" ht="13.8" customHeight="1" x14ac:dyDescent="0.3">
      <c r="A42" s="1">
        <v>41</v>
      </c>
      <c r="B42" s="1" t="s">
        <v>78</v>
      </c>
      <c r="C42" s="1" t="s">
        <v>93</v>
      </c>
      <c r="D42" s="1">
        <v>71</v>
      </c>
      <c r="E42" s="1" t="s">
        <v>503</v>
      </c>
      <c r="F42" s="3" t="s">
        <v>21</v>
      </c>
      <c r="G42" s="4">
        <v>43870</v>
      </c>
      <c r="H42" s="21"/>
      <c r="I42" s="21"/>
      <c r="J42" s="2">
        <v>43862</v>
      </c>
      <c r="K42" s="1"/>
      <c r="L42" s="1" t="s">
        <v>133</v>
      </c>
      <c r="M42" s="5" t="s">
        <v>37</v>
      </c>
    </row>
    <row r="43" spans="1:13" ht="13.8" customHeight="1" x14ac:dyDescent="0.3">
      <c r="A43" s="1">
        <v>42</v>
      </c>
      <c r="B43" s="1" t="s">
        <v>78</v>
      </c>
      <c r="C43" s="1" t="s">
        <v>93</v>
      </c>
      <c r="D43" s="1">
        <v>39</v>
      </c>
      <c r="E43" s="1" t="s">
        <v>548</v>
      </c>
      <c r="F43" s="3" t="s">
        <v>22</v>
      </c>
      <c r="G43" s="4">
        <v>43870</v>
      </c>
      <c r="H43" s="21"/>
      <c r="I43" s="21"/>
      <c r="J43" s="2">
        <v>43862</v>
      </c>
      <c r="K43" s="1" t="s">
        <v>28</v>
      </c>
      <c r="L43" s="1" t="s">
        <v>133</v>
      </c>
      <c r="M43" s="5" t="s">
        <v>37</v>
      </c>
    </row>
    <row r="44" spans="1:13" ht="13.8" customHeight="1" x14ac:dyDescent="0.3">
      <c r="A44" s="1">
        <v>43</v>
      </c>
      <c r="B44" s="1" t="s">
        <v>78</v>
      </c>
      <c r="C44" s="1" t="s">
        <v>93</v>
      </c>
      <c r="D44" s="1">
        <v>54</v>
      </c>
      <c r="E44" s="1" t="s">
        <v>503</v>
      </c>
      <c r="F44" s="3" t="s">
        <v>23</v>
      </c>
      <c r="G44" s="4">
        <v>43870</v>
      </c>
      <c r="H44" s="8">
        <v>43897</v>
      </c>
      <c r="I44" s="8"/>
      <c r="J44" s="2">
        <v>43860</v>
      </c>
      <c r="K44" s="1"/>
      <c r="L44" s="1" t="s">
        <v>134</v>
      </c>
      <c r="M44" s="5" t="s">
        <v>37</v>
      </c>
    </row>
    <row r="45" spans="1:13" ht="13.8" customHeight="1" x14ac:dyDescent="0.3">
      <c r="A45" s="1">
        <v>44</v>
      </c>
      <c r="B45" s="1" t="s">
        <v>78</v>
      </c>
      <c r="C45" s="1" t="s">
        <v>93</v>
      </c>
      <c r="D45" s="1">
        <v>37</v>
      </c>
      <c r="E45" s="1" t="s">
        <v>503</v>
      </c>
      <c r="F45" s="3" t="s">
        <v>24</v>
      </c>
      <c r="G45" s="4">
        <v>43871</v>
      </c>
      <c r="H45" s="19">
        <v>43880</v>
      </c>
      <c r="I45" s="19"/>
      <c r="J45" s="2">
        <v>43861</v>
      </c>
      <c r="K45" s="1"/>
      <c r="L45" s="1" t="s">
        <v>137</v>
      </c>
      <c r="M45" s="5" t="s">
        <v>38</v>
      </c>
    </row>
    <row r="46" spans="1:13" ht="13.8" customHeight="1" x14ac:dyDescent="0.3">
      <c r="A46" s="1">
        <v>45</v>
      </c>
      <c r="B46" s="1" t="s">
        <v>79</v>
      </c>
      <c r="C46" s="6" t="s">
        <v>94</v>
      </c>
      <c r="D46" s="1">
        <v>2</v>
      </c>
      <c r="E46" s="1" t="s">
        <v>503</v>
      </c>
      <c r="F46" s="3" t="s">
        <v>25</v>
      </c>
      <c r="G46" s="4">
        <v>43871</v>
      </c>
      <c r="H46" s="20">
        <v>43875</v>
      </c>
      <c r="I46" s="20"/>
      <c r="J46" s="1" t="s">
        <v>522</v>
      </c>
      <c r="K46" s="1"/>
      <c r="L46" s="1" t="s">
        <v>136</v>
      </c>
      <c r="M46" s="5" t="s">
        <v>38</v>
      </c>
    </row>
    <row r="47" spans="1:13" ht="13.8" customHeight="1" x14ac:dyDescent="0.3">
      <c r="A47" s="1">
        <v>46</v>
      </c>
      <c r="B47" s="1" t="s">
        <v>78</v>
      </c>
      <c r="C47" s="1" t="s">
        <v>93</v>
      </c>
      <c r="D47" s="1">
        <v>35</v>
      </c>
      <c r="E47" s="1" t="s">
        <v>503</v>
      </c>
      <c r="F47" s="3" t="s">
        <v>26</v>
      </c>
      <c r="G47" s="4">
        <v>43872</v>
      </c>
      <c r="H47" s="19">
        <v>43885</v>
      </c>
      <c r="I47" s="19"/>
      <c r="J47" s="2">
        <v>43866</v>
      </c>
      <c r="K47" s="1"/>
      <c r="L47" s="1" t="s">
        <v>133</v>
      </c>
      <c r="M47" s="5" t="s">
        <v>40</v>
      </c>
    </row>
    <row r="48" spans="1:13" ht="13.8" customHeight="1" x14ac:dyDescent="0.3">
      <c r="A48" s="1">
        <v>47</v>
      </c>
      <c r="B48" s="1" t="s">
        <v>78</v>
      </c>
      <c r="C48" s="1" t="s">
        <v>93</v>
      </c>
      <c r="D48" s="1">
        <v>39</v>
      </c>
      <c r="E48" s="1" t="s">
        <v>548</v>
      </c>
      <c r="F48" s="3" t="s">
        <v>27</v>
      </c>
      <c r="G48" s="4">
        <v>43872</v>
      </c>
      <c r="H48" s="8">
        <v>43897</v>
      </c>
      <c r="I48" s="8"/>
      <c r="J48" s="2">
        <v>43867</v>
      </c>
      <c r="K48" s="1" t="s">
        <v>28</v>
      </c>
      <c r="L48" s="1" t="s">
        <v>133</v>
      </c>
      <c r="M48" s="5" t="s">
        <v>40</v>
      </c>
    </row>
    <row r="49" spans="1:13" ht="13.8" customHeight="1" x14ac:dyDescent="0.3">
      <c r="A49" s="6">
        <v>48</v>
      </c>
      <c r="B49" s="1" t="s">
        <v>78</v>
      </c>
      <c r="C49" s="1" t="s">
        <v>93</v>
      </c>
      <c r="D49" s="6">
        <v>34</v>
      </c>
      <c r="E49" s="1" t="s">
        <v>503</v>
      </c>
      <c r="F49" s="3" t="s">
        <v>83</v>
      </c>
      <c r="G49" s="2">
        <v>43873</v>
      </c>
      <c r="H49" s="8">
        <v>43878</v>
      </c>
      <c r="I49" s="8"/>
      <c r="J49" s="2">
        <v>43862</v>
      </c>
      <c r="K49" s="1" t="s">
        <v>82</v>
      </c>
      <c r="L49" s="1" t="s">
        <v>133</v>
      </c>
      <c r="M49" s="5" t="s">
        <v>84</v>
      </c>
    </row>
    <row r="50" spans="1:13" ht="13.8" customHeight="1" x14ac:dyDescent="0.3">
      <c r="A50" s="6">
        <v>49</v>
      </c>
      <c r="B50" s="1" t="s">
        <v>78</v>
      </c>
      <c r="C50" s="1" t="s">
        <v>93</v>
      </c>
      <c r="D50" s="6">
        <v>46</v>
      </c>
      <c r="E50" s="1" t="s">
        <v>503</v>
      </c>
      <c r="F50" s="3" t="s">
        <v>85</v>
      </c>
      <c r="G50" s="2">
        <v>43873</v>
      </c>
      <c r="H50" s="19">
        <v>43887</v>
      </c>
      <c r="I50" s="19"/>
      <c r="J50" s="2">
        <v>43864</v>
      </c>
      <c r="K50" s="1" t="s">
        <v>82</v>
      </c>
      <c r="L50" s="1" t="s">
        <v>138</v>
      </c>
      <c r="M50" s="5" t="s">
        <v>84</v>
      </c>
    </row>
    <row r="51" spans="1:13" ht="13.8" customHeight="1" x14ac:dyDescent="0.3">
      <c r="A51" s="6">
        <v>50</v>
      </c>
      <c r="B51" s="1" t="s">
        <v>78</v>
      </c>
      <c r="C51" s="1" t="s">
        <v>93</v>
      </c>
      <c r="D51" s="6">
        <v>62</v>
      </c>
      <c r="E51" s="1" t="s">
        <v>503</v>
      </c>
      <c r="F51" s="3" t="s">
        <v>90</v>
      </c>
      <c r="G51" s="2">
        <v>43873</v>
      </c>
      <c r="H51" s="19">
        <v>43882</v>
      </c>
      <c r="I51" s="19"/>
      <c r="J51" s="2">
        <v>43868</v>
      </c>
      <c r="K51" s="1"/>
      <c r="L51" s="1" t="s">
        <v>133</v>
      </c>
      <c r="M51" s="5" t="s">
        <v>84</v>
      </c>
    </row>
    <row r="52" spans="1:13" ht="13.8" customHeight="1" x14ac:dyDescent="0.3">
      <c r="A52" s="6">
        <v>51</v>
      </c>
      <c r="B52" s="1" t="s">
        <v>78</v>
      </c>
      <c r="C52" s="1" t="s">
        <v>93</v>
      </c>
      <c r="D52" s="6">
        <v>48</v>
      </c>
      <c r="E52" s="1" t="s">
        <v>503</v>
      </c>
      <c r="F52" s="3" t="s">
        <v>87</v>
      </c>
      <c r="G52" s="2">
        <v>43874</v>
      </c>
      <c r="H52" s="19">
        <v>43882</v>
      </c>
      <c r="I52" s="19"/>
      <c r="J52" s="2">
        <v>43865</v>
      </c>
      <c r="K52" s="1" t="s">
        <v>82</v>
      </c>
      <c r="L52" s="1" t="s">
        <v>133</v>
      </c>
      <c r="M52" s="5" t="s">
        <v>86</v>
      </c>
    </row>
    <row r="53" spans="1:13" ht="13.8" customHeight="1" x14ac:dyDescent="0.3">
      <c r="A53" s="6">
        <v>52</v>
      </c>
      <c r="B53" s="1" t="s">
        <v>78</v>
      </c>
      <c r="C53" s="1" t="s">
        <v>93</v>
      </c>
      <c r="D53" s="6">
        <v>37</v>
      </c>
      <c r="E53" s="1" t="s">
        <v>548</v>
      </c>
      <c r="F53" s="3" t="s">
        <v>88</v>
      </c>
      <c r="G53" s="2">
        <v>43874</v>
      </c>
      <c r="H53" s="19">
        <v>43889</v>
      </c>
      <c r="I53" s="19"/>
      <c r="J53" s="2">
        <v>43868</v>
      </c>
      <c r="K53" s="1" t="s">
        <v>28</v>
      </c>
      <c r="L53" s="1" t="s">
        <v>133</v>
      </c>
      <c r="M53" s="5" t="s">
        <v>86</v>
      </c>
    </row>
    <row r="54" spans="1:13" ht="13.8" customHeight="1" x14ac:dyDescent="0.3">
      <c r="A54" s="6">
        <v>53</v>
      </c>
      <c r="B54" s="1" t="s">
        <v>78</v>
      </c>
      <c r="C54" s="1" t="s">
        <v>93</v>
      </c>
      <c r="D54" s="6">
        <v>54</v>
      </c>
      <c r="E54" s="1" t="s">
        <v>503</v>
      </c>
      <c r="F54" s="3" t="s">
        <v>89</v>
      </c>
      <c r="G54" s="2">
        <v>43874</v>
      </c>
      <c r="H54" s="19">
        <v>43904</v>
      </c>
      <c r="I54" s="19"/>
      <c r="J54" s="2">
        <v>43868</v>
      </c>
      <c r="K54" s="1" t="s">
        <v>82</v>
      </c>
      <c r="L54" s="1" t="s">
        <v>133</v>
      </c>
      <c r="M54" s="5" t="s">
        <v>86</v>
      </c>
    </row>
    <row r="55" spans="1:13" ht="13.8" customHeight="1" x14ac:dyDescent="0.3">
      <c r="A55" s="6">
        <v>54</v>
      </c>
      <c r="B55" s="1" t="s">
        <v>78</v>
      </c>
      <c r="C55" s="6" t="s">
        <v>94</v>
      </c>
      <c r="D55" s="6">
        <v>55</v>
      </c>
      <c r="E55" s="1" t="s">
        <v>503</v>
      </c>
      <c r="F55" s="7" t="s">
        <v>99</v>
      </c>
      <c r="G55" s="2">
        <v>43874</v>
      </c>
      <c r="H55" s="19">
        <v>43891</v>
      </c>
      <c r="I55" s="19"/>
      <c r="J55" s="2">
        <v>43871</v>
      </c>
      <c r="K55" s="1" t="s">
        <v>82</v>
      </c>
      <c r="L55" s="1" t="s">
        <v>133</v>
      </c>
      <c r="M55" s="5" t="s">
        <v>86</v>
      </c>
    </row>
    <row r="56" spans="1:13" ht="13.8" customHeight="1" x14ac:dyDescent="0.3">
      <c r="A56" s="6">
        <v>55</v>
      </c>
      <c r="B56" s="1" t="s">
        <v>78</v>
      </c>
      <c r="C56" s="1" t="s">
        <v>93</v>
      </c>
      <c r="D56" s="6">
        <v>30</v>
      </c>
      <c r="E56" s="1" t="s">
        <v>503</v>
      </c>
      <c r="F56" s="7" t="s">
        <v>100</v>
      </c>
      <c r="G56" s="2">
        <v>43874</v>
      </c>
      <c r="H56" s="19">
        <v>43880</v>
      </c>
      <c r="I56" s="19"/>
      <c r="J56" s="2">
        <v>43860</v>
      </c>
      <c r="K56" s="1"/>
      <c r="L56" s="1" t="s">
        <v>133</v>
      </c>
      <c r="M56" s="5" t="s">
        <v>86</v>
      </c>
    </row>
    <row r="57" spans="1:13" ht="13.8" customHeight="1" x14ac:dyDescent="0.3">
      <c r="A57" s="6">
        <v>56</v>
      </c>
      <c r="B57" s="1" t="s">
        <v>78</v>
      </c>
      <c r="C57" s="1" t="s">
        <v>93</v>
      </c>
      <c r="D57" s="6">
        <v>30</v>
      </c>
      <c r="E57" s="1" t="s">
        <v>548</v>
      </c>
      <c r="F57" s="7" t="s">
        <v>101</v>
      </c>
      <c r="G57" s="2">
        <v>43874</v>
      </c>
      <c r="H57" s="19">
        <v>43887</v>
      </c>
      <c r="I57" s="19"/>
      <c r="J57" s="2">
        <v>43873</v>
      </c>
      <c r="K57" s="1" t="s">
        <v>28</v>
      </c>
      <c r="L57" s="1" t="s">
        <v>133</v>
      </c>
      <c r="M57" s="5" t="s">
        <v>86</v>
      </c>
    </row>
    <row r="58" spans="1:13" ht="13.8" customHeight="1" x14ac:dyDescent="0.3">
      <c r="A58" s="6">
        <v>57</v>
      </c>
      <c r="B58" s="1" t="s">
        <v>78</v>
      </c>
      <c r="C58" s="6" t="s">
        <v>94</v>
      </c>
      <c r="D58" s="6">
        <v>26</v>
      </c>
      <c r="E58" s="1" t="s">
        <v>503</v>
      </c>
      <c r="F58" s="7" t="s">
        <v>102</v>
      </c>
      <c r="G58" s="2">
        <v>43874</v>
      </c>
      <c r="H58" s="19">
        <v>43882</v>
      </c>
      <c r="I58" s="19"/>
      <c r="J58" s="2">
        <v>43872</v>
      </c>
      <c r="K58" s="1" t="s">
        <v>82</v>
      </c>
      <c r="L58" s="1" t="s">
        <v>133</v>
      </c>
      <c r="M58" s="5" t="s">
        <v>86</v>
      </c>
    </row>
    <row r="59" spans="1:13" ht="13.8" customHeight="1" x14ac:dyDescent="0.3">
      <c r="A59" s="6">
        <v>58</v>
      </c>
      <c r="B59" s="1" t="s">
        <v>78</v>
      </c>
      <c r="C59" s="6" t="s">
        <v>94</v>
      </c>
      <c r="D59" s="6">
        <v>55</v>
      </c>
      <c r="E59" s="1" t="s">
        <v>503</v>
      </c>
      <c r="F59" s="7" t="s">
        <v>103</v>
      </c>
      <c r="G59" s="2">
        <v>43874</v>
      </c>
      <c r="H59" s="8">
        <v>43886</v>
      </c>
      <c r="I59" s="8"/>
      <c r="J59" s="2">
        <v>43871</v>
      </c>
      <c r="K59" s="1" t="s">
        <v>82</v>
      </c>
      <c r="L59" s="1" t="s">
        <v>133</v>
      </c>
      <c r="M59" s="5" t="s">
        <v>86</v>
      </c>
    </row>
    <row r="60" spans="1:13" ht="13.8" customHeight="1" x14ac:dyDescent="0.3">
      <c r="A60" s="6">
        <v>59</v>
      </c>
      <c r="B60" s="1" t="s">
        <v>78</v>
      </c>
      <c r="C60" s="6" t="s">
        <v>93</v>
      </c>
      <c r="D60" s="6">
        <v>61</v>
      </c>
      <c r="E60" s="1" t="s">
        <v>503</v>
      </c>
      <c r="F60" s="7" t="s">
        <v>95</v>
      </c>
      <c r="G60" s="2">
        <v>43875</v>
      </c>
      <c r="H60" s="19">
        <v>43887</v>
      </c>
      <c r="I60" s="19"/>
      <c r="J60" s="2">
        <v>43868</v>
      </c>
      <c r="K60" s="1"/>
      <c r="L60" s="1" t="s">
        <v>133</v>
      </c>
      <c r="M60" s="5" t="s">
        <v>104</v>
      </c>
    </row>
    <row r="61" spans="1:13" ht="13.8" customHeight="1" x14ac:dyDescent="0.3">
      <c r="A61" s="6">
        <v>60</v>
      </c>
      <c r="B61" s="1" t="s">
        <v>78</v>
      </c>
      <c r="C61" s="6" t="s">
        <v>94</v>
      </c>
      <c r="D61" s="6">
        <v>51</v>
      </c>
      <c r="E61" s="1" t="s">
        <v>503</v>
      </c>
      <c r="F61" s="7" t="s">
        <v>96</v>
      </c>
      <c r="G61" s="2">
        <v>43875</v>
      </c>
      <c r="H61" s="19">
        <v>43891</v>
      </c>
      <c r="I61" s="19"/>
      <c r="J61" s="2">
        <v>43869</v>
      </c>
      <c r="K61" s="1" t="s">
        <v>82</v>
      </c>
      <c r="L61" s="1" t="s">
        <v>133</v>
      </c>
      <c r="M61" s="5" t="s">
        <v>104</v>
      </c>
    </row>
    <row r="62" spans="1:13" ht="13.8" customHeight="1" x14ac:dyDescent="0.3">
      <c r="A62" s="6">
        <v>61</v>
      </c>
      <c r="B62" s="1" t="s">
        <v>78</v>
      </c>
      <c r="C62" s="6" t="s">
        <v>93</v>
      </c>
      <c r="D62" s="6">
        <v>57</v>
      </c>
      <c r="E62" s="1" t="s">
        <v>503</v>
      </c>
      <c r="F62" s="7" t="s">
        <v>97</v>
      </c>
      <c r="G62" s="2">
        <v>43875</v>
      </c>
      <c r="H62" s="19">
        <v>43894</v>
      </c>
      <c r="I62" s="19"/>
      <c r="J62" s="2">
        <v>43867</v>
      </c>
      <c r="K62" s="1" t="s">
        <v>82</v>
      </c>
      <c r="L62" s="1" t="s">
        <v>138</v>
      </c>
      <c r="M62" s="5" t="s">
        <v>104</v>
      </c>
    </row>
    <row r="63" spans="1:13" ht="13.8" customHeight="1" x14ac:dyDescent="0.3">
      <c r="A63" s="6">
        <v>62</v>
      </c>
      <c r="B63" s="1" t="s">
        <v>78</v>
      </c>
      <c r="C63" s="6" t="s">
        <v>94</v>
      </c>
      <c r="D63" s="6">
        <v>44</v>
      </c>
      <c r="E63" s="1" t="s">
        <v>503</v>
      </c>
      <c r="F63" s="7" t="s">
        <v>98</v>
      </c>
      <c r="G63" s="2">
        <v>43875</v>
      </c>
      <c r="H63" s="8">
        <v>43886</v>
      </c>
      <c r="I63" s="8"/>
      <c r="J63" s="2">
        <v>43870</v>
      </c>
      <c r="K63" s="1" t="s">
        <v>82</v>
      </c>
      <c r="L63" s="1" t="s">
        <v>132</v>
      </c>
      <c r="M63" s="5" t="s">
        <v>104</v>
      </c>
    </row>
    <row r="64" spans="1:13" ht="13.8" customHeight="1" x14ac:dyDescent="0.3">
      <c r="A64" s="6">
        <v>63</v>
      </c>
      <c r="B64" s="1" t="s">
        <v>78</v>
      </c>
      <c r="C64" s="6" t="s">
        <v>94</v>
      </c>
      <c r="D64" s="6">
        <v>54</v>
      </c>
      <c r="E64" s="1" t="s">
        <v>503</v>
      </c>
      <c r="F64" s="7" t="s">
        <v>106</v>
      </c>
      <c r="G64" s="2">
        <v>43875</v>
      </c>
      <c r="H64" s="19">
        <v>43882</v>
      </c>
      <c r="I64" s="19"/>
      <c r="J64" s="2">
        <v>43871</v>
      </c>
      <c r="K64" s="1" t="s">
        <v>82</v>
      </c>
      <c r="L64" s="1" t="s">
        <v>133</v>
      </c>
      <c r="M64" s="5" t="s">
        <v>104</v>
      </c>
    </row>
    <row r="65" spans="1:13" ht="13.8" customHeight="1" x14ac:dyDescent="0.3">
      <c r="A65" s="6">
        <v>64</v>
      </c>
      <c r="B65" s="1" t="s">
        <v>78</v>
      </c>
      <c r="C65" s="6" t="s">
        <v>93</v>
      </c>
      <c r="D65" s="6">
        <v>50</v>
      </c>
      <c r="E65" s="1" t="s">
        <v>503</v>
      </c>
      <c r="F65" s="9" t="s">
        <v>107</v>
      </c>
      <c r="G65" s="2">
        <v>43875</v>
      </c>
      <c r="H65" s="19">
        <v>43884</v>
      </c>
      <c r="I65" s="19"/>
      <c r="J65" s="2">
        <v>43864</v>
      </c>
      <c r="K65" s="1"/>
      <c r="L65" s="1" t="s">
        <v>138</v>
      </c>
      <c r="M65" s="5" t="s">
        <v>104</v>
      </c>
    </row>
    <row r="66" spans="1:13" ht="13.8" customHeight="1" x14ac:dyDescent="0.3">
      <c r="A66" s="6">
        <v>65</v>
      </c>
      <c r="B66" s="1" t="s">
        <v>78</v>
      </c>
      <c r="C66" s="6" t="s">
        <v>94</v>
      </c>
      <c r="D66" s="6">
        <v>61</v>
      </c>
      <c r="E66" s="1" t="s">
        <v>503</v>
      </c>
      <c r="F66" s="9" t="s">
        <v>108</v>
      </c>
      <c r="G66" s="2">
        <v>43875</v>
      </c>
      <c r="H66" s="8">
        <v>43878</v>
      </c>
      <c r="I66" s="8"/>
      <c r="J66" s="2">
        <v>43873</v>
      </c>
      <c r="K66" s="1"/>
      <c r="L66" s="1" t="s">
        <v>133</v>
      </c>
      <c r="M66" s="5" t="s">
        <v>104</v>
      </c>
    </row>
    <row r="67" spans="1:13" ht="13.8" customHeight="1" x14ac:dyDescent="0.3">
      <c r="A67" s="6">
        <v>66</v>
      </c>
      <c r="B67" s="1" t="s">
        <v>78</v>
      </c>
      <c r="C67" s="6" t="s">
        <v>93</v>
      </c>
      <c r="D67" s="6">
        <v>28</v>
      </c>
      <c r="E67" s="1" t="s">
        <v>503</v>
      </c>
      <c r="F67" s="9" t="s">
        <v>109</v>
      </c>
      <c r="G67" s="2">
        <v>43875</v>
      </c>
      <c r="H67" s="19">
        <v>43881</v>
      </c>
      <c r="I67" s="19"/>
      <c r="J67" s="2">
        <v>43859</v>
      </c>
      <c r="K67" s="1" t="s">
        <v>82</v>
      </c>
      <c r="L67" s="1" t="s">
        <v>133</v>
      </c>
      <c r="M67" s="5" t="s">
        <v>104</v>
      </c>
    </row>
    <row r="68" spans="1:13" ht="13.8" customHeight="1" x14ac:dyDescent="0.3">
      <c r="A68" s="6">
        <v>67</v>
      </c>
      <c r="B68" s="1" t="s">
        <v>78</v>
      </c>
      <c r="C68" s="6" t="s">
        <v>94</v>
      </c>
      <c r="D68" s="6">
        <v>56</v>
      </c>
      <c r="E68" s="1" t="s">
        <v>503</v>
      </c>
      <c r="F68" s="9" t="s">
        <v>110</v>
      </c>
      <c r="G68" s="2">
        <v>43875</v>
      </c>
      <c r="H68" s="20">
        <v>43892</v>
      </c>
      <c r="I68" s="20"/>
      <c r="J68" s="2">
        <v>43870</v>
      </c>
      <c r="K68" s="1" t="s">
        <v>82</v>
      </c>
      <c r="L68" s="1" t="s">
        <v>133</v>
      </c>
      <c r="M68" s="5" t="s">
        <v>104</v>
      </c>
    </row>
    <row r="69" spans="1:13" ht="13.8" customHeight="1" x14ac:dyDescent="0.3">
      <c r="A69" s="6">
        <v>68</v>
      </c>
      <c r="B69" s="1" t="s">
        <v>78</v>
      </c>
      <c r="C69" s="6" t="s">
        <v>94</v>
      </c>
      <c r="D69" s="6">
        <v>79</v>
      </c>
      <c r="E69" s="1" t="s">
        <v>503</v>
      </c>
      <c r="F69" s="9" t="s">
        <v>118</v>
      </c>
      <c r="G69" s="2">
        <v>43876</v>
      </c>
      <c r="H69" s="20">
        <v>43890</v>
      </c>
      <c r="I69" s="20"/>
      <c r="J69" s="2">
        <v>43860</v>
      </c>
      <c r="K69" s="1" t="s">
        <v>82</v>
      </c>
      <c r="L69" s="1" t="s">
        <v>133</v>
      </c>
      <c r="M69" s="5" t="s">
        <v>105</v>
      </c>
    </row>
    <row r="70" spans="1:13" ht="13.8" customHeight="1" x14ac:dyDescent="0.3">
      <c r="A70" s="6">
        <v>69</v>
      </c>
      <c r="B70" s="1" t="s">
        <v>78</v>
      </c>
      <c r="C70" s="6" t="s">
        <v>93</v>
      </c>
      <c r="D70" s="6">
        <v>26</v>
      </c>
      <c r="E70" s="1" t="s">
        <v>548</v>
      </c>
      <c r="F70" s="9" t="s">
        <v>119</v>
      </c>
      <c r="G70" s="2">
        <v>43876</v>
      </c>
      <c r="H70" s="20">
        <v>43892</v>
      </c>
      <c r="I70" s="20"/>
      <c r="J70" s="2">
        <v>43875</v>
      </c>
      <c r="K70" s="1" t="s">
        <v>28</v>
      </c>
      <c r="L70" s="1" t="s">
        <v>133</v>
      </c>
      <c r="M70" s="5" t="s">
        <v>105</v>
      </c>
    </row>
    <row r="71" spans="1:13" ht="13.8" customHeight="1" x14ac:dyDescent="0.3">
      <c r="A71" s="6">
        <v>70</v>
      </c>
      <c r="B71" s="1" t="s">
        <v>78</v>
      </c>
      <c r="C71" s="6" t="s">
        <v>94</v>
      </c>
      <c r="D71" s="6">
        <v>27</v>
      </c>
      <c r="E71" s="1" t="s">
        <v>503</v>
      </c>
      <c r="F71" s="9" t="s">
        <v>120</v>
      </c>
      <c r="G71" s="2">
        <v>43876</v>
      </c>
      <c r="H71" s="19">
        <v>43882</v>
      </c>
      <c r="I71" s="19"/>
      <c r="J71" s="2">
        <v>43864</v>
      </c>
      <c r="K71" s="1" t="s">
        <v>82</v>
      </c>
      <c r="L71" s="1" t="s">
        <v>133</v>
      </c>
      <c r="M71" s="5" t="s">
        <v>105</v>
      </c>
    </row>
    <row r="72" spans="1:13" ht="13.8" customHeight="1" x14ac:dyDescent="0.3">
      <c r="A72" s="6">
        <v>71</v>
      </c>
      <c r="B72" s="1" t="s">
        <v>78</v>
      </c>
      <c r="C72" s="6" t="s">
        <v>93</v>
      </c>
      <c r="D72" s="6">
        <v>25</v>
      </c>
      <c r="E72" s="1" t="s">
        <v>503</v>
      </c>
      <c r="F72" s="9" t="s">
        <v>121</v>
      </c>
      <c r="G72" s="2">
        <v>43876</v>
      </c>
      <c r="H72" s="19">
        <v>43895</v>
      </c>
      <c r="I72" s="19"/>
      <c r="J72" s="2">
        <v>43862</v>
      </c>
      <c r="K72" s="1" t="s">
        <v>82</v>
      </c>
      <c r="L72" s="1" t="s">
        <v>133</v>
      </c>
      <c r="M72" s="5" t="s">
        <v>105</v>
      </c>
    </row>
    <row r="73" spans="1:13" ht="13.8" customHeight="1" x14ac:dyDescent="0.3">
      <c r="A73" s="6">
        <v>72</v>
      </c>
      <c r="B73" s="1" t="s">
        <v>78</v>
      </c>
      <c r="C73" s="6" t="s">
        <v>93</v>
      </c>
      <c r="D73" s="6">
        <v>40</v>
      </c>
      <c r="E73" s="1" t="s">
        <v>473</v>
      </c>
      <c r="F73" s="9" t="s">
        <v>122</v>
      </c>
      <c r="G73" s="2">
        <v>43876</v>
      </c>
      <c r="H73" s="19">
        <v>43888</v>
      </c>
      <c r="I73" s="19"/>
      <c r="J73" s="2">
        <v>43871</v>
      </c>
      <c r="K73" s="1"/>
      <c r="L73" s="1" t="s">
        <v>133</v>
      </c>
      <c r="M73" s="5" t="s">
        <v>105</v>
      </c>
    </row>
    <row r="74" spans="1:13" ht="13.8" customHeight="1" x14ac:dyDescent="0.3">
      <c r="A74" s="6">
        <v>73</v>
      </c>
      <c r="B74" s="1" t="s">
        <v>78</v>
      </c>
      <c r="C74" s="6" t="s">
        <v>93</v>
      </c>
      <c r="D74" s="6">
        <v>43</v>
      </c>
      <c r="E74" s="1" t="s">
        <v>503</v>
      </c>
      <c r="F74" s="3" t="s">
        <v>114</v>
      </c>
      <c r="G74" s="2">
        <v>43877</v>
      </c>
      <c r="H74" s="19">
        <v>43887</v>
      </c>
      <c r="I74" s="19"/>
      <c r="J74" s="2">
        <v>43870</v>
      </c>
      <c r="K74" s="1" t="s">
        <v>82</v>
      </c>
      <c r="L74" s="1" t="s">
        <v>133</v>
      </c>
      <c r="M74" s="5" t="s">
        <v>115</v>
      </c>
    </row>
    <row r="75" spans="1:13" ht="13.8" customHeight="1" x14ac:dyDescent="0.3">
      <c r="A75" s="6">
        <v>74</v>
      </c>
      <c r="B75" s="1" t="s">
        <v>78</v>
      </c>
      <c r="C75" s="6" t="s">
        <v>93</v>
      </c>
      <c r="D75" s="6">
        <v>29</v>
      </c>
      <c r="E75" s="1" t="s">
        <v>503</v>
      </c>
      <c r="F75" s="3" t="s">
        <v>116</v>
      </c>
      <c r="G75" s="2">
        <v>43877</v>
      </c>
      <c r="H75" s="8">
        <v>43897</v>
      </c>
      <c r="I75" s="8"/>
      <c r="J75" s="2">
        <v>43873</v>
      </c>
      <c r="K75" s="1" t="s">
        <v>82</v>
      </c>
      <c r="L75" s="1" t="s">
        <v>139</v>
      </c>
      <c r="M75" s="5" t="s">
        <v>115</v>
      </c>
    </row>
    <row r="76" spans="1:13" ht="13.8" customHeight="1" x14ac:dyDescent="0.3">
      <c r="A76" s="6">
        <v>75</v>
      </c>
      <c r="B76" s="1" t="s">
        <v>78</v>
      </c>
      <c r="C76" s="6" t="s">
        <v>94</v>
      </c>
      <c r="D76" s="6">
        <v>71</v>
      </c>
      <c r="E76" s="1" t="s">
        <v>503</v>
      </c>
      <c r="F76" s="7" t="s">
        <v>117</v>
      </c>
      <c r="G76" s="2">
        <v>43877</v>
      </c>
      <c r="H76" s="20">
        <v>43890</v>
      </c>
      <c r="I76" s="20"/>
      <c r="J76" s="1"/>
      <c r="K76" s="1"/>
      <c r="L76" s="1" t="s">
        <v>133</v>
      </c>
      <c r="M76" s="5" t="s">
        <v>115</v>
      </c>
    </row>
    <row r="77" spans="1:13" ht="13.8" customHeight="1" x14ac:dyDescent="0.3">
      <c r="A77" s="6">
        <v>76</v>
      </c>
      <c r="B77" s="1" t="s">
        <v>79</v>
      </c>
      <c r="C77" s="6" t="s">
        <v>93</v>
      </c>
      <c r="D77" s="6">
        <v>1</v>
      </c>
      <c r="E77" s="1" t="s">
        <v>503</v>
      </c>
      <c r="F77" s="3" t="s">
        <v>124</v>
      </c>
      <c r="G77" s="2">
        <v>43878</v>
      </c>
      <c r="H77" s="19">
        <v>43879</v>
      </c>
      <c r="I77" s="19"/>
      <c r="J77" s="1"/>
      <c r="K77" s="1"/>
      <c r="L77" s="1" t="s">
        <v>136</v>
      </c>
      <c r="M77" s="5" t="s">
        <v>123</v>
      </c>
    </row>
    <row r="78" spans="1:13" ht="13.8" customHeight="1" x14ac:dyDescent="0.3">
      <c r="A78" s="6">
        <v>77</v>
      </c>
      <c r="B78" s="1" t="s">
        <v>78</v>
      </c>
      <c r="C78" s="6" t="s">
        <v>93</v>
      </c>
      <c r="D78" s="6">
        <v>35</v>
      </c>
      <c r="E78" s="1" t="s">
        <v>503</v>
      </c>
      <c r="F78" s="7" t="s">
        <v>125</v>
      </c>
      <c r="G78" s="2">
        <v>43878</v>
      </c>
      <c r="H78" s="8">
        <v>43886</v>
      </c>
      <c r="I78" s="8"/>
      <c r="J78" s="2">
        <v>43871</v>
      </c>
      <c r="K78" s="1"/>
      <c r="L78" s="1" t="s">
        <v>133</v>
      </c>
      <c r="M78" s="5" t="s">
        <v>123</v>
      </c>
    </row>
    <row r="79" spans="1:13" ht="13.8" customHeight="1" x14ac:dyDescent="0.3">
      <c r="A79" s="6">
        <v>78</v>
      </c>
      <c r="B79" s="6" t="s">
        <v>78</v>
      </c>
      <c r="C79" s="6" t="s">
        <v>94</v>
      </c>
      <c r="D79" s="6">
        <v>57</v>
      </c>
      <c r="E79" s="1" t="s">
        <v>503</v>
      </c>
      <c r="F79" s="3" t="s">
        <v>129</v>
      </c>
      <c r="G79" s="2">
        <v>43879</v>
      </c>
      <c r="H79" s="19">
        <v>43888</v>
      </c>
      <c r="I79" s="19"/>
      <c r="J79" s="2">
        <v>43870</v>
      </c>
      <c r="K79" s="1" t="s">
        <v>82</v>
      </c>
      <c r="L79" s="1" t="s">
        <v>133</v>
      </c>
      <c r="M79" s="5" t="s">
        <v>128</v>
      </c>
    </row>
    <row r="80" spans="1:13" ht="13.8" customHeight="1" x14ac:dyDescent="0.3">
      <c r="A80" s="6">
        <v>79</v>
      </c>
      <c r="B80" s="6" t="s">
        <v>78</v>
      </c>
      <c r="C80" s="6" t="s">
        <v>94</v>
      </c>
      <c r="D80" s="6">
        <v>35</v>
      </c>
      <c r="E80" s="1" t="s">
        <v>591</v>
      </c>
      <c r="F80" s="3" t="s">
        <v>130</v>
      </c>
      <c r="G80" s="2">
        <v>43879</v>
      </c>
      <c r="H80" s="19">
        <v>43889</v>
      </c>
      <c r="I80" s="19"/>
      <c r="J80" s="2">
        <v>43873</v>
      </c>
      <c r="K80" s="1"/>
      <c r="L80" s="1" t="s">
        <v>133</v>
      </c>
      <c r="M80" s="5" t="s">
        <v>128</v>
      </c>
    </row>
    <row r="81" spans="1:13" ht="13.8" customHeight="1" x14ac:dyDescent="0.3">
      <c r="A81" s="6">
        <v>80</v>
      </c>
      <c r="B81" s="6" t="s">
        <v>78</v>
      </c>
      <c r="C81" s="6" t="s">
        <v>94</v>
      </c>
      <c r="D81" s="6">
        <v>38</v>
      </c>
      <c r="E81" s="1" t="s">
        <v>503</v>
      </c>
      <c r="F81" s="7" t="s">
        <v>143</v>
      </c>
      <c r="G81" s="2">
        <v>43879</v>
      </c>
      <c r="H81" s="19">
        <v>43888</v>
      </c>
      <c r="I81" s="19"/>
      <c r="J81" s="2">
        <v>43865</v>
      </c>
      <c r="K81" s="1" t="s">
        <v>82</v>
      </c>
      <c r="L81" s="1" t="s">
        <v>138</v>
      </c>
      <c r="M81" s="5" t="s">
        <v>128</v>
      </c>
    </row>
    <row r="82" spans="1:13" ht="13.8" customHeight="1" x14ac:dyDescent="0.3">
      <c r="A82" s="6">
        <v>81</v>
      </c>
      <c r="B82" s="6" t="s">
        <v>78</v>
      </c>
      <c r="C82" s="6" t="s">
        <v>93</v>
      </c>
      <c r="D82" s="6">
        <v>50</v>
      </c>
      <c r="E82" s="1" t="s">
        <v>503</v>
      </c>
      <c r="F82" s="7" t="s">
        <v>144</v>
      </c>
      <c r="G82" s="2">
        <v>43879</v>
      </c>
      <c r="H82" s="8">
        <v>43886</v>
      </c>
      <c r="I82" s="8"/>
      <c r="J82" s="2">
        <v>43877</v>
      </c>
      <c r="K82" s="1" t="s">
        <v>82</v>
      </c>
      <c r="L82" s="1" t="s">
        <v>133</v>
      </c>
      <c r="M82" s="5" t="s">
        <v>128</v>
      </c>
    </row>
    <row r="83" spans="1:13" ht="13.8" customHeight="1" x14ac:dyDescent="0.3">
      <c r="A83" s="6">
        <v>82</v>
      </c>
      <c r="B83" s="6" t="s">
        <v>78</v>
      </c>
      <c r="C83" s="6" t="s">
        <v>94</v>
      </c>
      <c r="D83" s="6">
        <v>57</v>
      </c>
      <c r="E83" s="1" t="s">
        <v>503</v>
      </c>
      <c r="F83" s="3" t="s">
        <v>140</v>
      </c>
      <c r="G83" s="11">
        <v>43880</v>
      </c>
      <c r="H83" s="19">
        <v>43915</v>
      </c>
      <c r="I83" s="18"/>
      <c r="J83" s="2">
        <v>43870</v>
      </c>
      <c r="K83" s="1"/>
      <c r="L83" s="6" t="s">
        <v>142</v>
      </c>
      <c r="M83" s="5" t="s">
        <v>141</v>
      </c>
    </row>
    <row r="84" spans="1:13" ht="13.8" customHeight="1" x14ac:dyDescent="0.3">
      <c r="A84" s="6">
        <v>83</v>
      </c>
      <c r="B84" s="6" t="s">
        <v>78</v>
      </c>
      <c r="C84" s="6" t="s">
        <v>93</v>
      </c>
      <c r="D84" s="6">
        <v>54</v>
      </c>
      <c r="E84" s="1" t="s">
        <v>503</v>
      </c>
      <c r="F84" s="3" t="s">
        <v>146</v>
      </c>
      <c r="G84" s="11">
        <v>43880</v>
      </c>
      <c r="H84" s="19">
        <v>43882</v>
      </c>
      <c r="I84" s="19"/>
      <c r="J84" s="2">
        <v>43858</v>
      </c>
      <c r="K84" s="1" t="s">
        <v>17</v>
      </c>
      <c r="L84" s="6" t="s">
        <v>133</v>
      </c>
      <c r="M84" s="5" t="s">
        <v>141</v>
      </c>
    </row>
    <row r="85" spans="1:13" ht="13.8" customHeight="1" x14ac:dyDescent="0.3">
      <c r="A85" s="6">
        <v>84</v>
      </c>
      <c r="B85" s="6" t="s">
        <v>78</v>
      </c>
      <c r="C85" s="6" t="s">
        <v>94</v>
      </c>
      <c r="D85" s="6">
        <v>35</v>
      </c>
      <c r="E85" s="1" t="s">
        <v>503</v>
      </c>
      <c r="F85" s="7" t="s">
        <v>147</v>
      </c>
      <c r="G85" s="11">
        <v>43880</v>
      </c>
      <c r="H85" s="19">
        <v>43882</v>
      </c>
      <c r="I85" s="19"/>
      <c r="J85" s="2">
        <v>43865</v>
      </c>
      <c r="K85" s="1" t="s">
        <v>82</v>
      </c>
      <c r="L85" s="6" t="s">
        <v>133</v>
      </c>
      <c r="M85" s="5" t="s">
        <v>141</v>
      </c>
    </row>
    <row r="86" spans="1:13" ht="13.8" customHeight="1" x14ac:dyDescent="0.3">
      <c r="A86" s="6">
        <v>85</v>
      </c>
      <c r="B86" s="6" t="s">
        <v>78</v>
      </c>
      <c r="C86" s="6" t="s">
        <v>93</v>
      </c>
      <c r="D86" s="6">
        <v>36</v>
      </c>
      <c r="E86" s="1" t="s">
        <v>473</v>
      </c>
      <c r="F86" s="7" t="s">
        <v>150</v>
      </c>
      <c r="G86" s="2">
        <v>43881</v>
      </c>
      <c r="H86" s="8">
        <v>43897</v>
      </c>
      <c r="I86" s="8"/>
      <c r="J86" s="2">
        <v>43875</v>
      </c>
      <c r="K86" s="1"/>
      <c r="L86" s="6" t="s">
        <v>133</v>
      </c>
      <c r="M86" s="5" t="s">
        <v>145</v>
      </c>
    </row>
    <row r="87" spans="1:13" ht="13.8" customHeight="1" x14ac:dyDescent="0.3">
      <c r="A87" s="6">
        <v>86</v>
      </c>
      <c r="B87" s="6" t="s">
        <v>78</v>
      </c>
      <c r="C87" s="6" t="s">
        <v>93</v>
      </c>
      <c r="D87" s="6">
        <v>24</v>
      </c>
      <c r="E87" s="1" t="s">
        <v>503</v>
      </c>
      <c r="F87" s="3" t="s">
        <v>148</v>
      </c>
      <c r="G87" s="2">
        <v>43882</v>
      </c>
      <c r="H87" s="8">
        <v>43897</v>
      </c>
      <c r="I87" s="8"/>
      <c r="J87" s="2">
        <v>43875</v>
      </c>
      <c r="K87" s="1"/>
      <c r="L87" s="6" t="s">
        <v>142</v>
      </c>
      <c r="M87" s="5" t="s">
        <v>149</v>
      </c>
    </row>
    <row r="88" spans="1:13" ht="13.8" customHeight="1" x14ac:dyDescent="0.3">
      <c r="A88" s="6">
        <v>87</v>
      </c>
      <c r="B88" s="6" t="s">
        <v>79</v>
      </c>
      <c r="C88" s="6" t="s">
        <v>93</v>
      </c>
      <c r="D88" s="6">
        <v>32</v>
      </c>
      <c r="E88" s="1" t="s">
        <v>503</v>
      </c>
      <c r="F88" s="3" t="s">
        <v>153</v>
      </c>
      <c r="G88" s="2">
        <v>43883</v>
      </c>
      <c r="H88" s="19">
        <v>43885</v>
      </c>
      <c r="I88" s="19"/>
      <c r="J88" s="1"/>
      <c r="K88" s="1"/>
      <c r="L88" s="6" t="s">
        <v>133</v>
      </c>
      <c r="M88" s="5" t="s">
        <v>154</v>
      </c>
    </row>
    <row r="89" spans="1:13" ht="13.8" customHeight="1" x14ac:dyDescent="0.3">
      <c r="A89" s="6">
        <v>88</v>
      </c>
      <c r="B89" s="6" t="s">
        <v>78</v>
      </c>
      <c r="C89" s="6" t="s">
        <v>94</v>
      </c>
      <c r="D89" s="6">
        <v>30</v>
      </c>
      <c r="E89" s="1" t="s">
        <v>503</v>
      </c>
      <c r="F89" s="3" t="s">
        <v>155</v>
      </c>
      <c r="G89" s="2">
        <v>43883</v>
      </c>
      <c r="H89" s="20">
        <v>43892</v>
      </c>
      <c r="I89" s="20"/>
      <c r="J89" s="2">
        <v>43877</v>
      </c>
      <c r="K89" s="1" t="s">
        <v>82</v>
      </c>
      <c r="L89" s="6" t="s">
        <v>133</v>
      </c>
      <c r="M89" s="5" t="s">
        <v>154</v>
      </c>
    </row>
    <row r="90" spans="1:13" ht="13.8" customHeight="1" x14ac:dyDescent="0.3">
      <c r="A90" s="6">
        <v>89</v>
      </c>
      <c r="B90" s="6" t="s">
        <v>78</v>
      </c>
      <c r="C90" s="6" t="s">
        <v>93</v>
      </c>
      <c r="D90" s="6">
        <v>41</v>
      </c>
      <c r="E90" s="1" t="s">
        <v>503</v>
      </c>
      <c r="F90" s="7" t="s">
        <v>156</v>
      </c>
      <c r="G90" s="2">
        <v>43883</v>
      </c>
      <c r="H90" s="19">
        <v>43889</v>
      </c>
      <c r="I90" s="19"/>
      <c r="J90" s="2">
        <v>43864</v>
      </c>
      <c r="K90" s="1"/>
      <c r="L90" s="6" t="s">
        <v>133</v>
      </c>
      <c r="M90" s="5" t="s">
        <v>154</v>
      </c>
    </row>
    <row r="91" spans="1:13" ht="13.8" customHeight="1" x14ac:dyDescent="0.3">
      <c r="A91" s="6">
        <v>90</v>
      </c>
      <c r="B91" s="6" t="s">
        <v>78</v>
      </c>
      <c r="C91" s="6" t="s">
        <v>94</v>
      </c>
      <c r="D91" s="6">
        <v>75</v>
      </c>
      <c r="E91" s="1" t="s">
        <v>503</v>
      </c>
      <c r="F91" s="3" t="s">
        <v>157</v>
      </c>
      <c r="G91" s="2">
        <v>43885</v>
      </c>
      <c r="H91" s="18"/>
      <c r="I91" s="19">
        <v>43911</v>
      </c>
      <c r="J91" s="2">
        <v>43870</v>
      </c>
      <c r="K91" s="1" t="s">
        <v>17</v>
      </c>
      <c r="L91" s="6" t="s">
        <v>133</v>
      </c>
      <c r="M91" s="5" t="s">
        <v>158</v>
      </c>
    </row>
    <row r="92" spans="1:13" ht="13.8" customHeight="1" x14ac:dyDescent="0.3">
      <c r="A92" s="6">
        <v>91</v>
      </c>
      <c r="B92" s="6" t="s">
        <v>78</v>
      </c>
      <c r="C92" s="6" t="s">
        <v>94</v>
      </c>
      <c r="D92" s="6">
        <v>58</v>
      </c>
      <c r="E92" s="1" t="s">
        <v>503</v>
      </c>
      <c r="F92" s="3" t="s">
        <v>282</v>
      </c>
      <c r="G92" s="2">
        <v>43886</v>
      </c>
      <c r="H92" s="19">
        <v>43886</v>
      </c>
      <c r="I92" s="19"/>
      <c r="J92" s="2">
        <v>43853</v>
      </c>
      <c r="K92" s="1" t="s">
        <v>17</v>
      </c>
      <c r="L92" s="6" t="s">
        <v>133</v>
      </c>
      <c r="M92" s="5" t="s">
        <v>283</v>
      </c>
    </row>
    <row r="93" spans="1:13" ht="13.8" customHeight="1" x14ac:dyDescent="0.3">
      <c r="A93" s="6">
        <v>92</v>
      </c>
      <c r="B93" s="6" t="s">
        <v>78</v>
      </c>
      <c r="C93" s="6" t="s">
        <v>93</v>
      </c>
      <c r="D93" s="6">
        <v>47</v>
      </c>
      <c r="E93" s="1" t="s">
        <v>503</v>
      </c>
      <c r="F93" s="7" t="s">
        <v>289</v>
      </c>
      <c r="G93" s="2">
        <v>43887</v>
      </c>
      <c r="H93" s="2">
        <v>43901</v>
      </c>
      <c r="I93" s="2"/>
      <c r="J93" s="2">
        <v>43878</v>
      </c>
      <c r="K93" s="1"/>
      <c r="L93" s="6" t="s">
        <v>132</v>
      </c>
      <c r="M93" s="5" t="s">
        <v>285</v>
      </c>
    </row>
    <row r="94" spans="1:13" ht="13.8" customHeight="1" x14ac:dyDescent="0.3">
      <c r="A94" s="6">
        <v>93</v>
      </c>
      <c r="B94" s="6" t="s">
        <v>78</v>
      </c>
      <c r="C94" s="6" t="s">
        <v>93</v>
      </c>
      <c r="D94" s="6">
        <v>38</v>
      </c>
      <c r="E94" s="1" t="s">
        <v>503</v>
      </c>
      <c r="F94" s="7" t="s">
        <v>290</v>
      </c>
      <c r="G94" s="2">
        <v>43887</v>
      </c>
      <c r="H94" s="8">
        <v>43897</v>
      </c>
      <c r="I94" s="8"/>
      <c r="J94" s="2">
        <v>43878</v>
      </c>
      <c r="K94" s="1" t="s">
        <v>291</v>
      </c>
      <c r="L94" s="6" t="s">
        <v>142</v>
      </c>
      <c r="M94" s="5" t="s">
        <v>285</v>
      </c>
    </row>
    <row r="95" spans="1:13" ht="13.8" customHeight="1" x14ac:dyDescent="0.3">
      <c r="A95" s="6">
        <v>94</v>
      </c>
      <c r="B95" s="6" t="s">
        <v>78</v>
      </c>
      <c r="C95" s="6" t="s">
        <v>94</v>
      </c>
      <c r="D95" s="6">
        <v>64</v>
      </c>
      <c r="E95" s="1" t="s">
        <v>503</v>
      </c>
      <c r="F95" s="3" t="s">
        <v>286</v>
      </c>
      <c r="G95" s="2">
        <v>43888</v>
      </c>
      <c r="H95" s="19">
        <v>43914</v>
      </c>
      <c r="I95" s="18"/>
      <c r="J95" s="2">
        <v>43872</v>
      </c>
      <c r="K95" s="1" t="s">
        <v>346</v>
      </c>
      <c r="L95" s="6" t="s">
        <v>132</v>
      </c>
      <c r="M95" s="5" t="s">
        <v>288</v>
      </c>
    </row>
    <row r="96" spans="1:13" ht="13.8" customHeight="1" x14ac:dyDescent="0.3">
      <c r="A96" s="6">
        <v>95</v>
      </c>
      <c r="B96" s="6" t="s">
        <v>78</v>
      </c>
      <c r="C96" s="6" t="s">
        <v>93</v>
      </c>
      <c r="D96" s="6">
        <v>44</v>
      </c>
      <c r="E96" s="1" t="s">
        <v>503</v>
      </c>
      <c r="F96" s="7" t="s">
        <v>297</v>
      </c>
      <c r="G96" s="2">
        <v>43888</v>
      </c>
      <c r="H96" s="19">
        <v>43904</v>
      </c>
      <c r="I96" s="19"/>
      <c r="J96" s="2">
        <v>43883</v>
      </c>
      <c r="K96" s="1" t="s">
        <v>291</v>
      </c>
      <c r="L96" s="6" t="s">
        <v>133</v>
      </c>
      <c r="M96" s="5" t="s">
        <v>288</v>
      </c>
    </row>
    <row r="97" spans="1:13" ht="13.8" customHeight="1" x14ac:dyDescent="0.3">
      <c r="A97" s="6">
        <v>96</v>
      </c>
      <c r="B97" s="6" t="s">
        <v>78</v>
      </c>
      <c r="C97" s="6" t="s">
        <v>93</v>
      </c>
      <c r="D97" s="6">
        <v>12</v>
      </c>
      <c r="E97" s="1" t="s">
        <v>503</v>
      </c>
      <c r="F97" s="7" t="s">
        <v>302</v>
      </c>
      <c r="G97" s="2">
        <v>43888</v>
      </c>
      <c r="H97" s="8">
        <v>43897</v>
      </c>
      <c r="I97" s="8"/>
      <c r="J97" s="2">
        <v>43882</v>
      </c>
      <c r="K97" s="1" t="s">
        <v>346</v>
      </c>
      <c r="L97" s="6" t="s">
        <v>136</v>
      </c>
      <c r="M97" s="5" t="s">
        <v>288</v>
      </c>
    </row>
    <row r="98" spans="1:13" ht="13.8" customHeight="1" x14ac:dyDescent="0.3">
      <c r="A98" s="6">
        <v>97</v>
      </c>
      <c r="B98" s="6" t="s">
        <v>78</v>
      </c>
      <c r="C98" s="6" t="s">
        <v>94</v>
      </c>
      <c r="D98" s="6">
        <v>44</v>
      </c>
      <c r="E98" s="1" t="s">
        <v>503</v>
      </c>
      <c r="F98" s="3" t="s">
        <v>292</v>
      </c>
      <c r="G98" s="2">
        <v>43889</v>
      </c>
      <c r="H98" s="19">
        <v>43910</v>
      </c>
      <c r="I98" s="19"/>
      <c r="J98" s="2">
        <v>43881</v>
      </c>
      <c r="K98" s="1" t="s">
        <v>291</v>
      </c>
      <c r="L98" s="6" t="s">
        <v>133</v>
      </c>
      <c r="M98" s="12" t="s">
        <v>293</v>
      </c>
    </row>
    <row r="99" spans="1:13" ht="13.8" customHeight="1" x14ac:dyDescent="0.3">
      <c r="A99" s="6">
        <v>98</v>
      </c>
      <c r="B99" s="6" t="s">
        <v>78</v>
      </c>
      <c r="C99" s="6" t="s">
        <v>93</v>
      </c>
      <c r="D99" s="6">
        <v>24</v>
      </c>
      <c r="E99" s="1" t="s">
        <v>503</v>
      </c>
      <c r="F99" s="7" t="s">
        <v>308</v>
      </c>
      <c r="G99" s="2">
        <v>43889</v>
      </c>
      <c r="H99" s="19">
        <v>43895</v>
      </c>
      <c r="I99" s="19"/>
      <c r="J99" s="2">
        <v>43888</v>
      </c>
      <c r="K99" s="1" t="s">
        <v>291</v>
      </c>
      <c r="L99" s="6" t="s">
        <v>133</v>
      </c>
      <c r="M99" s="12" t="s">
        <v>293</v>
      </c>
    </row>
    <row r="100" spans="1:13" ht="13.8" customHeight="1" x14ac:dyDescent="0.3">
      <c r="A100" s="6">
        <v>99</v>
      </c>
      <c r="B100" s="6" t="s">
        <v>78</v>
      </c>
      <c r="C100" s="6" t="s">
        <v>93</v>
      </c>
      <c r="D100" s="6">
        <v>27</v>
      </c>
      <c r="E100" s="1" t="s">
        <v>503</v>
      </c>
      <c r="F100" s="3" t="s">
        <v>305</v>
      </c>
      <c r="G100" s="4">
        <v>43890</v>
      </c>
      <c r="H100" s="19">
        <v>43906</v>
      </c>
      <c r="I100" s="19"/>
      <c r="J100" s="2">
        <v>43882</v>
      </c>
      <c r="K100" s="1" t="s">
        <v>291</v>
      </c>
      <c r="L100" s="6" t="s">
        <v>133</v>
      </c>
      <c r="M100" s="5" t="s">
        <v>307</v>
      </c>
    </row>
    <row r="101" spans="1:13" ht="13.8" customHeight="1" x14ac:dyDescent="0.3">
      <c r="A101" s="6">
        <v>100</v>
      </c>
      <c r="B101" s="6" t="s">
        <v>78</v>
      </c>
      <c r="C101" s="6" t="s">
        <v>93</v>
      </c>
      <c r="D101" s="6">
        <v>20</v>
      </c>
      <c r="E101" s="1" t="s">
        <v>591</v>
      </c>
      <c r="F101" s="3" t="s">
        <v>306</v>
      </c>
      <c r="G101" s="4">
        <v>43890</v>
      </c>
      <c r="H101" s="19">
        <v>43906</v>
      </c>
      <c r="I101" s="19"/>
      <c r="J101" s="2">
        <v>43888</v>
      </c>
      <c r="K101" s="1" t="s">
        <v>291</v>
      </c>
      <c r="L101" s="6" t="s">
        <v>133</v>
      </c>
      <c r="M101" s="5" t="s">
        <v>307</v>
      </c>
    </row>
    <row r="102" spans="1:13" ht="13.8" customHeight="1" x14ac:dyDescent="0.3">
      <c r="A102" s="6">
        <v>101</v>
      </c>
      <c r="B102" s="6" t="s">
        <v>78</v>
      </c>
      <c r="C102" s="6" t="s">
        <v>93</v>
      </c>
      <c r="D102" s="6">
        <v>61</v>
      </c>
      <c r="E102" s="1" t="s">
        <v>503</v>
      </c>
      <c r="F102" s="7" t="s">
        <v>318</v>
      </c>
      <c r="G102" s="4">
        <v>43890</v>
      </c>
      <c r="H102" s="19">
        <v>43908</v>
      </c>
      <c r="I102" s="19"/>
      <c r="J102" s="2">
        <v>43886</v>
      </c>
      <c r="K102" s="1" t="s">
        <v>291</v>
      </c>
      <c r="L102" s="1" t="s">
        <v>142</v>
      </c>
      <c r="M102" s="5" t="s">
        <v>307</v>
      </c>
    </row>
    <row r="103" spans="1:13" ht="13.8" customHeight="1" x14ac:dyDescent="0.3">
      <c r="A103" s="6">
        <v>102</v>
      </c>
      <c r="B103" s="6" t="s">
        <v>78</v>
      </c>
      <c r="C103" s="6" t="s">
        <v>94</v>
      </c>
      <c r="D103" s="6">
        <v>41</v>
      </c>
      <c r="E103" s="1" t="s">
        <v>608</v>
      </c>
      <c r="F103" s="7" t="s">
        <v>319</v>
      </c>
      <c r="G103" s="4">
        <v>43890</v>
      </c>
      <c r="H103" s="19">
        <v>43904</v>
      </c>
      <c r="I103" s="19"/>
      <c r="J103" s="2">
        <v>43886</v>
      </c>
      <c r="K103" s="1" t="s">
        <v>291</v>
      </c>
      <c r="L103" s="1" t="s">
        <v>142</v>
      </c>
      <c r="M103" s="5" t="s">
        <v>307</v>
      </c>
    </row>
    <row r="104" spans="1:13" ht="13.8" customHeight="1" x14ac:dyDescent="0.3">
      <c r="A104" s="6">
        <v>103</v>
      </c>
      <c r="B104" s="6" t="s">
        <v>78</v>
      </c>
      <c r="C104" s="6" t="s">
        <v>94</v>
      </c>
      <c r="D104" s="6">
        <v>37</v>
      </c>
      <c r="E104" s="1" t="s">
        <v>503</v>
      </c>
      <c r="F104" s="3" t="s">
        <v>315</v>
      </c>
      <c r="G104" s="2">
        <v>43891</v>
      </c>
      <c r="H104" s="19">
        <v>43904</v>
      </c>
      <c r="I104" s="19"/>
      <c r="J104" s="2">
        <v>43881</v>
      </c>
      <c r="K104" s="1" t="s">
        <v>291</v>
      </c>
      <c r="L104" s="1" t="s">
        <v>133</v>
      </c>
      <c r="M104" s="5" t="s">
        <v>314</v>
      </c>
    </row>
    <row r="105" spans="1:13" ht="13.8" customHeight="1" x14ac:dyDescent="0.3">
      <c r="A105" s="6">
        <v>104</v>
      </c>
      <c r="B105" s="6" t="s">
        <v>78</v>
      </c>
      <c r="C105" s="6" t="s">
        <v>94</v>
      </c>
      <c r="D105" s="6">
        <v>25</v>
      </c>
      <c r="E105" s="1" t="s">
        <v>611</v>
      </c>
      <c r="F105" s="3" t="s">
        <v>316</v>
      </c>
      <c r="G105" s="2">
        <v>43891</v>
      </c>
      <c r="H105" s="19">
        <v>43910</v>
      </c>
      <c r="I105" s="19"/>
      <c r="J105" s="2">
        <v>43884</v>
      </c>
      <c r="K105" s="1" t="s">
        <v>291</v>
      </c>
      <c r="L105" s="1" t="s">
        <v>133</v>
      </c>
      <c r="M105" s="5" t="s">
        <v>314</v>
      </c>
    </row>
    <row r="106" spans="1:13" ht="13.8" customHeight="1" x14ac:dyDescent="0.3">
      <c r="A106" s="6">
        <v>105</v>
      </c>
      <c r="B106" s="6" t="s">
        <v>78</v>
      </c>
      <c r="C106" s="6" t="s">
        <v>93</v>
      </c>
      <c r="D106" s="6">
        <v>49</v>
      </c>
      <c r="E106" s="1" t="s">
        <v>503</v>
      </c>
      <c r="F106" s="3" t="s">
        <v>317</v>
      </c>
      <c r="G106" s="2">
        <v>43891</v>
      </c>
      <c r="H106" s="19">
        <v>43910</v>
      </c>
      <c r="I106" s="19"/>
      <c r="J106" s="2">
        <v>43887</v>
      </c>
      <c r="K106" s="1" t="s">
        <v>291</v>
      </c>
      <c r="L106" s="1" t="s">
        <v>133</v>
      </c>
      <c r="M106" s="5" t="s">
        <v>314</v>
      </c>
    </row>
    <row r="107" spans="1:13" ht="13.8" customHeight="1" x14ac:dyDescent="0.3">
      <c r="A107" s="6">
        <v>106</v>
      </c>
      <c r="B107" s="6" t="s">
        <v>78</v>
      </c>
      <c r="C107" s="6" t="s">
        <v>93</v>
      </c>
      <c r="D107" s="6">
        <v>54</v>
      </c>
      <c r="E107" s="1" t="s">
        <v>613</v>
      </c>
      <c r="F107" s="7" t="s">
        <v>328</v>
      </c>
      <c r="G107" s="2">
        <v>43891</v>
      </c>
      <c r="H107" s="2">
        <v>43901</v>
      </c>
      <c r="I107" s="2"/>
      <c r="J107" s="2">
        <v>43884</v>
      </c>
      <c r="K107" s="1"/>
      <c r="L107" s="1" t="s">
        <v>135</v>
      </c>
      <c r="M107" s="5" t="s">
        <v>314</v>
      </c>
    </row>
    <row r="108" spans="1:13" ht="13.8" customHeight="1" x14ac:dyDescent="0.3">
      <c r="A108" s="6">
        <v>107</v>
      </c>
      <c r="B108" s="6" t="s">
        <v>78</v>
      </c>
      <c r="C108" s="6" t="s">
        <v>94</v>
      </c>
      <c r="D108" s="6">
        <v>68</v>
      </c>
      <c r="E108" s="1" t="s">
        <v>503</v>
      </c>
      <c r="F108" s="3" t="s">
        <v>327</v>
      </c>
      <c r="G108" s="2">
        <v>43892</v>
      </c>
      <c r="H108" s="19">
        <v>43896</v>
      </c>
      <c r="I108" s="19"/>
      <c r="J108" s="2">
        <v>43877</v>
      </c>
      <c r="K108" s="1" t="s">
        <v>346</v>
      </c>
      <c r="L108" s="6" t="s">
        <v>133</v>
      </c>
      <c r="M108" s="13" t="s">
        <v>329</v>
      </c>
    </row>
    <row r="109" spans="1:13" ht="13.8" customHeight="1" x14ac:dyDescent="0.3">
      <c r="A109" s="14">
        <v>108</v>
      </c>
      <c r="B109" s="14" t="s">
        <v>78</v>
      </c>
      <c r="C109" s="14" t="s">
        <v>94</v>
      </c>
      <c r="D109" s="14">
        <v>34</v>
      </c>
      <c r="E109" s="1" t="s">
        <v>608</v>
      </c>
      <c r="F109" s="15" t="s">
        <v>334</v>
      </c>
      <c r="G109" s="16">
        <v>43892</v>
      </c>
      <c r="H109" s="28">
        <v>43910</v>
      </c>
      <c r="I109" s="28"/>
      <c r="J109" s="2">
        <v>43886</v>
      </c>
      <c r="K109" s="17" t="s">
        <v>291</v>
      </c>
      <c r="L109" s="17" t="s">
        <v>142</v>
      </c>
      <c r="M109" s="13" t="s">
        <v>329</v>
      </c>
    </row>
    <row r="110" spans="1:13" ht="13.8" customHeight="1" x14ac:dyDescent="0.3">
      <c r="A110" s="6">
        <v>109</v>
      </c>
      <c r="B110" s="6" t="s">
        <v>78</v>
      </c>
      <c r="C110" s="6" t="s">
        <v>93</v>
      </c>
      <c r="D110" s="6">
        <v>70</v>
      </c>
      <c r="E110" s="1" t="s">
        <v>503</v>
      </c>
      <c r="F110" s="3" t="s">
        <v>333</v>
      </c>
      <c r="G110" s="2">
        <v>43893</v>
      </c>
      <c r="H110" s="18"/>
      <c r="I110" s="19">
        <v>43919</v>
      </c>
      <c r="J110" s="2">
        <v>43886</v>
      </c>
      <c r="K110" s="1"/>
      <c r="L110" s="6" t="s">
        <v>132</v>
      </c>
      <c r="M110" s="5" t="s">
        <v>335</v>
      </c>
    </row>
    <row r="111" spans="1:13" ht="13.8" customHeight="1" x14ac:dyDescent="0.3">
      <c r="A111" s="6">
        <v>110</v>
      </c>
      <c r="B111" s="6" t="s">
        <v>78</v>
      </c>
      <c r="C111" s="6" t="s">
        <v>93</v>
      </c>
      <c r="D111" s="6">
        <v>33</v>
      </c>
      <c r="E111" s="1" t="s">
        <v>503</v>
      </c>
      <c r="F111" s="7" t="s">
        <v>339</v>
      </c>
      <c r="G111" s="2">
        <v>43893</v>
      </c>
      <c r="H111" s="8">
        <v>43897</v>
      </c>
      <c r="I111" s="8"/>
      <c r="J111" s="2">
        <v>43883</v>
      </c>
      <c r="K111" s="1" t="s">
        <v>291</v>
      </c>
      <c r="L111" s="6" t="s">
        <v>133</v>
      </c>
      <c r="M111" s="5" t="s">
        <v>335</v>
      </c>
    </row>
    <row r="112" spans="1:13" ht="13.8" customHeight="1" x14ac:dyDescent="0.3">
      <c r="A112" s="6">
        <v>111</v>
      </c>
      <c r="B112" s="6" t="s">
        <v>78</v>
      </c>
      <c r="C112" s="6" t="s">
        <v>93</v>
      </c>
      <c r="D112" s="6">
        <v>43</v>
      </c>
      <c r="E112" s="1" t="s">
        <v>503</v>
      </c>
      <c r="F112" s="3" t="s">
        <v>338</v>
      </c>
      <c r="G112" s="2">
        <v>43894</v>
      </c>
      <c r="H112" s="19">
        <v>43903</v>
      </c>
      <c r="I112" s="19"/>
      <c r="J112" s="2">
        <v>43885</v>
      </c>
      <c r="K112" s="1"/>
      <c r="L112" s="6" t="s">
        <v>138</v>
      </c>
      <c r="M112" s="5" t="s">
        <v>340</v>
      </c>
    </row>
    <row r="113" spans="1:13" ht="13.8" customHeight="1" x14ac:dyDescent="0.3">
      <c r="A113" s="6">
        <v>112</v>
      </c>
      <c r="B113" s="6" t="s">
        <v>78</v>
      </c>
      <c r="C113" s="6" t="s">
        <v>94</v>
      </c>
      <c r="D113" s="6">
        <v>62</v>
      </c>
      <c r="E113" s="1" t="s">
        <v>503</v>
      </c>
      <c r="F113" s="7" t="s">
        <v>350</v>
      </c>
      <c r="G113" s="2">
        <v>43894</v>
      </c>
      <c r="H113" s="19">
        <v>43899</v>
      </c>
      <c r="I113" s="19"/>
      <c r="J113" s="2">
        <v>43882</v>
      </c>
      <c r="K113" s="1" t="s">
        <v>346</v>
      </c>
      <c r="L113" s="6" t="s">
        <v>133</v>
      </c>
      <c r="M113" s="5" t="s">
        <v>340</v>
      </c>
    </row>
    <row r="114" spans="1:13" ht="13.8" customHeight="1" x14ac:dyDescent="0.3">
      <c r="A114" s="6">
        <v>113</v>
      </c>
      <c r="B114" s="6" t="s">
        <v>77</v>
      </c>
      <c r="C114" s="6" t="s">
        <v>93</v>
      </c>
      <c r="D114" s="6">
        <v>42</v>
      </c>
      <c r="E114" s="1" t="s">
        <v>623</v>
      </c>
      <c r="F114" s="3" t="s">
        <v>347</v>
      </c>
      <c r="G114" s="2">
        <v>43895</v>
      </c>
      <c r="H114" s="18"/>
      <c r="I114" s="18"/>
      <c r="J114" s="2">
        <v>43893</v>
      </c>
      <c r="K114" s="1"/>
      <c r="L114" s="6" t="s">
        <v>133</v>
      </c>
      <c r="M114" s="5" t="s">
        <v>351</v>
      </c>
    </row>
    <row r="115" spans="1:13" ht="13.8" customHeight="1" x14ac:dyDescent="0.3">
      <c r="A115" s="6">
        <v>114</v>
      </c>
      <c r="B115" s="6" t="s">
        <v>78</v>
      </c>
      <c r="C115" s="6" t="s">
        <v>93</v>
      </c>
      <c r="D115" s="6">
        <v>62</v>
      </c>
      <c r="E115" s="1" t="s">
        <v>503</v>
      </c>
      <c r="F115" s="3" t="s">
        <v>348</v>
      </c>
      <c r="G115" s="2">
        <v>43895</v>
      </c>
      <c r="H115" s="19">
        <v>43911</v>
      </c>
      <c r="I115" s="19"/>
      <c r="J115" s="2">
        <v>43889</v>
      </c>
      <c r="K115" s="1" t="s">
        <v>346</v>
      </c>
      <c r="L115" s="6" t="s">
        <v>138</v>
      </c>
      <c r="M115" s="5" t="s">
        <v>351</v>
      </c>
    </row>
    <row r="116" spans="1:13" ht="13.8" customHeight="1" x14ac:dyDescent="0.3">
      <c r="A116" s="6">
        <v>115</v>
      </c>
      <c r="B116" s="6" t="s">
        <v>78</v>
      </c>
      <c r="C116" s="6" t="s">
        <v>94</v>
      </c>
      <c r="D116" s="6">
        <v>62</v>
      </c>
      <c r="E116" s="1" t="s">
        <v>503</v>
      </c>
      <c r="F116" s="7" t="s">
        <v>349</v>
      </c>
      <c r="G116" s="2">
        <v>43895</v>
      </c>
      <c r="H116" s="19">
        <v>43913</v>
      </c>
      <c r="I116" s="18"/>
      <c r="J116" s="1"/>
      <c r="K116" s="1" t="s">
        <v>346</v>
      </c>
      <c r="L116" s="6" t="s">
        <v>138</v>
      </c>
      <c r="M116" s="5" t="s">
        <v>351</v>
      </c>
    </row>
    <row r="117" spans="1:13" ht="13.8" customHeight="1" x14ac:dyDescent="0.3">
      <c r="A117" s="6">
        <v>116</v>
      </c>
      <c r="B117" s="6" t="s">
        <v>78</v>
      </c>
      <c r="C117" s="6" t="s">
        <v>94</v>
      </c>
      <c r="D117" s="6">
        <v>50</v>
      </c>
      <c r="E117" s="1" t="s">
        <v>503</v>
      </c>
      <c r="F117" s="7" t="s">
        <v>366</v>
      </c>
      <c r="G117" s="2">
        <v>43895</v>
      </c>
      <c r="H117" s="19">
        <v>43911</v>
      </c>
      <c r="I117" s="19"/>
      <c r="J117" s="2">
        <v>43890</v>
      </c>
      <c r="K117" s="1" t="s">
        <v>346</v>
      </c>
      <c r="L117" s="6" t="s">
        <v>133</v>
      </c>
      <c r="M117" s="5" t="s">
        <v>351</v>
      </c>
    </row>
    <row r="118" spans="1:13" ht="13.8" customHeight="1" x14ac:dyDescent="0.3">
      <c r="A118" s="6">
        <v>117</v>
      </c>
      <c r="B118" s="6" t="s">
        <v>78</v>
      </c>
      <c r="C118" s="6" t="s">
        <v>94</v>
      </c>
      <c r="D118" s="6">
        <v>52</v>
      </c>
      <c r="E118" s="1" t="s">
        <v>503</v>
      </c>
      <c r="F118" s="7" t="s">
        <v>367</v>
      </c>
      <c r="G118" s="2">
        <v>43895</v>
      </c>
      <c r="H118" s="38">
        <v>43918</v>
      </c>
      <c r="I118" s="18"/>
      <c r="J118" s="2">
        <v>43892</v>
      </c>
      <c r="K118" s="1" t="s">
        <v>346</v>
      </c>
      <c r="L118" s="6" t="s">
        <v>133</v>
      </c>
      <c r="M118" s="5" t="s">
        <v>351</v>
      </c>
    </row>
    <row r="119" spans="1:13" ht="13.8" customHeight="1" x14ac:dyDescent="0.3">
      <c r="A119" s="6">
        <v>118</v>
      </c>
      <c r="B119" s="6" t="s">
        <v>78</v>
      </c>
      <c r="C119" s="6" t="s">
        <v>94</v>
      </c>
      <c r="D119" s="6">
        <v>33</v>
      </c>
      <c r="E119" s="1" t="s">
        <v>503</v>
      </c>
      <c r="F119" s="3" t="s">
        <v>368</v>
      </c>
      <c r="G119" s="2">
        <v>43896</v>
      </c>
      <c r="H119" s="19">
        <v>43908</v>
      </c>
      <c r="I119" s="19"/>
      <c r="J119" s="2">
        <v>43890</v>
      </c>
      <c r="K119" s="1" t="s">
        <v>346</v>
      </c>
      <c r="L119" s="6" t="s">
        <v>138</v>
      </c>
      <c r="M119" s="5" t="s">
        <v>369</v>
      </c>
    </row>
    <row r="120" spans="1:13" ht="13.8" customHeight="1" x14ac:dyDescent="0.3">
      <c r="A120" s="6">
        <v>119</v>
      </c>
      <c r="B120" s="6" t="s">
        <v>78</v>
      </c>
      <c r="C120" s="6" t="s">
        <v>93</v>
      </c>
      <c r="D120" s="6">
        <v>55</v>
      </c>
      <c r="E120" s="1" t="s">
        <v>503</v>
      </c>
      <c r="F120" s="3" t="s">
        <v>361</v>
      </c>
      <c r="G120" s="2">
        <v>43896</v>
      </c>
      <c r="H120" s="19">
        <v>43912</v>
      </c>
      <c r="I120" s="18"/>
      <c r="J120" s="2">
        <v>43888</v>
      </c>
      <c r="K120" s="1"/>
      <c r="L120" s="6" t="s">
        <v>139</v>
      </c>
      <c r="M120" s="5" t="s">
        <v>369</v>
      </c>
    </row>
    <row r="121" spans="1:13" ht="13.8" customHeight="1" x14ac:dyDescent="0.3">
      <c r="A121" s="6">
        <v>120</v>
      </c>
      <c r="B121" s="6" t="s">
        <v>78</v>
      </c>
      <c r="C121" s="6" t="s">
        <v>94</v>
      </c>
      <c r="D121" s="6">
        <v>62</v>
      </c>
      <c r="E121" s="1" t="s">
        <v>503</v>
      </c>
      <c r="F121" s="3" t="s">
        <v>362</v>
      </c>
      <c r="G121" s="2">
        <v>43896</v>
      </c>
      <c r="H121" s="18"/>
      <c r="I121" s="18"/>
      <c r="J121" s="2">
        <v>43892</v>
      </c>
      <c r="K121" s="1" t="s">
        <v>346</v>
      </c>
      <c r="L121" s="6" t="s">
        <v>133</v>
      </c>
      <c r="M121" s="5" t="s">
        <v>369</v>
      </c>
    </row>
    <row r="122" spans="1:13" ht="13.8" customHeight="1" x14ac:dyDescent="0.3">
      <c r="A122" s="6">
        <v>121</v>
      </c>
      <c r="B122" s="6" t="s">
        <v>78</v>
      </c>
      <c r="C122" s="6" t="s">
        <v>94</v>
      </c>
      <c r="D122" s="6">
        <v>54</v>
      </c>
      <c r="E122" s="1" t="s">
        <v>503</v>
      </c>
      <c r="F122" s="3" t="s">
        <v>363</v>
      </c>
      <c r="G122" s="2">
        <v>43896</v>
      </c>
      <c r="H122" s="19">
        <v>43910</v>
      </c>
      <c r="I122" s="19"/>
      <c r="J122" s="2">
        <v>43887</v>
      </c>
      <c r="K122" s="1" t="s">
        <v>346</v>
      </c>
      <c r="L122" s="6" t="s">
        <v>133</v>
      </c>
      <c r="M122" s="5" t="s">
        <v>369</v>
      </c>
    </row>
    <row r="123" spans="1:13" ht="13.8" customHeight="1" x14ac:dyDescent="0.3">
      <c r="A123" s="6">
        <v>122</v>
      </c>
      <c r="B123" s="6" t="s">
        <v>78</v>
      </c>
      <c r="C123" s="6" t="s">
        <v>94</v>
      </c>
      <c r="D123" s="6">
        <v>64</v>
      </c>
      <c r="E123" s="1" t="s">
        <v>503</v>
      </c>
      <c r="F123" s="3" t="s">
        <v>364</v>
      </c>
      <c r="G123" s="2">
        <v>43896</v>
      </c>
      <c r="H123" s="19">
        <v>43907</v>
      </c>
      <c r="I123" s="19"/>
      <c r="J123" s="2">
        <v>43893</v>
      </c>
      <c r="K123" s="1" t="s">
        <v>346</v>
      </c>
      <c r="L123" s="6" t="s">
        <v>133</v>
      </c>
      <c r="M123" s="5" t="s">
        <v>369</v>
      </c>
    </row>
    <row r="124" spans="1:13" ht="13.8" customHeight="1" x14ac:dyDescent="0.3">
      <c r="A124" s="6">
        <v>123</v>
      </c>
      <c r="B124" s="1" t="s">
        <v>77</v>
      </c>
      <c r="C124" s="6" t="s">
        <v>93</v>
      </c>
      <c r="D124" s="6">
        <v>47</v>
      </c>
      <c r="E124" s="1" t="s">
        <v>503</v>
      </c>
      <c r="F124" s="3" t="s">
        <v>365</v>
      </c>
      <c r="G124" s="2">
        <v>43896</v>
      </c>
      <c r="H124" s="19">
        <v>43907</v>
      </c>
      <c r="I124" s="19"/>
      <c r="J124" s="2">
        <v>43888</v>
      </c>
      <c r="K124" s="1"/>
      <c r="L124" s="6" t="s">
        <v>134</v>
      </c>
      <c r="M124" s="5" t="s">
        <v>369</v>
      </c>
    </row>
    <row r="125" spans="1:13" ht="13.8" customHeight="1" x14ac:dyDescent="0.3">
      <c r="A125" s="6">
        <v>124</v>
      </c>
      <c r="B125" s="1" t="s">
        <v>77</v>
      </c>
      <c r="C125" s="6" t="s">
        <v>94</v>
      </c>
      <c r="D125" s="6">
        <v>37</v>
      </c>
      <c r="E125" s="1" t="s">
        <v>503</v>
      </c>
      <c r="F125" s="3" t="s">
        <v>388</v>
      </c>
      <c r="G125" s="2">
        <v>43896</v>
      </c>
      <c r="H125" s="18"/>
      <c r="I125" s="18"/>
      <c r="J125" s="2">
        <v>43895</v>
      </c>
      <c r="K125" s="1"/>
      <c r="L125" s="6" t="s">
        <v>133</v>
      </c>
      <c r="M125" s="5" t="s">
        <v>369</v>
      </c>
    </row>
    <row r="126" spans="1:13" ht="13.8" customHeight="1" x14ac:dyDescent="0.3">
      <c r="A126" s="6">
        <v>125</v>
      </c>
      <c r="B126" s="6" t="s">
        <v>78</v>
      </c>
      <c r="C126" s="6" t="s">
        <v>94</v>
      </c>
      <c r="D126" s="6">
        <v>65</v>
      </c>
      <c r="E126" s="1" t="s">
        <v>503</v>
      </c>
      <c r="F126" s="3" t="s">
        <v>389</v>
      </c>
      <c r="G126" s="2">
        <v>43896</v>
      </c>
      <c r="H126" s="19">
        <v>43910</v>
      </c>
      <c r="I126" s="19"/>
      <c r="J126" s="2">
        <v>43895</v>
      </c>
      <c r="K126" s="1" t="s">
        <v>346</v>
      </c>
      <c r="L126" s="6" t="s">
        <v>133</v>
      </c>
      <c r="M126" s="5" t="s">
        <v>369</v>
      </c>
    </row>
    <row r="127" spans="1:13" ht="13.8" customHeight="1" x14ac:dyDescent="0.3">
      <c r="A127" s="6">
        <v>126</v>
      </c>
      <c r="B127" s="6" t="s">
        <v>78</v>
      </c>
      <c r="C127" s="6" t="s">
        <v>93</v>
      </c>
      <c r="D127" s="6">
        <v>77</v>
      </c>
      <c r="E127" s="1" t="s">
        <v>503</v>
      </c>
      <c r="F127" s="3" t="s">
        <v>390</v>
      </c>
      <c r="G127" s="2">
        <v>43896</v>
      </c>
      <c r="H127" s="18"/>
      <c r="I127" s="18"/>
      <c r="J127" s="2">
        <v>43895</v>
      </c>
      <c r="K127" s="1"/>
      <c r="L127" s="6" t="s">
        <v>133</v>
      </c>
      <c r="M127" s="5" t="s">
        <v>369</v>
      </c>
    </row>
    <row r="128" spans="1:13" ht="13.8" customHeight="1" x14ac:dyDescent="0.3">
      <c r="A128" s="6">
        <v>127</v>
      </c>
      <c r="B128" s="6" t="s">
        <v>78</v>
      </c>
      <c r="C128" s="6" t="s">
        <v>94</v>
      </c>
      <c r="D128" s="6">
        <v>64</v>
      </c>
      <c r="E128" s="1" t="s">
        <v>503</v>
      </c>
      <c r="F128" s="3" t="s">
        <v>391</v>
      </c>
      <c r="G128" s="2">
        <v>43896</v>
      </c>
      <c r="H128" s="18"/>
      <c r="I128" s="18"/>
      <c r="J128" s="2">
        <v>43895</v>
      </c>
      <c r="K128" s="1" t="s">
        <v>346</v>
      </c>
      <c r="L128" s="6" t="s">
        <v>133</v>
      </c>
      <c r="M128" s="5" t="s">
        <v>369</v>
      </c>
    </row>
    <row r="129" spans="1:13" ht="13.8" customHeight="1" x14ac:dyDescent="0.3">
      <c r="A129" s="6">
        <v>128</v>
      </c>
      <c r="B129" s="6" t="s">
        <v>78</v>
      </c>
      <c r="C129" s="6" t="s">
        <v>93</v>
      </c>
      <c r="D129" s="6">
        <v>70</v>
      </c>
      <c r="E129" s="1" t="s">
        <v>503</v>
      </c>
      <c r="F129" s="3" t="s">
        <v>392</v>
      </c>
      <c r="G129" s="2">
        <v>43896</v>
      </c>
      <c r="H129" s="18"/>
      <c r="I129" s="18"/>
      <c r="J129" s="2">
        <v>43895</v>
      </c>
      <c r="K129" s="1" t="s">
        <v>346</v>
      </c>
      <c r="L129" s="6" t="s">
        <v>133</v>
      </c>
      <c r="M129" s="5" t="s">
        <v>369</v>
      </c>
    </row>
    <row r="130" spans="1:13" ht="13.8" customHeight="1" x14ac:dyDescent="0.3">
      <c r="A130" s="6">
        <v>129</v>
      </c>
      <c r="B130" s="6" t="s">
        <v>78</v>
      </c>
      <c r="C130" s="6" t="s">
        <v>94</v>
      </c>
      <c r="D130" s="6">
        <v>68</v>
      </c>
      <c r="E130" s="1" t="s">
        <v>503</v>
      </c>
      <c r="F130" s="3" t="s">
        <v>393</v>
      </c>
      <c r="G130" s="2">
        <v>43896</v>
      </c>
      <c r="H130" s="18"/>
      <c r="I130" s="18"/>
      <c r="J130" s="1"/>
      <c r="K130" s="1" t="s">
        <v>346</v>
      </c>
      <c r="L130" s="1" t="s">
        <v>142</v>
      </c>
      <c r="M130" s="5" t="s">
        <v>369</v>
      </c>
    </row>
    <row r="131" spans="1:13" ht="13.8" customHeight="1" x14ac:dyDescent="0.3">
      <c r="A131" s="6">
        <v>130</v>
      </c>
      <c r="B131" s="6" t="s">
        <v>78</v>
      </c>
      <c r="C131" s="6" t="s">
        <v>93</v>
      </c>
      <c r="D131" s="6">
        <v>66</v>
      </c>
      <c r="E131" s="1" t="s">
        <v>503</v>
      </c>
      <c r="F131" s="3" t="s">
        <v>394</v>
      </c>
      <c r="G131" s="2">
        <v>43896</v>
      </c>
      <c r="H131" s="18"/>
      <c r="I131" s="18"/>
      <c r="J131" s="1"/>
      <c r="K131" s="1" t="s">
        <v>346</v>
      </c>
      <c r="L131" s="1" t="s">
        <v>142</v>
      </c>
      <c r="M131" s="5" t="s">
        <v>369</v>
      </c>
    </row>
    <row r="132" spans="1:13" ht="13.8" customHeight="1" x14ac:dyDescent="0.3">
      <c r="A132" s="6">
        <v>131</v>
      </c>
      <c r="B132" s="6" t="s">
        <v>78</v>
      </c>
      <c r="C132" s="6" t="s">
        <v>93</v>
      </c>
      <c r="D132" s="6">
        <v>66</v>
      </c>
      <c r="E132" s="1" t="s">
        <v>503</v>
      </c>
      <c r="F132" s="3" t="s">
        <v>395</v>
      </c>
      <c r="G132" s="2">
        <v>43897</v>
      </c>
      <c r="H132" s="19">
        <v>43907</v>
      </c>
      <c r="I132" s="19"/>
      <c r="J132" s="2">
        <v>43892</v>
      </c>
      <c r="K132" s="1" t="s">
        <v>346</v>
      </c>
      <c r="L132" s="1" t="s">
        <v>142</v>
      </c>
      <c r="M132" s="5" t="s">
        <v>409</v>
      </c>
    </row>
    <row r="133" spans="1:13" ht="13.8" customHeight="1" x14ac:dyDescent="0.3">
      <c r="A133" s="6">
        <v>132</v>
      </c>
      <c r="B133" s="1" t="s">
        <v>77</v>
      </c>
      <c r="C133" s="6" t="s">
        <v>94</v>
      </c>
      <c r="D133" s="6">
        <v>37</v>
      </c>
      <c r="E133" s="1" t="s">
        <v>503</v>
      </c>
      <c r="F133" s="3" t="s">
        <v>396</v>
      </c>
      <c r="G133" s="2">
        <v>43897</v>
      </c>
      <c r="H133" s="28">
        <v>43910</v>
      </c>
      <c r="I133" s="28"/>
      <c r="J133" s="2">
        <v>43890</v>
      </c>
      <c r="K133" s="1"/>
      <c r="L133" s="1" t="s">
        <v>138</v>
      </c>
      <c r="M133" s="5" t="s">
        <v>409</v>
      </c>
    </row>
    <row r="134" spans="1:13" ht="13.8" customHeight="1" x14ac:dyDescent="0.3">
      <c r="A134" s="6">
        <v>133</v>
      </c>
      <c r="B134" s="6" t="s">
        <v>78</v>
      </c>
      <c r="C134" s="6" t="s">
        <v>94</v>
      </c>
      <c r="D134" s="6">
        <v>62</v>
      </c>
      <c r="E134" s="1" t="s">
        <v>519</v>
      </c>
      <c r="F134" s="3" t="s">
        <v>397</v>
      </c>
      <c r="G134" s="2">
        <v>43897</v>
      </c>
      <c r="H134" s="28">
        <v>43910</v>
      </c>
      <c r="I134" s="28"/>
      <c r="J134" s="2">
        <v>43890</v>
      </c>
      <c r="K134" s="1" t="s">
        <v>346</v>
      </c>
      <c r="L134" s="1" t="s">
        <v>138</v>
      </c>
      <c r="M134" s="5" t="s">
        <v>409</v>
      </c>
    </row>
    <row r="135" spans="1:13" ht="13.8" customHeight="1" x14ac:dyDescent="0.3">
      <c r="A135" s="6">
        <v>134</v>
      </c>
      <c r="B135" s="6" t="s">
        <v>78</v>
      </c>
      <c r="C135" s="6" t="s">
        <v>94</v>
      </c>
      <c r="D135" s="6">
        <v>56</v>
      </c>
      <c r="E135" s="1" t="s">
        <v>503</v>
      </c>
      <c r="F135" s="3" t="s">
        <v>398</v>
      </c>
      <c r="G135" s="2">
        <v>43897</v>
      </c>
      <c r="H135" s="29">
        <v>43910</v>
      </c>
      <c r="I135" s="29"/>
      <c r="J135" s="2">
        <v>43889</v>
      </c>
      <c r="K135" s="1" t="s">
        <v>346</v>
      </c>
      <c r="L135" s="1" t="s">
        <v>133</v>
      </c>
      <c r="M135" s="5" t="s">
        <v>409</v>
      </c>
    </row>
    <row r="136" spans="1:13" ht="13.8" customHeight="1" x14ac:dyDescent="0.3">
      <c r="A136" s="6">
        <v>135</v>
      </c>
      <c r="B136" s="6" t="s">
        <v>78</v>
      </c>
      <c r="C136" s="6" t="s">
        <v>93</v>
      </c>
      <c r="D136" s="6">
        <v>40</v>
      </c>
      <c r="E136" s="1" t="s">
        <v>503</v>
      </c>
      <c r="F136" s="3" t="s">
        <v>399</v>
      </c>
      <c r="G136" s="2">
        <v>43897</v>
      </c>
      <c r="H136" s="19">
        <v>43904</v>
      </c>
      <c r="I136" s="19"/>
      <c r="J136" s="2">
        <v>43887</v>
      </c>
      <c r="K136" s="1"/>
      <c r="L136" s="1" t="s">
        <v>132</v>
      </c>
      <c r="M136" s="5" t="s">
        <v>409</v>
      </c>
    </row>
    <row r="137" spans="1:13" ht="13.8" customHeight="1" x14ac:dyDescent="0.3">
      <c r="A137" s="6">
        <v>136</v>
      </c>
      <c r="B137" s="1" t="s">
        <v>77</v>
      </c>
      <c r="C137" s="6" t="s">
        <v>93</v>
      </c>
      <c r="D137" s="6">
        <v>36</v>
      </c>
      <c r="E137" s="1" t="s">
        <v>635</v>
      </c>
      <c r="F137" s="3" t="s">
        <v>400</v>
      </c>
      <c r="G137" s="2">
        <v>43897</v>
      </c>
      <c r="H137" s="19">
        <v>43910</v>
      </c>
      <c r="I137" s="19"/>
      <c r="J137" s="2">
        <v>43891</v>
      </c>
      <c r="K137" s="1"/>
      <c r="L137" s="1" t="s">
        <v>133</v>
      </c>
      <c r="M137" s="5" t="s">
        <v>409</v>
      </c>
    </row>
    <row r="138" spans="1:13" ht="13.8" customHeight="1" x14ac:dyDescent="0.3">
      <c r="A138" s="6">
        <v>137</v>
      </c>
      <c r="B138" s="6" t="s">
        <v>78</v>
      </c>
      <c r="C138" s="6" t="s">
        <v>93</v>
      </c>
      <c r="D138" s="6">
        <v>60</v>
      </c>
      <c r="E138" s="1" t="s">
        <v>503</v>
      </c>
      <c r="F138" s="3" t="s">
        <v>401</v>
      </c>
      <c r="G138" s="2">
        <v>43897</v>
      </c>
      <c r="H138" s="19">
        <v>43911</v>
      </c>
      <c r="I138" s="19"/>
      <c r="J138" s="2">
        <v>43895</v>
      </c>
      <c r="K138" s="1" t="s">
        <v>346</v>
      </c>
      <c r="L138" s="1" t="s">
        <v>133</v>
      </c>
      <c r="M138" s="5" t="s">
        <v>409</v>
      </c>
    </row>
    <row r="139" spans="1:13" ht="13.8" customHeight="1" x14ac:dyDescent="0.3">
      <c r="A139" s="6">
        <v>138</v>
      </c>
      <c r="B139" s="6" t="s">
        <v>78</v>
      </c>
      <c r="C139" s="6" t="s">
        <v>93</v>
      </c>
      <c r="D139" s="6">
        <v>26</v>
      </c>
      <c r="E139" s="1" t="s">
        <v>503</v>
      </c>
      <c r="F139" s="3" t="s">
        <v>402</v>
      </c>
      <c r="G139" s="2">
        <v>43897</v>
      </c>
      <c r="H139" s="19">
        <v>43899</v>
      </c>
      <c r="I139" s="19"/>
      <c r="J139" s="1"/>
      <c r="K139" s="1" t="s">
        <v>17</v>
      </c>
      <c r="L139" s="1" t="s">
        <v>133</v>
      </c>
      <c r="M139" s="5" t="s">
        <v>409</v>
      </c>
    </row>
    <row r="140" spans="1:13" ht="13.8" customHeight="1" x14ac:dyDescent="0.3">
      <c r="A140" s="6">
        <v>139</v>
      </c>
      <c r="B140" s="6" t="s">
        <v>78</v>
      </c>
      <c r="C140" s="6" t="s">
        <v>93</v>
      </c>
      <c r="D140" s="6">
        <v>71</v>
      </c>
      <c r="E140" s="1" t="s">
        <v>503</v>
      </c>
      <c r="F140" s="3" t="s">
        <v>403</v>
      </c>
      <c r="G140" s="2">
        <v>43898</v>
      </c>
      <c r="H140" s="19">
        <v>43916</v>
      </c>
      <c r="I140" s="18"/>
      <c r="J140" s="2">
        <v>43893</v>
      </c>
      <c r="K140" s="1" t="s">
        <v>346</v>
      </c>
      <c r="L140" s="1" t="s">
        <v>142</v>
      </c>
      <c r="M140" s="5" t="s">
        <v>410</v>
      </c>
    </row>
    <row r="141" spans="1:13" ht="13.8" customHeight="1" x14ac:dyDescent="0.3">
      <c r="A141" s="6">
        <v>140</v>
      </c>
      <c r="B141" s="6" t="s">
        <v>78</v>
      </c>
      <c r="C141" s="6" t="s">
        <v>94</v>
      </c>
      <c r="D141" s="6">
        <v>62</v>
      </c>
      <c r="E141" s="1" t="s">
        <v>503</v>
      </c>
      <c r="F141" s="3" t="s">
        <v>404</v>
      </c>
      <c r="G141" s="2">
        <v>43898</v>
      </c>
      <c r="H141" s="19">
        <v>43914</v>
      </c>
      <c r="I141" s="18"/>
      <c r="J141" s="2">
        <v>43889</v>
      </c>
      <c r="K141" s="1" t="s">
        <v>346</v>
      </c>
      <c r="L141" s="1" t="s">
        <v>142</v>
      </c>
      <c r="M141" s="5" t="s">
        <v>410</v>
      </c>
    </row>
    <row r="142" spans="1:13" ht="13.8" customHeight="1" x14ac:dyDescent="0.3">
      <c r="A142" s="6">
        <v>141</v>
      </c>
      <c r="B142" s="6" t="s">
        <v>78</v>
      </c>
      <c r="C142" s="6" t="s">
        <v>93</v>
      </c>
      <c r="D142" s="6">
        <v>69</v>
      </c>
      <c r="E142" s="1" t="s">
        <v>503</v>
      </c>
      <c r="F142" s="3" t="s">
        <v>405</v>
      </c>
      <c r="G142" s="2">
        <v>43898</v>
      </c>
      <c r="H142" s="19">
        <v>43915</v>
      </c>
      <c r="I142" s="18"/>
      <c r="J142" s="2">
        <v>43891</v>
      </c>
      <c r="K142" s="1"/>
      <c r="L142" s="1" t="s">
        <v>142</v>
      </c>
      <c r="M142" s="5" t="s">
        <v>410</v>
      </c>
    </row>
    <row r="143" spans="1:13" ht="13.8" customHeight="1" x14ac:dyDescent="0.3">
      <c r="A143" s="6">
        <v>142</v>
      </c>
      <c r="B143" s="6" t="s">
        <v>78</v>
      </c>
      <c r="C143" s="6" t="s">
        <v>93</v>
      </c>
      <c r="D143" s="6">
        <v>26</v>
      </c>
      <c r="E143" s="1" t="s">
        <v>503</v>
      </c>
      <c r="F143" s="3" t="s">
        <v>406</v>
      </c>
      <c r="G143" s="2">
        <v>43898</v>
      </c>
      <c r="H143" s="18"/>
      <c r="I143" s="18"/>
      <c r="J143" s="2">
        <v>43895</v>
      </c>
      <c r="K143" s="1" t="s">
        <v>346</v>
      </c>
      <c r="L143" s="1" t="s">
        <v>142</v>
      </c>
      <c r="M143" s="5" t="s">
        <v>410</v>
      </c>
    </row>
    <row r="144" spans="1:13" ht="13.8" customHeight="1" x14ac:dyDescent="0.3">
      <c r="A144" s="6">
        <v>143</v>
      </c>
      <c r="B144" s="6" t="s">
        <v>78</v>
      </c>
      <c r="C144" s="6" t="s">
        <v>93</v>
      </c>
      <c r="D144" s="6">
        <v>42</v>
      </c>
      <c r="E144" s="1" t="s">
        <v>503</v>
      </c>
      <c r="F144" s="3" t="s">
        <v>407</v>
      </c>
      <c r="G144" s="2">
        <v>43898</v>
      </c>
      <c r="H144" s="28">
        <v>43910</v>
      </c>
      <c r="I144" s="28"/>
      <c r="J144" s="2">
        <v>43895</v>
      </c>
      <c r="K144" s="1"/>
      <c r="L144" s="1" t="s">
        <v>138</v>
      </c>
      <c r="M144" s="5" t="s">
        <v>410</v>
      </c>
    </row>
    <row r="145" spans="1:13" ht="13.8" customHeight="1" x14ac:dyDescent="0.3">
      <c r="A145" s="6">
        <v>144</v>
      </c>
      <c r="B145" s="6" t="s">
        <v>78</v>
      </c>
      <c r="C145" s="6" t="s">
        <v>94</v>
      </c>
      <c r="D145" s="6">
        <v>58</v>
      </c>
      <c r="E145" s="1" t="s">
        <v>503</v>
      </c>
      <c r="F145" s="3" t="s">
        <v>408</v>
      </c>
      <c r="G145" s="2">
        <v>43898</v>
      </c>
      <c r="H145" s="19">
        <v>43911</v>
      </c>
      <c r="I145" s="19"/>
      <c r="J145" s="2">
        <v>43893</v>
      </c>
      <c r="K145" s="1" t="s">
        <v>346</v>
      </c>
      <c r="L145" s="1" t="s">
        <v>142</v>
      </c>
      <c r="M145" s="5" t="s">
        <v>410</v>
      </c>
    </row>
    <row r="146" spans="1:13" ht="13.8" customHeight="1" x14ac:dyDescent="0.3">
      <c r="A146" s="6">
        <v>145</v>
      </c>
      <c r="B146" s="6" t="s">
        <v>78</v>
      </c>
      <c r="C146" s="6" t="s">
        <v>94</v>
      </c>
      <c r="D146" s="6">
        <v>67</v>
      </c>
      <c r="E146" s="1" t="s">
        <v>503</v>
      </c>
      <c r="F146" s="3" t="s">
        <v>438</v>
      </c>
      <c r="G146" s="2">
        <v>43898</v>
      </c>
      <c r="H146" s="74">
        <v>43926</v>
      </c>
      <c r="I146" s="18"/>
      <c r="J146" s="2">
        <v>43890</v>
      </c>
      <c r="K146" s="1" t="s">
        <v>346</v>
      </c>
      <c r="L146" s="1" t="s">
        <v>133</v>
      </c>
      <c r="M146" s="5" t="s">
        <v>410</v>
      </c>
    </row>
    <row r="147" spans="1:13" ht="13.8" customHeight="1" x14ac:dyDescent="0.3">
      <c r="A147" s="6">
        <v>146</v>
      </c>
      <c r="B147" s="6" t="s">
        <v>78</v>
      </c>
      <c r="C147" s="6" t="s">
        <v>94</v>
      </c>
      <c r="D147" s="6">
        <v>64</v>
      </c>
      <c r="E147" s="1" t="s">
        <v>503</v>
      </c>
      <c r="F147" s="3" t="s">
        <v>439</v>
      </c>
      <c r="G147" s="2">
        <v>43898</v>
      </c>
      <c r="H147" s="19">
        <v>43904</v>
      </c>
      <c r="I147" s="19"/>
      <c r="J147" s="2">
        <v>43894</v>
      </c>
      <c r="K147" s="1" t="s">
        <v>346</v>
      </c>
      <c r="L147" s="1" t="s">
        <v>133</v>
      </c>
      <c r="M147" s="5" t="s">
        <v>410</v>
      </c>
    </row>
    <row r="148" spans="1:13" ht="13.8" customHeight="1" x14ac:dyDescent="0.3">
      <c r="A148" s="6">
        <v>147</v>
      </c>
      <c r="B148" s="1" t="s">
        <v>77</v>
      </c>
      <c r="C148" s="6" t="s">
        <v>93</v>
      </c>
      <c r="D148" s="6">
        <v>64</v>
      </c>
      <c r="E148" s="1" t="s">
        <v>503</v>
      </c>
      <c r="F148" s="3" t="s">
        <v>440</v>
      </c>
      <c r="G148" s="2">
        <v>43898</v>
      </c>
      <c r="H148" s="18"/>
      <c r="I148" s="18"/>
      <c r="J148" s="2">
        <v>43893</v>
      </c>
      <c r="K148" s="1"/>
      <c r="L148" s="1" t="s">
        <v>133</v>
      </c>
      <c r="M148" s="5" t="s">
        <v>410</v>
      </c>
    </row>
    <row r="149" spans="1:13" ht="13.8" customHeight="1" x14ac:dyDescent="0.3">
      <c r="A149" s="6">
        <v>148</v>
      </c>
      <c r="B149" s="6" t="s">
        <v>78</v>
      </c>
      <c r="C149" s="6" t="s">
        <v>94</v>
      </c>
      <c r="D149" s="6">
        <v>67</v>
      </c>
      <c r="E149" s="1" t="s">
        <v>503</v>
      </c>
      <c r="F149" s="3" t="s">
        <v>441</v>
      </c>
      <c r="G149" s="2">
        <v>43898</v>
      </c>
      <c r="H149" s="2">
        <v>43901</v>
      </c>
      <c r="I149" s="2"/>
      <c r="J149" s="2">
        <v>43885</v>
      </c>
      <c r="K149" s="1" t="s">
        <v>346</v>
      </c>
      <c r="L149" s="1" t="s">
        <v>133</v>
      </c>
      <c r="M149" s="5" t="s">
        <v>410</v>
      </c>
    </row>
    <row r="150" spans="1:13" ht="13.8" customHeight="1" x14ac:dyDescent="0.3">
      <c r="A150" s="6">
        <v>149</v>
      </c>
      <c r="B150" s="6" t="s">
        <v>78</v>
      </c>
      <c r="C150" s="6" t="s">
        <v>93</v>
      </c>
      <c r="D150" s="6">
        <v>62</v>
      </c>
      <c r="E150" s="1" t="s">
        <v>503</v>
      </c>
      <c r="F150" s="3" t="s">
        <v>442</v>
      </c>
      <c r="G150" s="2">
        <v>43898</v>
      </c>
      <c r="H150" s="19">
        <v>43906</v>
      </c>
      <c r="I150" s="19"/>
      <c r="J150" s="2">
        <v>43884</v>
      </c>
      <c r="K150" s="1" t="s">
        <v>346</v>
      </c>
      <c r="L150" s="1" t="s">
        <v>133</v>
      </c>
      <c r="M150" s="5" t="s">
        <v>410</v>
      </c>
    </row>
    <row r="151" spans="1:13" ht="13.8" customHeight="1" x14ac:dyDescent="0.3">
      <c r="A151" s="6">
        <v>150</v>
      </c>
      <c r="B151" s="6" t="s">
        <v>78</v>
      </c>
      <c r="C151" s="6" t="s">
        <v>94</v>
      </c>
      <c r="D151" s="6">
        <v>53</v>
      </c>
      <c r="E151" s="1" t="s">
        <v>503</v>
      </c>
      <c r="F151" s="3" t="s">
        <v>447</v>
      </c>
      <c r="G151" s="2">
        <v>43898</v>
      </c>
      <c r="H151" s="19">
        <v>43904</v>
      </c>
      <c r="I151" s="19"/>
      <c r="J151" s="2">
        <v>43890</v>
      </c>
      <c r="K151" s="1" t="s">
        <v>346</v>
      </c>
      <c r="L151" s="1" t="s">
        <v>133</v>
      </c>
      <c r="M151" s="5" t="s">
        <v>410</v>
      </c>
    </row>
    <row r="152" spans="1:13" ht="13.8" customHeight="1" x14ac:dyDescent="0.3">
      <c r="A152" s="6">
        <v>151</v>
      </c>
      <c r="B152" s="6" t="s">
        <v>78</v>
      </c>
      <c r="C152" s="6" t="s">
        <v>93</v>
      </c>
      <c r="D152" s="6">
        <v>51</v>
      </c>
      <c r="E152" s="1" t="s">
        <v>503</v>
      </c>
      <c r="F152" s="3" t="s">
        <v>443</v>
      </c>
      <c r="G152" s="2">
        <v>43899</v>
      </c>
      <c r="H152" s="2">
        <v>43899</v>
      </c>
      <c r="I152" s="2"/>
      <c r="J152" s="2">
        <v>43865</v>
      </c>
      <c r="K152" s="1" t="s">
        <v>17</v>
      </c>
      <c r="L152" s="6" t="s">
        <v>133</v>
      </c>
      <c r="M152" s="5" t="s">
        <v>446</v>
      </c>
    </row>
    <row r="153" spans="1:13" ht="13.8" customHeight="1" x14ac:dyDescent="0.3">
      <c r="A153" s="6">
        <v>152</v>
      </c>
      <c r="B153" s="6" t="s">
        <v>77</v>
      </c>
      <c r="C153" s="6" t="s">
        <v>93</v>
      </c>
      <c r="D153" s="6">
        <v>65</v>
      </c>
      <c r="E153" s="1" t="s">
        <v>519</v>
      </c>
      <c r="F153" s="3" t="s">
        <v>444</v>
      </c>
      <c r="G153" s="2">
        <v>43899</v>
      </c>
      <c r="H153" s="18"/>
      <c r="I153" s="18"/>
      <c r="J153" s="2">
        <v>43889</v>
      </c>
      <c r="K153" s="1"/>
      <c r="L153" s="6" t="s">
        <v>132</v>
      </c>
      <c r="M153" s="5" t="s">
        <v>446</v>
      </c>
    </row>
    <row r="154" spans="1:13" ht="13.8" customHeight="1" x14ac:dyDescent="0.3">
      <c r="A154" s="6">
        <v>153</v>
      </c>
      <c r="B154" s="6" t="s">
        <v>77</v>
      </c>
      <c r="C154" s="6" t="s">
        <v>94</v>
      </c>
      <c r="D154" s="1">
        <v>65</v>
      </c>
      <c r="E154" s="1" t="s">
        <v>503</v>
      </c>
      <c r="F154" s="3" t="s">
        <v>445</v>
      </c>
      <c r="G154" s="2">
        <v>43899</v>
      </c>
      <c r="H154" s="19">
        <v>43917</v>
      </c>
      <c r="I154" s="18"/>
      <c r="J154" s="2">
        <v>43893</v>
      </c>
      <c r="K154" s="1"/>
      <c r="L154" s="6" t="s">
        <v>132</v>
      </c>
      <c r="M154" s="5" t="s">
        <v>446</v>
      </c>
    </row>
    <row r="155" spans="1:13" ht="13.8" customHeight="1" x14ac:dyDescent="0.3">
      <c r="A155" s="6">
        <v>154</v>
      </c>
      <c r="B155" s="6" t="s">
        <v>77</v>
      </c>
      <c r="C155" s="6" t="s">
        <v>93</v>
      </c>
      <c r="D155" s="1">
        <v>52</v>
      </c>
      <c r="E155" s="1" t="s">
        <v>650</v>
      </c>
      <c r="F155" s="3" t="s">
        <v>668</v>
      </c>
      <c r="G155" s="2">
        <v>43899</v>
      </c>
      <c r="H155" s="19">
        <v>43915</v>
      </c>
      <c r="I155" s="18"/>
      <c r="J155" s="2">
        <v>43898</v>
      </c>
      <c r="K155" s="1"/>
      <c r="L155" s="6" t="s">
        <v>133</v>
      </c>
      <c r="M155" s="5" t="s">
        <v>446</v>
      </c>
    </row>
    <row r="156" spans="1:13" ht="13.8" customHeight="1" x14ac:dyDescent="0.3">
      <c r="A156" s="6">
        <v>155</v>
      </c>
      <c r="B156" s="6" t="s">
        <v>78</v>
      </c>
      <c r="C156" s="6" t="s">
        <v>94</v>
      </c>
      <c r="D156" s="1">
        <v>47</v>
      </c>
      <c r="E156" s="1" t="s">
        <v>591</v>
      </c>
      <c r="F156" s="3" t="s">
        <v>669</v>
      </c>
      <c r="G156" s="2">
        <v>43899</v>
      </c>
      <c r="H156" s="19">
        <v>43912</v>
      </c>
      <c r="I156" s="18"/>
      <c r="J156" s="2">
        <v>43894</v>
      </c>
      <c r="K156" s="1" t="s">
        <v>346</v>
      </c>
      <c r="L156" s="6" t="s">
        <v>133</v>
      </c>
      <c r="M156" s="5" t="s">
        <v>446</v>
      </c>
    </row>
    <row r="157" spans="1:13" ht="13.8" customHeight="1" x14ac:dyDescent="0.3">
      <c r="A157" s="6">
        <v>156</v>
      </c>
      <c r="B157" s="6" t="s">
        <v>78</v>
      </c>
      <c r="C157" s="6" t="s">
        <v>94</v>
      </c>
      <c r="D157" s="1">
        <v>50</v>
      </c>
      <c r="E157" s="1" t="s">
        <v>503</v>
      </c>
      <c r="F157" s="3" t="s">
        <v>670</v>
      </c>
      <c r="G157" s="2">
        <v>43899</v>
      </c>
      <c r="H157" s="18"/>
      <c r="I157" s="18"/>
      <c r="J157" s="2">
        <v>43897</v>
      </c>
      <c r="K157" s="1" t="s">
        <v>346</v>
      </c>
      <c r="L157" s="6" t="s">
        <v>133</v>
      </c>
      <c r="M157" s="5" t="s">
        <v>446</v>
      </c>
    </row>
    <row r="158" spans="1:13" ht="13.8" customHeight="1" x14ac:dyDescent="0.3">
      <c r="A158" s="6">
        <v>157</v>
      </c>
      <c r="B158" s="6" t="s">
        <v>78</v>
      </c>
      <c r="C158" s="6" t="s">
        <v>94</v>
      </c>
      <c r="D158" s="1">
        <v>54</v>
      </c>
      <c r="E158" s="1" t="s">
        <v>503</v>
      </c>
      <c r="F158" s="3" t="s">
        <v>671</v>
      </c>
      <c r="G158" s="2">
        <v>43899</v>
      </c>
      <c r="H158" s="19">
        <v>43916</v>
      </c>
      <c r="I158" s="18"/>
      <c r="J158" s="2">
        <v>43898</v>
      </c>
      <c r="K158" s="1" t="s">
        <v>346</v>
      </c>
      <c r="L158" s="6" t="s">
        <v>133</v>
      </c>
      <c r="M158" s="5" t="s">
        <v>446</v>
      </c>
    </row>
    <row r="159" spans="1:13" ht="13.8" customHeight="1" x14ac:dyDescent="0.3">
      <c r="A159" s="6">
        <v>158</v>
      </c>
      <c r="B159" s="6" t="s">
        <v>78</v>
      </c>
      <c r="C159" s="6" t="s">
        <v>94</v>
      </c>
      <c r="D159" s="1">
        <v>53</v>
      </c>
      <c r="E159" s="1" t="s">
        <v>503</v>
      </c>
      <c r="F159" s="3" t="s">
        <v>672</v>
      </c>
      <c r="G159" s="2">
        <v>43899</v>
      </c>
      <c r="H159" s="18"/>
      <c r="I159" s="18"/>
      <c r="J159" s="2">
        <v>43895</v>
      </c>
      <c r="K159" s="1" t="s">
        <v>346</v>
      </c>
      <c r="L159" s="6" t="s">
        <v>142</v>
      </c>
      <c r="M159" s="5" t="s">
        <v>446</v>
      </c>
    </row>
    <row r="160" spans="1:13" ht="13.8" customHeight="1" x14ac:dyDescent="0.3">
      <c r="A160" s="6">
        <v>159</v>
      </c>
      <c r="B160" s="6" t="s">
        <v>78</v>
      </c>
      <c r="C160" s="6" t="s">
        <v>93</v>
      </c>
      <c r="D160" s="1">
        <v>59</v>
      </c>
      <c r="E160" s="1" t="s">
        <v>503</v>
      </c>
      <c r="F160" s="3" t="s">
        <v>673</v>
      </c>
      <c r="G160" s="2">
        <v>43899</v>
      </c>
      <c r="H160" s="19">
        <v>43917</v>
      </c>
      <c r="I160" s="18"/>
      <c r="J160" s="2">
        <v>43895</v>
      </c>
      <c r="K160" s="1" t="s">
        <v>346</v>
      </c>
      <c r="L160" s="6" t="s">
        <v>142</v>
      </c>
      <c r="M160" s="5" t="s">
        <v>446</v>
      </c>
    </row>
    <row r="161" spans="1:13" ht="13.8" customHeight="1" x14ac:dyDescent="0.3">
      <c r="A161" s="6">
        <v>160</v>
      </c>
      <c r="B161" s="6" t="s">
        <v>78</v>
      </c>
      <c r="C161" s="6" t="s">
        <v>93</v>
      </c>
      <c r="D161" s="1">
        <v>5</v>
      </c>
      <c r="E161" s="1" t="s">
        <v>503</v>
      </c>
      <c r="F161" s="3" t="s">
        <v>674</v>
      </c>
      <c r="G161" s="2">
        <v>43899</v>
      </c>
      <c r="H161" s="19">
        <v>43904</v>
      </c>
      <c r="I161" s="19"/>
      <c r="J161" s="2">
        <v>43897</v>
      </c>
      <c r="K161" s="1" t="s">
        <v>346</v>
      </c>
      <c r="L161" s="6" t="s">
        <v>136</v>
      </c>
      <c r="M161" s="5" t="s">
        <v>446</v>
      </c>
    </row>
    <row r="162" spans="1:13" ht="13.8" customHeight="1" x14ac:dyDescent="0.3">
      <c r="A162" s="6">
        <v>161</v>
      </c>
      <c r="B162" s="6" t="s">
        <v>78</v>
      </c>
      <c r="C162" s="6" t="s">
        <v>93</v>
      </c>
      <c r="D162" s="6">
        <v>73</v>
      </c>
      <c r="E162" s="6" t="s">
        <v>503</v>
      </c>
      <c r="F162" s="3" t="s">
        <v>675</v>
      </c>
      <c r="G162" s="2">
        <v>43900</v>
      </c>
      <c r="H162" s="1"/>
      <c r="I162" s="1"/>
      <c r="J162" s="2">
        <v>43888</v>
      </c>
      <c r="K162" s="1" t="s">
        <v>346</v>
      </c>
      <c r="L162" s="6" t="s">
        <v>133</v>
      </c>
      <c r="M162" s="5" t="s">
        <v>678</v>
      </c>
    </row>
    <row r="163" spans="1:13" ht="13.8" customHeight="1" x14ac:dyDescent="0.3">
      <c r="A163" s="6">
        <v>162</v>
      </c>
      <c r="B163" s="6" t="s">
        <v>78</v>
      </c>
      <c r="C163" s="6" t="s">
        <v>93</v>
      </c>
      <c r="D163" s="6">
        <v>28</v>
      </c>
      <c r="E163" s="6" t="s">
        <v>503</v>
      </c>
      <c r="F163" s="3" t="s">
        <v>676</v>
      </c>
      <c r="G163" s="2">
        <v>43900</v>
      </c>
      <c r="H163" s="1"/>
      <c r="I163" s="1"/>
      <c r="J163" s="2">
        <v>43897</v>
      </c>
      <c r="K163" s="1" t="s">
        <v>693</v>
      </c>
      <c r="L163" s="6" t="s">
        <v>133</v>
      </c>
      <c r="M163" s="5" t="s">
        <v>678</v>
      </c>
    </row>
    <row r="164" spans="1:13" ht="13.8" customHeight="1" x14ac:dyDescent="0.3">
      <c r="A164" s="6">
        <v>163</v>
      </c>
      <c r="B164" s="6" t="s">
        <v>78</v>
      </c>
      <c r="C164" s="6" t="s">
        <v>94</v>
      </c>
      <c r="D164" s="6">
        <v>27</v>
      </c>
      <c r="E164" s="6" t="s">
        <v>503</v>
      </c>
      <c r="F164" s="3" t="s">
        <v>677</v>
      </c>
      <c r="G164" s="2">
        <v>43900</v>
      </c>
      <c r="H164" s="74">
        <v>43926</v>
      </c>
      <c r="I164" s="1"/>
      <c r="J164" s="2">
        <v>43898</v>
      </c>
      <c r="K164" s="1" t="s">
        <v>693</v>
      </c>
      <c r="L164" s="6" t="s">
        <v>133</v>
      </c>
      <c r="M164" s="5" t="s">
        <v>678</v>
      </c>
    </row>
    <row r="165" spans="1:13" ht="13.8" customHeight="1" x14ac:dyDescent="0.3">
      <c r="A165" s="6">
        <v>164</v>
      </c>
      <c r="B165" s="6" t="s">
        <v>78</v>
      </c>
      <c r="C165" s="6" t="s">
        <v>94</v>
      </c>
      <c r="D165" s="6">
        <v>57</v>
      </c>
      <c r="E165" s="6" t="s">
        <v>503</v>
      </c>
      <c r="F165" s="3" t="s">
        <v>694</v>
      </c>
      <c r="G165" s="2">
        <v>43900</v>
      </c>
      <c r="H165" s="1"/>
      <c r="I165" s="1"/>
      <c r="J165" s="2">
        <v>43898</v>
      </c>
      <c r="K165" s="1" t="s">
        <v>346</v>
      </c>
      <c r="L165" s="6" t="s">
        <v>133</v>
      </c>
      <c r="M165" s="5" t="s">
        <v>678</v>
      </c>
    </row>
    <row r="166" spans="1:13" ht="13.8" customHeight="1" x14ac:dyDescent="0.3">
      <c r="A166" s="6">
        <v>165</v>
      </c>
      <c r="B166" s="1" t="s">
        <v>77</v>
      </c>
      <c r="C166" s="6" t="s">
        <v>93</v>
      </c>
      <c r="D166" s="6">
        <v>30</v>
      </c>
      <c r="E166" s="1" t="s">
        <v>503</v>
      </c>
      <c r="F166" s="3" t="s">
        <v>695</v>
      </c>
      <c r="G166" s="2">
        <v>43900</v>
      </c>
      <c r="H166" s="38">
        <v>43918</v>
      </c>
      <c r="I166" s="1"/>
      <c r="J166" s="2">
        <v>43899</v>
      </c>
      <c r="K166" s="1"/>
      <c r="L166" s="6" t="s">
        <v>133</v>
      </c>
      <c r="M166" s="5" t="s">
        <v>678</v>
      </c>
    </row>
    <row r="167" spans="1:13" ht="13.8" customHeight="1" x14ac:dyDescent="0.3">
      <c r="A167" s="6">
        <v>166</v>
      </c>
      <c r="B167" s="6" t="s">
        <v>78</v>
      </c>
      <c r="C167" s="6" t="s">
        <v>94</v>
      </c>
      <c r="D167" s="6">
        <v>55</v>
      </c>
      <c r="E167" s="1" t="s">
        <v>503</v>
      </c>
      <c r="F167" s="3" t="s">
        <v>696</v>
      </c>
      <c r="G167" s="2">
        <v>43900</v>
      </c>
      <c r="H167" s="1"/>
      <c r="I167" s="1"/>
      <c r="J167" s="2">
        <v>43894</v>
      </c>
      <c r="K167" s="1" t="s">
        <v>346</v>
      </c>
      <c r="L167" s="1" t="s">
        <v>142</v>
      </c>
      <c r="M167" s="5" t="s">
        <v>678</v>
      </c>
    </row>
    <row r="168" spans="1:13" ht="13.8" customHeight="1" x14ac:dyDescent="0.3">
      <c r="A168" s="6">
        <v>167</v>
      </c>
      <c r="B168" s="6" t="s">
        <v>78</v>
      </c>
      <c r="C168" s="1" t="s">
        <v>94</v>
      </c>
      <c r="D168" s="1">
        <v>35</v>
      </c>
      <c r="E168" s="1" t="s">
        <v>608</v>
      </c>
      <c r="F168" s="3" t="s">
        <v>697</v>
      </c>
      <c r="G168" s="2">
        <v>43901</v>
      </c>
      <c r="H168" s="1"/>
      <c r="I168" s="1"/>
      <c r="J168" s="2">
        <v>43898</v>
      </c>
      <c r="K168" s="1"/>
      <c r="L168" s="1" t="s">
        <v>142</v>
      </c>
      <c r="M168" s="5" t="s">
        <v>701</v>
      </c>
    </row>
    <row r="169" spans="1:13" ht="13.8" customHeight="1" x14ac:dyDescent="0.3">
      <c r="A169" s="6">
        <v>168</v>
      </c>
      <c r="B169" s="6" t="s">
        <v>78</v>
      </c>
      <c r="C169" s="1" t="s">
        <v>93</v>
      </c>
      <c r="D169" s="1">
        <v>47</v>
      </c>
      <c r="E169" s="1" t="s">
        <v>503</v>
      </c>
      <c r="F169" s="3" t="s">
        <v>698</v>
      </c>
      <c r="G169" s="2">
        <v>43901</v>
      </c>
      <c r="H169" s="28">
        <v>43910</v>
      </c>
      <c r="I169" s="28"/>
      <c r="J169" s="2">
        <v>43891</v>
      </c>
      <c r="K169" s="1"/>
      <c r="L169" s="1" t="s">
        <v>134</v>
      </c>
      <c r="M169" s="5" t="s">
        <v>701</v>
      </c>
    </row>
    <row r="170" spans="1:13" ht="13.8" customHeight="1" x14ac:dyDescent="0.3">
      <c r="A170" s="6">
        <v>169</v>
      </c>
      <c r="B170" s="1" t="s">
        <v>77</v>
      </c>
      <c r="C170" s="1" t="s">
        <v>93</v>
      </c>
      <c r="D170" s="1">
        <v>40</v>
      </c>
      <c r="E170" s="1" t="s">
        <v>503</v>
      </c>
      <c r="F170" s="3" t="s">
        <v>699</v>
      </c>
      <c r="G170" s="2">
        <v>43901</v>
      </c>
      <c r="H170" s="74">
        <v>43926</v>
      </c>
      <c r="I170" s="1"/>
      <c r="J170" s="2">
        <v>43899</v>
      </c>
      <c r="K170" s="1"/>
      <c r="L170" s="1" t="s">
        <v>137</v>
      </c>
      <c r="M170" s="5" t="s">
        <v>701</v>
      </c>
    </row>
    <row r="171" spans="1:13" ht="13.8" customHeight="1" x14ac:dyDescent="0.3">
      <c r="A171" s="6">
        <v>170</v>
      </c>
      <c r="B171" s="1" t="s">
        <v>77</v>
      </c>
      <c r="C171" s="1" t="s">
        <v>94</v>
      </c>
      <c r="D171" s="1">
        <v>56</v>
      </c>
      <c r="E171" s="1" t="s">
        <v>519</v>
      </c>
      <c r="F171" s="3" t="s">
        <v>700</v>
      </c>
      <c r="G171" s="2">
        <v>43901</v>
      </c>
      <c r="H171" s="19">
        <v>43913</v>
      </c>
      <c r="I171" s="1"/>
      <c r="J171" s="2">
        <v>43896</v>
      </c>
      <c r="K171" s="1"/>
      <c r="L171" s="1" t="s">
        <v>132</v>
      </c>
      <c r="M171" s="5" t="s">
        <v>701</v>
      </c>
    </row>
    <row r="172" spans="1:13" ht="13.8" customHeight="1" x14ac:dyDescent="0.3">
      <c r="A172" s="6">
        <v>171</v>
      </c>
      <c r="B172" s="1" t="s">
        <v>77</v>
      </c>
      <c r="C172" s="1" t="s">
        <v>93</v>
      </c>
      <c r="D172" s="1">
        <v>27</v>
      </c>
      <c r="E172" s="1" t="s">
        <v>503</v>
      </c>
      <c r="F172" s="3" t="s">
        <v>713</v>
      </c>
      <c r="G172" s="2">
        <v>43901</v>
      </c>
      <c r="H172" s="19">
        <v>43907</v>
      </c>
      <c r="I172" s="19"/>
      <c r="J172" s="2">
        <v>43899</v>
      </c>
      <c r="K172" s="1"/>
      <c r="L172" s="1" t="s">
        <v>133</v>
      </c>
      <c r="M172" s="5" t="s">
        <v>701</v>
      </c>
    </row>
    <row r="173" spans="1:13" ht="13.8" customHeight="1" x14ac:dyDescent="0.3">
      <c r="A173" s="6">
        <v>172</v>
      </c>
      <c r="B173" s="6" t="s">
        <v>78</v>
      </c>
      <c r="C173" s="1" t="s">
        <v>94</v>
      </c>
      <c r="D173" s="1">
        <v>42</v>
      </c>
      <c r="E173" s="1" t="s">
        <v>608</v>
      </c>
      <c r="F173" s="3" t="s">
        <v>714</v>
      </c>
      <c r="G173" s="2">
        <v>43901</v>
      </c>
      <c r="H173" s="1"/>
      <c r="I173" s="1"/>
      <c r="J173" s="2">
        <v>43895</v>
      </c>
      <c r="K173" s="1"/>
      <c r="L173" s="1" t="s">
        <v>133</v>
      </c>
      <c r="M173" s="5" t="s">
        <v>701</v>
      </c>
    </row>
    <row r="174" spans="1:13" ht="13.8" customHeight="1" x14ac:dyDescent="0.3">
      <c r="A174" s="6">
        <v>173</v>
      </c>
      <c r="B174" s="1" t="s">
        <v>77</v>
      </c>
      <c r="C174" s="1" t="s">
        <v>93</v>
      </c>
      <c r="D174" s="1">
        <v>31</v>
      </c>
      <c r="E174" s="1" t="s">
        <v>503</v>
      </c>
      <c r="F174" s="3" t="s">
        <v>715</v>
      </c>
      <c r="G174" s="2">
        <v>43901</v>
      </c>
      <c r="H174" s="38">
        <v>43918</v>
      </c>
      <c r="I174" s="1"/>
      <c r="J174" s="2">
        <v>43899</v>
      </c>
      <c r="K174" s="1"/>
      <c r="L174" s="1" t="s">
        <v>133</v>
      </c>
      <c r="M174" s="5" t="s">
        <v>701</v>
      </c>
    </row>
    <row r="175" spans="1:13" ht="13.8" customHeight="1" x14ac:dyDescent="0.3">
      <c r="A175" s="6">
        <v>174</v>
      </c>
      <c r="B175" s="6" t="s">
        <v>78</v>
      </c>
      <c r="C175" s="1" t="s">
        <v>94</v>
      </c>
      <c r="D175" s="1">
        <v>67</v>
      </c>
      <c r="E175" s="1" t="s">
        <v>503</v>
      </c>
      <c r="F175" s="3" t="s">
        <v>716</v>
      </c>
      <c r="G175" s="2">
        <v>43901</v>
      </c>
      <c r="H175" s="19">
        <v>43911</v>
      </c>
      <c r="I175" s="19"/>
      <c r="J175" s="2">
        <v>43897</v>
      </c>
      <c r="K175" s="1" t="s">
        <v>346</v>
      </c>
      <c r="L175" s="1" t="s">
        <v>133</v>
      </c>
      <c r="M175" s="5" t="s">
        <v>701</v>
      </c>
    </row>
    <row r="176" spans="1:13" ht="13.8" customHeight="1" x14ac:dyDescent="0.3">
      <c r="A176" s="6">
        <v>175</v>
      </c>
      <c r="B176" s="1" t="s">
        <v>77</v>
      </c>
      <c r="C176" s="1" t="s">
        <v>93</v>
      </c>
      <c r="D176" s="1">
        <v>44</v>
      </c>
      <c r="E176" s="1" t="s">
        <v>503</v>
      </c>
      <c r="F176" s="3" t="s">
        <v>717</v>
      </c>
      <c r="G176" s="2">
        <v>43901</v>
      </c>
      <c r="H176" s="64">
        <v>43923</v>
      </c>
      <c r="I176" s="1"/>
      <c r="J176" s="2">
        <v>43900</v>
      </c>
      <c r="K176" s="1"/>
      <c r="L176" s="1" t="s">
        <v>133</v>
      </c>
      <c r="M176" s="5" t="s">
        <v>701</v>
      </c>
    </row>
    <row r="177" spans="1:13" ht="13.8" customHeight="1" x14ac:dyDescent="0.3">
      <c r="A177" s="6">
        <v>176</v>
      </c>
      <c r="B177" s="1" t="s">
        <v>77</v>
      </c>
      <c r="C177" s="1" t="s">
        <v>94</v>
      </c>
      <c r="D177" s="1">
        <v>37</v>
      </c>
      <c r="E177" s="1" t="s">
        <v>650</v>
      </c>
      <c r="F177" s="3" t="s">
        <v>718</v>
      </c>
      <c r="G177" s="2">
        <v>43901</v>
      </c>
      <c r="H177" s="69">
        <v>43925</v>
      </c>
      <c r="I177" s="1"/>
      <c r="J177" s="2">
        <v>43897</v>
      </c>
      <c r="K177" s="1"/>
      <c r="L177" s="1" t="s">
        <v>133</v>
      </c>
      <c r="M177" s="5" t="s">
        <v>701</v>
      </c>
    </row>
    <row r="178" spans="1:13" ht="13.8" customHeight="1" x14ac:dyDescent="0.3">
      <c r="A178" s="6">
        <v>177</v>
      </c>
      <c r="B178" s="1" t="s">
        <v>77</v>
      </c>
      <c r="C178" s="1" t="s">
        <v>93</v>
      </c>
      <c r="D178" s="1">
        <v>26</v>
      </c>
      <c r="E178" s="1" t="s">
        <v>503</v>
      </c>
      <c r="F178" s="3" t="s">
        <v>719</v>
      </c>
      <c r="G178" s="2">
        <v>43901</v>
      </c>
      <c r="H178" s="74">
        <v>43926</v>
      </c>
      <c r="I178" s="1"/>
      <c r="J178" s="2">
        <v>43899</v>
      </c>
      <c r="K178" s="1"/>
      <c r="L178" s="1" t="s">
        <v>133</v>
      </c>
      <c r="M178" s="5" t="s">
        <v>701</v>
      </c>
    </row>
    <row r="179" spans="1:13" ht="13.8" customHeight="1" x14ac:dyDescent="0.3">
      <c r="A179" s="6">
        <v>178</v>
      </c>
      <c r="B179" s="1" t="s">
        <v>77</v>
      </c>
      <c r="C179" s="1" t="s">
        <v>93</v>
      </c>
      <c r="D179" s="1">
        <v>37</v>
      </c>
      <c r="E179" s="1" t="s">
        <v>608</v>
      </c>
      <c r="F179" s="3" t="s">
        <v>720</v>
      </c>
      <c r="G179" s="2">
        <v>43901</v>
      </c>
      <c r="H179" s="19">
        <v>43913</v>
      </c>
      <c r="I179" s="1"/>
      <c r="J179" s="2">
        <v>43898</v>
      </c>
      <c r="K179" s="1"/>
      <c r="L179" s="1" t="s">
        <v>142</v>
      </c>
      <c r="M179" s="5" t="s">
        <v>701</v>
      </c>
    </row>
    <row r="180" spans="1:13" ht="13.8" customHeight="1" x14ac:dyDescent="0.3">
      <c r="A180" s="6">
        <v>179</v>
      </c>
      <c r="B180" s="6" t="s">
        <v>78</v>
      </c>
      <c r="C180" s="6" t="s">
        <v>94</v>
      </c>
      <c r="D180" s="6">
        <v>66</v>
      </c>
      <c r="E180" s="6" t="s">
        <v>503</v>
      </c>
      <c r="F180" s="3" t="s">
        <v>721</v>
      </c>
      <c r="G180" s="2">
        <v>43902</v>
      </c>
      <c r="H180" s="28">
        <v>43910</v>
      </c>
      <c r="I180" s="28"/>
      <c r="J180" s="2">
        <v>43888</v>
      </c>
      <c r="K180" s="1" t="s">
        <v>346</v>
      </c>
      <c r="L180" s="6" t="s">
        <v>138</v>
      </c>
      <c r="M180" s="5" t="s">
        <v>723</v>
      </c>
    </row>
    <row r="181" spans="1:13" ht="13.8" customHeight="1" x14ac:dyDescent="0.3">
      <c r="A181" s="6">
        <v>180</v>
      </c>
      <c r="B181" s="1" t="s">
        <v>77</v>
      </c>
      <c r="C181" s="6" t="s">
        <v>93</v>
      </c>
      <c r="D181" s="6">
        <v>71</v>
      </c>
      <c r="E181" s="6" t="s">
        <v>503</v>
      </c>
      <c r="F181" s="3" t="s">
        <v>737</v>
      </c>
      <c r="G181" s="2">
        <v>43902</v>
      </c>
      <c r="H181" s="1"/>
      <c r="I181" s="1"/>
      <c r="J181" s="2">
        <v>43900</v>
      </c>
      <c r="K181" s="1"/>
      <c r="L181" s="6" t="s">
        <v>133</v>
      </c>
      <c r="M181" s="5" t="s">
        <v>723</v>
      </c>
    </row>
    <row r="182" spans="1:13" ht="13.8" customHeight="1" x14ac:dyDescent="0.3">
      <c r="A182" s="6">
        <v>181</v>
      </c>
      <c r="B182" s="1" t="s">
        <v>77</v>
      </c>
      <c r="C182" s="6" t="s">
        <v>93</v>
      </c>
      <c r="D182" s="6">
        <v>83</v>
      </c>
      <c r="E182" s="6" t="s">
        <v>519</v>
      </c>
      <c r="F182" s="3" t="s">
        <v>738</v>
      </c>
      <c r="G182" s="2">
        <v>43902</v>
      </c>
      <c r="H182" s="1"/>
      <c r="I182" s="1"/>
      <c r="J182" s="2">
        <v>43898</v>
      </c>
      <c r="K182" s="1"/>
      <c r="L182" s="6" t="s">
        <v>722</v>
      </c>
      <c r="M182" s="5" t="s">
        <v>723</v>
      </c>
    </row>
    <row r="183" spans="1:13" ht="13.8" customHeight="1" x14ac:dyDescent="0.3">
      <c r="A183" s="6">
        <v>182</v>
      </c>
      <c r="B183" s="1" t="s">
        <v>77</v>
      </c>
      <c r="C183" s="6" t="s">
        <v>94</v>
      </c>
      <c r="D183" s="6">
        <v>76</v>
      </c>
      <c r="E183" s="6" t="s">
        <v>519</v>
      </c>
      <c r="F183" s="3" t="s">
        <v>739</v>
      </c>
      <c r="G183" s="2">
        <v>43902</v>
      </c>
      <c r="H183" s="1"/>
      <c r="I183" s="1"/>
      <c r="J183" s="2">
        <v>43899</v>
      </c>
      <c r="K183" s="1"/>
      <c r="L183" s="6" t="s">
        <v>722</v>
      </c>
      <c r="M183" s="5" t="s">
        <v>723</v>
      </c>
    </row>
    <row r="184" spans="1:13" ht="13.8" customHeight="1" x14ac:dyDescent="0.3">
      <c r="A184" s="6">
        <v>183</v>
      </c>
      <c r="B184" s="1" t="s">
        <v>77</v>
      </c>
      <c r="C184" s="6" t="s">
        <v>93</v>
      </c>
      <c r="D184" s="6">
        <v>29</v>
      </c>
      <c r="E184" s="6" t="s">
        <v>503</v>
      </c>
      <c r="F184" s="3" t="s">
        <v>740</v>
      </c>
      <c r="G184" s="2">
        <v>43902</v>
      </c>
      <c r="H184" s="64">
        <v>43923</v>
      </c>
      <c r="I184" s="1"/>
      <c r="J184" s="2">
        <v>43896</v>
      </c>
      <c r="K184" s="1"/>
      <c r="L184" s="6" t="s">
        <v>133</v>
      </c>
      <c r="M184" s="5" t="s">
        <v>723</v>
      </c>
    </row>
    <row r="185" spans="1:13" ht="13.8" customHeight="1" x14ac:dyDescent="0.3">
      <c r="A185" s="6">
        <v>184</v>
      </c>
      <c r="B185" s="6" t="s">
        <v>78</v>
      </c>
      <c r="C185" s="6" t="s">
        <v>93</v>
      </c>
      <c r="D185" s="6">
        <v>35</v>
      </c>
      <c r="E185" s="6" t="s">
        <v>608</v>
      </c>
      <c r="F185" s="3" t="s">
        <v>741</v>
      </c>
      <c r="G185" s="2">
        <v>43902</v>
      </c>
      <c r="H185" s="1"/>
      <c r="I185" s="1"/>
      <c r="J185" s="2">
        <v>43899</v>
      </c>
      <c r="K185" s="1"/>
      <c r="L185" s="6" t="s">
        <v>133</v>
      </c>
      <c r="M185" s="5" t="s">
        <v>723</v>
      </c>
    </row>
    <row r="186" spans="1:13" ht="13.8" customHeight="1" x14ac:dyDescent="0.3">
      <c r="A186" s="6">
        <v>185</v>
      </c>
      <c r="B186" s="6" t="s">
        <v>78</v>
      </c>
      <c r="C186" s="6" t="s">
        <v>93</v>
      </c>
      <c r="D186" s="6">
        <v>34</v>
      </c>
      <c r="E186" s="6" t="s">
        <v>503</v>
      </c>
      <c r="F186" s="3" t="s">
        <v>742</v>
      </c>
      <c r="G186" s="2">
        <v>43902</v>
      </c>
      <c r="H186" s="19">
        <v>43913</v>
      </c>
      <c r="I186" s="1"/>
      <c r="J186" s="2">
        <v>43897</v>
      </c>
      <c r="K186" s="1" t="s">
        <v>346</v>
      </c>
      <c r="L186" s="6" t="s">
        <v>133</v>
      </c>
      <c r="M186" s="5" t="s">
        <v>723</v>
      </c>
    </row>
    <row r="187" spans="1:13" ht="13.8" customHeight="1" x14ac:dyDescent="0.3">
      <c r="A187" s="6">
        <v>186</v>
      </c>
      <c r="B187" s="6" t="s">
        <v>78</v>
      </c>
      <c r="C187" s="6" t="s">
        <v>93</v>
      </c>
      <c r="D187" s="6">
        <v>64</v>
      </c>
      <c r="E187" s="6" t="s">
        <v>503</v>
      </c>
      <c r="F187" s="3" t="s">
        <v>743</v>
      </c>
      <c r="G187" s="2">
        <v>43902</v>
      </c>
      <c r="H187" s="19">
        <v>43911</v>
      </c>
      <c r="I187" s="19"/>
      <c r="J187" s="2">
        <v>43895</v>
      </c>
      <c r="K187" s="1" t="s">
        <v>346</v>
      </c>
      <c r="L187" s="6" t="s">
        <v>133</v>
      </c>
      <c r="M187" s="5" t="s">
        <v>723</v>
      </c>
    </row>
    <row r="188" spans="1:13" ht="13.8" customHeight="1" x14ac:dyDescent="0.3">
      <c r="A188" s="6">
        <v>187</v>
      </c>
      <c r="B188" s="1" t="s">
        <v>77</v>
      </c>
      <c r="C188" s="6" t="s">
        <v>93</v>
      </c>
      <c r="D188" s="6">
        <v>48</v>
      </c>
      <c r="E188" s="6" t="s">
        <v>503</v>
      </c>
      <c r="F188" s="3" t="s">
        <v>744</v>
      </c>
      <c r="G188" s="2">
        <v>43902</v>
      </c>
      <c r="H188" s="1"/>
      <c r="I188" s="1"/>
      <c r="J188" s="2">
        <v>43894</v>
      </c>
      <c r="K188" s="1"/>
      <c r="L188" s="6" t="s">
        <v>133</v>
      </c>
      <c r="M188" s="5" t="s">
        <v>723</v>
      </c>
    </row>
    <row r="189" spans="1:13" ht="13.8" customHeight="1" x14ac:dyDescent="0.3">
      <c r="A189" s="6">
        <v>188</v>
      </c>
      <c r="B189" s="6" t="s">
        <v>77</v>
      </c>
      <c r="C189" s="6" t="s">
        <v>93</v>
      </c>
      <c r="D189" s="6">
        <v>53</v>
      </c>
      <c r="E189" s="6" t="s">
        <v>503</v>
      </c>
      <c r="F189" s="3" t="s">
        <v>745</v>
      </c>
      <c r="G189" s="2">
        <v>43903</v>
      </c>
      <c r="H189" s="1"/>
      <c r="I189" s="1"/>
      <c r="J189" s="2">
        <v>43897</v>
      </c>
      <c r="K189" s="1"/>
      <c r="L189" s="6" t="s">
        <v>137</v>
      </c>
      <c r="M189" s="5" t="s">
        <v>734</v>
      </c>
    </row>
    <row r="190" spans="1:13" ht="13.8" customHeight="1" x14ac:dyDescent="0.3">
      <c r="A190" s="6">
        <v>189</v>
      </c>
      <c r="B190" s="6" t="s">
        <v>77</v>
      </c>
      <c r="C190" s="6" t="s">
        <v>93</v>
      </c>
      <c r="D190" s="6">
        <v>36</v>
      </c>
      <c r="E190" s="6" t="s">
        <v>776</v>
      </c>
      <c r="F190" s="3" t="s">
        <v>746</v>
      </c>
      <c r="G190" s="2">
        <v>43903</v>
      </c>
      <c r="H190" s="19">
        <v>43906</v>
      </c>
      <c r="I190" s="19"/>
      <c r="J190" s="2">
        <v>43901</v>
      </c>
      <c r="K190" s="1"/>
      <c r="L190" s="1" t="s">
        <v>133</v>
      </c>
      <c r="M190" s="5" t="s">
        <v>734</v>
      </c>
    </row>
    <row r="191" spans="1:13" ht="13.8" customHeight="1" x14ac:dyDescent="0.3">
      <c r="A191" s="6">
        <v>190</v>
      </c>
      <c r="B191" s="6" t="s">
        <v>78</v>
      </c>
      <c r="C191" s="6" t="s">
        <v>93</v>
      </c>
      <c r="D191" s="6">
        <v>53</v>
      </c>
      <c r="E191" s="6" t="s">
        <v>503</v>
      </c>
      <c r="F191" s="3" t="s">
        <v>747</v>
      </c>
      <c r="G191" s="2">
        <v>43903</v>
      </c>
      <c r="H191" s="1"/>
      <c r="I191" s="1"/>
      <c r="J191" s="2">
        <v>43900</v>
      </c>
      <c r="K191" s="1"/>
      <c r="L191" s="1" t="s">
        <v>133</v>
      </c>
      <c r="M191" s="5" t="s">
        <v>734</v>
      </c>
    </row>
    <row r="192" spans="1:13" ht="13.8" customHeight="1" x14ac:dyDescent="0.3">
      <c r="A192" s="6">
        <v>191</v>
      </c>
      <c r="B192" s="6" t="s">
        <v>77</v>
      </c>
      <c r="C192" s="6" t="s">
        <v>94</v>
      </c>
      <c r="D192" s="6">
        <v>24</v>
      </c>
      <c r="E192" s="6" t="s">
        <v>591</v>
      </c>
      <c r="F192" s="3" t="s">
        <v>748</v>
      </c>
      <c r="G192" s="2">
        <v>43903</v>
      </c>
      <c r="H192" s="74">
        <v>43926</v>
      </c>
      <c r="I192" s="1"/>
      <c r="J192" s="2">
        <v>43899</v>
      </c>
      <c r="K192" s="1"/>
      <c r="L192" s="1" t="s">
        <v>133</v>
      </c>
      <c r="M192" s="5" t="s">
        <v>734</v>
      </c>
    </row>
    <row r="193" spans="1:13" ht="13.8" customHeight="1" x14ac:dyDescent="0.3">
      <c r="A193" s="6">
        <v>192</v>
      </c>
      <c r="B193" s="6" t="s">
        <v>77</v>
      </c>
      <c r="C193" s="6" t="s">
        <v>93</v>
      </c>
      <c r="D193" s="6">
        <v>32</v>
      </c>
      <c r="E193" s="6" t="s">
        <v>777</v>
      </c>
      <c r="F193" s="3" t="s">
        <v>749</v>
      </c>
      <c r="G193" s="2">
        <v>43903</v>
      </c>
      <c r="H193" s="19">
        <v>43916</v>
      </c>
      <c r="I193" s="1"/>
      <c r="J193" s="2">
        <v>43901</v>
      </c>
      <c r="K193" s="1"/>
      <c r="L193" s="1" t="s">
        <v>133</v>
      </c>
      <c r="M193" s="5" t="s">
        <v>734</v>
      </c>
    </row>
    <row r="194" spans="1:13" ht="13.8" customHeight="1" x14ac:dyDescent="0.3">
      <c r="A194" s="6">
        <v>193</v>
      </c>
      <c r="B194" s="6" t="s">
        <v>77</v>
      </c>
      <c r="C194" s="6" t="s">
        <v>93</v>
      </c>
      <c r="D194" s="6">
        <v>26</v>
      </c>
      <c r="E194" s="6" t="s">
        <v>591</v>
      </c>
      <c r="F194" s="3" t="s">
        <v>750</v>
      </c>
      <c r="G194" s="2">
        <v>43903</v>
      </c>
      <c r="H194" s="1"/>
      <c r="I194" s="1"/>
      <c r="J194" s="2">
        <v>43902</v>
      </c>
      <c r="K194" s="1"/>
      <c r="L194" s="1" t="s">
        <v>133</v>
      </c>
      <c r="M194" s="5" t="s">
        <v>734</v>
      </c>
    </row>
    <row r="195" spans="1:13" ht="13.8" customHeight="1" x14ac:dyDescent="0.3">
      <c r="A195" s="6">
        <v>194</v>
      </c>
      <c r="B195" s="6" t="s">
        <v>77</v>
      </c>
      <c r="C195" s="6" t="s">
        <v>94</v>
      </c>
      <c r="D195" s="6">
        <v>24</v>
      </c>
      <c r="E195" s="6" t="s">
        <v>473</v>
      </c>
      <c r="F195" s="3" t="s">
        <v>751</v>
      </c>
      <c r="G195" s="2">
        <v>43903</v>
      </c>
      <c r="H195" s="1"/>
      <c r="I195" s="1"/>
      <c r="J195" s="2">
        <v>43898</v>
      </c>
      <c r="K195" s="1"/>
      <c r="L195" s="1" t="s">
        <v>133</v>
      </c>
      <c r="M195" s="5" t="s">
        <v>734</v>
      </c>
    </row>
    <row r="196" spans="1:13" ht="13.8" customHeight="1" x14ac:dyDescent="0.3">
      <c r="A196" s="6">
        <v>195</v>
      </c>
      <c r="B196" s="6" t="s">
        <v>77</v>
      </c>
      <c r="C196" s="6" t="s">
        <v>93</v>
      </c>
      <c r="D196" s="6">
        <v>47</v>
      </c>
      <c r="E196" s="6" t="s">
        <v>503</v>
      </c>
      <c r="F196" s="3" t="s">
        <v>752</v>
      </c>
      <c r="G196" s="2">
        <v>43903</v>
      </c>
      <c r="H196" s="1"/>
      <c r="I196" s="1"/>
      <c r="J196" s="2">
        <v>43896</v>
      </c>
      <c r="K196" s="1"/>
      <c r="L196" s="1" t="s">
        <v>133</v>
      </c>
      <c r="M196" s="5" t="s">
        <v>734</v>
      </c>
    </row>
    <row r="197" spans="1:13" ht="13.8" customHeight="1" x14ac:dyDescent="0.3">
      <c r="A197" s="6">
        <v>196</v>
      </c>
      <c r="B197" s="6" t="s">
        <v>78</v>
      </c>
      <c r="C197" s="6" t="s">
        <v>94</v>
      </c>
      <c r="D197" s="6">
        <v>73</v>
      </c>
      <c r="E197" s="6" t="s">
        <v>503</v>
      </c>
      <c r="F197" s="3" t="s">
        <v>753</v>
      </c>
      <c r="G197" s="2">
        <v>43903</v>
      </c>
      <c r="H197" s="19">
        <v>43907</v>
      </c>
      <c r="I197" s="19"/>
      <c r="J197" s="2">
        <v>43893</v>
      </c>
      <c r="K197" s="1"/>
      <c r="L197" s="1" t="s">
        <v>133</v>
      </c>
      <c r="M197" s="5" t="s">
        <v>734</v>
      </c>
    </row>
    <row r="198" spans="1:13" ht="13.8" customHeight="1" x14ac:dyDescent="0.3">
      <c r="A198" s="6">
        <v>197</v>
      </c>
      <c r="B198" s="6" t="s">
        <v>77</v>
      </c>
      <c r="C198" s="6" t="s">
        <v>93</v>
      </c>
      <c r="D198" s="6">
        <v>30</v>
      </c>
      <c r="E198" s="6" t="s">
        <v>503</v>
      </c>
      <c r="F198" s="3" t="s">
        <v>754</v>
      </c>
      <c r="G198" s="2">
        <v>43903</v>
      </c>
      <c r="H198" s="19">
        <v>43916</v>
      </c>
      <c r="I198" s="1"/>
      <c r="J198" s="2">
        <v>43894</v>
      </c>
      <c r="K198" s="1"/>
      <c r="L198" s="1" t="s">
        <v>133</v>
      </c>
      <c r="M198" s="5" t="s">
        <v>734</v>
      </c>
    </row>
    <row r="199" spans="1:13" ht="13.8" customHeight="1" x14ac:dyDescent="0.3">
      <c r="A199" s="6">
        <v>198</v>
      </c>
      <c r="B199" s="6" t="s">
        <v>78</v>
      </c>
      <c r="C199" s="6" t="s">
        <v>94</v>
      </c>
      <c r="D199" s="6">
        <v>61</v>
      </c>
      <c r="E199" s="6" t="s">
        <v>503</v>
      </c>
      <c r="F199" s="3" t="s">
        <v>755</v>
      </c>
      <c r="G199" s="2">
        <v>43903</v>
      </c>
      <c r="H199" s="19">
        <v>43912</v>
      </c>
      <c r="I199" s="1"/>
      <c r="J199" s="2">
        <v>43897</v>
      </c>
      <c r="K199" s="1"/>
      <c r="L199" s="1" t="s">
        <v>133</v>
      </c>
      <c r="M199" s="5" t="s">
        <v>734</v>
      </c>
    </row>
    <row r="200" spans="1:13" ht="13.8" customHeight="1" x14ac:dyDescent="0.3">
      <c r="A200" s="6">
        <v>199</v>
      </c>
      <c r="B200" s="6" t="s">
        <v>77</v>
      </c>
      <c r="C200" s="6" t="s">
        <v>93</v>
      </c>
      <c r="D200" s="6">
        <v>37</v>
      </c>
      <c r="E200" s="6" t="s">
        <v>503</v>
      </c>
      <c r="F200" s="3" t="s">
        <v>756</v>
      </c>
      <c r="G200" s="2">
        <v>43903</v>
      </c>
      <c r="H200" s="19">
        <v>43911</v>
      </c>
      <c r="I200" s="19"/>
      <c r="J200" s="2">
        <v>43893</v>
      </c>
      <c r="K200" s="1"/>
      <c r="L200" s="1" t="s">
        <v>133</v>
      </c>
      <c r="M200" s="5" t="s">
        <v>734</v>
      </c>
    </row>
    <row r="201" spans="1:13" ht="13.8" customHeight="1" x14ac:dyDescent="0.3">
      <c r="A201" s="6">
        <v>200</v>
      </c>
      <c r="B201" s="6" t="s">
        <v>78</v>
      </c>
      <c r="C201" s="6" t="s">
        <v>94</v>
      </c>
      <c r="D201" s="6">
        <v>62</v>
      </c>
      <c r="E201" s="6" t="s">
        <v>503</v>
      </c>
      <c r="F201" s="3" t="s">
        <v>757</v>
      </c>
      <c r="G201" s="2">
        <v>43903</v>
      </c>
      <c r="H201" s="1"/>
      <c r="I201" s="1"/>
      <c r="J201" s="2">
        <v>43902</v>
      </c>
      <c r="K201" s="1"/>
      <c r="L201" s="1" t="s">
        <v>133</v>
      </c>
      <c r="M201" s="5" t="s">
        <v>734</v>
      </c>
    </row>
    <row r="202" spans="1:13" ht="13.8" customHeight="1" x14ac:dyDescent="0.3">
      <c r="A202" s="6">
        <v>201</v>
      </c>
      <c r="B202" s="6" t="s">
        <v>78</v>
      </c>
      <c r="C202" s="6" t="s">
        <v>94</v>
      </c>
      <c r="D202" s="6">
        <v>52</v>
      </c>
      <c r="E202" s="6" t="s">
        <v>503</v>
      </c>
      <c r="F202" s="3" t="s">
        <v>758</v>
      </c>
      <c r="G202" s="2">
        <v>43904</v>
      </c>
      <c r="H202" s="19">
        <v>43908</v>
      </c>
      <c r="I202" s="19"/>
      <c r="J202" s="2">
        <v>43895</v>
      </c>
      <c r="K202" s="1"/>
      <c r="L202" s="1" t="s">
        <v>142</v>
      </c>
      <c r="M202" s="5" t="s">
        <v>735</v>
      </c>
    </row>
    <row r="203" spans="1:13" ht="13.8" customHeight="1" x14ac:dyDescent="0.3">
      <c r="A203" s="6">
        <v>202</v>
      </c>
      <c r="B203" s="6" t="s">
        <v>77</v>
      </c>
      <c r="C203" s="6" t="s">
        <v>93</v>
      </c>
      <c r="D203" s="6">
        <v>44</v>
      </c>
      <c r="E203" s="6" t="s">
        <v>503</v>
      </c>
      <c r="F203" s="3" t="s">
        <v>759</v>
      </c>
      <c r="G203" s="2">
        <v>43904</v>
      </c>
      <c r="H203" s="1"/>
      <c r="I203" s="1"/>
      <c r="J203" s="2">
        <v>43893</v>
      </c>
      <c r="K203" s="1"/>
      <c r="L203" s="1" t="s">
        <v>134</v>
      </c>
      <c r="M203" s="5" t="s">
        <v>735</v>
      </c>
    </row>
    <row r="204" spans="1:13" ht="13.8" customHeight="1" x14ac:dyDescent="0.3">
      <c r="A204" s="6">
        <v>203</v>
      </c>
      <c r="B204" s="6" t="s">
        <v>77</v>
      </c>
      <c r="C204" s="6" t="s">
        <v>94</v>
      </c>
      <c r="D204" s="6">
        <v>36</v>
      </c>
      <c r="E204" s="6" t="s">
        <v>503</v>
      </c>
      <c r="F204" s="3" t="s">
        <v>760</v>
      </c>
      <c r="G204" s="2">
        <v>43904</v>
      </c>
      <c r="H204" s="48">
        <v>43920</v>
      </c>
      <c r="I204" s="1"/>
      <c r="J204" s="2">
        <v>43901</v>
      </c>
      <c r="K204" s="1"/>
      <c r="L204" s="1" t="s">
        <v>135</v>
      </c>
      <c r="M204" s="5" t="s">
        <v>735</v>
      </c>
    </row>
    <row r="205" spans="1:13" ht="13.8" customHeight="1" x14ac:dyDescent="0.3">
      <c r="A205" s="6">
        <v>204</v>
      </c>
      <c r="B205" s="6" t="s">
        <v>77</v>
      </c>
      <c r="C205" s="6" t="s">
        <v>93</v>
      </c>
      <c r="D205" s="6">
        <v>32</v>
      </c>
      <c r="E205" s="6" t="s">
        <v>777</v>
      </c>
      <c r="F205" s="3" t="s">
        <v>761</v>
      </c>
      <c r="G205" s="2">
        <v>43904</v>
      </c>
      <c r="H205" s="74">
        <v>43926</v>
      </c>
      <c r="I205" s="1"/>
      <c r="J205" s="2">
        <v>43901</v>
      </c>
      <c r="K205" s="1"/>
      <c r="L205" s="1" t="s">
        <v>132</v>
      </c>
      <c r="M205" s="5" t="s">
        <v>735</v>
      </c>
    </row>
    <row r="206" spans="1:13" ht="13.8" customHeight="1" x14ac:dyDescent="0.3">
      <c r="A206" s="6">
        <v>205</v>
      </c>
      <c r="B206" s="6" t="s">
        <v>77</v>
      </c>
      <c r="C206" s="6" t="s">
        <v>94</v>
      </c>
      <c r="D206" s="6">
        <v>30</v>
      </c>
      <c r="E206" s="6" t="s">
        <v>608</v>
      </c>
      <c r="F206" s="3" t="s">
        <v>762</v>
      </c>
      <c r="G206" s="2">
        <v>43904</v>
      </c>
      <c r="H206" s="1"/>
      <c r="I206" s="1"/>
      <c r="J206" s="2">
        <v>43898</v>
      </c>
      <c r="K206" s="1"/>
      <c r="L206" s="1" t="s">
        <v>133</v>
      </c>
      <c r="M206" s="5" t="s">
        <v>735</v>
      </c>
    </row>
    <row r="207" spans="1:13" ht="13.8" customHeight="1" x14ac:dyDescent="0.3">
      <c r="A207" s="6">
        <v>206</v>
      </c>
      <c r="B207" s="6" t="s">
        <v>77</v>
      </c>
      <c r="C207" s="6" t="s">
        <v>94</v>
      </c>
      <c r="D207" s="6">
        <v>33</v>
      </c>
      <c r="E207" s="6" t="s">
        <v>778</v>
      </c>
      <c r="F207" s="3" t="s">
        <v>763</v>
      </c>
      <c r="G207" s="2">
        <v>43904</v>
      </c>
      <c r="H207" s="43">
        <v>43919</v>
      </c>
      <c r="I207" s="1"/>
      <c r="J207" s="2">
        <v>43902</v>
      </c>
      <c r="K207" s="1"/>
      <c r="L207" s="1" t="s">
        <v>133</v>
      </c>
      <c r="M207" s="5" t="s">
        <v>735</v>
      </c>
    </row>
    <row r="208" spans="1:13" ht="13.8" customHeight="1" x14ac:dyDescent="0.3">
      <c r="A208" s="6">
        <v>207</v>
      </c>
      <c r="B208" s="6" t="s">
        <v>77</v>
      </c>
      <c r="C208" s="6" t="s">
        <v>94</v>
      </c>
      <c r="D208" s="6">
        <v>40</v>
      </c>
      <c r="E208" s="6" t="s">
        <v>503</v>
      </c>
      <c r="F208" s="3" t="s">
        <v>764</v>
      </c>
      <c r="G208" s="2">
        <v>43904</v>
      </c>
      <c r="H208" s="1"/>
      <c r="I208" s="1"/>
      <c r="J208" s="2">
        <v>43900</v>
      </c>
      <c r="K208" s="1"/>
      <c r="L208" s="1" t="s">
        <v>133</v>
      </c>
      <c r="M208" s="5" t="s">
        <v>735</v>
      </c>
    </row>
    <row r="209" spans="1:13" ht="13.8" customHeight="1" x14ac:dyDescent="0.3">
      <c r="A209" s="6">
        <v>208</v>
      </c>
      <c r="B209" s="6" t="s">
        <v>78</v>
      </c>
      <c r="C209" s="6" t="s">
        <v>94</v>
      </c>
      <c r="D209" s="6">
        <v>26</v>
      </c>
      <c r="E209" s="6" t="s">
        <v>503</v>
      </c>
      <c r="F209" s="3" t="s">
        <v>765</v>
      </c>
      <c r="G209" s="2">
        <v>43904</v>
      </c>
      <c r="H209" s="1"/>
      <c r="I209" s="1"/>
      <c r="J209" s="2">
        <v>43893</v>
      </c>
      <c r="K209" s="1"/>
      <c r="L209" s="1" t="s">
        <v>133</v>
      </c>
      <c r="M209" s="5" t="s">
        <v>735</v>
      </c>
    </row>
    <row r="210" spans="1:13" ht="13.8" customHeight="1" x14ac:dyDescent="0.3">
      <c r="A210" s="6">
        <v>209</v>
      </c>
      <c r="B210" s="6" t="s">
        <v>77</v>
      </c>
      <c r="C210" s="6" t="s">
        <v>94</v>
      </c>
      <c r="D210" s="6">
        <v>32</v>
      </c>
      <c r="E210" s="6" t="s">
        <v>503</v>
      </c>
      <c r="F210" s="3" t="s">
        <v>766</v>
      </c>
      <c r="G210" s="2">
        <v>43904</v>
      </c>
      <c r="H210" s="1"/>
      <c r="I210" s="1"/>
      <c r="J210" s="2">
        <v>43901</v>
      </c>
      <c r="K210" s="1"/>
      <c r="L210" s="1" t="s">
        <v>132</v>
      </c>
      <c r="M210" s="5" t="s">
        <v>735</v>
      </c>
    </row>
    <row r="211" spans="1:13" ht="13.8" customHeight="1" x14ac:dyDescent="0.3">
      <c r="A211" s="6">
        <v>210</v>
      </c>
      <c r="B211" s="6" t="s">
        <v>77</v>
      </c>
      <c r="C211" s="6" t="s">
        <v>93</v>
      </c>
      <c r="D211" s="6">
        <v>56</v>
      </c>
      <c r="E211" s="6" t="s">
        <v>779</v>
      </c>
      <c r="F211" s="3" t="s">
        <v>767</v>
      </c>
      <c r="G211" s="2">
        <v>43904</v>
      </c>
      <c r="H211" s="48">
        <v>43920</v>
      </c>
      <c r="I211" s="1"/>
      <c r="J211" s="2">
        <v>43903</v>
      </c>
      <c r="K211" s="1"/>
      <c r="L211" s="1" t="s">
        <v>133</v>
      </c>
      <c r="M211" s="5" t="s">
        <v>735</v>
      </c>
    </row>
    <row r="212" spans="1:13" ht="13.8" customHeight="1" x14ac:dyDescent="0.3">
      <c r="A212" s="6">
        <v>211</v>
      </c>
      <c r="B212" s="6" t="s">
        <v>78</v>
      </c>
      <c r="C212" s="6" t="s">
        <v>94</v>
      </c>
      <c r="D212" s="6">
        <v>35</v>
      </c>
      <c r="E212" s="6" t="s">
        <v>503</v>
      </c>
      <c r="F212" s="3" t="s">
        <v>768</v>
      </c>
      <c r="G212" s="2">
        <v>43904</v>
      </c>
      <c r="H212" s="19">
        <v>43913</v>
      </c>
      <c r="I212" s="1"/>
      <c r="J212" s="2">
        <v>43903</v>
      </c>
      <c r="K212" s="1"/>
      <c r="L212" s="1" t="s">
        <v>133</v>
      </c>
      <c r="M212" s="5" t="s">
        <v>735</v>
      </c>
    </row>
    <row r="213" spans="1:13" ht="13.8" customHeight="1" x14ac:dyDescent="0.3">
      <c r="A213" s="6">
        <v>212</v>
      </c>
      <c r="B213" s="6" t="s">
        <v>77</v>
      </c>
      <c r="C213" s="6" t="s">
        <v>93</v>
      </c>
      <c r="D213" s="6">
        <v>64</v>
      </c>
      <c r="E213" s="6" t="s">
        <v>519</v>
      </c>
      <c r="F213" s="3" t="s">
        <v>769</v>
      </c>
      <c r="G213" s="2">
        <v>43904</v>
      </c>
      <c r="H213" s="1"/>
      <c r="I213" s="2">
        <v>43911</v>
      </c>
      <c r="J213" s="2">
        <v>43899</v>
      </c>
      <c r="K213" s="1"/>
      <c r="L213" s="1" t="s">
        <v>133</v>
      </c>
      <c r="M213" s="5" t="s">
        <v>735</v>
      </c>
    </row>
    <row r="214" spans="1:13" ht="13.8" customHeight="1" x14ac:dyDescent="0.3">
      <c r="A214" s="6">
        <v>213</v>
      </c>
      <c r="B214" s="6" t="s">
        <v>77</v>
      </c>
      <c r="C214" s="6" t="s">
        <v>93</v>
      </c>
      <c r="D214" s="6">
        <v>48</v>
      </c>
      <c r="E214" s="6" t="s">
        <v>503</v>
      </c>
      <c r="F214" s="3" t="s">
        <v>770</v>
      </c>
      <c r="G214" s="2">
        <v>43905</v>
      </c>
      <c r="H214" s="38">
        <v>43918</v>
      </c>
      <c r="I214" s="1"/>
      <c r="J214" s="2">
        <v>43898</v>
      </c>
      <c r="K214" s="1"/>
      <c r="L214" s="1" t="s">
        <v>134</v>
      </c>
      <c r="M214" s="5" t="s">
        <v>736</v>
      </c>
    </row>
    <row r="215" spans="1:13" ht="13.8" customHeight="1" x14ac:dyDescent="0.3">
      <c r="A215" s="6">
        <v>214</v>
      </c>
      <c r="B215" s="6" t="s">
        <v>78</v>
      </c>
      <c r="C215" s="6" t="s">
        <v>93</v>
      </c>
      <c r="D215" s="6">
        <v>29</v>
      </c>
      <c r="E215" s="6" t="s">
        <v>503</v>
      </c>
      <c r="F215" s="3" t="s">
        <v>771</v>
      </c>
      <c r="G215" s="2">
        <v>43905</v>
      </c>
      <c r="H215" s="68">
        <v>43924</v>
      </c>
      <c r="I215" s="1"/>
      <c r="J215" s="2">
        <v>43895</v>
      </c>
      <c r="K215" s="1"/>
      <c r="L215" s="1" t="s">
        <v>133</v>
      </c>
      <c r="M215" s="5" t="s">
        <v>736</v>
      </c>
    </row>
    <row r="216" spans="1:13" ht="13.8" customHeight="1" x14ac:dyDescent="0.3">
      <c r="A216" s="6">
        <v>215</v>
      </c>
      <c r="B216" s="6" t="s">
        <v>77</v>
      </c>
      <c r="C216" s="6" t="s">
        <v>93</v>
      </c>
      <c r="D216" s="6">
        <v>65</v>
      </c>
      <c r="E216" s="6" t="s">
        <v>503</v>
      </c>
      <c r="F216" s="3" t="s">
        <v>772</v>
      </c>
      <c r="G216" s="2">
        <v>43905</v>
      </c>
      <c r="H216" s="1"/>
      <c r="I216" s="1"/>
      <c r="J216" s="2">
        <v>43903</v>
      </c>
      <c r="K216" s="1"/>
      <c r="L216" s="1" t="s">
        <v>132</v>
      </c>
      <c r="M216" s="5" t="s">
        <v>736</v>
      </c>
    </row>
    <row r="217" spans="1:13" ht="13.8" customHeight="1" x14ac:dyDescent="0.3">
      <c r="A217" s="6">
        <v>216</v>
      </c>
      <c r="B217" s="6" t="s">
        <v>77</v>
      </c>
      <c r="C217" s="1" t="s">
        <v>93</v>
      </c>
      <c r="D217" s="6">
        <v>30</v>
      </c>
      <c r="E217" s="6" t="s">
        <v>503</v>
      </c>
      <c r="F217" s="3" t="s">
        <v>773</v>
      </c>
      <c r="G217" s="2">
        <v>43905</v>
      </c>
      <c r="H217" s="19">
        <v>43917</v>
      </c>
      <c r="I217" s="1"/>
      <c r="J217" s="2">
        <v>43899</v>
      </c>
      <c r="K217" s="1"/>
      <c r="L217" s="1" t="s">
        <v>133</v>
      </c>
      <c r="M217" s="5" t="s">
        <v>736</v>
      </c>
    </row>
    <row r="218" spans="1:13" ht="13.8" customHeight="1" x14ac:dyDescent="0.3">
      <c r="A218" s="6">
        <v>217</v>
      </c>
      <c r="B218" s="6" t="s">
        <v>77</v>
      </c>
      <c r="C218" s="1" t="s">
        <v>93</v>
      </c>
      <c r="D218" s="6">
        <v>22</v>
      </c>
      <c r="E218" s="6" t="s">
        <v>780</v>
      </c>
      <c r="F218" s="3" t="s">
        <v>774</v>
      </c>
      <c r="G218" s="2">
        <v>43905</v>
      </c>
      <c r="H218" s="38">
        <v>43918</v>
      </c>
      <c r="I218" s="1"/>
      <c r="J218" s="2">
        <v>43903</v>
      </c>
      <c r="K218" s="1"/>
      <c r="L218" s="1" t="s">
        <v>133</v>
      </c>
      <c r="M218" s="5" t="s">
        <v>736</v>
      </c>
    </row>
    <row r="219" spans="1:13" ht="13.8" customHeight="1" x14ac:dyDescent="0.3">
      <c r="A219" s="6">
        <v>218</v>
      </c>
      <c r="B219" s="6" t="s">
        <v>78</v>
      </c>
      <c r="C219" s="1" t="s">
        <v>94</v>
      </c>
      <c r="D219" s="6">
        <v>55</v>
      </c>
      <c r="E219" s="6" t="s">
        <v>503</v>
      </c>
      <c r="F219" s="3" t="s">
        <v>775</v>
      </c>
      <c r="G219" s="2">
        <v>43905</v>
      </c>
      <c r="H219" s="28">
        <v>43910</v>
      </c>
      <c r="I219" s="28"/>
      <c r="J219" s="2">
        <v>43892</v>
      </c>
      <c r="K219" s="1"/>
      <c r="L219" s="1" t="s">
        <v>138</v>
      </c>
      <c r="M219" s="5" t="s">
        <v>736</v>
      </c>
    </row>
    <row r="220" spans="1:13" ht="13.8" customHeight="1" x14ac:dyDescent="0.3">
      <c r="A220" s="6">
        <v>219</v>
      </c>
      <c r="B220" s="6" t="s">
        <v>78</v>
      </c>
      <c r="C220" s="1" t="s">
        <v>93</v>
      </c>
      <c r="D220" s="6">
        <v>30</v>
      </c>
      <c r="E220" s="6" t="s">
        <v>503</v>
      </c>
      <c r="F220" s="3" t="s">
        <v>846</v>
      </c>
      <c r="G220" s="2">
        <v>43905</v>
      </c>
      <c r="H220" s="19">
        <v>43917</v>
      </c>
      <c r="I220" s="1"/>
      <c r="J220" s="2">
        <v>43903</v>
      </c>
      <c r="K220" s="1"/>
      <c r="L220" s="1" t="s">
        <v>134</v>
      </c>
      <c r="M220" s="5" t="s">
        <v>736</v>
      </c>
    </row>
    <row r="221" spans="1:13" ht="13.8" customHeight="1" x14ac:dyDescent="0.3">
      <c r="A221" s="6">
        <v>220</v>
      </c>
      <c r="B221" s="6" t="s">
        <v>77</v>
      </c>
      <c r="C221" s="1" t="s">
        <v>93</v>
      </c>
      <c r="D221" s="6">
        <v>53</v>
      </c>
      <c r="E221" s="6" t="s">
        <v>503</v>
      </c>
      <c r="F221" s="3" t="s">
        <v>847</v>
      </c>
      <c r="G221" s="2">
        <v>43905</v>
      </c>
      <c r="H221" s="1"/>
      <c r="I221" s="1"/>
      <c r="J221" s="2">
        <v>43902</v>
      </c>
      <c r="K221" s="1"/>
      <c r="L221" s="1" t="s">
        <v>133</v>
      </c>
      <c r="M221" s="5" t="s">
        <v>736</v>
      </c>
    </row>
    <row r="222" spans="1:13" ht="13.8" customHeight="1" x14ac:dyDescent="0.3">
      <c r="A222" s="6">
        <v>221</v>
      </c>
      <c r="B222" s="6" t="s">
        <v>78</v>
      </c>
      <c r="C222" s="1" t="s">
        <v>94</v>
      </c>
      <c r="D222" s="6">
        <v>28</v>
      </c>
      <c r="E222" s="6" t="s">
        <v>608</v>
      </c>
      <c r="F222" s="3" t="s">
        <v>848</v>
      </c>
      <c r="G222" s="2">
        <v>43905</v>
      </c>
      <c r="H222" s="1"/>
      <c r="I222" s="1"/>
      <c r="J222" s="2">
        <v>43901</v>
      </c>
      <c r="K222" s="1"/>
      <c r="L222" s="1" t="s">
        <v>133</v>
      </c>
      <c r="M222" s="5" t="s">
        <v>736</v>
      </c>
    </row>
    <row r="223" spans="1:13" ht="13.8" customHeight="1" x14ac:dyDescent="0.3">
      <c r="A223" s="6">
        <v>222</v>
      </c>
      <c r="B223" s="6" t="s">
        <v>77</v>
      </c>
      <c r="C223" s="1" t="s">
        <v>93</v>
      </c>
      <c r="D223" s="6">
        <v>41</v>
      </c>
      <c r="E223" s="6" t="s">
        <v>623</v>
      </c>
      <c r="F223" s="3" t="s">
        <v>849</v>
      </c>
      <c r="G223" s="2">
        <v>43905</v>
      </c>
      <c r="H223" s="56">
        <v>43921</v>
      </c>
      <c r="I223" s="1"/>
      <c r="J223" s="2">
        <v>43903</v>
      </c>
      <c r="K223" s="1"/>
      <c r="L223" s="1" t="s">
        <v>133</v>
      </c>
      <c r="M223" s="5" t="s">
        <v>736</v>
      </c>
    </row>
    <row r="224" spans="1:13" ht="13.8" customHeight="1" x14ac:dyDescent="0.3">
      <c r="A224" s="6">
        <v>223</v>
      </c>
      <c r="B224" s="6" t="s">
        <v>77</v>
      </c>
      <c r="C224" s="1" t="s">
        <v>93</v>
      </c>
      <c r="D224" s="6">
        <v>60</v>
      </c>
      <c r="E224" s="6" t="s">
        <v>503</v>
      </c>
      <c r="F224" s="3" t="s">
        <v>850</v>
      </c>
      <c r="G224" s="2">
        <v>43905</v>
      </c>
      <c r="H224" s="19">
        <v>43916</v>
      </c>
      <c r="I224" s="1"/>
      <c r="J224" s="2">
        <v>43903</v>
      </c>
      <c r="K224" s="1"/>
      <c r="L224" s="1" t="s">
        <v>133</v>
      </c>
      <c r="M224" s="5" t="s">
        <v>736</v>
      </c>
    </row>
    <row r="225" spans="1:13" ht="13.8" customHeight="1" x14ac:dyDescent="0.3">
      <c r="A225" s="6">
        <v>224</v>
      </c>
      <c r="B225" s="6" t="s">
        <v>78</v>
      </c>
      <c r="C225" s="1" t="s">
        <v>93</v>
      </c>
      <c r="D225" s="6">
        <v>50</v>
      </c>
      <c r="E225" s="6" t="s">
        <v>503</v>
      </c>
      <c r="F225" s="3" t="s">
        <v>851</v>
      </c>
      <c r="G225" s="2">
        <v>43905</v>
      </c>
      <c r="H225" s="1"/>
      <c r="I225" s="1"/>
      <c r="J225" s="2">
        <v>43903</v>
      </c>
      <c r="K225" s="1"/>
      <c r="L225" s="1" t="s">
        <v>133</v>
      </c>
      <c r="M225" s="5" t="s">
        <v>736</v>
      </c>
    </row>
    <row r="226" spans="1:13" ht="13.8" customHeight="1" x14ac:dyDescent="0.3">
      <c r="A226" s="6">
        <v>225</v>
      </c>
      <c r="B226" s="6" t="s">
        <v>77</v>
      </c>
      <c r="C226" s="1" t="s">
        <v>93</v>
      </c>
      <c r="D226" s="6">
        <v>63</v>
      </c>
      <c r="E226" s="6" t="s">
        <v>503</v>
      </c>
      <c r="F226" s="3" t="s">
        <v>852</v>
      </c>
      <c r="G226" s="2">
        <v>43905</v>
      </c>
      <c r="H226" s="1"/>
      <c r="I226" s="1"/>
      <c r="J226" s="2">
        <v>43899</v>
      </c>
      <c r="K226" s="1"/>
      <c r="L226" s="1" t="s">
        <v>133</v>
      </c>
      <c r="M226" s="5" t="s">
        <v>736</v>
      </c>
    </row>
    <row r="227" spans="1:13" ht="13.8" customHeight="1" x14ac:dyDescent="0.3">
      <c r="A227" s="6">
        <v>226</v>
      </c>
      <c r="B227" s="6" t="s">
        <v>77</v>
      </c>
      <c r="C227" s="1" t="s">
        <v>93</v>
      </c>
      <c r="D227" s="6">
        <v>49</v>
      </c>
      <c r="E227" s="6" t="s">
        <v>781</v>
      </c>
      <c r="F227" s="3" t="s">
        <v>853</v>
      </c>
      <c r="G227" s="2">
        <v>43905</v>
      </c>
      <c r="H227" s="1"/>
      <c r="I227" s="1"/>
      <c r="J227" s="2">
        <v>43902</v>
      </c>
      <c r="K227" s="1"/>
      <c r="L227" s="1" t="s">
        <v>133</v>
      </c>
      <c r="M227" s="5" t="s">
        <v>736</v>
      </c>
    </row>
    <row r="228" spans="1:13" ht="13.8" customHeight="1" x14ac:dyDescent="0.3">
      <c r="A228" s="6">
        <v>227</v>
      </c>
      <c r="B228" s="6" t="s">
        <v>77</v>
      </c>
      <c r="C228" s="6" t="s">
        <v>93</v>
      </c>
      <c r="D228" s="6">
        <v>53</v>
      </c>
      <c r="E228" s="6" t="s">
        <v>503</v>
      </c>
      <c r="F228" s="3" t="s">
        <v>854</v>
      </c>
      <c r="G228" s="2">
        <v>43906</v>
      </c>
      <c r="H228" s="1"/>
      <c r="I228" s="1"/>
      <c r="J228" s="2">
        <v>43901</v>
      </c>
      <c r="K228" s="1"/>
      <c r="L228" s="6" t="s">
        <v>138</v>
      </c>
      <c r="M228" s="5" t="s">
        <v>862</v>
      </c>
    </row>
    <row r="229" spans="1:13" ht="13.8" customHeight="1" x14ac:dyDescent="0.3">
      <c r="A229" s="6">
        <v>228</v>
      </c>
      <c r="B229" s="6" t="s">
        <v>78</v>
      </c>
      <c r="C229" s="6" t="s">
        <v>93</v>
      </c>
      <c r="D229" s="6">
        <v>67</v>
      </c>
      <c r="E229" s="6" t="s">
        <v>503</v>
      </c>
      <c r="F229" s="3" t="s">
        <v>855</v>
      </c>
      <c r="G229" s="2">
        <v>43906</v>
      </c>
      <c r="H229" s="48">
        <v>43920</v>
      </c>
      <c r="I229" s="1"/>
      <c r="J229" s="2">
        <v>43893</v>
      </c>
      <c r="K229" s="1"/>
      <c r="L229" s="6" t="s">
        <v>135</v>
      </c>
      <c r="M229" s="5" t="s">
        <v>862</v>
      </c>
    </row>
    <row r="230" spans="1:13" ht="13.8" customHeight="1" x14ac:dyDescent="0.3">
      <c r="A230" s="6">
        <v>229</v>
      </c>
      <c r="B230" s="6" t="s">
        <v>77</v>
      </c>
      <c r="C230" s="6" t="s">
        <v>94</v>
      </c>
      <c r="D230" s="6">
        <v>26</v>
      </c>
      <c r="E230" s="6" t="s">
        <v>503</v>
      </c>
      <c r="F230" s="3" t="s">
        <v>856</v>
      </c>
      <c r="G230" s="2">
        <v>43906</v>
      </c>
      <c r="H230" s="1"/>
      <c r="I230" s="1"/>
      <c r="J230" s="2">
        <v>43905</v>
      </c>
      <c r="K230" s="1"/>
      <c r="L230" s="6" t="s">
        <v>138</v>
      </c>
      <c r="M230" s="5" t="s">
        <v>862</v>
      </c>
    </row>
    <row r="231" spans="1:13" ht="13.8" customHeight="1" x14ac:dyDescent="0.3">
      <c r="A231" s="6">
        <v>230</v>
      </c>
      <c r="B231" s="6" t="s">
        <v>77</v>
      </c>
      <c r="C231" s="6" t="s">
        <v>94</v>
      </c>
      <c r="D231" s="6">
        <v>38</v>
      </c>
      <c r="E231" s="6" t="s">
        <v>503</v>
      </c>
      <c r="F231" s="3" t="s">
        <v>857</v>
      </c>
      <c r="G231" s="2">
        <v>43906</v>
      </c>
      <c r="H231" s="1"/>
      <c r="I231" s="1"/>
      <c r="J231" s="2">
        <v>43904</v>
      </c>
      <c r="K231" s="1"/>
      <c r="L231" s="6" t="s">
        <v>133</v>
      </c>
      <c r="M231" s="5" t="s">
        <v>862</v>
      </c>
    </row>
    <row r="232" spans="1:13" ht="13.8" customHeight="1" x14ac:dyDescent="0.3">
      <c r="A232" s="6">
        <v>231</v>
      </c>
      <c r="B232" s="6" t="s">
        <v>77</v>
      </c>
      <c r="C232" s="6" t="s">
        <v>93</v>
      </c>
      <c r="D232" s="6">
        <v>78</v>
      </c>
      <c r="E232" s="6" t="s">
        <v>860</v>
      </c>
      <c r="F232" s="3" t="s">
        <v>858</v>
      </c>
      <c r="G232" s="2">
        <v>43906</v>
      </c>
      <c r="H232" s="64">
        <v>43923</v>
      </c>
      <c r="I232" s="1"/>
      <c r="J232" s="2">
        <v>43894</v>
      </c>
      <c r="K232" s="1"/>
      <c r="L232" s="6" t="s">
        <v>132</v>
      </c>
      <c r="M232" s="5" t="s">
        <v>862</v>
      </c>
    </row>
    <row r="233" spans="1:13" ht="13.8" customHeight="1" x14ac:dyDescent="0.3">
      <c r="A233" s="6">
        <v>232</v>
      </c>
      <c r="B233" s="6" t="s">
        <v>77</v>
      </c>
      <c r="C233" s="6" t="s">
        <v>94</v>
      </c>
      <c r="D233" s="6">
        <v>65</v>
      </c>
      <c r="E233" s="6" t="s">
        <v>860</v>
      </c>
      <c r="F233" s="3" t="s">
        <v>859</v>
      </c>
      <c r="G233" s="2">
        <v>43906</v>
      </c>
      <c r="H233" s="19">
        <v>43916</v>
      </c>
      <c r="I233" s="1"/>
      <c r="J233" s="2">
        <v>43892</v>
      </c>
      <c r="K233" s="1"/>
      <c r="L233" s="6" t="s">
        <v>132</v>
      </c>
      <c r="M233" s="5" t="s">
        <v>862</v>
      </c>
    </row>
    <row r="234" spans="1:13" ht="13.8" customHeight="1" x14ac:dyDescent="0.3">
      <c r="A234" s="6">
        <v>233</v>
      </c>
      <c r="B234" s="6" t="s">
        <v>77</v>
      </c>
      <c r="C234" s="6" t="s">
        <v>93</v>
      </c>
      <c r="D234" s="6">
        <v>61</v>
      </c>
      <c r="E234" s="6" t="s">
        <v>650</v>
      </c>
      <c r="F234" s="3" t="s">
        <v>889</v>
      </c>
      <c r="G234" s="2">
        <v>43906</v>
      </c>
      <c r="H234" s="1"/>
      <c r="I234" s="1"/>
      <c r="J234" s="2">
        <v>43905</v>
      </c>
      <c r="K234" s="1"/>
      <c r="L234" s="6" t="s">
        <v>133</v>
      </c>
      <c r="M234" s="5" t="s">
        <v>862</v>
      </c>
    </row>
    <row r="235" spans="1:13" ht="13.8" customHeight="1" x14ac:dyDescent="0.3">
      <c r="A235" s="6">
        <v>234</v>
      </c>
      <c r="B235" s="6" t="s">
        <v>78</v>
      </c>
      <c r="C235" s="6" t="s">
        <v>93</v>
      </c>
      <c r="D235" s="6">
        <v>86</v>
      </c>
      <c r="E235" s="6" t="s">
        <v>503</v>
      </c>
      <c r="F235" s="3" t="s">
        <v>890</v>
      </c>
      <c r="G235" s="2">
        <v>43906</v>
      </c>
      <c r="H235" s="19">
        <v>43917</v>
      </c>
      <c r="I235" s="1"/>
      <c r="J235" s="2">
        <v>43889</v>
      </c>
      <c r="K235" s="1"/>
      <c r="L235" s="6" t="s">
        <v>132</v>
      </c>
      <c r="M235" s="5" t="s">
        <v>862</v>
      </c>
    </row>
    <row r="236" spans="1:13" ht="13.8" customHeight="1" x14ac:dyDescent="0.3">
      <c r="A236" s="6">
        <v>235</v>
      </c>
      <c r="B236" s="6" t="s">
        <v>78</v>
      </c>
      <c r="C236" s="6" t="s">
        <v>94</v>
      </c>
      <c r="D236" s="6">
        <v>31</v>
      </c>
      <c r="E236" s="6" t="s">
        <v>503</v>
      </c>
      <c r="F236" s="3" t="s">
        <v>891</v>
      </c>
      <c r="G236" s="2">
        <v>43906</v>
      </c>
      <c r="H236" s="19">
        <v>43913</v>
      </c>
      <c r="I236" s="1"/>
      <c r="J236" s="2">
        <v>43901</v>
      </c>
      <c r="K236" s="1"/>
      <c r="L236" s="6" t="s">
        <v>132</v>
      </c>
      <c r="M236" s="5" t="s">
        <v>862</v>
      </c>
    </row>
    <row r="237" spans="1:13" ht="13.8" customHeight="1" x14ac:dyDescent="0.3">
      <c r="A237" s="6">
        <v>236</v>
      </c>
      <c r="B237" s="6" t="s">
        <v>78</v>
      </c>
      <c r="C237" s="6" t="s">
        <v>94</v>
      </c>
      <c r="D237" s="6">
        <v>30</v>
      </c>
      <c r="E237" s="6" t="s">
        <v>503</v>
      </c>
      <c r="F237" s="3" t="s">
        <v>892</v>
      </c>
      <c r="G237" s="2">
        <v>43906</v>
      </c>
      <c r="H237" s="38">
        <v>43918</v>
      </c>
      <c r="I237" s="1"/>
      <c r="J237" s="2">
        <v>43900</v>
      </c>
      <c r="K237" s="1"/>
      <c r="L237" s="6" t="s">
        <v>133</v>
      </c>
      <c r="M237" s="5" t="s">
        <v>862</v>
      </c>
    </row>
    <row r="238" spans="1:13" ht="13.8" customHeight="1" x14ac:dyDescent="0.3">
      <c r="A238" s="6">
        <v>237</v>
      </c>
      <c r="B238" s="6" t="s">
        <v>78</v>
      </c>
      <c r="C238" s="6" t="s">
        <v>94</v>
      </c>
      <c r="D238" s="6">
        <v>36</v>
      </c>
      <c r="E238" s="6" t="s">
        <v>519</v>
      </c>
      <c r="F238" s="3" t="s">
        <v>893</v>
      </c>
      <c r="G238" s="2">
        <v>43906</v>
      </c>
      <c r="H238" s="19">
        <v>43916</v>
      </c>
      <c r="I238" s="1"/>
      <c r="J238" s="2">
        <v>43902</v>
      </c>
      <c r="K238" s="1"/>
      <c r="L238" s="6" t="s">
        <v>133</v>
      </c>
      <c r="M238" s="5" t="s">
        <v>862</v>
      </c>
    </row>
    <row r="239" spans="1:13" ht="13.8" customHeight="1" x14ac:dyDescent="0.3">
      <c r="A239" s="6">
        <v>238</v>
      </c>
      <c r="B239" s="6" t="s">
        <v>77</v>
      </c>
      <c r="C239" s="6" t="s">
        <v>94</v>
      </c>
      <c r="D239" s="6">
        <v>83</v>
      </c>
      <c r="E239" s="6" t="s">
        <v>861</v>
      </c>
      <c r="F239" s="3" t="s">
        <v>894</v>
      </c>
      <c r="G239" s="2">
        <v>43906</v>
      </c>
      <c r="H239" s="1"/>
      <c r="I239" s="1"/>
      <c r="J239" s="2">
        <v>43904</v>
      </c>
      <c r="K239" s="1"/>
      <c r="L239" s="6" t="s">
        <v>133</v>
      </c>
      <c r="M239" s="5" t="s">
        <v>862</v>
      </c>
    </row>
    <row r="240" spans="1:13" ht="13.8" customHeight="1" x14ac:dyDescent="0.3">
      <c r="A240" s="6">
        <v>239</v>
      </c>
      <c r="B240" s="6" t="s">
        <v>77</v>
      </c>
      <c r="C240" s="6" t="s">
        <v>93</v>
      </c>
      <c r="D240" s="6">
        <v>28</v>
      </c>
      <c r="E240" s="6" t="s">
        <v>650</v>
      </c>
      <c r="F240" s="3" t="s">
        <v>895</v>
      </c>
      <c r="G240" s="2">
        <v>43906</v>
      </c>
      <c r="H240" s="48">
        <v>43920</v>
      </c>
      <c r="I240" s="1"/>
      <c r="J240" s="2">
        <v>43904</v>
      </c>
      <c r="K240" s="1"/>
      <c r="L240" s="6" t="s">
        <v>133</v>
      </c>
      <c r="M240" s="5" t="s">
        <v>862</v>
      </c>
    </row>
    <row r="241" spans="1:13" ht="13.8" customHeight="1" x14ac:dyDescent="0.3">
      <c r="A241" s="6">
        <v>240</v>
      </c>
      <c r="B241" s="6" t="s">
        <v>77</v>
      </c>
      <c r="C241" s="6" t="s">
        <v>93</v>
      </c>
      <c r="D241" s="6">
        <v>27</v>
      </c>
      <c r="E241" s="6" t="s">
        <v>503</v>
      </c>
      <c r="F241" s="3" t="s">
        <v>896</v>
      </c>
      <c r="G241" s="2">
        <v>43906</v>
      </c>
      <c r="H241" s="1"/>
      <c r="I241" s="1"/>
      <c r="J241" s="2">
        <v>43904</v>
      </c>
      <c r="K241" s="1"/>
      <c r="L241" s="1" t="s">
        <v>138</v>
      </c>
      <c r="M241" s="5" t="s">
        <v>862</v>
      </c>
    </row>
    <row r="242" spans="1:13" ht="13.8" customHeight="1" x14ac:dyDescent="0.3">
      <c r="A242" s="6">
        <v>241</v>
      </c>
      <c r="B242" s="6" t="s">
        <v>77</v>
      </c>
      <c r="C242" s="6" t="s">
        <v>93</v>
      </c>
      <c r="D242" s="6">
        <v>28</v>
      </c>
      <c r="E242" s="6" t="s">
        <v>650</v>
      </c>
      <c r="F242" s="3" t="s">
        <v>897</v>
      </c>
      <c r="G242" s="2">
        <v>43906</v>
      </c>
      <c r="H242" s="38">
        <v>43918</v>
      </c>
      <c r="I242" s="1"/>
      <c r="J242" s="2">
        <v>43901</v>
      </c>
      <c r="K242" s="1"/>
      <c r="L242" s="6" t="s">
        <v>133</v>
      </c>
      <c r="M242" s="5" t="s">
        <v>862</v>
      </c>
    </row>
    <row r="243" spans="1:13" ht="13.8" customHeight="1" x14ac:dyDescent="0.3">
      <c r="A243" s="6">
        <v>242</v>
      </c>
      <c r="B243" s="6" t="s">
        <v>78</v>
      </c>
      <c r="C243" s="6" t="s">
        <v>94</v>
      </c>
      <c r="D243" s="6">
        <v>64</v>
      </c>
      <c r="E243" s="6" t="s">
        <v>503</v>
      </c>
      <c r="F243" s="3" t="s">
        <v>898</v>
      </c>
      <c r="G243" s="2">
        <v>43906</v>
      </c>
      <c r="H243" s="56">
        <v>43921</v>
      </c>
      <c r="I243" s="1"/>
      <c r="J243" s="2">
        <v>43904</v>
      </c>
      <c r="K243" s="1"/>
      <c r="L243" s="6" t="s">
        <v>133</v>
      </c>
      <c r="M243" s="5" t="s">
        <v>862</v>
      </c>
    </row>
    <row r="244" spans="1:13" ht="13.8" customHeight="1" x14ac:dyDescent="0.3">
      <c r="A244" s="6">
        <v>243</v>
      </c>
      <c r="B244" s="6" t="s">
        <v>77</v>
      </c>
      <c r="C244" s="6" t="s">
        <v>93</v>
      </c>
      <c r="D244" s="6">
        <v>36</v>
      </c>
      <c r="E244" s="6" t="s">
        <v>503</v>
      </c>
      <c r="F244" s="3" t="s">
        <v>899</v>
      </c>
      <c r="G244" s="2">
        <v>43906</v>
      </c>
      <c r="H244" s="19">
        <v>43916</v>
      </c>
      <c r="I244" s="1"/>
      <c r="J244" s="2">
        <v>43901</v>
      </c>
      <c r="K244" s="1"/>
      <c r="L244" s="6" t="s">
        <v>133</v>
      </c>
      <c r="M244" s="5" t="s">
        <v>862</v>
      </c>
    </row>
    <row r="245" spans="1:13" ht="13.8" customHeight="1" x14ac:dyDescent="0.3">
      <c r="A245" s="6">
        <v>244</v>
      </c>
      <c r="B245" s="6" t="s">
        <v>77</v>
      </c>
      <c r="C245" s="6" t="s">
        <v>93</v>
      </c>
      <c r="D245" s="6">
        <v>53</v>
      </c>
      <c r="E245" s="6" t="s">
        <v>503</v>
      </c>
      <c r="F245" s="3" t="s">
        <v>900</v>
      </c>
      <c r="G245" s="2">
        <v>43907</v>
      </c>
      <c r="H245" s="64">
        <v>43923</v>
      </c>
      <c r="I245" s="1"/>
      <c r="J245" s="2">
        <v>43897</v>
      </c>
      <c r="K245" s="1"/>
      <c r="L245" s="6" t="s">
        <v>133</v>
      </c>
      <c r="M245" s="5" t="s">
        <v>1028</v>
      </c>
    </row>
    <row r="246" spans="1:13" ht="13.8" customHeight="1" x14ac:dyDescent="0.3">
      <c r="A246" s="6">
        <v>245</v>
      </c>
      <c r="B246" s="6" t="s">
        <v>78</v>
      </c>
      <c r="C246" s="6" t="s">
        <v>93</v>
      </c>
      <c r="D246" s="6">
        <v>76</v>
      </c>
      <c r="E246" s="6" t="s">
        <v>503</v>
      </c>
      <c r="F246" s="3" t="s">
        <v>901</v>
      </c>
      <c r="G246" s="2">
        <v>43907</v>
      </c>
      <c r="H246" s="1"/>
      <c r="I246" s="1"/>
      <c r="J246" s="2">
        <v>43902</v>
      </c>
      <c r="K246" s="1"/>
      <c r="L246" s="1" t="s">
        <v>132</v>
      </c>
      <c r="M246" s="5" t="s">
        <v>1028</v>
      </c>
    </row>
    <row r="247" spans="1:13" ht="13.8" customHeight="1" x14ac:dyDescent="0.3">
      <c r="A247" s="6">
        <v>246</v>
      </c>
      <c r="B247" s="6" t="s">
        <v>77</v>
      </c>
      <c r="C247" s="6" t="s">
        <v>93</v>
      </c>
      <c r="D247" s="6">
        <v>39</v>
      </c>
      <c r="E247" s="6" t="s">
        <v>1025</v>
      </c>
      <c r="F247" s="3" t="s">
        <v>902</v>
      </c>
      <c r="G247" s="2">
        <v>43907</v>
      </c>
      <c r="H247" s="53">
        <v>43922</v>
      </c>
      <c r="I247" s="1"/>
      <c r="J247" s="2">
        <v>43899</v>
      </c>
      <c r="K247" s="1"/>
      <c r="L247" s="1" t="s">
        <v>132</v>
      </c>
      <c r="M247" s="5" t="s">
        <v>1028</v>
      </c>
    </row>
    <row r="248" spans="1:13" ht="13.8" customHeight="1" x14ac:dyDescent="0.3">
      <c r="A248" s="6">
        <v>247</v>
      </c>
      <c r="B248" s="6" t="s">
        <v>77</v>
      </c>
      <c r="C248" s="6" t="s">
        <v>93</v>
      </c>
      <c r="D248" s="6">
        <v>41</v>
      </c>
      <c r="E248" s="6" t="s">
        <v>503</v>
      </c>
      <c r="F248" s="3" t="s">
        <v>903</v>
      </c>
      <c r="G248" s="2">
        <v>43907</v>
      </c>
      <c r="H248" s="48">
        <v>43920</v>
      </c>
      <c r="I248" s="1"/>
      <c r="J248" s="2">
        <v>43906</v>
      </c>
      <c r="K248" s="1"/>
      <c r="L248" s="6" t="s">
        <v>133</v>
      </c>
      <c r="M248" s="5" t="s">
        <v>1028</v>
      </c>
    </row>
    <row r="249" spans="1:13" ht="13.8" customHeight="1" x14ac:dyDescent="0.3">
      <c r="A249" s="6">
        <v>248</v>
      </c>
      <c r="B249" s="6" t="s">
        <v>78</v>
      </c>
      <c r="C249" s="6" t="s">
        <v>94</v>
      </c>
      <c r="D249" s="6">
        <v>23</v>
      </c>
      <c r="E249" s="6" t="s">
        <v>591</v>
      </c>
      <c r="F249" s="1" t="s">
        <v>904</v>
      </c>
      <c r="G249" s="2">
        <v>43907</v>
      </c>
      <c r="H249" s="56">
        <v>43921</v>
      </c>
      <c r="I249" s="1"/>
      <c r="J249" s="1"/>
      <c r="K249" s="1"/>
      <c r="L249" s="6" t="s">
        <v>133</v>
      </c>
      <c r="M249" s="5" t="s">
        <v>1028</v>
      </c>
    </row>
    <row r="250" spans="1:13" ht="13.8" customHeight="1" x14ac:dyDescent="0.3">
      <c r="A250" s="6">
        <v>249</v>
      </c>
      <c r="B250" s="6" t="s">
        <v>77</v>
      </c>
      <c r="C250" s="6" t="s">
        <v>93</v>
      </c>
      <c r="D250" s="6">
        <v>42</v>
      </c>
      <c r="E250" s="6" t="s">
        <v>503</v>
      </c>
      <c r="F250" s="1" t="s">
        <v>905</v>
      </c>
      <c r="G250" s="2">
        <v>43907</v>
      </c>
      <c r="H250" s="64">
        <v>43923</v>
      </c>
      <c r="I250" s="1"/>
      <c r="J250" s="1"/>
      <c r="K250" s="1"/>
      <c r="L250" s="6" t="s">
        <v>133</v>
      </c>
      <c r="M250" s="5" t="s">
        <v>1028</v>
      </c>
    </row>
    <row r="251" spans="1:13" ht="13.8" customHeight="1" x14ac:dyDescent="0.3">
      <c r="A251" s="6">
        <v>250</v>
      </c>
      <c r="B251" s="6" t="s">
        <v>77</v>
      </c>
      <c r="C251" s="6" t="s">
        <v>93</v>
      </c>
      <c r="D251" s="6">
        <v>28</v>
      </c>
      <c r="E251" s="6" t="s">
        <v>650</v>
      </c>
      <c r="F251" s="1" t="s">
        <v>906</v>
      </c>
      <c r="G251" s="2">
        <v>43907</v>
      </c>
      <c r="H251" s="74">
        <v>43926</v>
      </c>
      <c r="I251" s="1"/>
      <c r="J251" s="1"/>
      <c r="K251" s="1"/>
      <c r="L251" s="6" t="s">
        <v>133</v>
      </c>
      <c r="M251" s="5" t="s">
        <v>1028</v>
      </c>
    </row>
    <row r="252" spans="1:13" ht="13.8" customHeight="1" x14ac:dyDescent="0.3">
      <c r="A252" s="6">
        <v>251</v>
      </c>
      <c r="B252" s="6" t="s">
        <v>78</v>
      </c>
      <c r="C252" s="6" t="s">
        <v>94</v>
      </c>
      <c r="D252" s="6">
        <v>59</v>
      </c>
      <c r="E252" s="6" t="s">
        <v>503</v>
      </c>
      <c r="F252" s="1" t="s">
        <v>907</v>
      </c>
      <c r="G252" s="2">
        <v>43907</v>
      </c>
      <c r="H252" s="19">
        <v>43917</v>
      </c>
      <c r="I252" s="1"/>
      <c r="J252" s="1"/>
      <c r="K252" s="1"/>
      <c r="L252" s="6" t="s">
        <v>133</v>
      </c>
      <c r="M252" s="5" t="s">
        <v>1028</v>
      </c>
    </row>
    <row r="253" spans="1:13" ht="13.8" customHeight="1" x14ac:dyDescent="0.3">
      <c r="A253" s="6">
        <v>252</v>
      </c>
      <c r="B253" s="6" t="s">
        <v>78</v>
      </c>
      <c r="C253" s="6" t="s">
        <v>93</v>
      </c>
      <c r="D253" s="6">
        <v>66</v>
      </c>
      <c r="E253" s="6" t="s">
        <v>503</v>
      </c>
      <c r="F253" s="1" t="s">
        <v>908</v>
      </c>
      <c r="G253" s="2">
        <v>43907</v>
      </c>
      <c r="H253" s="43">
        <v>43919</v>
      </c>
      <c r="I253" s="1"/>
      <c r="J253" s="1"/>
      <c r="K253" s="1"/>
      <c r="L253" s="6" t="s">
        <v>133</v>
      </c>
      <c r="M253" s="5" t="s">
        <v>1028</v>
      </c>
    </row>
    <row r="254" spans="1:13" ht="13.8" customHeight="1" x14ac:dyDescent="0.3">
      <c r="A254" s="6">
        <v>253</v>
      </c>
      <c r="B254" s="6" t="s">
        <v>77</v>
      </c>
      <c r="C254" s="6" t="s">
        <v>93</v>
      </c>
      <c r="D254" s="6">
        <v>24</v>
      </c>
      <c r="E254" s="6" t="s">
        <v>503</v>
      </c>
      <c r="F254" s="1" t="s">
        <v>909</v>
      </c>
      <c r="G254" s="2">
        <v>43907</v>
      </c>
      <c r="H254" s="48">
        <v>43920</v>
      </c>
      <c r="I254" s="1"/>
      <c r="J254" s="1"/>
      <c r="K254" s="1"/>
      <c r="L254" s="6" t="s">
        <v>133</v>
      </c>
      <c r="M254" s="5" t="s">
        <v>1028</v>
      </c>
    </row>
    <row r="255" spans="1:13" ht="13.8" customHeight="1" x14ac:dyDescent="0.3">
      <c r="A255" s="6">
        <v>254</v>
      </c>
      <c r="B255" s="6" t="s">
        <v>77</v>
      </c>
      <c r="C255" s="6" t="s">
        <v>94</v>
      </c>
      <c r="D255" s="6">
        <v>43</v>
      </c>
      <c r="E255" s="6" t="s">
        <v>503</v>
      </c>
      <c r="F255" s="1" t="s">
        <v>910</v>
      </c>
      <c r="G255" s="2">
        <v>43907</v>
      </c>
      <c r="H255" s="1"/>
      <c r="I255" s="1"/>
      <c r="J255" s="1"/>
      <c r="K255" s="1"/>
      <c r="L255" s="6" t="s">
        <v>133</v>
      </c>
      <c r="M255" s="5" t="s">
        <v>1028</v>
      </c>
    </row>
    <row r="256" spans="1:13" ht="13.8" customHeight="1" x14ac:dyDescent="0.3">
      <c r="A256" s="6">
        <v>255</v>
      </c>
      <c r="B256" s="6" t="s">
        <v>77</v>
      </c>
      <c r="C256" s="6" t="s">
        <v>93</v>
      </c>
      <c r="D256" s="6">
        <v>44</v>
      </c>
      <c r="E256" s="6" t="s">
        <v>1026</v>
      </c>
      <c r="F256" s="1" t="s">
        <v>911</v>
      </c>
      <c r="G256" s="2">
        <v>43907</v>
      </c>
      <c r="H256" s="19">
        <v>43911</v>
      </c>
      <c r="I256" s="19"/>
      <c r="J256" s="1"/>
      <c r="K256" s="1"/>
      <c r="L256" s="6" t="s">
        <v>133</v>
      </c>
      <c r="M256" s="5" t="s">
        <v>1028</v>
      </c>
    </row>
    <row r="257" spans="1:13" ht="13.8" customHeight="1" x14ac:dyDescent="0.3">
      <c r="A257" s="6">
        <v>256</v>
      </c>
      <c r="B257" s="6" t="s">
        <v>78</v>
      </c>
      <c r="C257" s="6" t="s">
        <v>94</v>
      </c>
      <c r="D257" s="6">
        <v>32</v>
      </c>
      <c r="E257" s="6" t="s">
        <v>608</v>
      </c>
      <c r="F257" s="1" t="s">
        <v>912</v>
      </c>
      <c r="G257" s="2">
        <v>43907</v>
      </c>
      <c r="H257" s="38">
        <v>43918</v>
      </c>
      <c r="I257" s="1"/>
      <c r="J257" s="1"/>
      <c r="K257" s="1"/>
      <c r="L257" s="6" t="s">
        <v>133</v>
      </c>
      <c r="M257" s="5" t="s">
        <v>1028</v>
      </c>
    </row>
    <row r="258" spans="1:13" ht="13.8" customHeight="1" x14ac:dyDescent="0.3">
      <c r="A258" s="6">
        <v>257</v>
      </c>
      <c r="B258" s="6" t="s">
        <v>77</v>
      </c>
      <c r="C258" s="6" t="s">
        <v>93</v>
      </c>
      <c r="D258" s="6">
        <v>19</v>
      </c>
      <c r="E258" s="6" t="s">
        <v>623</v>
      </c>
      <c r="F258" s="1" t="s">
        <v>913</v>
      </c>
      <c r="G258" s="2">
        <v>43907</v>
      </c>
      <c r="H258" s="53">
        <v>43922</v>
      </c>
      <c r="I258" s="1"/>
      <c r="J258" s="1"/>
      <c r="K258" s="1"/>
      <c r="L258" s="1" t="s">
        <v>138</v>
      </c>
      <c r="M258" s="5" t="s">
        <v>1028</v>
      </c>
    </row>
    <row r="259" spans="1:13" ht="13.8" customHeight="1" x14ac:dyDescent="0.3">
      <c r="A259" s="6">
        <v>258</v>
      </c>
      <c r="B259" s="6" t="s">
        <v>77</v>
      </c>
      <c r="C259" s="6" t="s">
        <v>93</v>
      </c>
      <c r="D259" s="6">
        <v>47</v>
      </c>
      <c r="E259" s="6" t="s">
        <v>776</v>
      </c>
      <c r="F259" s="1" t="s">
        <v>914</v>
      </c>
      <c r="G259" s="2">
        <v>43907</v>
      </c>
      <c r="H259" s="1"/>
      <c r="I259" s="1"/>
      <c r="J259" s="1"/>
      <c r="K259" s="1"/>
      <c r="L259" s="6" t="s">
        <v>133</v>
      </c>
      <c r="M259" s="5" t="s">
        <v>1028</v>
      </c>
    </row>
    <row r="260" spans="1:13" ht="13.8" customHeight="1" x14ac:dyDescent="0.3">
      <c r="A260" s="6">
        <v>259</v>
      </c>
      <c r="B260" s="6" t="s">
        <v>77</v>
      </c>
      <c r="C260" s="6" t="s">
        <v>94</v>
      </c>
      <c r="D260" s="6">
        <v>30</v>
      </c>
      <c r="E260" s="6" t="s">
        <v>503</v>
      </c>
      <c r="F260" s="1" t="s">
        <v>915</v>
      </c>
      <c r="G260" s="2">
        <v>43907</v>
      </c>
      <c r="H260" s="19">
        <v>43917</v>
      </c>
      <c r="I260" s="1"/>
      <c r="J260" s="1"/>
      <c r="K260" s="1"/>
      <c r="L260" s="6" t="s">
        <v>133</v>
      </c>
      <c r="M260" s="5" t="s">
        <v>1028</v>
      </c>
    </row>
    <row r="261" spans="1:13" ht="13.8" customHeight="1" x14ac:dyDescent="0.3">
      <c r="A261" s="6">
        <v>260</v>
      </c>
      <c r="B261" s="6" t="s">
        <v>78</v>
      </c>
      <c r="C261" s="6" t="s">
        <v>94</v>
      </c>
      <c r="D261" s="6">
        <v>48</v>
      </c>
      <c r="E261" s="6" t="s">
        <v>503</v>
      </c>
      <c r="F261" s="1" t="s">
        <v>916</v>
      </c>
      <c r="G261" s="2">
        <v>43907</v>
      </c>
      <c r="H261" s="19">
        <v>43913</v>
      </c>
      <c r="I261" s="1"/>
      <c r="J261" s="1"/>
      <c r="K261" s="1"/>
      <c r="L261" s="1" t="s">
        <v>1027</v>
      </c>
      <c r="M261" s="5" t="s">
        <v>1028</v>
      </c>
    </row>
    <row r="262" spans="1:13" ht="13.8" customHeight="1" x14ac:dyDescent="0.3">
      <c r="A262" s="6">
        <v>261</v>
      </c>
      <c r="B262" s="6" t="s">
        <v>77</v>
      </c>
      <c r="C262" s="6" t="s">
        <v>93</v>
      </c>
      <c r="D262" s="6">
        <v>30</v>
      </c>
      <c r="E262" s="6" t="s">
        <v>777</v>
      </c>
      <c r="F262" s="1" t="s">
        <v>917</v>
      </c>
      <c r="G262" s="2">
        <v>43907</v>
      </c>
      <c r="H262" s="1"/>
      <c r="I262" s="1"/>
      <c r="J262" s="1"/>
      <c r="K262" s="1"/>
      <c r="L262" s="6" t="s">
        <v>133</v>
      </c>
      <c r="M262" s="5" t="s">
        <v>1028</v>
      </c>
    </row>
    <row r="263" spans="1:13" ht="13.8" customHeight="1" x14ac:dyDescent="0.3">
      <c r="A263" s="6">
        <v>262</v>
      </c>
      <c r="B263" s="6" t="s">
        <v>77</v>
      </c>
      <c r="C263" s="6" t="s">
        <v>94</v>
      </c>
      <c r="D263" s="6">
        <v>20</v>
      </c>
      <c r="E263" s="6" t="s">
        <v>519</v>
      </c>
      <c r="F263" s="1" t="s">
        <v>918</v>
      </c>
      <c r="G263" s="2">
        <v>43907</v>
      </c>
      <c r="H263" s="56">
        <v>43921</v>
      </c>
      <c r="I263" s="1"/>
      <c r="J263" s="1"/>
      <c r="K263" s="1"/>
      <c r="L263" s="6" t="s">
        <v>133</v>
      </c>
      <c r="M263" s="5" t="s">
        <v>1028</v>
      </c>
    </row>
    <row r="264" spans="1:13" ht="13.8" customHeight="1" x14ac:dyDescent="0.3">
      <c r="A264" s="6">
        <v>263</v>
      </c>
      <c r="B264" s="6" t="s">
        <v>77</v>
      </c>
      <c r="C264" s="6" t="s">
        <v>94</v>
      </c>
      <c r="D264" s="6">
        <v>52</v>
      </c>
      <c r="E264" s="6" t="s">
        <v>503</v>
      </c>
      <c r="F264" s="1" t="s">
        <v>919</v>
      </c>
      <c r="G264" s="2">
        <v>43907</v>
      </c>
      <c r="H264" s="48">
        <v>43920</v>
      </c>
      <c r="I264" s="1"/>
      <c r="J264" s="1"/>
      <c r="K264" s="1"/>
      <c r="L264" s="6" t="s">
        <v>133</v>
      </c>
      <c r="M264" s="5" t="s">
        <v>1028</v>
      </c>
    </row>
    <row r="265" spans="1:13" ht="13.8" customHeight="1" x14ac:dyDescent="0.3">
      <c r="A265" s="6">
        <v>264</v>
      </c>
      <c r="B265" s="6" t="s">
        <v>77</v>
      </c>
      <c r="C265" s="6" t="s">
        <v>94</v>
      </c>
      <c r="D265" s="6">
        <v>41</v>
      </c>
      <c r="E265" s="6" t="s">
        <v>519</v>
      </c>
      <c r="F265" s="1" t="s">
        <v>920</v>
      </c>
      <c r="G265" s="2">
        <v>43907</v>
      </c>
      <c r="H265" s="38">
        <v>43918</v>
      </c>
      <c r="I265" s="1"/>
      <c r="J265" s="1"/>
      <c r="K265" s="1"/>
      <c r="L265" s="6" t="s">
        <v>133</v>
      </c>
      <c r="M265" s="5" t="s">
        <v>1028</v>
      </c>
    </row>
    <row r="266" spans="1:13" ht="13.8" customHeight="1" x14ac:dyDescent="0.3">
      <c r="A266" s="6">
        <v>265</v>
      </c>
      <c r="B266" s="6" t="s">
        <v>77</v>
      </c>
      <c r="C266" s="6" t="s">
        <v>94</v>
      </c>
      <c r="D266" s="6">
        <v>24</v>
      </c>
      <c r="E266" s="6" t="s">
        <v>503</v>
      </c>
      <c r="F266" s="1" t="s">
        <v>921</v>
      </c>
      <c r="G266" s="2">
        <v>43907</v>
      </c>
      <c r="H266" s="1"/>
      <c r="I266" s="1"/>
      <c r="J266" s="1"/>
      <c r="K266" s="1"/>
      <c r="L266" s="6" t="s">
        <v>133</v>
      </c>
      <c r="M266" s="5" t="s">
        <v>1028</v>
      </c>
    </row>
    <row r="267" spans="1:13" ht="13.8" customHeight="1" x14ac:dyDescent="0.3">
      <c r="A267" s="6">
        <v>266</v>
      </c>
      <c r="B267" s="6" t="s">
        <v>77</v>
      </c>
      <c r="C267" s="6" t="s">
        <v>93</v>
      </c>
      <c r="D267" s="6">
        <v>63</v>
      </c>
      <c r="E267" s="6" t="s">
        <v>503</v>
      </c>
      <c r="F267" s="1" t="s">
        <v>922</v>
      </c>
      <c r="G267" s="2">
        <v>43907</v>
      </c>
      <c r="H267" s="69">
        <v>43925</v>
      </c>
      <c r="I267" s="1"/>
      <c r="J267" s="1"/>
      <c r="K267" s="1"/>
      <c r="L267" s="6" t="s">
        <v>133</v>
      </c>
      <c r="M267" s="5" t="s">
        <v>1028</v>
      </c>
    </row>
    <row r="268" spans="1:13" ht="13.8" customHeight="1" x14ac:dyDescent="0.3">
      <c r="A268" s="6">
        <v>267</v>
      </c>
      <c r="B268" s="6" t="s">
        <v>77</v>
      </c>
      <c r="C268" s="1" t="s">
        <v>94</v>
      </c>
      <c r="D268" s="1">
        <v>72</v>
      </c>
      <c r="E268" s="1" t="s">
        <v>977</v>
      </c>
      <c r="F268" s="1" t="s">
        <v>978</v>
      </c>
      <c r="G268" s="2">
        <v>43908</v>
      </c>
      <c r="H268" s="74">
        <v>43926</v>
      </c>
      <c r="I268" s="1"/>
      <c r="J268" s="1"/>
      <c r="K268" s="1"/>
      <c r="L268" s="1" t="s">
        <v>137</v>
      </c>
      <c r="M268" s="5" t="s">
        <v>1029</v>
      </c>
    </row>
    <row r="269" spans="1:13" ht="13.8" customHeight="1" x14ac:dyDescent="0.3">
      <c r="A269" s="6">
        <v>268</v>
      </c>
      <c r="B269" s="6" t="s">
        <v>77</v>
      </c>
      <c r="C269" s="1" t="s">
        <v>93</v>
      </c>
      <c r="D269" s="1">
        <v>64</v>
      </c>
      <c r="E269" s="1" t="s">
        <v>650</v>
      </c>
      <c r="F269" s="1" t="s">
        <v>979</v>
      </c>
      <c r="G269" s="2">
        <v>43908</v>
      </c>
      <c r="H269" s="1"/>
      <c r="I269" s="1"/>
      <c r="J269" s="1"/>
      <c r="K269" s="1"/>
      <c r="L269" s="1" t="s">
        <v>133</v>
      </c>
      <c r="M269" s="5" t="s">
        <v>1029</v>
      </c>
    </row>
    <row r="270" spans="1:13" ht="13.8" customHeight="1" x14ac:dyDescent="0.3">
      <c r="A270" s="6">
        <v>269</v>
      </c>
      <c r="B270" s="6" t="s">
        <v>77</v>
      </c>
      <c r="C270" s="1" t="s">
        <v>94</v>
      </c>
      <c r="D270" s="1">
        <v>19</v>
      </c>
      <c r="E270" s="1" t="s">
        <v>977</v>
      </c>
      <c r="F270" s="1" t="s">
        <v>980</v>
      </c>
      <c r="G270" s="2">
        <v>43908</v>
      </c>
      <c r="H270" s="43">
        <v>43919</v>
      </c>
      <c r="I270" s="1"/>
      <c r="J270" s="1"/>
      <c r="K270" s="1"/>
      <c r="L270" s="1" t="s">
        <v>133</v>
      </c>
      <c r="M270" s="5" t="s">
        <v>1029</v>
      </c>
    </row>
    <row r="271" spans="1:13" ht="13.8" customHeight="1" x14ac:dyDescent="0.3">
      <c r="A271" s="6">
        <v>270</v>
      </c>
      <c r="B271" s="6" t="s">
        <v>77</v>
      </c>
      <c r="C271" s="1" t="s">
        <v>94</v>
      </c>
      <c r="D271" s="1">
        <v>62</v>
      </c>
      <c r="E271" s="1" t="s">
        <v>977</v>
      </c>
      <c r="F271" s="1" t="s">
        <v>981</v>
      </c>
      <c r="G271" s="2">
        <v>43908</v>
      </c>
      <c r="H271" s="1"/>
      <c r="I271" s="1"/>
      <c r="J271" s="1"/>
      <c r="K271" s="1"/>
      <c r="L271" s="1" t="s">
        <v>142</v>
      </c>
      <c r="M271" s="5" t="s">
        <v>1029</v>
      </c>
    </row>
    <row r="272" spans="1:13" ht="13.8" customHeight="1" x14ac:dyDescent="0.3">
      <c r="A272" s="6">
        <v>271</v>
      </c>
      <c r="B272" s="6" t="s">
        <v>77</v>
      </c>
      <c r="C272" s="1" t="s">
        <v>93</v>
      </c>
      <c r="D272" s="1">
        <v>29</v>
      </c>
      <c r="E272" s="1" t="s">
        <v>977</v>
      </c>
      <c r="F272" s="1" t="s">
        <v>982</v>
      </c>
      <c r="G272" s="2">
        <v>43908</v>
      </c>
      <c r="H272" s="1"/>
      <c r="I272" s="1"/>
      <c r="J272" s="1"/>
      <c r="K272" s="1"/>
      <c r="L272" s="1" t="s">
        <v>142</v>
      </c>
      <c r="M272" s="5" t="s">
        <v>1029</v>
      </c>
    </row>
    <row r="273" spans="1:13" ht="13.8" customHeight="1" x14ac:dyDescent="0.3">
      <c r="A273" s="6">
        <v>272</v>
      </c>
      <c r="B273" s="6" t="s">
        <v>77</v>
      </c>
      <c r="C273" s="1" t="s">
        <v>93</v>
      </c>
      <c r="D273" s="1">
        <v>65</v>
      </c>
      <c r="E273" s="1" t="s">
        <v>977</v>
      </c>
      <c r="F273" s="1" t="s">
        <v>983</v>
      </c>
      <c r="G273" s="2">
        <v>43908</v>
      </c>
      <c r="H273" s="1"/>
      <c r="I273" s="1"/>
      <c r="J273" s="1"/>
      <c r="K273" s="1"/>
      <c r="L273" s="1" t="s">
        <v>142</v>
      </c>
      <c r="M273" s="5" t="s">
        <v>1029</v>
      </c>
    </row>
    <row r="274" spans="1:13" ht="13.8" customHeight="1" x14ac:dyDescent="0.3">
      <c r="A274" s="6">
        <v>273</v>
      </c>
      <c r="B274" s="6" t="s">
        <v>78</v>
      </c>
      <c r="C274" s="1" t="s">
        <v>93</v>
      </c>
      <c r="D274" s="1">
        <v>69</v>
      </c>
      <c r="E274" s="1" t="s">
        <v>977</v>
      </c>
      <c r="F274" s="1" t="s">
        <v>984</v>
      </c>
      <c r="G274" s="2">
        <v>43908</v>
      </c>
      <c r="H274" s="1"/>
      <c r="I274" s="1"/>
      <c r="J274" s="1"/>
      <c r="K274" s="1"/>
      <c r="L274" s="1" t="s">
        <v>138</v>
      </c>
      <c r="M274" s="5" t="s">
        <v>1029</v>
      </c>
    </row>
    <row r="275" spans="1:13" ht="13.8" customHeight="1" x14ac:dyDescent="0.3">
      <c r="A275" s="6">
        <v>274</v>
      </c>
      <c r="B275" s="6" t="s">
        <v>77</v>
      </c>
      <c r="C275" s="1" t="s">
        <v>93</v>
      </c>
      <c r="D275" s="1">
        <v>50</v>
      </c>
      <c r="E275" s="1" t="s">
        <v>777</v>
      </c>
      <c r="F275" s="1" t="s">
        <v>985</v>
      </c>
      <c r="G275" s="2">
        <v>43908</v>
      </c>
      <c r="H275" s="1"/>
      <c r="I275" s="1"/>
      <c r="J275" s="1"/>
      <c r="K275" s="1"/>
      <c r="L275" s="1" t="s">
        <v>133</v>
      </c>
      <c r="M275" s="5" t="s">
        <v>1029</v>
      </c>
    </row>
    <row r="276" spans="1:13" ht="13.8" customHeight="1" x14ac:dyDescent="0.3">
      <c r="A276" s="6">
        <v>275</v>
      </c>
      <c r="B276" s="6" t="s">
        <v>78</v>
      </c>
      <c r="C276" s="1" t="s">
        <v>93</v>
      </c>
      <c r="D276" s="1">
        <v>27</v>
      </c>
      <c r="E276" s="1" t="s">
        <v>977</v>
      </c>
      <c r="F276" s="1" t="s">
        <v>986</v>
      </c>
      <c r="G276" s="2">
        <v>43908</v>
      </c>
      <c r="H276" s="19">
        <v>43911</v>
      </c>
      <c r="I276" s="19"/>
      <c r="J276" s="1"/>
      <c r="K276" s="1"/>
      <c r="L276" s="1" t="s">
        <v>142</v>
      </c>
      <c r="M276" s="5" t="s">
        <v>1029</v>
      </c>
    </row>
    <row r="277" spans="1:13" ht="13.8" customHeight="1" x14ac:dyDescent="0.3">
      <c r="A277" s="6">
        <v>276</v>
      </c>
      <c r="B277" s="6" t="s">
        <v>77</v>
      </c>
      <c r="C277" s="1" t="s">
        <v>93</v>
      </c>
      <c r="D277" s="1">
        <v>21</v>
      </c>
      <c r="E277" s="1" t="s">
        <v>977</v>
      </c>
      <c r="F277" s="1" t="s">
        <v>987</v>
      </c>
      <c r="G277" s="2">
        <v>43908</v>
      </c>
      <c r="H277" s="1"/>
      <c r="I277" s="1"/>
      <c r="J277" s="1"/>
      <c r="K277" s="1"/>
      <c r="L277" s="1" t="s">
        <v>142</v>
      </c>
      <c r="M277" s="5" t="s">
        <v>1029</v>
      </c>
    </row>
    <row r="278" spans="1:13" ht="13.8" customHeight="1" x14ac:dyDescent="0.3">
      <c r="A278" s="6">
        <v>277</v>
      </c>
      <c r="B278" s="6" t="s">
        <v>77</v>
      </c>
      <c r="C278" s="1" t="s">
        <v>93</v>
      </c>
      <c r="D278" s="1">
        <v>55</v>
      </c>
      <c r="E278" s="1" t="s">
        <v>977</v>
      </c>
      <c r="F278" s="1" t="s">
        <v>988</v>
      </c>
      <c r="G278" s="2">
        <v>43908</v>
      </c>
      <c r="H278" s="1"/>
      <c r="I278" s="1"/>
      <c r="J278" s="1"/>
      <c r="K278" s="1"/>
      <c r="L278" s="1" t="s">
        <v>135</v>
      </c>
      <c r="M278" s="5" t="s">
        <v>1029</v>
      </c>
    </row>
    <row r="279" spans="1:13" ht="13.8" customHeight="1" x14ac:dyDescent="0.3">
      <c r="A279" s="6">
        <v>278</v>
      </c>
      <c r="B279" s="6" t="s">
        <v>77</v>
      </c>
      <c r="C279" s="1" t="s">
        <v>94</v>
      </c>
      <c r="D279" s="1">
        <v>48</v>
      </c>
      <c r="E279" s="1" t="s">
        <v>777</v>
      </c>
      <c r="F279" s="1" t="s">
        <v>989</v>
      </c>
      <c r="G279" s="2">
        <v>43908</v>
      </c>
      <c r="H279" s="19">
        <v>43916</v>
      </c>
      <c r="I279" s="1"/>
      <c r="J279" s="1"/>
      <c r="K279" s="1"/>
      <c r="L279" s="1" t="s">
        <v>133</v>
      </c>
      <c r="M279" s="5" t="s">
        <v>1029</v>
      </c>
    </row>
    <row r="280" spans="1:13" ht="13.8" customHeight="1" x14ac:dyDescent="0.3">
      <c r="A280" s="6">
        <v>279</v>
      </c>
      <c r="B280" s="6" t="s">
        <v>77</v>
      </c>
      <c r="C280" s="1" t="s">
        <v>93</v>
      </c>
      <c r="D280" s="1">
        <v>71</v>
      </c>
      <c r="E280" s="1" t="s">
        <v>977</v>
      </c>
      <c r="F280" s="1" t="s">
        <v>990</v>
      </c>
      <c r="G280" s="2">
        <v>43908</v>
      </c>
      <c r="H280" s="1"/>
      <c r="I280" s="1"/>
      <c r="J280" s="1"/>
      <c r="K280" s="1"/>
      <c r="L280" s="1" t="s">
        <v>133</v>
      </c>
      <c r="M280" s="5" t="s">
        <v>1029</v>
      </c>
    </row>
    <row r="281" spans="1:13" ht="13.8" customHeight="1" x14ac:dyDescent="0.3">
      <c r="A281" s="6">
        <v>280</v>
      </c>
      <c r="B281" s="6" t="s">
        <v>77</v>
      </c>
      <c r="C281" s="1" t="s">
        <v>94</v>
      </c>
      <c r="D281" s="1">
        <v>21</v>
      </c>
      <c r="E281" s="1" t="s">
        <v>977</v>
      </c>
      <c r="F281" s="1" t="s">
        <v>991</v>
      </c>
      <c r="G281" s="2">
        <v>43908</v>
      </c>
      <c r="H281" s="48">
        <v>43920</v>
      </c>
      <c r="I281" s="1"/>
      <c r="J281" s="1"/>
      <c r="K281" s="1"/>
      <c r="L281" s="1" t="s">
        <v>133</v>
      </c>
      <c r="M281" s="5" t="s">
        <v>1029</v>
      </c>
    </row>
    <row r="282" spans="1:13" ht="13.8" customHeight="1" x14ac:dyDescent="0.3">
      <c r="A282" s="6">
        <v>281</v>
      </c>
      <c r="B282" s="6" t="s">
        <v>77</v>
      </c>
      <c r="C282" s="1" t="s">
        <v>93</v>
      </c>
      <c r="D282" s="1">
        <v>46</v>
      </c>
      <c r="E282" s="1" t="s">
        <v>977</v>
      </c>
      <c r="F282" s="1" t="s">
        <v>992</v>
      </c>
      <c r="G282" s="2">
        <v>43908</v>
      </c>
      <c r="H282" s="38">
        <v>43918</v>
      </c>
      <c r="I282" s="1"/>
      <c r="J282" s="1"/>
      <c r="K282" s="1"/>
      <c r="L282" s="1" t="s">
        <v>133</v>
      </c>
      <c r="M282" s="5" t="s">
        <v>1029</v>
      </c>
    </row>
    <row r="283" spans="1:13" ht="13.8" customHeight="1" x14ac:dyDescent="0.3">
      <c r="A283" s="6">
        <v>282</v>
      </c>
      <c r="B283" s="6" t="s">
        <v>77</v>
      </c>
      <c r="C283" s="1" t="s">
        <v>93</v>
      </c>
      <c r="D283" s="1"/>
      <c r="E283" s="1"/>
      <c r="F283" s="1" t="s">
        <v>993</v>
      </c>
      <c r="G283" s="2">
        <v>43908</v>
      </c>
      <c r="H283" s="69">
        <v>43925</v>
      </c>
      <c r="I283" s="1"/>
      <c r="J283" s="1"/>
      <c r="K283" s="1"/>
      <c r="L283" s="1" t="s">
        <v>133</v>
      </c>
      <c r="M283" s="5" t="s">
        <v>1029</v>
      </c>
    </row>
    <row r="284" spans="1:13" ht="13.8" customHeight="1" x14ac:dyDescent="0.3">
      <c r="A284" s="6">
        <v>283</v>
      </c>
      <c r="B284" s="6" t="s">
        <v>78</v>
      </c>
      <c r="C284" s="1" t="s">
        <v>94</v>
      </c>
      <c r="D284" s="1">
        <v>62</v>
      </c>
      <c r="E284" s="1" t="s">
        <v>977</v>
      </c>
      <c r="F284" s="1" t="s">
        <v>994</v>
      </c>
      <c r="G284" s="2">
        <v>43908</v>
      </c>
      <c r="H284" s="64">
        <v>43923</v>
      </c>
      <c r="I284" s="1"/>
      <c r="J284" s="1"/>
      <c r="K284" s="1"/>
      <c r="L284" s="1" t="s">
        <v>133</v>
      </c>
      <c r="M284" s="5" t="s">
        <v>1029</v>
      </c>
    </row>
    <row r="285" spans="1:13" ht="13.8" customHeight="1" x14ac:dyDescent="0.3">
      <c r="A285" s="6">
        <v>284</v>
      </c>
      <c r="B285" s="6" t="s">
        <v>77</v>
      </c>
      <c r="C285" s="1" t="s">
        <v>93</v>
      </c>
      <c r="D285" s="1">
        <v>32</v>
      </c>
      <c r="E285" s="1" t="s">
        <v>977</v>
      </c>
      <c r="F285" s="1" t="s">
        <v>995</v>
      </c>
      <c r="G285" s="2">
        <v>43908</v>
      </c>
      <c r="H285" s="1"/>
      <c r="I285" s="1"/>
      <c r="J285" s="1"/>
      <c r="K285" s="1"/>
      <c r="L285" s="1" t="s">
        <v>133</v>
      </c>
      <c r="M285" s="5" t="s">
        <v>1029</v>
      </c>
    </row>
    <row r="286" spans="1:13" ht="13.8" customHeight="1" x14ac:dyDescent="0.3">
      <c r="A286" s="6">
        <v>285</v>
      </c>
      <c r="B286" s="6" t="s">
        <v>77</v>
      </c>
      <c r="C286" s="1" t="s">
        <v>94</v>
      </c>
      <c r="D286" s="1">
        <v>42</v>
      </c>
      <c r="E286" s="1" t="s">
        <v>944</v>
      </c>
      <c r="F286" s="1" t="s">
        <v>996</v>
      </c>
      <c r="G286" s="2">
        <v>43908</v>
      </c>
      <c r="H286" s="1"/>
      <c r="I286" s="1"/>
      <c r="J286" s="1"/>
      <c r="K286" s="1"/>
      <c r="L286" s="1" t="s">
        <v>133</v>
      </c>
      <c r="M286" s="5" t="s">
        <v>1029</v>
      </c>
    </row>
    <row r="287" spans="1:13" ht="13.8" customHeight="1" x14ac:dyDescent="0.3">
      <c r="A287" s="6">
        <v>286</v>
      </c>
      <c r="B287" s="6" t="s">
        <v>77</v>
      </c>
      <c r="C287" s="1" t="s">
        <v>93</v>
      </c>
      <c r="D287" s="1">
        <v>54</v>
      </c>
      <c r="E287" s="1" t="s">
        <v>650</v>
      </c>
      <c r="F287" s="1" t="s">
        <v>997</v>
      </c>
      <c r="G287" s="2">
        <v>43908</v>
      </c>
      <c r="H287" s="1"/>
      <c r="I287" s="1"/>
      <c r="J287" s="1"/>
      <c r="K287" s="1"/>
      <c r="L287" s="1" t="s">
        <v>133</v>
      </c>
      <c r="M287" s="5" t="s">
        <v>1029</v>
      </c>
    </row>
    <row r="288" spans="1:13" ht="13.8" customHeight="1" x14ac:dyDescent="0.3">
      <c r="A288" s="6">
        <v>287</v>
      </c>
      <c r="B288" s="6" t="s">
        <v>78</v>
      </c>
      <c r="C288" s="1" t="s">
        <v>93</v>
      </c>
      <c r="D288" s="1">
        <v>26</v>
      </c>
      <c r="E288" s="1" t="s">
        <v>977</v>
      </c>
      <c r="F288" s="1" t="s">
        <v>998</v>
      </c>
      <c r="G288" s="2">
        <v>43908</v>
      </c>
      <c r="H288" s="1"/>
      <c r="I288" s="1"/>
      <c r="J288" s="1"/>
      <c r="K288" s="1"/>
      <c r="L288" s="1" t="s">
        <v>137</v>
      </c>
      <c r="M288" s="5" t="s">
        <v>1029</v>
      </c>
    </row>
    <row r="289" spans="1:13" ht="13.8" customHeight="1" x14ac:dyDescent="0.3">
      <c r="A289" s="6">
        <v>288</v>
      </c>
      <c r="B289" s="6" t="s">
        <v>78</v>
      </c>
      <c r="C289" s="1" t="s">
        <v>93</v>
      </c>
      <c r="D289" s="1">
        <v>71</v>
      </c>
      <c r="E289" s="1" t="s">
        <v>977</v>
      </c>
      <c r="F289" s="1" t="s">
        <v>999</v>
      </c>
      <c r="G289" s="2">
        <v>43908</v>
      </c>
      <c r="H289" s="1"/>
      <c r="I289" s="1"/>
      <c r="J289" s="1"/>
      <c r="K289" s="1"/>
      <c r="L289" s="1" t="s">
        <v>133</v>
      </c>
      <c r="M289" s="5" t="s">
        <v>1029</v>
      </c>
    </row>
    <row r="290" spans="1:13" ht="13.8" customHeight="1" x14ac:dyDescent="0.3">
      <c r="A290" s="6">
        <v>289</v>
      </c>
      <c r="B290" s="6" t="s">
        <v>78</v>
      </c>
      <c r="C290" s="1" t="s">
        <v>93</v>
      </c>
      <c r="D290" s="1">
        <v>62</v>
      </c>
      <c r="E290" s="1" t="s">
        <v>977</v>
      </c>
      <c r="F290" s="1" t="s">
        <v>1000</v>
      </c>
      <c r="G290" s="2">
        <v>43908</v>
      </c>
      <c r="H290" s="1"/>
      <c r="I290" s="1"/>
      <c r="J290" s="1"/>
      <c r="K290" s="1"/>
      <c r="L290" s="1" t="s">
        <v>133</v>
      </c>
      <c r="M290" s="5" t="s">
        <v>1029</v>
      </c>
    </row>
    <row r="291" spans="1:13" ht="13.8" customHeight="1" x14ac:dyDescent="0.3">
      <c r="A291" s="6">
        <v>290</v>
      </c>
      <c r="B291" s="6" t="s">
        <v>78</v>
      </c>
      <c r="C291" s="1" t="s">
        <v>93</v>
      </c>
      <c r="D291" s="1">
        <v>69</v>
      </c>
      <c r="E291" s="1" t="s">
        <v>977</v>
      </c>
      <c r="F291" s="1" t="s">
        <v>1001</v>
      </c>
      <c r="G291" s="2">
        <v>43908</v>
      </c>
      <c r="H291" s="56">
        <v>43921</v>
      </c>
      <c r="I291" s="1"/>
      <c r="J291" s="1"/>
      <c r="K291" s="1"/>
      <c r="L291" s="1" t="s">
        <v>133</v>
      </c>
      <c r="M291" s="5" t="s">
        <v>1029</v>
      </c>
    </row>
    <row r="292" spans="1:13" ht="13.8" customHeight="1" x14ac:dyDescent="0.3">
      <c r="A292" s="6">
        <v>291</v>
      </c>
      <c r="B292" s="6" t="s">
        <v>78</v>
      </c>
      <c r="C292" s="1" t="s">
        <v>93</v>
      </c>
      <c r="D292" s="1">
        <v>52</v>
      </c>
      <c r="E292" s="1" t="s">
        <v>776</v>
      </c>
      <c r="F292" s="1" t="s">
        <v>1002</v>
      </c>
      <c r="G292" s="2">
        <v>43908</v>
      </c>
      <c r="H292" s="19">
        <v>43913</v>
      </c>
      <c r="I292" s="1"/>
      <c r="J292" s="1"/>
      <c r="K292" s="1"/>
      <c r="L292" s="1" t="s">
        <v>133</v>
      </c>
      <c r="M292" s="5" t="s">
        <v>1029</v>
      </c>
    </row>
    <row r="293" spans="1:13" ht="13.8" customHeight="1" x14ac:dyDescent="0.3">
      <c r="A293" s="6">
        <v>292</v>
      </c>
      <c r="B293" s="6" t="s">
        <v>77</v>
      </c>
      <c r="C293" s="1" t="s">
        <v>94</v>
      </c>
      <c r="D293" s="1">
        <v>64</v>
      </c>
      <c r="E293" s="1" t="s">
        <v>977</v>
      </c>
      <c r="F293" s="1" t="s">
        <v>1003</v>
      </c>
      <c r="G293" s="2">
        <v>43908</v>
      </c>
      <c r="H293" s="1"/>
      <c r="I293" s="1"/>
      <c r="J293" s="1"/>
      <c r="K293" s="1"/>
      <c r="L293" s="1" t="s">
        <v>133</v>
      </c>
      <c r="M293" s="5" t="s">
        <v>1029</v>
      </c>
    </row>
    <row r="294" spans="1:13" ht="13.8" customHeight="1" x14ac:dyDescent="0.3">
      <c r="A294" s="6">
        <v>293</v>
      </c>
      <c r="B294" s="6" t="s">
        <v>77</v>
      </c>
      <c r="C294" s="1" t="s">
        <v>93</v>
      </c>
      <c r="D294" s="1">
        <v>30</v>
      </c>
      <c r="E294" s="1" t="s">
        <v>650</v>
      </c>
      <c r="F294" s="1" t="s">
        <v>1004</v>
      </c>
      <c r="G294" s="2">
        <v>43908</v>
      </c>
      <c r="H294" s="1"/>
      <c r="I294" s="1"/>
      <c r="J294" s="1"/>
      <c r="K294" s="1"/>
      <c r="L294" s="1" t="s">
        <v>133</v>
      </c>
      <c r="M294" s="5" t="s">
        <v>1029</v>
      </c>
    </row>
    <row r="295" spans="1:13" ht="13.8" customHeight="1" x14ac:dyDescent="0.3">
      <c r="A295" s="6">
        <v>294</v>
      </c>
      <c r="B295" s="6" t="s">
        <v>78</v>
      </c>
      <c r="C295" s="1" t="s">
        <v>94</v>
      </c>
      <c r="D295" s="1">
        <v>58</v>
      </c>
      <c r="E295" s="1" t="s">
        <v>977</v>
      </c>
      <c r="F295" s="1" t="s">
        <v>1005</v>
      </c>
      <c r="G295" s="2">
        <v>43908</v>
      </c>
      <c r="H295" s="1"/>
      <c r="I295" s="1"/>
      <c r="J295" s="1"/>
      <c r="K295" s="1"/>
      <c r="L295" s="1" t="s">
        <v>133</v>
      </c>
      <c r="M295" s="5" t="s">
        <v>1029</v>
      </c>
    </row>
    <row r="296" spans="1:13" ht="13.8" customHeight="1" x14ac:dyDescent="0.3">
      <c r="A296" s="6">
        <v>295</v>
      </c>
      <c r="B296" s="6" t="s">
        <v>77</v>
      </c>
      <c r="C296" s="1" t="s">
        <v>93</v>
      </c>
      <c r="D296" s="1">
        <v>55</v>
      </c>
      <c r="E296" s="1" t="s">
        <v>977</v>
      </c>
      <c r="F296" s="1" t="s">
        <v>1006</v>
      </c>
      <c r="G296" s="2">
        <v>43908</v>
      </c>
      <c r="H296" s="1"/>
      <c r="I296" s="1"/>
      <c r="J296" s="1"/>
      <c r="K296" s="1"/>
      <c r="L296" s="1" t="s">
        <v>133</v>
      </c>
      <c r="M296" s="5" t="s">
        <v>1029</v>
      </c>
    </row>
    <row r="297" spans="1:13" ht="13.8" customHeight="1" x14ac:dyDescent="0.3">
      <c r="A297" s="6">
        <v>296</v>
      </c>
      <c r="B297" s="6" t="s">
        <v>77</v>
      </c>
      <c r="C297" s="1" t="s">
        <v>94</v>
      </c>
      <c r="D297" s="1">
        <v>25</v>
      </c>
      <c r="E297" s="1" t="s">
        <v>591</v>
      </c>
      <c r="F297" s="1" t="s">
        <v>1007</v>
      </c>
      <c r="G297" s="2">
        <v>43908</v>
      </c>
      <c r="H297" s="38">
        <v>43918</v>
      </c>
      <c r="I297" s="1"/>
      <c r="J297" s="1"/>
      <c r="K297" s="1"/>
      <c r="L297" s="1" t="s">
        <v>133</v>
      </c>
      <c r="M297" s="5" t="s">
        <v>1029</v>
      </c>
    </row>
    <row r="298" spans="1:13" ht="13.8" customHeight="1" x14ac:dyDescent="0.3">
      <c r="A298" s="6">
        <v>297</v>
      </c>
      <c r="B298" s="6" t="s">
        <v>77</v>
      </c>
      <c r="C298" s="1" t="s">
        <v>93</v>
      </c>
      <c r="D298" s="1">
        <v>31</v>
      </c>
      <c r="E298" s="1" t="s">
        <v>519</v>
      </c>
      <c r="F298" s="1" t="s">
        <v>1008</v>
      </c>
      <c r="G298" s="2">
        <v>43908</v>
      </c>
      <c r="H298" s="69">
        <v>43925</v>
      </c>
      <c r="I298" s="1"/>
      <c r="J298" s="1"/>
      <c r="K298" s="1"/>
      <c r="L298" s="1" t="s">
        <v>133</v>
      </c>
      <c r="M298" s="5" t="s">
        <v>1029</v>
      </c>
    </row>
    <row r="299" spans="1:13" ht="13.8" customHeight="1" x14ac:dyDescent="0.3">
      <c r="A299" s="6">
        <v>298</v>
      </c>
      <c r="B299" s="6" t="s">
        <v>77</v>
      </c>
      <c r="C299" s="1" t="s">
        <v>93</v>
      </c>
      <c r="D299" s="1">
        <v>44</v>
      </c>
      <c r="E299" s="1" t="s">
        <v>977</v>
      </c>
      <c r="F299" s="1" t="s">
        <v>1009</v>
      </c>
      <c r="G299" s="2">
        <v>43908</v>
      </c>
      <c r="H299" s="56">
        <v>43921</v>
      </c>
      <c r="I299" s="1"/>
      <c r="J299" s="1"/>
      <c r="K299" s="1"/>
      <c r="L299" s="1" t="s">
        <v>133</v>
      </c>
      <c r="M299" s="5" t="s">
        <v>1029</v>
      </c>
    </row>
    <row r="300" spans="1:13" ht="13.8" customHeight="1" x14ac:dyDescent="0.3">
      <c r="A300" s="6">
        <v>299</v>
      </c>
      <c r="B300" s="6" t="s">
        <v>77</v>
      </c>
      <c r="C300" s="1" t="s">
        <v>93</v>
      </c>
      <c r="D300" s="1">
        <v>29</v>
      </c>
      <c r="E300" s="1" t="s">
        <v>977</v>
      </c>
      <c r="F300" s="1" t="s">
        <v>1010</v>
      </c>
      <c r="G300" s="2">
        <v>43908</v>
      </c>
      <c r="H300" s="1"/>
      <c r="I300" s="1"/>
      <c r="J300" s="1"/>
      <c r="K300" s="1"/>
      <c r="L300" s="1" t="s">
        <v>133</v>
      </c>
      <c r="M300" s="5" t="s">
        <v>1029</v>
      </c>
    </row>
    <row r="301" spans="1:13" ht="13.8" customHeight="1" x14ac:dyDescent="0.3">
      <c r="A301" s="6">
        <v>300</v>
      </c>
      <c r="B301" s="6" t="s">
        <v>77</v>
      </c>
      <c r="C301" s="1" t="s">
        <v>93</v>
      </c>
      <c r="D301" s="1">
        <v>28</v>
      </c>
      <c r="E301" s="1" t="s">
        <v>779</v>
      </c>
      <c r="F301" s="1" t="s">
        <v>1011</v>
      </c>
      <c r="G301" s="2">
        <v>43908</v>
      </c>
      <c r="H301" s="1"/>
      <c r="I301" s="1"/>
      <c r="J301" s="1"/>
      <c r="K301" s="1"/>
      <c r="L301" s="1" t="s">
        <v>133</v>
      </c>
      <c r="M301" s="5" t="s">
        <v>1029</v>
      </c>
    </row>
    <row r="302" spans="1:13" ht="13.8" customHeight="1" x14ac:dyDescent="0.3">
      <c r="A302" s="6">
        <v>301</v>
      </c>
      <c r="B302" s="6" t="s">
        <v>77</v>
      </c>
      <c r="C302" s="1" t="s">
        <v>93</v>
      </c>
      <c r="D302" s="1">
        <v>63</v>
      </c>
      <c r="E302" s="1" t="s">
        <v>977</v>
      </c>
      <c r="F302" s="1" t="s">
        <v>1012</v>
      </c>
      <c r="G302" s="2">
        <v>43908</v>
      </c>
      <c r="H302" s="64">
        <v>43923</v>
      </c>
      <c r="I302" s="1"/>
      <c r="J302" s="1"/>
      <c r="K302" s="1"/>
      <c r="L302" s="1" t="s">
        <v>133</v>
      </c>
      <c r="M302" s="5" t="s">
        <v>1029</v>
      </c>
    </row>
    <row r="303" spans="1:13" ht="13.8" customHeight="1" x14ac:dyDescent="0.3">
      <c r="A303" s="6">
        <v>302</v>
      </c>
      <c r="B303" s="6" t="s">
        <v>78</v>
      </c>
      <c r="C303" s="1" t="s">
        <v>94</v>
      </c>
      <c r="D303" s="1">
        <v>49</v>
      </c>
      <c r="E303" s="1" t="s">
        <v>977</v>
      </c>
      <c r="F303" s="1" t="s">
        <v>1013</v>
      </c>
      <c r="G303" s="2">
        <v>43908</v>
      </c>
      <c r="H303" s="38">
        <v>43918</v>
      </c>
      <c r="I303" s="1"/>
      <c r="J303" s="1"/>
      <c r="K303" s="1"/>
      <c r="L303" s="1" t="s">
        <v>137</v>
      </c>
      <c r="M303" s="5" t="s">
        <v>1029</v>
      </c>
    </row>
    <row r="304" spans="1:13" ht="13.8" customHeight="1" x14ac:dyDescent="0.3">
      <c r="A304" s="6">
        <v>303</v>
      </c>
      <c r="B304" s="6" t="s">
        <v>78</v>
      </c>
      <c r="C304" s="1" t="s">
        <v>93</v>
      </c>
      <c r="D304" s="1">
        <v>27</v>
      </c>
      <c r="E304" s="1" t="s">
        <v>591</v>
      </c>
      <c r="F304" s="1" t="s">
        <v>1014</v>
      </c>
      <c r="G304" s="2">
        <v>43908</v>
      </c>
      <c r="H304" s="19">
        <v>43917</v>
      </c>
      <c r="I304" s="1"/>
      <c r="J304" s="1"/>
      <c r="K304" s="1"/>
      <c r="L304" s="1" t="s">
        <v>133</v>
      </c>
      <c r="M304" s="5" t="s">
        <v>1029</v>
      </c>
    </row>
    <row r="305" spans="1:13" ht="13.8" customHeight="1" x14ac:dyDescent="0.3">
      <c r="A305" s="6">
        <v>304</v>
      </c>
      <c r="B305" s="6" t="s">
        <v>77</v>
      </c>
      <c r="C305" s="1" t="s">
        <v>94</v>
      </c>
      <c r="D305" s="1">
        <v>27</v>
      </c>
      <c r="E305" s="1" t="s">
        <v>977</v>
      </c>
      <c r="F305" s="1" t="s">
        <v>1015</v>
      </c>
      <c r="G305" s="2">
        <v>43908</v>
      </c>
      <c r="H305" s="1"/>
      <c r="I305" s="1"/>
      <c r="J305" s="1"/>
      <c r="K305" s="1"/>
      <c r="L305" s="1" t="s">
        <v>133</v>
      </c>
      <c r="M305" s="5" t="s">
        <v>1029</v>
      </c>
    </row>
    <row r="306" spans="1:13" ht="13.8" customHeight="1" x14ac:dyDescent="0.3">
      <c r="A306" s="6">
        <v>305</v>
      </c>
      <c r="B306" s="6" t="s">
        <v>78</v>
      </c>
      <c r="C306" s="1" t="s">
        <v>93</v>
      </c>
      <c r="D306" s="1">
        <v>24</v>
      </c>
      <c r="E306" s="1" t="s">
        <v>977</v>
      </c>
      <c r="F306" s="1" t="s">
        <v>1016</v>
      </c>
      <c r="G306" s="2">
        <v>43908</v>
      </c>
      <c r="H306" s="1"/>
      <c r="I306" s="1"/>
      <c r="J306" s="1"/>
      <c r="K306" s="1"/>
      <c r="L306" s="1" t="s">
        <v>133</v>
      </c>
      <c r="M306" s="5" t="s">
        <v>1029</v>
      </c>
    </row>
    <row r="307" spans="1:13" ht="13.8" customHeight="1" x14ac:dyDescent="0.3">
      <c r="A307" s="6">
        <v>306</v>
      </c>
      <c r="B307" s="6" t="s">
        <v>77</v>
      </c>
      <c r="C307" s="1" t="s">
        <v>93</v>
      </c>
      <c r="D307" s="1">
        <v>56</v>
      </c>
      <c r="E307" s="1" t="s">
        <v>977</v>
      </c>
      <c r="F307" s="1" t="s">
        <v>1017</v>
      </c>
      <c r="G307" s="2">
        <v>43908</v>
      </c>
      <c r="H307" s="1"/>
      <c r="I307" s="1"/>
      <c r="J307" s="1"/>
      <c r="K307" s="1"/>
      <c r="L307" s="1" t="s">
        <v>133</v>
      </c>
      <c r="M307" s="5" t="s">
        <v>1029</v>
      </c>
    </row>
    <row r="308" spans="1:13" ht="13.8" customHeight="1" x14ac:dyDescent="0.3">
      <c r="A308" s="6">
        <v>307</v>
      </c>
      <c r="B308" s="6" t="s">
        <v>77</v>
      </c>
      <c r="C308" s="1" t="s">
        <v>94</v>
      </c>
      <c r="D308" s="1">
        <v>22</v>
      </c>
      <c r="E308" s="1" t="s">
        <v>977</v>
      </c>
      <c r="F308" s="1" t="s">
        <v>1018</v>
      </c>
      <c r="G308" s="2">
        <v>43908</v>
      </c>
      <c r="H308" s="1"/>
      <c r="I308" s="1"/>
      <c r="J308" s="1"/>
      <c r="K308" s="1"/>
      <c r="L308" s="1" t="s">
        <v>133</v>
      </c>
      <c r="M308" s="5" t="s">
        <v>1029</v>
      </c>
    </row>
    <row r="309" spans="1:13" ht="13.8" customHeight="1" x14ac:dyDescent="0.3">
      <c r="A309" s="6">
        <v>308</v>
      </c>
      <c r="B309" s="6" t="s">
        <v>77</v>
      </c>
      <c r="C309" s="1" t="s">
        <v>93</v>
      </c>
      <c r="D309" s="1">
        <v>59</v>
      </c>
      <c r="E309" s="1" t="s">
        <v>977</v>
      </c>
      <c r="F309" s="1" t="s">
        <v>1019</v>
      </c>
      <c r="G309" s="2">
        <v>43908</v>
      </c>
      <c r="H309" s="1"/>
      <c r="I309" s="1"/>
      <c r="J309" s="1"/>
      <c r="K309" s="1"/>
      <c r="L309" s="1" t="s">
        <v>133</v>
      </c>
      <c r="M309" s="5" t="s">
        <v>1029</v>
      </c>
    </row>
    <row r="310" spans="1:13" ht="13.8" customHeight="1" x14ac:dyDescent="0.3">
      <c r="A310" s="6">
        <v>309</v>
      </c>
      <c r="B310" s="6" t="s">
        <v>77</v>
      </c>
      <c r="C310" s="1" t="s">
        <v>93</v>
      </c>
      <c r="D310" s="1">
        <v>60</v>
      </c>
      <c r="E310" s="1" t="s">
        <v>977</v>
      </c>
      <c r="F310" s="1" t="s">
        <v>1020</v>
      </c>
      <c r="G310" s="2">
        <v>43908</v>
      </c>
      <c r="H310" s="1"/>
      <c r="I310" s="1"/>
      <c r="J310" s="1"/>
      <c r="K310" s="1"/>
      <c r="L310" s="1" t="s">
        <v>133</v>
      </c>
      <c r="M310" s="5" t="s">
        <v>1029</v>
      </c>
    </row>
    <row r="311" spans="1:13" ht="13.8" customHeight="1" x14ac:dyDescent="0.3">
      <c r="A311" s="6">
        <v>310</v>
      </c>
      <c r="B311" s="6" t="s">
        <v>78</v>
      </c>
      <c r="C311" s="1" t="s">
        <v>93</v>
      </c>
      <c r="D311" s="1">
        <v>58</v>
      </c>
      <c r="E311" s="1" t="s">
        <v>977</v>
      </c>
      <c r="F311" s="1" t="s">
        <v>1021</v>
      </c>
      <c r="G311" s="2">
        <v>43908</v>
      </c>
      <c r="H311" s="1"/>
      <c r="I311" s="1"/>
      <c r="J311" s="1"/>
      <c r="K311" s="1"/>
      <c r="L311" s="1" t="s">
        <v>133</v>
      </c>
      <c r="M311" s="5" t="s">
        <v>1029</v>
      </c>
    </row>
    <row r="312" spans="1:13" ht="13.8" customHeight="1" x14ac:dyDescent="0.3">
      <c r="A312" s="6">
        <v>311</v>
      </c>
      <c r="B312" s="6" t="s">
        <v>78</v>
      </c>
      <c r="C312" s="1" t="s">
        <v>94</v>
      </c>
      <c r="D312" s="1">
        <v>80</v>
      </c>
      <c r="E312" s="1" t="s">
        <v>977</v>
      </c>
      <c r="F312" s="1" t="s">
        <v>1022</v>
      </c>
      <c r="G312" s="2">
        <v>43908</v>
      </c>
      <c r="H312" s="19">
        <v>43912</v>
      </c>
      <c r="I312" s="1"/>
      <c r="J312" s="1"/>
      <c r="K312" s="1"/>
      <c r="L312" s="1" t="s">
        <v>133</v>
      </c>
      <c r="M312" s="5" t="s">
        <v>1029</v>
      </c>
    </row>
    <row r="313" spans="1:13" ht="13.8" customHeight="1" x14ac:dyDescent="0.3">
      <c r="A313" s="6">
        <v>312</v>
      </c>
      <c r="B313" s="6" t="s">
        <v>77</v>
      </c>
      <c r="C313" s="1" t="s">
        <v>93</v>
      </c>
      <c r="D313" s="1">
        <v>30</v>
      </c>
      <c r="E313" s="1" t="s">
        <v>623</v>
      </c>
      <c r="F313" s="1" t="s">
        <v>1023</v>
      </c>
      <c r="G313" s="2">
        <v>43908</v>
      </c>
      <c r="H313" s="74">
        <v>43926</v>
      </c>
      <c r="I313" s="1"/>
      <c r="J313" s="1"/>
      <c r="K313" s="1"/>
      <c r="L313" s="1" t="s">
        <v>133</v>
      </c>
      <c r="M313" s="5" t="s">
        <v>1029</v>
      </c>
    </row>
    <row r="314" spans="1:13" ht="13.8" customHeight="1" x14ac:dyDescent="0.3">
      <c r="A314" s="6">
        <v>313</v>
      </c>
      <c r="B314" s="6" t="s">
        <v>77</v>
      </c>
      <c r="C314" s="1" t="s">
        <v>93</v>
      </c>
      <c r="D314" s="1">
        <v>39</v>
      </c>
      <c r="E314" s="1" t="s">
        <v>650</v>
      </c>
      <c r="F314" s="1" t="s">
        <v>1024</v>
      </c>
      <c r="G314" s="2">
        <v>43908</v>
      </c>
      <c r="H314" s="1"/>
      <c r="I314" s="1"/>
      <c r="J314" s="1"/>
      <c r="K314" s="1"/>
      <c r="L314" s="1" t="s">
        <v>133</v>
      </c>
      <c r="M314" s="5" t="s">
        <v>1029</v>
      </c>
    </row>
    <row r="315" spans="1:13" ht="13.8" customHeight="1" x14ac:dyDescent="0.3">
      <c r="A315" s="6">
        <v>314</v>
      </c>
      <c r="B315" s="6" t="s">
        <v>78</v>
      </c>
      <c r="C315" s="1" t="s">
        <v>93</v>
      </c>
      <c r="D315" s="1">
        <v>58</v>
      </c>
      <c r="E315" s="1" t="s">
        <v>503</v>
      </c>
      <c r="F315" s="1" t="s">
        <v>1111</v>
      </c>
      <c r="G315" s="2">
        <v>43909</v>
      </c>
      <c r="H315" s="43">
        <v>43919</v>
      </c>
      <c r="I315" s="1"/>
      <c r="J315" s="1"/>
      <c r="K315" s="1"/>
      <c r="L315" s="1" t="s">
        <v>1058</v>
      </c>
      <c r="M315" s="5" t="s">
        <v>1128</v>
      </c>
    </row>
    <row r="316" spans="1:13" ht="13.8" customHeight="1" x14ac:dyDescent="0.3">
      <c r="A316" s="6">
        <v>315</v>
      </c>
      <c r="B316" s="6" t="s">
        <v>77</v>
      </c>
      <c r="C316" s="1" t="s">
        <v>93</v>
      </c>
      <c r="D316" s="1">
        <v>57</v>
      </c>
      <c r="E316" s="1" t="s">
        <v>503</v>
      </c>
      <c r="F316" s="1" t="s">
        <v>1112</v>
      </c>
      <c r="G316" s="2">
        <v>43909</v>
      </c>
      <c r="H316" s="1"/>
      <c r="I316" s="1"/>
      <c r="J316" s="1"/>
      <c r="K316" s="1"/>
      <c r="L316" s="1" t="s">
        <v>1062</v>
      </c>
      <c r="M316" s="5" t="s">
        <v>1128</v>
      </c>
    </row>
    <row r="317" spans="1:13" ht="13.8" customHeight="1" x14ac:dyDescent="0.3">
      <c r="A317" s="6">
        <v>316</v>
      </c>
      <c r="B317" s="6" t="s">
        <v>77</v>
      </c>
      <c r="C317" s="1" t="s">
        <v>93</v>
      </c>
      <c r="D317" s="1">
        <v>25</v>
      </c>
      <c r="E317" s="1" t="s">
        <v>591</v>
      </c>
      <c r="F317" s="1" t="s">
        <v>1096</v>
      </c>
      <c r="G317" s="2">
        <v>43909</v>
      </c>
      <c r="H317" s="1"/>
      <c r="I317" s="1"/>
      <c r="J317" s="1"/>
      <c r="K317" s="1"/>
      <c r="L317" s="1" t="s">
        <v>1064</v>
      </c>
      <c r="M317" s="5" t="s">
        <v>1128</v>
      </c>
    </row>
    <row r="318" spans="1:13" ht="13.8" customHeight="1" x14ac:dyDescent="0.3">
      <c r="A318" s="6">
        <v>317</v>
      </c>
      <c r="B318" s="6" t="s">
        <v>77</v>
      </c>
      <c r="C318" s="1" t="s">
        <v>93</v>
      </c>
      <c r="D318" s="1">
        <v>29</v>
      </c>
      <c r="E318" s="1" t="s">
        <v>503</v>
      </c>
      <c r="F318" s="1" t="s">
        <v>1113</v>
      </c>
      <c r="G318" s="2">
        <v>43909</v>
      </c>
      <c r="H318" s="1"/>
      <c r="I318" s="1"/>
      <c r="J318" s="1"/>
      <c r="K318" s="1"/>
      <c r="L318" s="1" t="s">
        <v>1066</v>
      </c>
      <c r="M318" s="5" t="s">
        <v>1128</v>
      </c>
    </row>
    <row r="319" spans="1:13" ht="13.8" customHeight="1" x14ac:dyDescent="0.3">
      <c r="A319" s="6">
        <v>318</v>
      </c>
      <c r="B319" s="6" t="s">
        <v>78</v>
      </c>
      <c r="C319" s="1" t="s">
        <v>94</v>
      </c>
      <c r="D319" s="1">
        <v>58</v>
      </c>
      <c r="E319" s="1" t="s">
        <v>473</v>
      </c>
      <c r="F319" s="1" t="s">
        <v>1097</v>
      </c>
      <c r="G319" s="2">
        <v>43909</v>
      </c>
      <c r="H319" s="56">
        <v>43921</v>
      </c>
      <c r="I319" s="1"/>
      <c r="J319" s="1"/>
      <c r="K319" s="1"/>
      <c r="L319" s="1" t="s">
        <v>1066</v>
      </c>
      <c r="M319" s="5" t="s">
        <v>1128</v>
      </c>
    </row>
    <row r="320" spans="1:13" ht="13.8" customHeight="1" x14ac:dyDescent="0.3">
      <c r="A320" s="6">
        <v>319</v>
      </c>
      <c r="B320" s="6" t="s">
        <v>77</v>
      </c>
      <c r="C320" s="1" t="s">
        <v>94</v>
      </c>
      <c r="D320" s="1">
        <v>67</v>
      </c>
      <c r="E320" s="1" t="s">
        <v>608</v>
      </c>
      <c r="F320" s="1" t="s">
        <v>1098</v>
      </c>
      <c r="G320" s="2">
        <v>43909</v>
      </c>
      <c r="H320" s="69">
        <v>43925</v>
      </c>
      <c r="I320" s="1"/>
      <c r="J320" s="1"/>
      <c r="K320" s="1"/>
      <c r="L320" s="1" t="s">
        <v>1066</v>
      </c>
      <c r="M320" s="5" t="s">
        <v>1128</v>
      </c>
    </row>
    <row r="321" spans="1:13" ht="13.8" customHeight="1" x14ac:dyDescent="0.3">
      <c r="A321" s="6">
        <v>320</v>
      </c>
      <c r="B321" s="6" t="s">
        <v>77</v>
      </c>
      <c r="C321" s="1" t="s">
        <v>93</v>
      </c>
      <c r="D321" s="1">
        <v>34</v>
      </c>
      <c r="E321" s="1" t="s">
        <v>503</v>
      </c>
      <c r="F321" s="1" t="s">
        <v>1099</v>
      </c>
      <c r="G321" s="2">
        <v>43909</v>
      </c>
      <c r="H321" s="1"/>
      <c r="I321" s="1"/>
      <c r="J321" s="1"/>
      <c r="K321" s="1"/>
      <c r="L321" s="1" t="s">
        <v>1071</v>
      </c>
      <c r="M321" s="5" t="s">
        <v>1128</v>
      </c>
    </row>
    <row r="322" spans="1:13" ht="13.8" customHeight="1" x14ac:dyDescent="0.3">
      <c r="A322" s="6">
        <v>321</v>
      </c>
      <c r="B322" s="6" t="s">
        <v>78</v>
      </c>
      <c r="C322" s="1" t="s">
        <v>94</v>
      </c>
      <c r="D322" s="1">
        <v>65</v>
      </c>
      <c r="E322" s="1" t="s">
        <v>503</v>
      </c>
      <c r="F322" s="1" t="s">
        <v>1114</v>
      </c>
      <c r="G322" s="2">
        <v>43909</v>
      </c>
      <c r="H322" s="48">
        <v>43920</v>
      </c>
      <c r="I322" s="1"/>
      <c r="J322" s="1"/>
      <c r="K322" s="1"/>
      <c r="L322" s="1" t="s">
        <v>343</v>
      </c>
      <c r="M322" s="5" t="s">
        <v>1128</v>
      </c>
    </row>
    <row r="323" spans="1:13" ht="13.8" customHeight="1" x14ac:dyDescent="0.3">
      <c r="A323" s="6">
        <v>322</v>
      </c>
      <c r="B323" s="6" t="s">
        <v>77</v>
      </c>
      <c r="C323" s="1" t="s">
        <v>94</v>
      </c>
      <c r="D323" s="1">
        <v>46</v>
      </c>
      <c r="E323" s="1" t="s">
        <v>503</v>
      </c>
      <c r="F323" s="1" t="s">
        <v>1100</v>
      </c>
      <c r="G323" s="2">
        <v>43909</v>
      </c>
      <c r="H323" s="1"/>
      <c r="I323" s="1"/>
      <c r="J323" s="1"/>
      <c r="K323" s="1"/>
      <c r="L323" s="1" t="s">
        <v>1074</v>
      </c>
      <c r="M323" s="5" t="s">
        <v>1128</v>
      </c>
    </row>
    <row r="324" spans="1:13" ht="13.8" customHeight="1" x14ac:dyDescent="0.3">
      <c r="A324" s="6">
        <v>323</v>
      </c>
      <c r="B324" s="6" t="s">
        <v>77</v>
      </c>
      <c r="C324" s="1" t="s">
        <v>93</v>
      </c>
      <c r="D324" s="1">
        <v>24</v>
      </c>
      <c r="E324" s="1" t="s">
        <v>503</v>
      </c>
      <c r="F324" s="1" t="s">
        <v>1115</v>
      </c>
      <c r="G324" s="2">
        <v>43909</v>
      </c>
      <c r="H324" s="1"/>
      <c r="I324" s="1"/>
      <c r="J324" s="1"/>
      <c r="K324" s="1"/>
      <c r="L324" s="1" t="s">
        <v>1071</v>
      </c>
      <c r="M324" s="5" t="s">
        <v>1128</v>
      </c>
    </row>
    <row r="325" spans="1:13" ht="13.8" customHeight="1" x14ac:dyDescent="0.3">
      <c r="A325" s="6">
        <v>324</v>
      </c>
      <c r="B325" s="6" t="s">
        <v>77</v>
      </c>
      <c r="C325" s="1" t="s">
        <v>93</v>
      </c>
      <c r="D325" s="1">
        <v>45</v>
      </c>
      <c r="E325" s="1" t="s">
        <v>1094</v>
      </c>
      <c r="F325" s="1" t="s">
        <v>1101</v>
      </c>
      <c r="G325" s="2">
        <v>43909</v>
      </c>
      <c r="H325" s="1"/>
      <c r="I325" s="1"/>
      <c r="J325" s="1"/>
      <c r="K325" s="1"/>
      <c r="L325" s="1" t="s">
        <v>1071</v>
      </c>
      <c r="M325" s="5" t="s">
        <v>1128</v>
      </c>
    </row>
    <row r="326" spans="1:13" ht="13.8" customHeight="1" x14ac:dyDescent="0.3">
      <c r="A326" s="6">
        <v>325</v>
      </c>
      <c r="B326" s="6" t="s">
        <v>77</v>
      </c>
      <c r="C326" s="1" t="s">
        <v>93</v>
      </c>
      <c r="D326" s="1">
        <v>38</v>
      </c>
      <c r="E326" s="1" t="s">
        <v>608</v>
      </c>
      <c r="F326" s="1" t="s">
        <v>1102</v>
      </c>
      <c r="G326" s="2">
        <v>43909</v>
      </c>
      <c r="H326" s="1"/>
      <c r="I326" s="1"/>
      <c r="J326" s="1"/>
      <c r="K326" s="1"/>
      <c r="L326" s="1" t="s">
        <v>1071</v>
      </c>
      <c r="M326" s="5" t="s">
        <v>1128</v>
      </c>
    </row>
    <row r="327" spans="1:13" ht="13.8" customHeight="1" x14ac:dyDescent="0.3">
      <c r="A327" s="6">
        <v>326</v>
      </c>
      <c r="B327" s="6" t="s">
        <v>77</v>
      </c>
      <c r="C327" s="1" t="s">
        <v>93</v>
      </c>
      <c r="D327" s="1">
        <v>33</v>
      </c>
      <c r="E327" s="1" t="s">
        <v>503</v>
      </c>
      <c r="F327" s="1" t="s">
        <v>1116</v>
      </c>
      <c r="G327" s="2">
        <v>43909</v>
      </c>
      <c r="H327" s="1"/>
      <c r="I327" s="1"/>
      <c r="J327" s="1"/>
      <c r="K327" s="1"/>
      <c r="L327" s="1" t="s">
        <v>1071</v>
      </c>
      <c r="M327" s="5" t="s">
        <v>1128</v>
      </c>
    </row>
    <row r="328" spans="1:13" ht="13.8" customHeight="1" x14ac:dyDescent="0.3">
      <c r="A328" s="6">
        <v>327</v>
      </c>
      <c r="B328" s="6" t="s">
        <v>77</v>
      </c>
      <c r="C328" s="1" t="s">
        <v>94</v>
      </c>
      <c r="D328" s="1">
        <v>38</v>
      </c>
      <c r="E328" s="1" t="s">
        <v>503</v>
      </c>
      <c r="F328" s="1" t="s">
        <v>1117</v>
      </c>
      <c r="G328" s="2">
        <v>43909</v>
      </c>
      <c r="H328" s="1"/>
      <c r="I328" s="1"/>
      <c r="J328" s="1"/>
      <c r="K328" s="1"/>
      <c r="L328" s="1" t="s">
        <v>1071</v>
      </c>
      <c r="M328" s="5" t="s">
        <v>1128</v>
      </c>
    </row>
    <row r="329" spans="1:13" ht="13.8" customHeight="1" x14ac:dyDescent="0.3">
      <c r="A329" s="6">
        <v>328</v>
      </c>
      <c r="B329" s="6" t="s">
        <v>77</v>
      </c>
      <c r="C329" s="1" t="s">
        <v>94</v>
      </c>
      <c r="D329" s="1">
        <v>63</v>
      </c>
      <c r="E329" s="1" t="s">
        <v>503</v>
      </c>
      <c r="F329" s="1" t="s">
        <v>1103</v>
      </c>
      <c r="G329" s="2">
        <v>43909</v>
      </c>
      <c r="H329" s="1"/>
      <c r="I329" s="1"/>
      <c r="J329" s="1"/>
      <c r="K329" s="1"/>
      <c r="L329" s="1" t="s">
        <v>1071</v>
      </c>
      <c r="M329" s="5" t="s">
        <v>1128</v>
      </c>
    </row>
    <row r="330" spans="1:13" ht="13.8" customHeight="1" x14ac:dyDescent="0.3">
      <c r="A330" s="6">
        <v>329</v>
      </c>
      <c r="B330" s="6" t="s">
        <v>77</v>
      </c>
      <c r="C330" s="1" t="s">
        <v>93</v>
      </c>
      <c r="D330" s="1">
        <v>64</v>
      </c>
      <c r="E330" s="1" t="s">
        <v>503</v>
      </c>
      <c r="F330" s="1" t="s">
        <v>1118</v>
      </c>
      <c r="G330" s="2">
        <v>43909</v>
      </c>
      <c r="H330" s="1"/>
      <c r="I330" s="1"/>
      <c r="J330" s="1"/>
      <c r="K330" s="1"/>
      <c r="L330" s="1" t="s">
        <v>1071</v>
      </c>
      <c r="M330" s="5" t="s">
        <v>1128</v>
      </c>
    </row>
    <row r="331" spans="1:13" ht="13.8" customHeight="1" x14ac:dyDescent="0.3">
      <c r="A331" s="6">
        <v>330</v>
      </c>
      <c r="B331" s="6" t="s">
        <v>78</v>
      </c>
      <c r="C331" s="1" t="s">
        <v>93</v>
      </c>
      <c r="D331" s="1">
        <v>67</v>
      </c>
      <c r="E331" s="1" t="s">
        <v>503</v>
      </c>
      <c r="F331" s="1" t="s">
        <v>1119</v>
      </c>
      <c r="G331" s="2">
        <v>43909</v>
      </c>
      <c r="H331" s="43">
        <v>43919</v>
      </c>
      <c r="I331" s="1"/>
      <c r="J331" s="1"/>
      <c r="K331" s="1"/>
      <c r="L331" s="1" t="s">
        <v>1071</v>
      </c>
      <c r="M331" s="5" t="s">
        <v>1128</v>
      </c>
    </row>
    <row r="332" spans="1:13" ht="13.8" customHeight="1" x14ac:dyDescent="0.3">
      <c r="A332" s="6">
        <v>331</v>
      </c>
      <c r="B332" s="6" t="s">
        <v>77</v>
      </c>
      <c r="C332" s="1" t="s">
        <v>94</v>
      </c>
      <c r="D332" s="1">
        <v>49</v>
      </c>
      <c r="E332" s="1" t="s">
        <v>503</v>
      </c>
      <c r="F332" s="1" t="s">
        <v>1104</v>
      </c>
      <c r="G332" s="2">
        <v>43909</v>
      </c>
      <c r="H332" s="64">
        <v>43923</v>
      </c>
      <c r="I332" s="1"/>
      <c r="J332" s="1"/>
      <c r="K332" s="1"/>
      <c r="L332" s="1" t="s">
        <v>1071</v>
      </c>
      <c r="M332" s="5" t="s">
        <v>1128</v>
      </c>
    </row>
    <row r="333" spans="1:13" ht="13.8" customHeight="1" x14ac:dyDescent="0.3">
      <c r="A333" s="6">
        <v>332</v>
      </c>
      <c r="B333" s="6" t="s">
        <v>77</v>
      </c>
      <c r="C333" s="1" t="s">
        <v>94</v>
      </c>
      <c r="D333" s="1">
        <v>36</v>
      </c>
      <c r="E333" s="1" t="s">
        <v>777</v>
      </c>
      <c r="F333" s="1" t="s">
        <v>1105</v>
      </c>
      <c r="G333" s="2">
        <v>43909</v>
      </c>
      <c r="H333" s="1"/>
      <c r="I333" s="1"/>
      <c r="J333" s="1"/>
      <c r="K333" s="1"/>
      <c r="L333" s="1" t="s">
        <v>1071</v>
      </c>
      <c r="M333" s="5" t="s">
        <v>1128</v>
      </c>
    </row>
    <row r="334" spans="1:13" ht="13.8" customHeight="1" x14ac:dyDescent="0.3">
      <c r="A334" s="6">
        <v>333</v>
      </c>
      <c r="B334" s="6" t="s">
        <v>77</v>
      </c>
      <c r="C334" s="1" t="s">
        <v>93</v>
      </c>
      <c r="D334" s="1">
        <v>48</v>
      </c>
      <c r="E334" s="1" t="s">
        <v>1095</v>
      </c>
      <c r="F334" s="1" t="s">
        <v>1106</v>
      </c>
      <c r="G334" s="2">
        <v>43909</v>
      </c>
      <c r="H334" s="1"/>
      <c r="I334" s="1"/>
      <c r="J334" s="1"/>
      <c r="K334" s="1"/>
      <c r="L334" s="1" t="s">
        <v>1071</v>
      </c>
      <c r="M334" s="5" t="s">
        <v>1128</v>
      </c>
    </row>
    <row r="335" spans="1:13" ht="13.8" customHeight="1" x14ac:dyDescent="0.3">
      <c r="A335" s="6">
        <v>334</v>
      </c>
      <c r="B335" s="6" t="s">
        <v>77</v>
      </c>
      <c r="C335" s="1" t="s">
        <v>94</v>
      </c>
      <c r="D335" s="1">
        <v>32</v>
      </c>
      <c r="E335" s="1" t="s">
        <v>503</v>
      </c>
      <c r="F335" s="1" t="s">
        <v>1120</v>
      </c>
      <c r="G335" s="2">
        <v>43909</v>
      </c>
      <c r="H335" s="1"/>
      <c r="I335" s="1"/>
      <c r="J335" s="1"/>
      <c r="K335" s="1"/>
      <c r="L335" s="1" t="s">
        <v>1071</v>
      </c>
      <c r="M335" s="5" t="s">
        <v>1128</v>
      </c>
    </row>
    <row r="336" spans="1:13" ht="13.8" customHeight="1" x14ac:dyDescent="0.3">
      <c r="A336" s="6">
        <v>335</v>
      </c>
      <c r="B336" s="6" t="s">
        <v>78</v>
      </c>
      <c r="C336" s="1" t="s">
        <v>93</v>
      </c>
      <c r="D336" s="1">
        <v>57</v>
      </c>
      <c r="E336" s="1" t="s">
        <v>503</v>
      </c>
      <c r="F336" s="1" t="s">
        <v>1121</v>
      </c>
      <c r="G336" s="2">
        <v>43909</v>
      </c>
      <c r="H336" s="19">
        <v>43917</v>
      </c>
      <c r="I336" s="1"/>
      <c r="J336" s="1"/>
      <c r="K336" s="1"/>
      <c r="L336" s="1" t="s">
        <v>1071</v>
      </c>
      <c r="M336" s="5" t="s">
        <v>1128</v>
      </c>
    </row>
    <row r="337" spans="1:13" ht="13.8" customHeight="1" x14ac:dyDescent="0.3">
      <c r="A337" s="6">
        <v>336</v>
      </c>
      <c r="B337" s="6" t="s">
        <v>78</v>
      </c>
      <c r="C337" s="1" t="s">
        <v>93</v>
      </c>
      <c r="D337" s="1">
        <v>60</v>
      </c>
      <c r="E337" s="1" t="s">
        <v>503</v>
      </c>
      <c r="F337" s="1" t="s">
        <v>1122</v>
      </c>
      <c r="G337" s="2">
        <v>43909</v>
      </c>
      <c r="H337" s="1"/>
      <c r="I337" s="1"/>
      <c r="J337" s="1"/>
      <c r="K337" s="1"/>
      <c r="L337" s="1" t="s">
        <v>1058</v>
      </c>
      <c r="M337" s="5" t="s">
        <v>1128</v>
      </c>
    </row>
    <row r="338" spans="1:13" ht="13.8" customHeight="1" x14ac:dyDescent="0.3">
      <c r="A338" s="6">
        <v>337</v>
      </c>
      <c r="B338" s="6" t="s">
        <v>77</v>
      </c>
      <c r="C338" s="1" t="s">
        <v>93</v>
      </c>
      <c r="D338" s="1">
        <v>31</v>
      </c>
      <c r="E338" s="1" t="s">
        <v>680</v>
      </c>
      <c r="F338" s="1" t="s">
        <v>1107</v>
      </c>
      <c r="G338" s="2">
        <v>43909</v>
      </c>
      <c r="H338" s="1"/>
      <c r="I338" s="1"/>
      <c r="J338" s="1"/>
      <c r="K338" s="1"/>
      <c r="L338" s="1" t="s">
        <v>343</v>
      </c>
      <c r="M338" s="5" t="s">
        <v>1128</v>
      </c>
    </row>
    <row r="339" spans="1:13" ht="13.8" customHeight="1" x14ac:dyDescent="0.3">
      <c r="A339" s="6">
        <v>338</v>
      </c>
      <c r="B339" s="6" t="s">
        <v>78</v>
      </c>
      <c r="C339" s="1" t="s">
        <v>93</v>
      </c>
      <c r="D339" s="1">
        <v>57</v>
      </c>
      <c r="E339" s="1" t="s">
        <v>503</v>
      </c>
      <c r="F339" s="1" t="s">
        <v>1123</v>
      </c>
      <c r="G339" s="2">
        <v>43909</v>
      </c>
      <c r="H339" s="1"/>
      <c r="I339" s="1"/>
      <c r="J339" s="1"/>
      <c r="K339" s="1"/>
      <c r="L339" s="1" t="s">
        <v>1071</v>
      </c>
      <c r="M339" s="5" t="s">
        <v>1128</v>
      </c>
    </row>
    <row r="340" spans="1:13" ht="13.8" customHeight="1" x14ac:dyDescent="0.3">
      <c r="A340" s="6">
        <v>339</v>
      </c>
      <c r="B340" s="6" t="s">
        <v>77</v>
      </c>
      <c r="C340" s="1" t="s">
        <v>93</v>
      </c>
      <c r="D340" s="1">
        <v>66</v>
      </c>
      <c r="E340" s="1" t="s">
        <v>503</v>
      </c>
      <c r="F340" s="1" t="s">
        <v>1124</v>
      </c>
      <c r="G340" s="2">
        <v>43909</v>
      </c>
      <c r="H340" s="1"/>
      <c r="I340" s="1"/>
      <c r="J340" s="1"/>
      <c r="K340" s="1"/>
      <c r="L340" s="1" t="s">
        <v>1071</v>
      </c>
      <c r="M340" s="5" t="s">
        <v>1128</v>
      </c>
    </row>
    <row r="341" spans="1:13" ht="13.8" customHeight="1" x14ac:dyDescent="0.3">
      <c r="A341" s="6">
        <v>340</v>
      </c>
      <c r="B341" s="6" t="s">
        <v>77</v>
      </c>
      <c r="C341" s="1" t="s">
        <v>93</v>
      </c>
      <c r="D341" s="1">
        <v>27</v>
      </c>
      <c r="E341" s="1" t="s">
        <v>503</v>
      </c>
      <c r="F341" s="1" t="s">
        <v>1125</v>
      </c>
      <c r="G341" s="2">
        <v>43909</v>
      </c>
      <c r="H341" s="69">
        <v>43925</v>
      </c>
      <c r="I341" s="1"/>
      <c r="J341" s="1"/>
      <c r="K341" s="1"/>
      <c r="L341" s="1" t="s">
        <v>1071</v>
      </c>
      <c r="M341" s="5" t="s">
        <v>1128</v>
      </c>
    </row>
    <row r="342" spans="1:13" ht="13.8" customHeight="1" x14ac:dyDescent="0.3">
      <c r="A342" s="6">
        <v>341</v>
      </c>
      <c r="B342" s="6" t="s">
        <v>77</v>
      </c>
      <c r="C342" s="1" t="s">
        <v>93</v>
      </c>
      <c r="D342" s="1">
        <v>31</v>
      </c>
      <c r="E342" s="1" t="s">
        <v>779</v>
      </c>
      <c r="F342" s="1" t="s">
        <v>1108</v>
      </c>
      <c r="G342" s="2">
        <v>43909</v>
      </c>
      <c r="H342" s="1"/>
      <c r="I342" s="1"/>
      <c r="J342" s="1"/>
      <c r="K342" s="1"/>
      <c r="L342" s="1" t="s">
        <v>1071</v>
      </c>
      <c r="M342" s="5" t="s">
        <v>1128</v>
      </c>
    </row>
    <row r="343" spans="1:13" ht="13.8" customHeight="1" x14ac:dyDescent="0.3">
      <c r="A343" s="6">
        <v>342</v>
      </c>
      <c r="B343" s="6" t="s">
        <v>77</v>
      </c>
      <c r="C343" s="1" t="s">
        <v>93</v>
      </c>
      <c r="D343" s="1">
        <v>31</v>
      </c>
      <c r="E343" s="1" t="s">
        <v>503</v>
      </c>
      <c r="F343" s="1" t="s">
        <v>1126</v>
      </c>
      <c r="G343" s="2">
        <v>43909</v>
      </c>
      <c r="H343" s="1"/>
      <c r="I343" s="1"/>
      <c r="J343" s="1"/>
      <c r="K343" s="1"/>
      <c r="L343" s="1" t="s">
        <v>1071</v>
      </c>
      <c r="M343" s="5" t="s">
        <v>1128</v>
      </c>
    </row>
    <row r="344" spans="1:13" ht="13.8" customHeight="1" x14ac:dyDescent="0.3">
      <c r="A344" s="6">
        <v>343</v>
      </c>
      <c r="B344" s="6" t="s">
        <v>77</v>
      </c>
      <c r="C344" s="1" t="s">
        <v>94</v>
      </c>
      <c r="D344" s="1">
        <v>20</v>
      </c>
      <c r="E344" s="1" t="s">
        <v>503</v>
      </c>
      <c r="F344" s="1" t="s">
        <v>1109</v>
      </c>
      <c r="G344" s="2">
        <v>43909</v>
      </c>
      <c r="H344" s="1"/>
      <c r="I344" s="1"/>
      <c r="J344" s="1"/>
      <c r="K344" s="1"/>
      <c r="L344" s="1" t="s">
        <v>1071</v>
      </c>
      <c r="M344" s="5" t="s">
        <v>1128</v>
      </c>
    </row>
    <row r="345" spans="1:13" ht="13.8" customHeight="1" x14ac:dyDescent="0.3">
      <c r="A345" s="6">
        <v>344</v>
      </c>
      <c r="B345" s="6" t="s">
        <v>77</v>
      </c>
      <c r="C345" s="1" t="s">
        <v>94</v>
      </c>
      <c r="D345" s="1">
        <v>21</v>
      </c>
      <c r="E345" s="1" t="s">
        <v>503</v>
      </c>
      <c r="F345" s="1" t="s">
        <v>1127</v>
      </c>
      <c r="G345" s="2">
        <v>43909</v>
      </c>
      <c r="H345" s="1"/>
      <c r="I345" s="1"/>
      <c r="J345" s="1"/>
      <c r="K345" s="1"/>
      <c r="L345" s="1" t="s">
        <v>1071</v>
      </c>
      <c r="M345" s="5" t="s">
        <v>1128</v>
      </c>
    </row>
    <row r="346" spans="1:13" ht="13.8" customHeight="1" x14ac:dyDescent="0.3">
      <c r="A346" s="6">
        <v>345</v>
      </c>
      <c r="B346" s="6" t="s">
        <v>78</v>
      </c>
      <c r="C346" s="1" t="s">
        <v>93</v>
      </c>
      <c r="D346" s="1">
        <v>30</v>
      </c>
      <c r="E346" s="1" t="s">
        <v>1093</v>
      </c>
      <c r="F346" s="1" t="s">
        <v>1110</v>
      </c>
      <c r="G346" s="2">
        <v>43909</v>
      </c>
      <c r="H346" s="48">
        <v>43920</v>
      </c>
      <c r="I346" s="1"/>
      <c r="J346" s="1"/>
      <c r="K346" s="1"/>
      <c r="L346" s="1" t="s">
        <v>1071</v>
      </c>
      <c r="M346" s="5" t="s">
        <v>1128</v>
      </c>
    </row>
    <row r="347" spans="1:13" ht="13.8" customHeight="1" x14ac:dyDescent="0.3">
      <c r="A347" s="1">
        <f>Annex!A81</f>
        <v>346</v>
      </c>
      <c r="B347" s="1" t="str">
        <f>IF(LEFT(Annex!H81,5)="Local","Local Transmission",Annex!H81)</f>
        <v>Imported</v>
      </c>
      <c r="C347" s="1" t="str">
        <f>Annex!J81</f>
        <v>Male</v>
      </c>
      <c r="D347" s="1">
        <f>Annex!D81</f>
        <v>59</v>
      </c>
      <c r="E347" s="1" t="str">
        <f>Annex!K81</f>
        <v>Singaporean</v>
      </c>
      <c r="F347" s="1" t="str">
        <f>Annex!L81</f>
        <v xml:space="preserve">Case 346 is a Imported case, 59 years old male Singapore Citizen  and has been to India . He is currently admitted at KTPH . </v>
      </c>
      <c r="G347" s="2">
        <v>43910</v>
      </c>
      <c r="H347" s="43">
        <v>43919</v>
      </c>
      <c r="I347" s="1"/>
      <c r="J347" s="1"/>
      <c r="K347" s="1"/>
      <c r="L347" s="1" t="str">
        <f>Annex!C81</f>
        <v xml:space="preserve">KTPH </v>
      </c>
      <c r="M347" s="5" t="s">
        <v>1130</v>
      </c>
    </row>
    <row r="348" spans="1:13" ht="13.8" customHeight="1" x14ac:dyDescent="0.3">
      <c r="A348" s="1">
        <f>Annex!A82</f>
        <v>347</v>
      </c>
      <c r="B348" s="1" t="str">
        <f>IF(LEFT(Annex!H82,5)="Local","Local Transmission",Annex!H82)</f>
        <v>Imported</v>
      </c>
      <c r="C348" s="1" t="str">
        <f>Annex!J82</f>
        <v>Male</v>
      </c>
      <c r="D348" s="1">
        <f>Annex!D82</f>
        <v>27</v>
      </c>
      <c r="E348" s="1" t="str">
        <f>Annex!K82</f>
        <v>Singaporean</v>
      </c>
      <c r="F348" s="1" t="str">
        <f>Annex!L82</f>
        <v xml:space="preserve">Case 347 is a Imported case, 27 years old male Singapore Citizen  and has been to UK . He is currently admitted at KTPH . </v>
      </c>
      <c r="G348" s="2">
        <v>43910</v>
      </c>
      <c r="H348" s="1"/>
      <c r="I348" s="1"/>
      <c r="J348" s="1"/>
      <c r="K348" s="1"/>
      <c r="L348" s="1" t="str">
        <f>Annex!C82</f>
        <v xml:space="preserve">KTPH </v>
      </c>
      <c r="M348" s="5" t="s">
        <v>1130</v>
      </c>
    </row>
    <row r="349" spans="1:13" ht="13.8" customHeight="1" x14ac:dyDescent="0.3">
      <c r="A349" s="1">
        <f>Annex!A83</f>
        <v>348</v>
      </c>
      <c r="B349" s="1" t="str">
        <f>IF(LEFT(Annex!H83,5)="Local","Local Transmission",Annex!H83)</f>
        <v>Local Transmission</v>
      </c>
      <c r="C349" s="1" t="str">
        <f>Annex!J83</f>
        <v>Female</v>
      </c>
      <c r="D349" s="1">
        <f>Annex!D83</f>
        <v>51</v>
      </c>
      <c r="E349" s="1" t="str">
        <f>Annex!K83</f>
        <v>Singaporean</v>
      </c>
      <c r="F349" s="1" t="str">
        <f>Annex!L83</f>
        <v>Case 348 is a Local linked  case, 51 years old female Singapore Citizen  and has not been overseas. She is currently admitted at NUH . Family member of Case 227</v>
      </c>
      <c r="G349" s="2">
        <v>43910</v>
      </c>
      <c r="H349" s="1"/>
      <c r="I349" s="1"/>
      <c r="J349" s="1"/>
      <c r="K349" s="1"/>
      <c r="L349" s="1" t="str">
        <f>Annex!C83</f>
        <v xml:space="preserve">NUH </v>
      </c>
      <c r="M349" s="5" t="s">
        <v>1130</v>
      </c>
    </row>
    <row r="350" spans="1:13" ht="13.8" customHeight="1" x14ac:dyDescent="0.3">
      <c r="A350" s="1">
        <f>Annex!A84</f>
        <v>349</v>
      </c>
      <c r="B350" s="1" t="str">
        <f>IF(LEFT(Annex!H84,5)="Local","Local Transmission",Annex!H84)</f>
        <v>Imported</v>
      </c>
      <c r="C350" s="1" t="str">
        <f>Annex!J84</f>
        <v>Male</v>
      </c>
      <c r="D350" s="1">
        <f>Annex!D84</f>
        <v>21</v>
      </c>
      <c r="E350" s="1" t="str">
        <f>Annex!K84</f>
        <v>Singaporean</v>
      </c>
      <c r="F350" s="1" t="str">
        <f>Annex!L84</f>
        <v xml:space="preserve">Case 349 is a Imported case, 21 years old male Singapore Citizen  and has been to UK . He is currently admitted at CGH. </v>
      </c>
      <c r="G350" s="2">
        <v>43910</v>
      </c>
      <c r="H350" s="1"/>
      <c r="I350" s="1"/>
      <c r="J350" s="1"/>
      <c r="K350" s="1"/>
      <c r="L350" s="1" t="str">
        <f>Annex!C84</f>
        <v>CGH</v>
      </c>
      <c r="M350" s="5" t="s">
        <v>1130</v>
      </c>
    </row>
    <row r="351" spans="1:13" ht="13.8" customHeight="1" x14ac:dyDescent="0.3">
      <c r="A351" s="1">
        <f>Annex!A85</f>
        <v>350</v>
      </c>
      <c r="B351" s="1" t="str">
        <f>IF(LEFT(Annex!H85,5)="Local","Local Transmission",Annex!H85)</f>
        <v>Local Transmission</v>
      </c>
      <c r="C351" s="1" t="str">
        <f>Annex!J85</f>
        <v>Male</v>
      </c>
      <c r="D351" s="1">
        <f>Annex!D85</f>
        <v>61</v>
      </c>
      <c r="E351" s="1" t="str">
        <f>Annex!K85</f>
        <v>Singaporean</v>
      </c>
      <c r="F351" s="1" t="str">
        <f>Annex!L85</f>
        <v xml:space="preserve">Case 350 is a Local unlinked case, 61 years old male Singapore Citizen  and has not been overseas. He is currently admitted at CGH . </v>
      </c>
      <c r="G351" s="2">
        <v>43910</v>
      </c>
      <c r="H351" s="1"/>
      <c r="I351" s="1"/>
      <c r="J351" s="1"/>
      <c r="K351" s="1"/>
      <c r="L351" s="1" t="str">
        <f>Annex!C85</f>
        <v xml:space="preserve">CGH </v>
      </c>
      <c r="M351" s="5" t="s">
        <v>1130</v>
      </c>
    </row>
    <row r="352" spans="1:13" ht="13.8" customHeight="1" x14ac:dyDescent="0.3">
      <c r="A352" s="1">
        <f>Annex!A86</f>
        <v>351</v>
      </c>
      <c r="B352" s="1" t="str">
        <f>IF(LEFT(Annex!H86,5)="Local","Local Transmission",Annex!H86)</f>
        <v>Imported</v>
      </c>
      <c r="C352" s="1" t="str">
        <f>Annex!J86</f>
        <v>Male</v>
      </c>
      <c r="D352" s="1">
        <f>Annex!D86</f>
        <v>51</v>
      </c>
      <c r="E352" s="1" t="str">
        <f>Annex!K86</f>
        <v>Singaporean</v>
      </c>
      <c r="F352" s="1" t="str">
        <f>Annex!L86</f>
        <v xml:space="preserve">Case 351 is a Imported case, 51 years old male Singapore Citizen  and has been to Indonesia . He is currently admitted at SKH. </v>
      </c>
      <c r="G352" s="2">
        <v>43910</v>
      </c>
      <c r="H352" s="38">
        <v>43918</v>
      </c>
      <c r="I352" s="1"/>
      <c r="J352" s="1"/>
      <c r="K352" s="1"/>
      <c r="L352" s="1" t="str">
        <f>Annex!C86</f>
        <v>SKH</v>
      </c>
      <c r="M352" s="5" t="s">
        <v>1130</v>
      </c>
    </row>
    <row r="353" spans="1:13" ht="13.8" customHeight="1" x14ac:dyDescent="0.3">
      <c r="A353" s="1">
        <f>Annex!A87</f>
        <v>352</v>
      </c>
      <c r="B353" s="1" t="str">
        <f>IF(LEFT(Annex!H87,5)="Local","Local Transmission",Annex!H87)</f>
        <v>Imported</v>
      </c>
      <c r="C353" s="1" t="str">
        <f>Annex!J87</f>
        <v>Male</v>
      </c>
      <c r="D353" s="1">
        <f>Annex!D87</f>
        <v>43</v>
      </c>
      <c r="E353" s="1" t="str">
        <f>Annex!K87</f>
        <v>Singaporean</v>
      </c>
      <c r="F353" s="1" t="str">
        <f>Annex!L87</f>
        <v xml:space="preserve">Case 352 is a Imported case, 43 years old male Singapore Citizen  and has been to Moscow, Russia, Copenhagen, Denmark. He is currently admitted at SGH. </v>
      </c>
      <c r="G353" s="2">
        <v>43910</v>
      </c>
      <c r="H353" s="1"/>
      <c r="I353" s="1"/>
      <c r="J353" s="1"/>
      <c r="K353" s="1"/>
      <c r="L353" s="1" t="str">
        <f>Annex!C87</f>
        <v>SGH</v>
      </c>
      <c r="M353" s="5" t="s">
        <v>1130</v>
      </c>
    </row>
    <row r="354" spans="1:13" ht="13.8" customHeight="1" x14ac:dyDescent="0.3">
      <c r="A354" s="1">
        <f>Annex!A88</f>
        <v>353</v>
      </c>
      <c r="B354" s="1" t="str">
        <f>IF(LEFT(Annex!H88,5)="Local","Local Transmission",Annex!H88)</f>
        <v>Local Transmission</v>
      </c>
      <c r="C354" s="1" t="str">
        <f>Annex!J88</f>
        <v>Male</v>
      </c>
      <c r="D354" s="1">
        <f>Annex!D88</f>
        <v>23</v>
      </c>
      <c r="E354" s="1" t="str">
        <f>Annex!K88</f>
        <v>Singaporean</v>
      </c>
      <c r="F354" s="1" t="str">
        <f>Annex!L88</f>
        <v>Case 353 is a Local linked  case, 23 years old male Singapore Citizen  and has not been overseas. He is currently admitted at NCID. Contact of Case 177</v>
      </c>
      <c r="G354" s="2">
        <v>43910</v>
      </c>
      <c r="H354" s="19">
        <v>43916</v>
      </c>
      <c r="I354" s="1"/>
      <c r="J354" s="1"/>
      <c r="K354" s="1"/>
      <c r="L354" s="1" t="str">
        <f>Annex!C88</f>
        <v>NCID</v>
      </c>
      <c r="M354" s="5" t="s">
        <v>1130</v>
      </c>
    </row>
    <row r="355" spans="1:13" ht="13.8" customHeight="1" x14ac:dyDescent="0.3">
      <c r="A355" s="1">
        <f>Annex!A89</f>
        <v>354</v>
      </c>
      <c r="B355" s="1" t="str">
        <f>IF(LEFT(Annex!H89,5)="Local","Local Transmission",Annex!H89)</f>
        <v xml:space="preserve">Imported </v>
      </c>
      <c r="C355" s="1" t="str">
        <f>Annex!J89</f>
        <v>Male</v>
      </c>
      <c r="D355" s="1">
        <f>Annex!D89</f>
        <v>59</v>
      </c>
      <c r="E355" s="1" t="str">
        <f>Annex!K89</f>
        <v>Singaporean</v>
      </c>
      <c r="F355" s="1" t="str">
        <f>Annex!L89</f>
        <v>Case 354 is a Imported  case, 59 years old male Singapore Citizen  and has been to UK . He is currently admitted at SGH . Contact of Case 265</v>
      </c>
      <c r="G355" s="2">
        <v>43910</v>
      </c>
      <c r="H355" s="1"/>
      <c r="I355" s="1"/>
      <c r="J355" s="1"/>
      <c r="K355" s="1"/>
      <c r="L355" s="1" t="str">
        <f>Annex!C89</f>
        <v xml:space="preserve">SGH </v>
      </c>
      <c r="M355" s="5" t="s">
        <v>1130</v>
      </c>
    </row>
    <row r="356" spans="1:13" ht="13.8" customHeight="1" x14ac:dyDescent="0.3">
      <c r="A356" s="1">
        <f>Annex!A90</f>
        <v>355</v>
      </c>
      <c r="B356" s="1" t="str">
        <f>IF(LEFT(Annex!H90,5)="Local","Local Transmission",Annex!H90)</f>
        <v>Imported</v>
      </c>
      <c r="C356" s="1" t="str">
        <f>Annex!J90</f>
        <v>Male</v>
      </c>
      <c r="D356" s="1">
        <f>Annex!D90</f>
        <v>38</v>
      </c>
      <c r="E356" s="1" t="str">
        <f>Annex!K90</f>
        <v>Australian</v>
      </c>
      <c r="F356" s="1" t="str">
        <f>Annex!L90</f>
        <v xml:space="preserve">Case 355 is a Imported case, 38 years old male Australian (Long Term Visit Pass holder) and has been to UK . He is currently admitted at NCID . </v>
      </c>
      <c r="G356" s="2">
        <v>43910</v>
      </c>
      <c r="H356" s="1"/>
      <c r="I356" s="1"/>
      <c r="J356" s="1"/>
      <c r="K356" s="1"/>
      <c r="L356" s="1" t="str">
        <f>Annex!C90</f>
        <v xml:space="preserve">NCID </v>
      </c>
      <c r="M356" s="5" t="s">
        <v>1130</v>
      </c>
    </row>
    <row r="357" spans="1:13" ht="13.8" customHeight="1" x14ac:dyDescent="0.3">
      <c r="A357" s="1">
        <f>Annex!A91</f>
        <v>356</v>
      </c>
      <c r="B357" s="1" t="str">
        <f>IF(LEFT(Annex!H91,5)="Local","Local Transmission",Annex!H91)</f>
        <v>Imported</v>
      </c>
      <c r="C357" s="1" t="str">
        <f>Annex!J91</f>
        <v>Male</v>
      </c>
      <c r="D357" s="1">
        <f>Annex!D91</f>
        <v>27</v>
      </c>
      <c r="E357" s="1" t="str">
        <f>Annex!K91</f>
        <v>Australian</v>
      </c>
      <c r="F357" s="1" t="str">
        <f>Annex!L91</f>
        <v xml:space="preserve">Case 356 is a Imported case, 27 years old male Australian (Singapore Work Pass holder) and has been to India . He is currently admitted at NCID . </v>
      </c>
      <c r="G357" s="2">
        <v>43910</v>
      </c>
      <c r="H357" s="1"/>
      <c r="I357" s="1"/>
      <c r="J357" s="1"/>
      <c r="K357" s="1"/>
      <c r="L357" s="1" t="str">
        <f>Annex!C91</f>
        <v xml:space="preserve">NCID </v>
      </c>
      <c r="M357" s="5" t="s">
        <v>1130</v>
      </c>
    </row>
    <row r="358" spans="1:13" ht="13.8" customHeight="1" x14ac:dyDescent="0.3">
      <c r="A358" s="1">
        <f>Annex!A92</f>
        <v>357</v>
      </c>
      <c r="B358" s="1" t="str">
        <f>IF(LEFT(Annex!H92,5)="Local","Local Transmission",Annex!H92)</f>
        <v>Imported</v>
      </c>
      <c r="C358" s="1" t="str">
        <f>Annex!J92</f>
        <v>Male</v>
      </c>
      <c r="D358" s="1">
        <f>Annex!D92</f>
        <v>41</v>
      </c>
      <c r="E358" s="1" t="str">
        <f>Annex!K92</f>
        <v xml:space="preserve">German </v>
      </c>
      <c r="F358" s="1" t="str">
        <f>Annex!L92</f>
        <v xml:space="preserve">Case 357 is a Imported case, 41 years old male German  and has been to Germany, US, France, Monaco. He is currently admitted at MEH. </v>
      </c>
      <c r="G358" s="2">
        <v>43910</v>
      </c>
      <c r="H358" s="48">
        <v>43920</v>
      </c>
      <c r="I358" s="1"/>
      <c r="J358" s="1"/>
      <c r="K358" s="1"/>
      <c r="L358" s="1" t="str">
        <f>Annex!C92</f>
        <v>MEH</v>
      </c>
      <c r="M358" s="5" t="s">
        <v>1130</v>
      </c>
    </row>
    <row r="359" spans="1:13" ht="13.8" customHeight="1" x14ac:dyDescent="0.3">
      <c r="A359" s="1">
        <f>Annex!A93</f>
        <v>358</v>
      </c>
      <c r="B359" s="1" t="str">
        <f>IF(LEFT(Annex!H93,5)="Local","Local Transmission",Annex!H93)</f>
        <v>Local Transmission</v>
      </c>
      <c r="C359" s="1" t="str">
        <f>Annex!J93</f>
        <v>Female</v>
      </c>
      <c r="D359" s="1">
        <f>Annex!D93</f>
        <v>39</v>
      </c>
      <c r="E359" s="1" t="str">
        <f>Annex!K93</f>
        <v>Singaporean</v>
      </c>
      <c r="F359" s="1" t="str">
        <f>Annex!L93</f>
        <v xml:space="preserve">Case 358 is a Local unlinked case, 39 years old female Singapore Permanent Resident and has not been overseas. She is currently admitted at NCID . </v>
      </c>
      <c r="G359" s="2">
        <v>43910</v>
      </c>
      <c r="H359" s="1"/>
      <c r="I359" s="1"/>
      <c r="J359" s="1"/>
      <c r="K359" s="1"/>
      <c r="L359" s="1" t="str">
        <f>Annex!C93</f>
        <v xml:space="preserve">NCID </v>
      </c>
      <c r="M359" s="5" t="s">
        <v>1130</v>
      </c>
    </row>
    <row r="360" spans="1:13" ht="13.8" customHeight="1" x14ac:dyDescent="0.3">
      <c r="A360" s="1">
        <f>Annex!A94</f>
        <v>359</v>
      </c>
      <c r="B360" s="1" t="str">
        <f>IF(LEFT(Annex!H94,5)="Local","Local Transmission",Annex!H94)</f>
        <v>Local Transmission</v>
      </c>
      <c r="C360" s="1" t="str">
        <f>Annex!J94</f>
        <v>Female</v>
      </c>
      <c r="D360" s="1">
        <f>Annex!D94</f>
        <v>45</v>
      </c>
      <c r="E360" s="1" t="str">
        <f>Annex!K94</f>
        <v>Singaporean</v>
      </c>
      <c r="F360" s="1" t="str">
        <f>Annex!L94</f>
        <v>Case 359 is a Local linked  case, 45 years old female Singapore Citizen  and has not been overseas. She is currently admitted at NUH . Contact of Case 321</v>
      </c>
      <c r="G360" s="2">
        <v>43910</v>
      </c>
      <c r="H360" s="1"/>
      <c r="I360" s="1"/>
      <c r="J360" s="1"/>
      <c r="K360" s="1"/>
      <c r="L360" s="1" t="str">
        <f>Annex!C94</f>
        <v xml:space="preserve">NUH </v>
      </c>
      <c r="M360" s="5" t="s">
        <v>1130</v>
      </c>
    </row>
    <row r="361" spans="1:13" ht="13.8" customHeight="1" x14ac:dyDescent="0.3">
      <c r="A361" s="1">
        <f>Annex!A95</f>
        <v>360</v>
      </c>
      <c r="B361" s="1" t="str">
        <f>IF(LEFT(Annex!H95,5)="Local","Local Transmission",Annex!H95)</f>
        <v>Imported</v>
      </c>
      <c r="C361" s="1" t="str">
        <f>Annex!J95</f>
        <v>Male</v>
      </c>
      <c r="D361" s="1">
        <f>Annex!D95</f>
        <v>26</v>
      </c>
      <c r="E361" s="1" t="str">
        <f>Annex!K95</f>
        <v>Singaporean</v>
      </c>
      <c r="F361" s="1" t="str">
        <f>Annex!L95</f>
        <v xml:space="preserve">Case 360 is a Imported case, 26 years old male Singapore Citizen  and has been to UK . He is currently admitted at NCID . </v>
      </c>
      <c r="G361" s="2">
        <v>43910</v>
      </c>
      <c r="H361" s="1"/>
      <c r="I361" s="1"/>
      <c r="J361" s="1"/>
      <c r="K361" s="1"/>
      <c r="L361" s="1" t="str">
        <f>Annex!C95</f>
        <v xml:space="preserve">NCID </v>
      </c>
      <c r="M361" s="5" t="s">
        <v>1130</v>
      </c>
    </row>
    <row r="362" spans="1:13" ht="13.8" customHeight="1" x14ac:dyDescent="0.3">
      <c r="A362" s="1">
        <f>Annex!A96</f>
        <v>361</v>
      </c>
      <c r="B362" s="1" t="str">
        <f>IF(LEFT(Annex!H96,5)="Local","Local Transmission",Annex!H96)</f>
        <v>Local Transmission</v>
      </c>
      <c r="C362" s="1" t="str">
        <f>Annex!J96</f>
        <v>Male</v>
      </c>
      <c r="D362" s="1">
        <f>Annex!D96</f>
        <v>32</v>
      </c>
      <c r="E362" s="1" t="str">
        <f>Annex!K96</f>
        <v>Singaporean</v>
      </c>
      <c r="F362" s="1" t="str">
        <f>Annex!L96</f>
        <v>Case 361 is a Local linked  case, 32 years old male Singapore Citizen  and has been to Thailand . He is currently admitted at NCID . Contact of Case 318</v>
      </c>
      <c r="G362" s="2">
        <v>43910</v>
      </c>
      <c r="H362" s="68">
        <v>43924</v>
      </c>
      <c r="I362" s="1"/>
      <c r="J362" s="1"/>
      <c r="K362" s="1"/>
      <c r="L362" s="1" t="str">
        <f>Annex!C96</f>
        <v xml:space="preserve">NCID </v>
      </c>
      <c r="M362" s="5" t="s">
        <v>1130</v>
      </c>
    </row>
    <row r="363" spans="1:13" ht="13.8" customHeight="1" x14ac:dyDescent="0.3">
      <c r="A363" s="1">
        <f>Annex!A97</f>
        <v>362</v>
      </c>
      <c r="B363" s="1" t="str">
        <f>IF(LEFT(Annex!H97,5)="Local","Local Transmission",Annex!H97)</f>
        <v>Imported</v>
      </c>
      <c r="C363" s="1" t="str">
        <f>Annex!J97</f>
        <v>Female</v>
      </c>
      <c r="D363" s="1">
        <f>Annex!D97</f>
        <v>45</v>
      </c>
      <c r="E363" s="1" t="str">
        <f>Annex!K97</f>
        <v>Germany</v>
      </c>
      <c r="F363" s="1" t="str">
        <f>Annex!L97</f>
        <v xml:space="preserve">Case 362 is a Imported case, 45 years old female Germany (Long Term Pass holder) and has been to Germany, Holland . She is currently admitted at NCID . </v>
      </c>
      <c r="G363" s="2">
        <v>43910</v>
      </c>
      <c r="H363" s="1"/>
      <c r="I363" s="1"/>
      <c r="J363" s="1"/>
      <c r="K363" s="1"/>
      <c r="L363" s="1" t="str">
        <f>Annex!C97</f>
        <v xml:space="preserve">NCID </v>
      </c>
      <c r="M363" s="5" t="s">
        <v>1130</v>
      </c>
    </row>
    <row r="364" spans="1:13" ht="13.8" customHeight="1" x14ac:dyDescent="0.3">
      <c r="A364" s="1">
        <f>Annex!A98</f>
        <v>363</v>
      </c>
      <c r="B364" s="1" t="str">
        <f>IF(LEFT(Annex!H98,5)="Local","Local Transmission",Annex!H98)</f>
        <v>Imported</v>
      </c>
      <c r="C364" s="1" t="str">
        <f>Annex!J98</f>
        <v>Male</v>
      </c>
      <c r="D364" s="1">
        <f>Annex!D98</f>
        <v>49</v>
      </c>
      <c r="E364" s="1" t="str">
        <f>Annex!K98</f>
        <v>Singaporean</v>
      </c>
      <c r="F364" s="1" t="str">
        <f>Annex!L98</f>
        <v xml:space="preserve">Case 363 is a Imported case, 49 years old male Singapore Citizen  and has been to UK . He is currently admitted at SKH . </v>
      </c>
      <c r="G364" s="2">
        <v>43910</v>
      </c>
      <c r="H364" s="1"/>
      <c r="I364" s="1"/>
      <c r="J364" s="1"/>
      <c r="K364" s="1"/>
      <c r="L364" s="1" t="str">
        <f>Annex!C98</f>
        <v xml:space="preserve">SKH </v>
      </c>
      <c r="M364" s="5" t="s">
        <v>1130</v>
      </c>
    </row>
    <row r="365" spans="1:13" ht="13.8" customHeight="1" x14ac:dyDescent="0.3">
      <c r="A365" s="1">
        <f>Annex!A99</f>
        <v>364</v>
      </c>
      <c r="B365" s="1" t="str">
        <f>IF(LEFT(Annex!H99,5)="Local","Local Transmission",Annex!H99)</f>
        <v>Local Transmission</v>
      </c>
      <c r="C365" s="1" t="str">
        <f>Annex!J99</f>
        <v>Male</v>
      </c>
      <c r="D365" s="1">
        <f>Annex!D99</f>
        <v>52</v>
      </c>
      <c r="E365" s="1" t="str">
        <f>Annex!K99</f>
        <v>Singaporean</v>
      </c>
      <c r="F365" s="1" t="str">
        <f>Annex!L99</f>
        <v>Case 364 is a Local linked  case, 52 years old male Singapore Citizen  and has not been overseas. He is currently admitted at NCID . Contact of Case 225</v>
      </c>
      <c r="G365" s="2">
        <v>43910</v>
      </c>
      <c r="H365" s="1"/>
      <c r="I365" s="1"/>
      <c r="J365" s="1"/>
      <c r="K365" s="1"/>
      <c r="L365" s="1" t="str">
        <f>Annex!C99</f>
        <v xml:space="preserve">NCID </v>
      </c>
      <c r="M365" s="5" t="s">
        <v>1130</v>
      </c>
    </row>
    <row r="366" spans="1:13" ht="13.8" customHeight="1" x14ac:dyDescent="0.3">
      <c r="A366" s="1">
        <f>Annex!A100</f>
        <v>365</v>
      </c>
      <c r="B366" s="1" t="str">
        <f>IF(LEFT(Annex!H100,5)="Local","Local Transmission",Annex!H100)</f>
        <v>Imported</v>
      </c>
      <c r="C366" s="1" t="str">
        <f>Annex!J100</f>
        <v>Male</v>
      </c>
      <c r="D366" s="1">
        <f>Annex!D100</f>
        <v>33</v>
      </c>
      <c r="E366" s="1" t="str">
        <f>Annex!K100</f>
        <v>Netherlands</v>
      </c>
      <c r="F366" s="1" t="str">
        <f>Annex!L100</f>
        <v xml:space="preserve">Case 365 is a Imported case, 33 years old male Netherlands (Singapore Work Pass holder) and has been to Austria, Netherlands, UK. He is currently admitted at NCID . </v>
      </c>
      <c r="G366" s="2">
        <v>43910</v>
      </c>
      <c r="H366" s="1"/>
      <c r="I366" s="1"/>
      <c r="J366" s="1"/>
      <c r="K366" s="1"/>
      <c r="L366" s="1" t="str">
        <f>Annex!C100</f>
        <v xml:space="preserve">NCID </v>
      </c>
      <c r="M366" s="5" t="s">
        <v>1130</v>
      </c>
    </row>
    <row r="367" spans="1:13" ht="13.8" customHeight="1" x14ac:dyDescent="0.3">
      <c r="A367" s="1">
        <f>Annex!A101</f>
        <v>366</v>
      </c>
      <c r="B367" s="1" t="str">
        <f>IF(LEFT(Annex!H101,5)="Local","Local Transmission",Annex!H101)</f>
        <v xml:space="preserve">Imported </v>
      </c>
      <c r="C367" s="1" t="str">
        <f>Annex!J101</f>
        <v>Female</v>
      </c>
      <c r="D367" s="1">
        <f>Annex!D101</f>
        <v>26</v>
      </c>
      <c r="E367" s="1" t="str">
        <f>Annex!K101</f>
        <v>Singaporean</v>
      </c>
      <c r="F367" s="1" t="str">
        <f>Annex!L101</f>
        <v>Case 366 is a Imported  case, 26 years old female Singapore Citizen  and has been to UK, Switzerland, Austria. She is currently admitted at NCID . Contact of Case 304</v>
      </c>
      <c r="G367" s="2">
        <v>43910</v>
      </c>
      <c r="H367" s="1"/>
      <c r="I367" s="1"/>
      <c r="J367" s="1"/>
      <c r="K367" s="1"/>
      <c r="L367" s="1" t="str">
        <f>Annex!C101</f>
        <v xml:space="preserve">NCID </v>
      </c>
      <c r="M367" s="5" t="s">
        <v>1130</v>
      </c>
    </row>
    <row r="368" spans="1:13" ht="13.8" customHeight="1" x14ac:dyDescent="0.3">
      <c r="A368" s="1">
        <f>Annex!A102</f>
        <v>367</v>
      </c>
      <c r="B368" s="1" t="str">
        <f>IF(LEFT(Annex!H102,5)="Local","Local Transmission",Annex!H102)</f>
        <v>Local Transmission</v>
      </c>
      <c r="C368" s="1" t="str">
        <f>Annex!J102</f>
        <v>Male</v>
      </c>
      <c r="D368" s="1">
        <f>Annex!D102</f>
        <v>25</v>
      </c>
      <c r="E368" s="1" t="str">
        <f>Annex!K102</f>
        <v>Singaporean</v>
      </c>
      <c r="F368" s="1" t="str">
        <f>Annex!L102</f>
        <v>Case 367 is a Local linked case, 25 years old male Singapore Citizen  and has been to Malaysia . He is currently admitted at NCID . Family member of Case 338</v>
      </c>
      <c r="G368" s="2">
        <v>43910</v>
      </c>
      <c r="H368" s="1"/>
      <c r="I368" s="1"/>
      <c r="J368" s="1"/>
      <c r="K368" s="1"/>
      <c r="L368" s="1" t="str">
        <f>Annex!C102</f>
        <v xml:space="preserve">NCID </v>
      </c>
      <c r="M368" s="5" t="s">
        <v>1130</v>
      </c>
    </row>
    <row r="369" spans="1:13" ht="13.8" customHeight="1" x14ac:dyDescent="0.3">
      <c r="A369" s="1">
        <f>Annex!A103</f>
        <v>368</v>
      </c>
      <c r="B369" s="1" t="str">
        <f>IF(LEFT(Annex!H103,5)="Local","Local Transmission",Annex!H103)</f>
        <v>Local Transmission</v>
      </c>
      <c r="C369" s="1" t="str">
        <f>Annex!J103</f>
        <v>Female</v>
      </c>
      <c r="D369" s="1">
        <f>Annex!D103</f>
        <v>19</v>
      </c>
      <c r="E369" s="1" t="str">
        <f>Annex!K103</f>
        <v>Indonesian</v>
      </c>
      <c r="F369" s="1" t="str">
        <f>Annex!L103</f>
        <v>Case 368 is a Local linked  case, 19 years old female Indonesian (Long Term Visit Pass holder) and has not been overseas. She is currently admitted at NCID . Contact of Cases 225 and 294</v>
      </c>
      <c r="G369" s="2">
        <v>43910</v>
      </c>
      <c r="H369" s="1"/>
      <c r="I369" s="1"/>
      <c r="J369" s="1"/>
      <c r="K369" s="1"/>
      <c r="L369" s="1" t="str">
        <f>Annex!C103</f>
        <v xml:space="preserve">NCID </v>
      </c>
      <c r="M369" s="5" t="s">
        <v>1130</v>
      </c>
    </row>
    <row r="370" spans="1:13" ht="13.8" customHeight="1" x14ac:dyDescent="0.3">
      <c r="A370" s="1">
        <f>Annex!A104</f>
        <v>369</v>
      </c>
      <c r="B370" s="1" t="str">
        <f>IF(LEFT(Annex!H104,5)="Local","Local Transmission",Annex!H104)</f>
        <v>Imported</v>
      </c>
      <c r="C370" s="1" t="str">
        <f>Annex!J104</f>
        <v>Male</v>
      </c>
      <c r="D370" s="1">
        <f>Annex!D104</f>
        <v>34</v>
      </c>
      <c r="E370" s="1" t="str">
        <f>Annex!K104</f>
        <v>Singaporean</v>
      </c>
      <c r="F370" s="1" t="str">
        <f>Annex!L104</f>
        <v xml:space="preserve">Case 369 is a Imported case, 34 years old male Singapore Citizen  and has been to Thailand . He is currently admitted at NCID . </v>
      </c>
      <c r="G370" s="2">
        <v>43910</v>
      </c>
      <c r="H370" s="1"/>
      <c r="I370" s="1"/>
      <c r="J370" s="1"/>
      <c r="K370" s="1"/>
      <c r="L370" s="1" t="str">
        <f>Annex!C104</f>
        <v xml:space="preserve">NCID </v>
      </c>
      <c r="M370" s="5" t="s">
        <v>1130</v>
      </c>
    </row>
    <row r="371" spans="1:13" ht="13.8" customHeight="1" x14ac:dyDescent="0.3">
      <c r="A371" s="1">
        <f>Annex!A105</f>
        <v>370</v>
      </c>
      <c r="B371" s="1" t="str">
        <f>IF(LEFT(Annex!H105,5)="Local","Local Transmission",Annex!H105)</f>
        <v>Imported</v>
      </c>
      <c r="C371" s="1" t="str">
        <f>Annex!J105</f>
        <v>Male</v>
      </c>
      <c r="D371" s="1">
        <f>Annex!D105</f>
        <v>73</v>
      </c>
      <c r="E371" s="1" t="str">
        <f>Annex!K105</f>
        <v>Malaysia</v>
      </c>
      <c r="F371" s="1" t="str">
        <f>Annex!L105</f>
        <v xml:space="preserve">Case 370 is a Imported case, 73 years old male Malaysia (Singapore Work Pass holder)  and has been to Indonesia . He is currently admitted at NCID . </v>
      </c>
      <c r="G371" s="2">
        <v>43910</v>
      </c>
      <c r="H371" s="1"/>
      <c r="I371" s="1"/>
      <c r="J371" s="1"/>
      <c r="K371" s="1"/>
      <c r="L371" s="1" t="str">
        <f>Annex!C105</f>
        <v xml:space="preserve">NCID </v>
      </c>
      <c r="M371" s="5" t="s">
        <v>1130</v>
      </c>
    </row>
    <row r="372" spans="1:13" ht="13.8" customHeight="1" x14ac:dyDescent="0.3">
      <c r="A372" s="1">
        <f>Annex!A106</f>
        <v>371</v>
      </c>
      <c r="B372" s="1" t="str">
        <f>IF(LEFT(Annex!H106,5)="Local","Local Transmission",Annex!H106)</f>
        <v>Imported</v>
      </c>
      <c r="C372" s="1" t="str">
        <f>Annex!J106</f>
        <v>Male</v>
      </c>
      <c r="D372" s="1">
        <f>Annex!D106</f>
        <v>22</v>
      </c>
      <c r="E372" s="1" t="str">
        <f>Annex!K106</f>
        <v>Singaporean</v>
      </c>
      <c r="F372" s="1" t="str">
        <f>Annex!L106</f>
        <v xml:space="preserve">Case 371 is a Imported case, 22 years old male Singapore Citizen  and has been to UK . He is currently admitted at NCID . </v>
      </c>
      <c r="G372" s="2">
        <v>43910</v>
      </c>
      <c r="H372" s="1"/>
      <c r="I372" s="1"/>
      <c r="J372" s="1"/>
      <c r="K372" s="1"/>
      <c r="L372" s="1" t="str">
        <f>Annex!C106</f>
        <v xml:space="preserve">NCID </v>
      </c>
      <c r="M372" s="5" t="s">
        <v>1130</v>
      </c>
    </row>
    <row r="373" spans="1:13" ht="13.8" customHeight="1" x14ac:dyDescent="0.3">
      <c r="A373" s="1">
        <f>Annex!A107</f>
        <v>372</v>
      </c>
      <c r="B373" s="1" t="str">
        <f>IF(LEFT(Annex!H107,5)="Local","Local Transmission",Annex!H107)</f>
        <v>Imported</v>
      </c>
      <c r="C373" s="1" t="str">
        <f>Annex!J107</f>
        <v>Female</v>
      </c>
      <c r="D373" s="1">
        <f>Annex!D107</f>
        <v>22</v>
      </c>
      <c r="E373" s="1" t="str">
        <f>Annex!K107</f>
        <v>Singaporean</v>
      </c>
      <c r="F373" s="1" t="str">
        <f>Annex!L107</f>
        <v xml:space="preserve">Case 372 is a Imported case, 22 years old female Singapore Citizen  and has been to UK . She is currently admitted at NCID . </v>
      </c>
      <c r="G373" s="2">
        <v>43910</v>
      </c>
      <c r="H373" s="1"/>
      <c r="I373" s="1"/>
      <c r="J373" s="1"/>
      <c r="K373" s="1"/>
      <c r="L373" s="1" t="str">
        <f>Annex!C107</f>
        <v xml:space="preserve">NCID </v>
      </c>
      <c r="M373" s="5" t="s">
        <v>1130</v>
      </c>
    </row>
    <row r="374" spans="1:13" ht="13.8" customHeight="1" x14ac:dyDescent="0.3">
      <c r="A374" s="1">
        <f>Annex!A108</f>
        <v>373</v>
      </c>
      <c r="B374" s="1" t="str">
        <f>IF(LEFT(Annex!H108,5)="Local","Local Transmission",Annex!H108)</f>
        <v>Imported</v>
      </c>
      <c r="C374" s="1" t="str">
        <f>Annex!J108</f>
        <v>Male</v>
      </c>
      <c r="D374" s="1">
        <f>Annex!D108</f>
        <v>51</v>
      </c>
      <c r="E374" s="1" t="str">
        <f>Annex!K108</f>
        <v>Singaporean</v>
      </c>
      <c r="F374" s="1" t="str">
        <f>Annex!L108</f>
        <v xml:space="preserve">Case 373 is a Imported case, 51 years old male Singapore Citizen  and has been to UK . He is currently admitted at NCID . </v>
      </c>
      <c r="G374" s="2">
        <v>43910</v>
      </c>
      <c r="H374" s="74">
        <v>43926</v>
      </c>
      <c r="I374" s="1"/>
      <c r="J374" s="1"/>
      <c r="K374" s="1"/>
      <c r="L374" s="1" t="str">
        <f>Annex!C108</f>
        <v xml:space="preserve">NCID </v>
      </c>
      <c r="M374" s="5" t="s">
        <v>1130</v>
      </c>
    </row>
    <row r="375" spans="1:13" ht="13.8" customHeight="1" x14ac:dyDescent="0.3">
      <c r="A375" s="1">
        <f>Annex!A109</f>
        <v>374</v>
      </c>
      <c r="B375" s="1" t="str">
        <f>IF(LEFT(Annex!H109,5)="Local","Local Transmission",Annex!H109)</f>
        <v>Imported</v>
      </c>
      <c r="C375" s="1" t="str">
        <f>Annex!J109</f>
        <v>Female</v>
      </c>
      <c r="D375" s="1">
        <f>Annex!D109</f>
        <v>23</v>
      </c>
      <c r="E375" s="1" t="str">
        <f>Annex!K109</f>
        <v>Singaporean</v>
      </c>
      <c r="F375" s="1" t="str">
        <f>Annex!L109</f>
        <v xml:space="preserve">Case 374 is a Imported case, 23 years old female Singapore Citizen  and has been to UK . She is currently admitted at NCID . </v>
      </c>
      <c r="G375" s="2">
        <v>43910</v>
      </c>
      <c r="H375" s="43">
        <v>43919</v>
      </c>
      <c r="I375" s="1"/>
      <c r="J375" s="1"/>
      <c r="K375" s="1"/>
      <c r="L375" s="1" t="str">
        <f>Annex!C109</f>
        <v xml:space="preserve">NCID </v>
      </c>
      <c r="M375" s="5" t="s">
        <v>1130</v>
      </c>
    </row>
    <row r="376" spans="1:13" ht="13.8" customHeight="1" x14ac:dyDescent="0.3">
      <c r="A376" s="1">
        <f>Annex!A110</f>
        <v>375</v>
      </c>
      <c r="B376" s="1" t="str">
        <f>IF(LEFT(Annex!H110,5)="Local","Local Transmission",Annex!H110)</f>
        <v>Imported</v>
      </c>
      <c r="C376" s="1" t="str">
        <f>Annex!J110</f>
        <v>Female</v>
      </c>
      <c r="D376" s="1">
        <f>Annex!D110</f>
        <v>25</v>
      </c>
      <c r="E376" s="1" t="str">
        <f>Annex!K110</f>
        <v>Singaporean</v>
      </c>
      <c r="F376" s="1" t="str">
        <f>Annex!L110</f>
        <v xml:space="preserve">Case 375 is a Imported case, 25 years old female Singapore Citizen  and has been to US . She is currently admitted at NCID . </v>
      </c>
      <c r="G376" s="2">
        <v>43910</v>
      </c>
      <c r="H376" s="1"/>
      <c r="I376" s="1"/>
      <c r="J376" s="1"/>
      <c r="K376" s="1"/>
      <c r="L376" s="1" t="str">
        <f>Annex!C110</f>
        <v xml:space="preserve">NCID </v>
      </c>
      <c r="M376" s="5" t="s">
        <v>1130</v>
      </c>
    </row>
    <row r="377" spans="1:13" ht="13.8" customHeight="1" x14ac:dyDescent="0.3">
      <c r="A377" s="1">
        <f>Annex!A111</f>
        <v>376</v>
      </c>
      <c r="B377" s="1" t="str">
        <f>IF(LEFT(Annex!H111,5)="Local","Local Transmission",Annex!H111)</f>
        <v>Imported</v>
      </c>
      <c r="C377" s="1" t="str">
        <f>Annex!J111</f>
        <v>Female</v>
      </c>
      <c r="D377" s="1">
        <f>Annex!D111</f>
        <v>21</v>
      </c>
      <c r="E377" s="1" t="str">
        <f>Annex!K111</f>
        <v>Singaporean</v>
      </c>
      <c r="F377" s="1" t="str">
        <f>Annex!L111</f>
        <v xml:space="preserve">Case 376 is a Imported case, 21 years old female Singapore Permanent Resident  and has been to UK . She is currently admitted at NCID . </v>
      </c>
      <c r="G377" s="2">
        <v>43910</v>
      </c>
      <c r="H377" s="48">
        <v>43920</v>
      </c>
      <c r="I377" s="1"/>
      <c r="J377" s="1"/>
      <c r="K377" s="1"/>
      <c r="L377" s="1" t="str">
        <f>Annex!C111</f>
        <v xml:space="preserve">NCID </v>
      </c>
      <c r="M377" s="5" t="s">
        <v>1130</v>
      </c>
    </row>
    <row r="378" spans="1:13" ht="13.8" customHeight="1" x14ac:dyDescent="0.3">
      <c r="A378" s="1">
        <f>Annex!A112</f>
        <v>377</v>
      </c>
      <c r="B378" s="1" t="str">
        <f>IF(LEFT(Annex!H112,5)="Local","Local Transmission",Annex!H112)</f>
        <v>Imported</v>
      </c>
      <c r="C378" s="1" t="str">
        <f>Annex!J112</f>
        <v>Male</v>
      </c>
      <c r="D378" s="1">
        <f>Annex!D112</f>
        <v>59</v>
      </c>
      <c r="E378" s="1" t="str">
        <f>Annex!K112</f>
        <v>Singaporean</v>
      </c>
      <c r="F378" s="1" t="str">
        <f>Annex!L112</f>
        <v xml:space="preserve">Case 377 is a Imported case, 59 years old male Singapore Citizen  and has been to UK . He is currently admitted at NUH . </v>
      </c>
      <c r="G378" s="2">
        <v>43910</v>
      </c>
      <c r="H378" s="19">
        <v>43916</v>
      </c>
      <c r="I378" s="1"/>
      <c r="J378" s="1"/>
      <c r="K378" s="1"/>
      <c r="L378" s="1" t="str">
        <f>Annex!C112</f>
        <v xml:space="preserve">NUH </v>
      </c>
      <c r="M378" s="5" t="s">
        <v>1130</v>
      </c>
    </row>
    <row r="379" spans="1:13" ht="13.8" customHeight="1" x14ac:dyDescent="0.3">
      <c r="A379" s="1">
        <f>Annex!A113</f>
        <v>378</v>
      </c>
      <c r="B379" s="1" t="str">
        <f>IF(LEFT(Annex!H113,5)="Local","Local Transmission",Annex!H113)</f>
        <v>Imported</v>
      </c>
      <c r="C379" s="1" t="str">
        <f>Annex!J113</f>
        <v>Male</v>
      </c>
      <c r="D379" s="1">
        <f>Annex!D113</f>
        <v>38</v>
      </c>
      <c r="E379" s="1" t="str">
        <f>Annex!K113</f>
        <v>UK</v>
      </c>
      <c r="F379" s="1" t="str">
        <f>Annex!L113</f>
        <v xml:space="preserve">Case 378 is a Imported case, 38 years old male UK (Long Term Visit Pass holder)  and has been to UK . He is currently admitted at NCID . </v>
      </c>
      <c r="G379" s="2">
        <v>43910</v>
      </c>
      <c r="H379" s="1"/>
      <c r="I379" s="1"/>
      <c r="J379" s="1"/>
      <c r="K379" s="1"/>
      <c r="L379" s="1" t="str">
        <f>Annex!C113</f>
        <v xml:space="preserve">NCID </v>
      </c>
      <c r="M379" s="5" t="s">
        <v>1130</v>
      </c>
    </row>
    <row r="380" spans="1:13" ht="13.8" customHeight="1" x14ac:dyDescent="0.3">
      <c r="A380" s="1">
        <f>Annex!A114</f>
        <v>379</v>
      </c>
      <c r="B380" s="1" t="str">
        <f>IF(LEFT(Annex!H114,5)="Local","Local Transmission",Annex!H114)</f>
        <v>Imported</v>
      </c>
      <c r="C380" s="1" t="str">
        <f>Annex!J114</f>
        <v>Male</v>
      </c>
      <c r="D380" s="1">
        <f>Annex!D114</f>
        <v>62</v>
      </c>
      <c r="E380" s="1" t="str">
        <f>Annex!K114</f>
        <v>Sweden</v>
      </c>
      <c r="F380" s="1" t="str">
        <f>Annex!L114</f>
        <v xml:space="preserve">Case 379 is a Imported case, 62 years old male Sweden (Singapore Work Pass holder)  and has been to Indonesia . He is currently admitted at NCID . </v>
      </c>
      <c r="G380" s="2">
        <v>43910</v>
      </c>
      <c r="H380" s="64">
        <v>43923</v>
      </c>
      <c r="I380" s="1"/>
      <c r="J380" s="1"/>
      <c r="K380" s="1"/>
      <c r="L380" s="1" t="str">
        <f>Annex!C114</f>
        <v xml:space="preserve">NCID </v>
      </c>
      <c r="M380" s="5" t="s">
        <v>1130</v>
      </c>
    </row>
    <row r="381" spans="1:13" ht="13.8" customHeight="1" x14ac:dyDescent="0.3">
      <c r="A381" s="1">
        <f>Annex!A115</f>
        <v>380</v>
      </c>
      <c r="B381" s="1" t="str">
        <f>IF(LEFT(Annex!H115,5)="Local","Local Transmission",Annex!H115)</f>
        <v>Imported</v>
      </c>
      <c r="C381" s="1" t="str">
        <f>Annex!J115</f>
        <v>Male</v>
      </c>
      <c r="D381" s="1">
        <f>Annex!D115</f>
        <v>34</v>
      </c>
      <c r="E381" s="1" t="str">
        <f>Annex!K115</f>
        <v>Singaporean</v>
      </c>
      <c r="F381" s="1" t="str">
        <f>Annex!L115</f>
        <v xml:space="preserve">Case 380 is a Imported case, 34 years old male Singapore Citizen  and has been to Switzerland . He is currently admitted at SGH . </v>
      </c>
      <c r="G381" s="2">
        <v>43910</v>
      </c>
      <c r="H381" s="1"/>
      <c r="I381" s="1"/>
      <c r="J381" s="1"/>
      <c r="K381" s="1"/>
      <c r="L381" s="1" t="str">
        <f>Annex!C115</f>
        <v xml:space="preserve">SGH </v>
      </c>
      <c r="M381" s="5" t="s">
        <v>1130</v>
      </c>
    </row>
    <row r="382" spans="1:13" ht="13.8" customHeight="1" x14ac:dyDescent="0.3">
      <c r="A382" s="1">
        <f>Annex!A116</f>
        <v>381</v>
      </c>
      <c r="B382" s="1" t="str">
        <f>IF(LEFT(Annex!H116,5)="Local","Local Transmission",Annex!H116)</f>
        <v>Imported</v>
      </c>
      <c r="C382" s="1" t="str">
        <f>Annex!J116</f>
        <v>Female</v>
      </c>
      <c r="D382" s="1">
        <f>Annex!D116</f>
        <v>27</v>
      </c>
      <c r="E382" s="1" t="str">
        <f>Annex!K116</f>
        <v>Singaporean</v>
      </c>
      <c r="F382" s="1" t="str">
        <f>Annex!L116</f>
        <v xml:space="preserve">Case 381 is a Imported case, 27 years old female Singapore Permanent Resident  and has been to Spain . She is currently admitted at SGH . </v>
      </c>
      <c r="G382" s="2">
        <v>43910</v>
      </c>
      <c r="H382" s="69">
        <v>43925</v>
      </c>
      <c r="I382" s="1"/>
      <c r="J382" s="1"/>
      <c r="K382" s="1"/>
      <c r="L382" s="1" t="str">
        <f>Annex!C116</f>
        <v xml:space="preserve">SGH </v>
      </c>
      <c r="M382" s="5" t="s">
        <v>1130</v>
      </c>
    </row>
    <row r="383" spans="1:13" ht="13.8" customHeight="1" x14ac:dyDescent="0.3">
      <c r="A383" s="1">
        <f>Annex!A117</f>
        <v>382</v>
      </c>
      <c r="B383" s="1" t="str">
        <f>IF(LEFT(Annex!H117,5)="Local","Local Transmission",Annex!H117)</f>
        <v>Imported</v>
      </c>
      <c r="C383" s="1" t="str">
        <f>Annex!J117</f>
        <v>Female</v>
      </c>
      <c r="D383" s="1">
        <f>Annex!D117</f>
        <v>55</v>
      </c>
      <c r="E383" s="1" t="str">
        <f>Annex!K117</f>
        <v>Singaporean</v>
      </c>
      <c r="F383" s="1" t="str">
        <f>Annex!L117</f>
        <v xml:space="preserve">Case 382 is a Imported case, 55 years old female Singapore Citizen  and has been to UK . She is currently admitted at SGH . </v>
      </c>
      <c r="G383" s="2">
        <v>43910</v>
      </c>
      <c r="H383" s="43">
        <v>43919</v>
      </c>
      <c r="I383" s="1"/>
      <c r="J383" s="1"/>
      <c r="K383" s="1"/>
      <c r="L383" s="1" t="str">
        <f>Annex!C117</f>
        <v xml:space="preserve">SGH </v>
      </c>
      <c r="M383" s="5" t="s">
        <v>1130</v>
      </c>
    </row>
    <row r="384" spans="1:13" ht="13.8" customHeight="1" x14ac:dyDescent="0.3">
      <c r="A384" s="1">
        <f>Annex!A118</f>
        <v>383</v>
      </c>
      <c r="B384" s="1" t="str">
        <f>IF(LEFT(Annex!H118,5)="Local","Local Transmission",Annex!H118)</f>
        <v>Imported</v>
      </c>
      <c r="C384" s="1" t="str">
        <f>Annex!J118</f>
        <v>Female</v>
      </c>
      <c r="D384" s="1">
        <f>Annex!D118</f>
        <v>42</v>
      </c>
      <c r="E384" s="1" t="str">
        <f>Annex!K118</f>
        <v>Singaporean</v>
      </c>
      <c r="F384" s="1" t="str">
        <f>Annex!L118</f>
        <v xml:space="preserve">Case 383 is a Imported case, 42 years old female Singapore Citizen  and has been to UK . She is currently admitted at NCID . </v>
      </c>
      <c r="G384" s="2">
        <v>43910</v>
      </c>
      <c r="H384" s="1"/>
      <c r="I384" s="1"/>
      <c r="J384" s="1"/>
      <c r="K384" s="1"/>
      <c r="L384" s="1" t="str">
        <f>Annex!C118</f>
        <v xml:space="preserve">NCID </v>
      </c>
      <c r="M384" s="5" t="s">
        <v>1130</v>
      </c>
    </row>
    <row r="385" spans="1:13" ht="13.8" customHeight="1" x14ac:dyDescent="0.3">
      <c r="A385" s="1">
        <f>Annex!A119</f>
        <v>384</v>
      </c>
      <c r="B385" s="1" t="str">
        <f>IF(LEFT(Annex!H119,5)="Local","Local Transmission",Annex!H119)</f>
        <v>Local Transmission</v>
      </c>
      <c r="C385" s="1" t="str">
        <f>Annex!J119</f>
        <v>Male</v>
      </c>
      <c r="D385" s="1">
        <f>Annex!D119</f>
        <v>65</v>
      </c>
      <c r="E385" s="1" t="str">
        <f>Annex!K119</f>
        <v>Singaporean</v>
      </c>
      <c r="F385" s="1" t="str">
        <f>Annex!L119</f>
        <v xml:space="preserve">Case 384 is a Local unlinked case, 65 years old male Singapore Citizen  and has not been overseas. He is currently admitted at NCID . </v>
      </c>
      <c r="G385" s="2">
        <v>43910</v>
      </c>
      <c r="H385" s="1"/>
      <c r="I385" s="1"/>
      <c r="J385" s="1"/>
      <c r="K385" s="1"/>
      <c r="L385" s="1" t="str">
        <f>Annex!C119</f>
        <v xml:space="preserve">NCID </v>
      </c>
      <c r="M385" s="5" t="s">
        <v>1130</v>
      </c>
    </row>
    <row r="386" spans="1:13" ht="13.8" customHeight="1" x14ac:dyDescent="0.3">
      <c r="A386" s="1">
        <f>Annex!A120</f>
        <v>385</v>
      </c>
      <c r="B386" s="1" t="str">
        <f>IF(LEFT(Annex!H120,5)="Local","Local Transmission",Annex!H120)</f>
        <v>Imported</v>
      </c>
      <c r="C386" s="1" t="str">
        <f>Annex!J120</f>
        <v>Male</v>
      </c>
      <c r="D386" s="1">
        <f>Annex!D120</f>
        <v>22</v>
      </c>
      <c r="E386" s="1" t="str">
        <f>Annex!K120</f>
        <v>Singaporean</v>
      </c>
      <c r="F386" s="1" t="str">
        <f>Annex!L120</f>
        <v xml:space="preserve">Case 385 is a Imported case, 22 years old male Singapore Citizen  and has been to UK . He is currently admitted at CGH . </v>
      </c>
      <c r="G386" s="2">
        <v>43910</v>
      </c>
      <c r="H386" s="64">
        <v>43923</v>
      </c>
      <c r="I386" s="1"/>
      <c r="J386" s="1"/>
      <c r="K386" s="1"/>
      <c r="L386" s="1" t="str">
        <f>Annex!C120</f>
        <v xml:space="preserve">CGH </v>
      </c>
      <c r="M386" s="5" t="s">
        <v>1130</v>
      </c>
    </row>
    <row r="387" spans="1:13" ht="13.8" customHeight="1" x14ac:dyDescent="0.3">
      <c r="A387" s="1">
        <f>Annex!A121</f>
        <v>386</v>
      </c>
      <c r="B387" s="1" t="str">
        <f>IF(LEFT(Annex!H121,5)="Local","Local Transmission",Annex!H121)</f>
        <v>Local Transmission</v>
      </c>
      <c r="C387" s="1" t="str">
        <f>Annex!J121</f>
        <v>Female</v>
      </c>
      <c r="D387" s="1">
        <f>Annex!D121</f>
        <v>64</v>
      </c>
      <c r="E387" s="1" t="str">
        <f>Annex!K121</f>
        <v>Singaporean</v>
      </c>
      <c r="F387" s="1" t="str">
        <f>Annex!L121</f>
        <v xml:space="preserve">Case 386 is a Local unlinked case, 64 years old female Singapore Citizen  and has not been overseas. She is currently admitted at NTFGH . </v>
      </c>
      <c r="G387" s="2">
        <v>43911</v>
      </c>
      <c r="H387" s="1"/>
      <c r="I387" s="1"/>
      <c r="J387" s="1"/>
      <c r="K387" s="1"/>
      <c r="L387" s="1" t="str">
        <f>Annex!C121</f>
        <v xml:space="preserve">NTFGH </v>
      </c>
      <c r="M387" s="5" t="s">
        <v>1131</v>
      </c>
    </row>
    <row r="388" spans="1:13" ht="13.8" customHeight="1" x14ac:dyDescent="0.3">
      <c r="A388" s="1">
        <f>Annex!A122</f>
        <v>387</v>
      </c>
      <c r="B388" s="1" t="str">
        <f>IF(LEFT(Annex!H122,5)="Local","Local Transmission",Annex!H122)</f>
        <v xml:space="preserve">Imported </v>
      </c>
      <c r="C388" s="1" t="str">
        <f>Annex!J122</f>
        <v>Female</v>
      </c>
      <c r="D388" s="1">
        <f>Annex!D122</f>
        <v>30</v>
      </c>
      <c r="E388" s="1" t="str">
        <f>Annex!K122</f>
        <v>Switzerland</v>
      </c>
      <c r="F388" s="1" t="str">
        <f>Annex!L122</f>
        <v>Case 387 is a Imported  case, 30 years old female Switzerland (Singapore Work Pass holder)  and has been to France, Switzerland . She is currently admitted at NUH. Contact of Case 337</v>
      </c>
      <c r="G388" s="2">
        <v>43911</v>
      </c>
      <c r="H388" s="1"/>
      <c r="I388" s="1"/>
      <c r="J388" s="1"/>
      <c r="K388" s="1"/>
      <c r="L388" s="1" t="str">
        <f>Annex!C122</f>
        <v>NUH</v>
      </c>
      <c r="M388" s="5" t="s">
        <v>1131</v>
      </c>
    </row>
    <row r="389" spans="1:13" ht="13.8" customHeight="1" x14ac:dyDescent="0.3">
      <c r="A389" s="1">
        <f>Annex!A123</f>
        <v>388</v>
      </c>
      <c r="B389" s="1" t="str">
        <f>IF(LEFT(Annex!H123,5)="Local","Local Transmission",Annex!H123)</f>
        <v>Local Transmission</v>
      </c>
      <c r="C389" s="1" t="str">
        <f>Annex!J123</f>
        <v>Male</v>
      </c>
      <c r="D389" s="1">
        <f>Annex!D123</f>
        <v>40</v>
      </c>
      <c r="E389" s="1" t="str">
        <f>Annex!K123</f>
        <v>Singaporean</v>
      </c>
      <c r="F389" s="1" t="str">
        <f>Annex!L123</f>
        <v>Case 388 is a Local linked  case, 40 years old male Singapore Citizen  and has not been overseas. He is currently admitted at SKH . Family member of Case 351</v>
      </c>
      <c r="G389" s="2">
        <v>43911</v>
      </c>
      <c r="H389" s="1"/>
      <c r="I389" s="1"/>
      <c r="J389" s="1"/>
      <c r="K389" s="1"/>
      <c r="L389" s="1" t="str">
        <f>Annex!C123</f>
        <v xml:space="preserve">SKH </v>
      </c>
      <c r="M389" s="5" t="s">
        <v>1131</v>
      </c>
    </row>
    <row r="390" spans="1:13" ht="13.8" customHeight="1" x14ac:dyDescent="0.3">
      <c r="A390" s="1">
        <f>Annex!A124</f>
        <v>389</v>
      </c>
      <c r="B390" s="1" t="str">
        <f>IF(LEFT(Annex!H124,5)="Local","Local Transmission",Annex!H124)</f>
        <v xml:space="preserve">Imported </v>
      </c>
      <c r="C390" s="1" t="str">
        <f>Annex!J124</f>
        <v>Female</v>
      </c>
      <c r="D390" s="1">
        <f>Annex!D124</f>
        <v>36</v>
      </c>
      <c r="E390" s="1" t="str">
        <f>Annex!K124</f>
        <v>Russia</v>
      </c>
      <c r="F390" s="1" t="str">
        <f>Annex!L124</f>
        <v>Case 389 is a Imported  case, 36 years old female Russia (Singapore Work Pass holder)  and has been to India . She is currently admitted at KKH . Family member of Case 298</v>
      </c>
      <c r="G390" s="2">
        <v>43911</v>
      </c>
      <c r="H390" s="1"/>
      <c r="I390" s="1"/>
      <c r="J390" s="1"/>
      <c r="K390" s="1"/>
      <c r="L390" s="1" t="str">
        <f>Annex!C124</f>
        <v xml:space="preserve">KKH </v>
      </c>
      <c r="M390" s="5" t="s">
        <v>1131</v>
      </c>
    </row>
    <row r="391" spans="1:13" ht="13.8" customHeight="1" x14ac:dyDescent="0.3">
      <c r="A391" s="1">
        <f>Annex!A125</f>
        <v>390</v>
      </c>
      <c r="B391" s="1" t="str">
        <f>IF(LEFT(Annex!H125,5)="Local","Local Transmission",Annex!H125)</f>
        <v>Imported</v>
      </c>
      <c r="C391" s="1" t="str">
        <f>Annex!J125</f>
        <v>Female</v>
      </c>
      <c r="D391" s="1">
        <f>Annex!D125</f>
        <v>35</v>
      </c>
      <c r="E391" s="1" t="str">
        <f>Annex!K125</f>
        <v>Singaporean</v>
      </c>
      <c r="F391" s="1" t="str">
        <f>Annex!L125</f>
        <v xml:space="preserve">Case 390 is a Imported case, 35 years old female Singapore Citizen  and has been to UK . She is currently admitted at KKH . </v>
      </c>
      <c r="G391" s="2">
        <v>43911</v>
      </c>
      <c r="H391" s="1"/>
      <c r="I391" s="1"/>
      <c r="J391" s="1"/>
      <c r="K391" s="1"/>
      <c r="L391" s="1" t="str">
        <f>Annex!C125</f>
        <v xml:space="preserve">KKH </v>
      </c>
      <c r="M391" s="5" t="s">
        <v>1131</v>
      </c>
    </row>
    <row r="392" spans="1:13" ht="13.8" customHeight="1" x14ac:dyDescent="0.3">
      <c r="A392" s="1">
        <f>Annex!A126</f>
        <v>391</v>
      </c>
      <c r="B392" s="1" t="str">
        <f>IF(LEFT(Annex!H126,5)="Local","Local Transmission",Annex!H126)</f>
        <v>Imported</v>
      </c>
      <c r="C392" s="1" t="str">
        <f>Annex!J126</f>
        <v>Male</v>
      </c>
      <c r="D392" s="1">
        <f>Annex!D126</f>
        <v>53</v>
      </c>
      <c r="E392" s="1" t="str">
        <f>Annex!K126</f>
        <v xml:space="preserve">Australia </v>
      </c>
      <c r="F392" s="1" t="str">
        <f>Annex!L126</f>
        <v xml:space="preserve">Case 391 is a Imported case, 53 years old male Australia  and has been to Australia, US . He is currently admitted at NUH . </v>
      </c>
      <c r="G392" s="2">
        <v>43911</v>
      </c>
      <c r="H392" s="1"/>
      <c r="I392" s="1"/>
      <c r="J392" s="1"/>
      <c r="K392" s="1"/>
      <c r="L392" s="1" t="str">
        <f>Annex!C126</f>
        <v xml:space="preserve">NUH </v>
      </c>
      <c r="M392" s="5" t="s">
        <v>1131</v>
      </c>
    </row>
    <row r="393" spans="1:13" ht="13.8" customHeight="1" x14ac:dyDescent="0.3">
      <c r="A393" s="1">
        <f>Annex!A127</f>
        <v>392</v>
      </c>
      <c r="B393" s="1" t="str">
        <f>IF(LEFT(Annex!H127,5)="Local","Local Transmission",Annex!H127)</f>
        <v>Imported</v>
      </c>
      <c r="C393" s="1" t="str">
        <f>Annex!J127</f>
        <v>Male</v>
      </c>
      <c r="D393" s="1">
        <f>Annex!D127</f>
        <v>54</v>
      </c>
      <c r="E393" s="1" t="str">
        <f>Annex!K127</f>
        <v>Singaporean</v>
      </c>
      <c r="F393" s="1" t="str">
        <f>Annex!L127</f>
        <v xml:space="preserve">Case 392 is a Imported case, 54 years old male Singapore Permanent Resident  and has been to Indonesia . He is currently admitted at NCID . </v>
      </c>
      <c r="G393" s="2">
        <v>43911</v>
      </c>
      <c r="H393" s="1"/>
      <c r="I393" s="1"/>
      <c r="J393" s="1"/>
      <c r="K393" s="1"/>
      <c r="L393" s="1" t="str">
        <f>Annex!C127</f>
        <v xml:space="preserve">NCID </v>
      </c>
      <c r="M393" s="5" t="s">
        <v>1131</v>
      </c>
    </row>
    <row r="394" spans="1:13" ht="13.8" customHeight="1" x14ac:dyDescent="0.3">
      <c r="A394" s="1">
        <f>Annex!A128</f>
        <v>393</v>
      </c>
      <c r="B394" s="1" t="str">
        <f>IF(LEFT(Annex!H128,5)="Local","Local Transmission",Annex!H128)</f>
        <v>Imported</v>
      </c>
      <c r="C394" s="1" t="str">
        <f>Annex!J128</f>
        <v>Male</v>
      </c>
      <c r="D394" s="1">
        <f>Annex!D128</f>
        <v>21</v>
      </c>
      <c r="E394" s="1" t="str">
        <f>Annex!K128</f>
        <v>Singaporean</v>
      </c>
      <c r="F394" s="1" t="str">
        <f>Annex!L128</f>
        <v xml:space="preserve">Case 393 is a Imported case, 21 years old male Singapore Citizen  and has been to UK . He is currently admitted at NCID . </v>
      </c>
      <c r="G394" s="2">
        <v>43911</v>
      </c>
      <c r="H394" s="1"/>
      <c r="I394" s="1"/>
      <c r="J394" s="1"/>
      <c r="K394" s="1"/>
      <c r="L394" s="1" t="str">
        <f>Annex!C128</f>
        <v xml:space="preserve">NCID </v>
      </c>
      <c r="M394" s="5" t="s">
        <v>1131</v>
      </c>
    </row>
    <row r="395" spans="1:13" ht="13.8" customHeight="1" x14ac:dyDescent="0.3">
      <c r="A395" s="1">
        <f>Annex!A129</f>
        <v>394</v>
      </c>
      <c r="B395" s="1" t="str">
        <f>IF(LEFT(Annex!H129,5)="Local","Local Transmission",Annex!H129)</f>
        <v>Imported</v>
      </c>
      <c r="C395" s="1" t="str">
        <f>Annex!J129</f>
        <v>Female</v>
      </c>
      <c r="D395" s="1">
        <f>Annex!D129</f>
        <v>66</v>
      </c>
      <c r="E395" s="1" t="str">
        <f>Annex!K129</f>
        <v>Philippines</v>
      </c>
      <c r="F395" s="1" t="str">
        <f>Annex!L129</f>
        <v xml:space="preserve">Case 394 is a Imported case, 66 years old female Philippines (Long Term Pass holder)  and has been to Philippines . She is currently admitted at CGH . </v>
      </c>
      <c r="G395" s="2">
        <v>43911</v>
      </c>
      <c r="H395" s="1"/>
      <c r="I395" s="1"/>
      <c r="J395" s="1"/>
      <c r="K395" s="1"/>
      <c r="L395" s="1" t="str">
        <f>Annex!C129</f>
        <v xml:space="preserve">CGH </v>
      </c>
      <c r="M395" s="5" t="s">
        <v>1131</v>
      </c>
    </row>
    <row r="396" spans="1:13" ht="13.8" customHeight="1" x14ac:dyDescent="0.3">
      <c r="A396" s="1">
        <f>Annex!A130</f>
        <v>395</v>
      </c>
      <c r="B396" s="1" t="str">
        <f>IF(LEFT(Annex!H130,5)="Local","Local Transmission",Annex!H130)</f>
        <v>Local Transmission</v>
      </c>
      <c r="C396" s="1" t="str">
        <f>Annex!J130</f>
        <v>Male</v>
      </c>
      <c r="D396" s="1">
        <f>Annex!D130</f>
        <v>54</v>
      </c>
      <c r="E396" s="1" t="str">
        <f>Annex!K130</f>
        <v>Singaporean</v>
      </c>
      <c r="F396" s="1" t="str">
        <f>Annex!L130</f>
        <v xml:space="preserve">Case 395 is a Local unlinked case, 54 years old male Singapore Citizen  and has not been overseas. He is currently admitted at NCID . </v>
      </c>
      <c r="G396" s="2">
        <v>43911</v>
      </c>
      <c r="H396" s="68">
        <v>43924</v>
      </c>
      <c r="I396" s="1"/>
      <c r="J396" s="1"/>
      <c r="K396" s="1"/>
      <c r="L396" s="1" t="str">
        <f>Annex!C130</f>
        <v xml:space="preserve">NCID </v>
      </c>
      <c r="M396" s="5" t="s">
        <v>1131</v>
      </c>
    </row>
    <row r="397" spans="1:13" ht="13.8" customHeight="1" x14ac:dyDescent="0.3">
      <c r="A397" s="1">
        <f>Annex!A131</f>
        <v>396</v>
      </c>
      <c r="B397" s="1" t="str">
        <f>IF(LEFT(Annex!H131,5)="Local","Local Transmission",Annex!H131)</f>
        <v>Local Transmission</v>
      </c>
      <c r="C397" s="1" t="str">
        <f>Annex!J131</f>
        <v>Male</v>
      </c>
      <c r="D397" s="1">
        <f>Annex!D131</f>
        <v>46</v>
      </c>
      <c r="E397" s="1" t="str">
        <f>Annex!K131</f>
        <v>Singaporean</v>
      </c>
      <c r="F397" s="1" t="str">
        <f>Annex!L131</f>
        <v xml:space="preserve">Case 396 is a Local unlinked case, 46 years old male Singapore Citizen  and has not been overseas. He is currently admitted at SKH . </v>
      </c>
      <c r="G397" s="2">
        <v>43911</v>
      </c>
      <c r="H397" s="19">
        <v>43917</v>
      </c>
      <c r="I397" s="1"/>
      <c r="J397" s="1"/>
      <c r="K397" s="1"/>
      <c r="L397" s="1" t="str">
        <f>Annex!C131</f>
        <v xml:space="preserve">SKH </v>
      </c>
      <c r="M397" s="5" t="s">
        <v>1131</v>
      </c>
    </row>
    <row r="398" spans="1:13" ht="13.8" customHeight="1" x14ac:dyDescent="0.3">
      <c r="A398" s="1">
        <f>Annex!A132</f>
        <v>397</v>
      </c>
      <c r="B398" s="1" t="str">
        <f>IF(LEFT(Annex!H132,5)="Local","Local Transmission",Annex!H132)</f>
        <v xml:space="preserve">Imported </v>
      </c>
      <c r="C398" s="1" t="str">
        <f>Annex!J132</f>
        <v>Male</v>
      </c>
      <c r="D398" s="1">
        <f>Annex!D132</f>
        <v>43</v>
      </c>
      <c r="E398" s="1" t="str">
        <f>Annex!K132</f>
        <v>Ireland</v>
      </c>
      <c r="F398" s="1" t="str">
        <f>Annex!L132</f>
        <v>Case 397 is a Imported  case, 43 years old male Ireland (Singapore Work Pass holder)  and has been to Ireland . He is currently admitted at NCID . Contact of Case 180</v>
      </c>
      <c r="G398" s="2">
        <v>43911</v>
      </c>
      <c r="H398" s="1"/>
      <c r="I398" s="1"/>
      <c r="J398" s="1"/>
      <c r="K398" s="1"/>
      <c r="L398" s="1" t="str">
        <f>Annex!C132</f>
        <v xml:space="preserve">NCID </v>
      </c>
      <c r="M398" s="5" t="s">
        <v>1131</v>
      </c>
    </row>
    <row r="399" spans="1:13" ht="13.8" customHeight="1" x14ac:dyDescent="0.3">
      <c r="A399" s="1">
        <f>Annex!A133</f>
        <v>398</v>
      </c>
      <c r="B399" s="1" t="str">
        <f>IF(LEFT(Annex!H133,5)="Local","Local Transmission",Annex!H133)</f>
        <v>Local Transmission</v>
      </c>
      <c r="C399" s="1" t="str">
        <f>Annex!J133</f>
        <v>Male</v>
      </c>
      <c r="D399" s="1">
        <f>Annex!D133</f>
        <v>57</v>
      </c>
      <c r="E399" s="1" t="str">
        <f>Annex!K133</f>
        <v>Singaporean</v>
      </c>
      <c r="F399" s="1" t="str">
        <f>Annex!L133</f>
        <v xml:space="preserve">Case 398 is a Local unlinked case, 57 years old male Singapore Permanent Resident  and has not been overseas. He is currently admitted at KTPH7 . </v>
      </c>
      <c r="G399" s="2">
        <v>43911</v>
      </c>
      <c r="H399" s="48">
        <v>43920</v>
      </c>
      <c r="I399" s="1"/>
      <c r="J399" s="1"/>
      <c r="K399" s="1"/>
      <c r="L399" s="1" t="str">
        <f>Annex!C133</f>
        <v xml:space="preserve">KTPH7 </v>
      </c>
      <c r="M399" s="5" t="s">
        <v>1131</v>
      </c>
    </row>
    <row r="400" spans="1:13" ht="13.8" customHeight="1" x14ac:dyDescent="0.3">
      <c r="A400" s="1">
        <f>Annex!A134</f>
        <v>399</v>
      </c>
      <c r="B400" s="1" t="str">
        <f>IF(LEFT(Annex!H134,5)="Local","Local Transmission",Annex!H134)</f>
        <v>Imported</v>
      </c>
      <c r="C400" s="1" t="str">
        <f>Annex!J134</f>
        <v>Female</v>
      </c>
      <c r="D400" s="1">
        <f>Annex!D134</f>
        <v>23</v>
      </c>
      <c r="E400" s="1" t="str">
        <f>Annex!K134</f>
        <v>Singaporean</v>
      </c>
      <c r="F400" s="1" t="str">
        <f>Annex!L134</f>
        <v xml:space="preserve">Case 399 is a Imported case, 23 years old female Singapore Citizen  and has been to UK . She is currently admitted at NCID . </v>
      </c>
      <c r="G400" s="2">
        <v>43911</v>
      </c>
      <c r="H400" s="1"/>
      <c r="I400" s="1"/>
      <c r="J400" s="1"/>
      <c r="K400" s="1"/>
      <c r="L400" s="1" t="str">
        <f>Annex!C134</f>
        <v xml:space="preserve">NCID </v>
      </c>
      <c r="M400" s="5" t="s">
        <v>1131</v>
      </c>
    </row>
    <row r="401" spans="1:13" ht="13.8" customHeight="1" x14ac:dyDescent="0.3">
      <c r="A401" s="1">
        <f>Annex!A135</f>
        <v>400</v>
      </c>
      <c r="B401" s="1" t="str">
        <f>IF(LEFT(Annex!H135,5)="Local","Local Transmission",Annex!H135)</f>
        <v>Imported</v>
      </c>
      <c r="C401" s="1" t="str">
        <f>Annex!J135</f>
        <v>Male</v>
      </c>
      <c r="D401" s="1">
        <f>Annex!D135</f>
        <v>56</v>
      </c>
      <c r="E401" s="1" t="str">
        <f>Annex!K135</f>
        <v>Singaporean</v>
      </c>
      <c r="F401" s="1" t="str">
        <f>Annex!L135</f>
        <v xml:space="preserve">Case 400 is a Imported case, 56 years old male Singapore Citizen  and has been to UK . He is currently admitted at NCID . </v>
      </c>
      <c r="G401" s="2">
        <v>43911</v>
      </c>
      <c r="H401" s="1"/>
      <c r="I401" s="1"/>
      <c r="J401" s="1"/>
      <c r="K401" s="1"/>
      <c r="L401" s="1" t="str">
        <f>Annex!C135</f>
        <v xml:space="preserve">NCID </v>
      </c>
      <c r="M401" s="5" t="s">
        <v>1131</v>
      </c>
    </row>
    <row r="402" spans="1:13" ht="13.8" customHeight="1" x14ac:dyDescent="0.3">
      <c r="A402" s="1">
        <f>Annex!A136</f>
        <v>401</v>
      </c>
      <c r="B402" s="1" t="str">
        <f>IF(LEFT(Annex!H136,5)="Local","Local Transmission",Annex!H136)</f>
        <v>Imported</v>
      </c>
      <c r="C402" s="1" t="str">
        <f>Annex!J136</f>
        <v>Male</v>
      </c>
      <c r="D402" s="1">
        <f>Annex!D136</f>
        <v>20</v>
      </c>
      <c r="E402" s="1" t="str">
        <f>Annex!K136</f>
        <v>Singaporean</v>
      </c>
      <c r="F402" s="1" t="str">
        <f>Annex!L136</f>
        <v xml:space="preserve">Case 401 is a Imported case, 20 years old male Singapore Citizen  and has been to UK . He is currently admitted at NCID . </v>
      </c>
      <c r="G402" s="2">
        <v>43911</v>
      </c>
      <c r="H402" s="56">
        <v>43921</v>
      </c>
      <c r="I402" s="1"/>
      <c r="J402" s="1"/>
      <c r="K402" s="1"/>
      <c r="L402" s="1" t="str">
        <f>Annex!C136</f>
        <v xml:space="preserve">NCID </v>
      </c>
      <c r="M402" s="5" t="s">
        <v>1131</v>
      </c>
    </row>
    <row r="403" spans="1:13" ht="13.8" customHeight="1" x14ac:dyDescent="0.3">
      <c r="A403" s="1">
        <f>Annex!A137</f>
        <v>402</v>
      </c>
      <c r="B403" s="1" t="str">
        <f>IF(LEFT(Annex!H137,5)="Local","Local Transmission",Annex!H137)</f>
        <v>Imported</v>
      </c>
      <c r="C403" s="1" t="str">
        <f>Annex!J137</f>
        <v>Female</v>
      </c>
      <c r="D403" s="1">
        <f>Annex!D137</f>
        <v>22</v>
      </c>
      <c r="E403" s="1" t="str">
        <f>Annex!K137</f>
        <v xml:space="preserve">Indonesia Indonesia </v>
      </c>
      <c r="F403" s="1" t="str">
        <f>Annex!L137</f>
        <v xml:space="preserve">Case 402 is a Imported case, 22 years old female Indonesia Indonesia  and has not been overseas. She is currently admitted at MENH. </v>
      </c>
      <c r="G403" s="2">
        <v>43911</v>
      </c>
      <c r="H403" s="1"/>
      <c r="I403" s="1"/>
      <c r="J403" s="1"/>
      <c r="K403" s="1"/>
      <c r="L403" s="1" t="str">
        <f>Annex!C137</f>
        <v>MENH</v>
      </c>
      <c r="M403" s="5" t="s">
        <v>1131</v>
      </c>
    </row>
    <row r="404" spans="1:13" ht="13.8" customHeight="1" x14ac:dyDescent="0.3">
      <c r="A404" s="1">
        <f>Annex!A138</f>
        <v>403</v>
      </c>
      <c r="B404" s="1" t="str">
        <f>IF(LEFT(Annex!H138,5)="Local","Local Transmission",Annex!H138)</f>
        <v>Imported</v>
      </c>
      <c r="C404" s="1" t="str">
        <f>Annex!J138</f>
        <v>Male</v>
      </c>
      <c r="D404" s="1">
        <f>Annex!D138</f>
        <v>77</v>
      </c>
      <c r="E404" s="1" t="str">
        <f>Annex!K138</f>
        <v>Indonesia</v>
      </c>
      <c r="F404" s="1" t="str">
        <f>Annex!L138</f>
        <v xml:space="preserve">Case 403 is a Imported case, 77 years old male Indonesia (Long Term Pass holder)  and has been to Indonesia . He is currently admitted at MEH . </v>
      </c>
      <c r="G404" s="2">
        <v>43911</v>
      </c>
      <c r="H404" s="1"/>
      <c r="I404" s="1"/>
      <c r="J404" s="1"/>
      <c r="K404" s="1"/>
      <c r="L404" s="1" t="str">
        <f>Annex!C138</f>
        <v xml:space="preserve">MEH </v>
      </c>
      <c r="M404" s="5" t="s">
        <v>1131</v>
      </c>
    </row>
    <row r="405" spans="1:13" ht="13.8" customHeight="1" x14ac:dyDescent="0.3">
      <c r="A405" s="1">
        <f>Annex!A139</f>
        <v>404</v>
      </c>
      <c r="B405" s="1" t="str">
        <f>IF(LEFT(Annex!H139,5)="Local","Local Transmission",Annex!H139)</f>
        <v>Imported</v>
      </c>
      <c r="C405" s="1" t="str">
        <f>Annex!J139</f>
        <v>Male</v>
      </c>
      <c r="D405" s="1">
        <f>Annex!D139</f>
        <v>28</v>
      </c>
      <c r="E405" s="1" t="str">
        <f>Annex!K139</f>
        <v>Australia</v>
      </c>
      <c r="F405" s="1" t="str">
        <f>Annex!L139</f>
        <v xml:space="preserve">Case 404 is a Imported case, 28 years old male Australia (Long Term Pass holder)  and has been to Malaysia, Philippines . He is currently admitted at NCID . </v>
      </c>
      <c r="G405" s="2">
        <v>43911</v>
      </c>
      <c r="H405" s="1"/>
      <c r="I405" s="1"/>
      <c r="J405" s="1"/>
      <c r="K405" s="1"/>
      <c r="L405" s="1" t="str">
        <f>Annex!C139</f>
        <v xml:space="preserve">NCID </v>
      </c>
      <c r="M405" s="5" t="s">
        <v>1131</v>
      </c>
    </row>
    <row r="406" spans="1:13" ht="13.8" customHeight="1" x14ac:dyDescent="0.3">
      <c r="A406" s="1">
        <f>Annex!A140</f>
        <v>405</v>
      </c>
      <c r="B406" s="1" t="str">
        <f>IF(LEFT(Annex!H140,5)="Local","Local Transmission",Annex!H140)</f>
        <v>Imported</v>
      </c>
      <c r="C406" s="1" t="str">
        <f>Annex!J140</f>
        <v>Male</v>
      </c>
      <c r="D406" s="1">
        <f>Annex!D140</f>
        <v>25</v>
      </c>
      <c r="E406" s="1" t="str">
        <f>Annex!K140</f>
        <v>Singaporean</v>
      </c>
      <c r="F406" s="1" t="str">
        <f>Annex!L140</f>
        <v xml:space="preserve">Case 405 is a Imported case, 25 years old male Singapore Citizen  and has been to UK . He is currently admitted at NCID . </v>
      </c>
      <c r="G406" s="2">
        <v>43911</v>
      </c>
      <c r="H406" s="1"/>
      <c r="I406" s="1"/>
      <c r="J406" s="1"/>
      <c r="K406" s="1"/>
      <c r="L406" s="1" t="str">
        <f>Annex!C140</f>
        <v xml:space="preserve">NCID </v>
      </c>
      <c r="M406" s="5" t="s">
        <v>1131</v>
      </c>
    </row>
    <row r="407" spans="1:13" ht="13.8" customHeight="1" x14ac:dyDescent="0.3">
      <c r="A407" s="1">
        <f>Annex!A141</f>
        <v>406</v>
      </c>
      <c r="B407" s="1" t="str">
        <f>IF(LEFT(Annex!H141,5)="Local","Local Transmission",Annex!H141)</f>
        <v>Local Transmission</v>
      </c>
      <c r="C407" s="1" t="str">
        <f>Annex!J141</f>
        <v>Female</v>
      </c>
      <c r="D407" s="1">
        <f>Annex!D141</f>
        <v>61</v>
      </c>
      <c r="E407" s="1" t="str">
        <f>Annex!K141</f>
        <v>Singaporean</v>
      </c>
      <c r="F407" s="1" t="str">
        <f>Annex!L141</f>
        <v xml:space="preserve">Case 406 is a Local unlinked case, 61 years old female Singapore Citizen  and has not been overseas. She is currently admitted at KTPH . </v>
      </c>
      <c r="G407" s="2">
        <v>43911</v>
      </c>
      <c r="H407" s="38">
        <v>43918</v>
      </c>
      <c r="I407" s="1"/>
      <c r="J407" s="1"/>
      <c r="K407" s="1"/>
      <c r="L407" s="1" t="str">
        <f>Annex!C141</f>
        <v xml:space="preserve">KTPH </v>
      </c>
      <c r="M407" s="5" t="s">
        <v>1131</v>
      </c>
    </row>
    <row r="408" spans="1:13" ht="13.8" customHeight="1" x14ac:dyDescent="0.3">
      <c r="A408" s="1">
        <f>Annex!A142</f>
        <v>407</v>
      </c>
      <c r="B408" s="1" t="str">
        <f>IF(LEFT(Annex!H142,5)="Local","Local Transmission",Annex!H142)</f>
        <v>Imported</v>
      </c>
      <c r="C408" s="1" t="str">
        <f>Annex!J142</f>
        <v>Male</v>
      </c>
      <c r="D408" s="1">
        <f>Annex!D142</f>
        <v>25</v>
      </c>
      <c r="E408" s="1" t="str">
        <f>Annex!K142</f>
        <v xml:space="preserve">Spain </v>
      </c>
      <c r="F408" s="1" t="str">
        <f>Annex!L142</f>
        <v xml:space="preserve">Case 407 is a Imported case, 25 years old male Spain  and has been to Pending . He is currently admitted at NCID . </v>
      </c>
      <c r="G408" s="2">
        <v>43911</v>
      </c>
      <c r="H408" s="1"/>
      <c r="I408" s="1"/>
      <c r="J408" s="1"/>
      <c r="K408" s="1"/>
      <c r="L408" s="1" t="str">
        <f>Annex!C142</f>
        <v xml:space="preserve">NCID </v>
      </c>
      <c r="M408" s="5" t="s">
        <v>1131</v>
      </c>
    </row>
    <row r="409" spans="1:13" ht="13.8" customHeight="1" x14ac:dyDescent="0.3">
      <c r="A409" s="1">
        <f>Annex!A143</f>
        <v>408</v>
      </c>
      <c r="B409" s="1" t="str">
        <f>IF(LEFT(Annex!H143,5)="Local","Local Transmission",Annex!H143)</f>
        <v>Imported</v>
      </c>
      <c r="C409" s="1" t="str">
        <f>Annex!J143</f>
        <v>Male</v>
      </c>
      <c r="D409" s="1">
        <f>Annex!D143</f>
        <v>27</v>
      </c>
      <c r="E409" s="1" t="str">
        <f>Annex!K143</f>
        <v>Singaporean</v>
      </c>
      <c r="F409" s="1" t="str">
        <f>Annex!L143</f>
        <v xml:space="preserve">Case 408 is a Imported case, 27 years old male Singapore Citizen  and has been to US . He is currently admitted at NUH . </v>
      </c>
      <c r="G409" s="2">
        <v>43911</v>
      </c>
      <c r="H409" s="1"/>
      <c r="I409" s="1"/>
      <c r="J409" s="1"/>
      <c r="K409" s="1"/>
      <c r="L409" s="1" t="str">
        <f>Annex!C143</f>
        <v xml:space="preserve">NUH </v>
      </c>
      <c r="M409" s="5" t="s">
        <v>1131</v>
      </c>
    </row>
    <row r="410" spans="1:13" ht="13.8" customHeight="1" x14ac:dyDescent="0.3">
      <c r="A410" s="1">
        <f>Annex!A144</f>
        <v>409</v>
      </c>
      <c r="B410" s="1" t="str">
        <f>IF(LEFT(Annex!H144,5)="Local","Local Transmission",Annex!H144)</f>
        <v>Imported</v>
      </c>
      <c r="C410" s="1" t="str">
        <f>Annex!J144</f>
        <v>Female</v>
      </c>
      <c r="D410" s="1">
        <f>Annex!D144</f>
        <v>23</v>
      </c>
      <c r="E410" s="1" t="str">
        <f>Annex!K144</f>
        <v xml:space="preserve">Australia </v>
      </c>
      <c r="F410" s="1" t="str">
        <f>Annex!L144</f>
        <v xml:space="preserve">Case 409 is a Imported case, 23 years old female Australia  (Singapore Work Pass holder)  and has been to US . She is currently admitted at NUH . </v>
      </c>
      <c r="G410" s="2">
        <v>43911</v>
      </c>
      <c r="H410" s="1"/>
      <c r="I410" s="1"/>
      <c r="J410" s="1"/>
      <c r="K410" s="1"/>
      <c r="L410" s="1" t="str">
        <f>Annex!C144</f>
        <v xml:space="preserve">NUH </v>
      </c>
      <c r="M410" s="5" t="s">
        <v>1131</v>
      </c>
    </row>
    <row r="411" spans="1:13" ht="13.8" customHeight="1" x14ac:dyDescent="0.3">
      <c r="A411" s="1">
        <f>Annex!A145</f>
        <v>410</v>
      </c>
      <c r="B411" s="1" t="str">
        <f>IF(LEFT(Annex!H145,5)="Local","Local Transmission",Annex!H145)</f>
        <v>Imported</v>
      </c>
      <c r="C411" s="1" t="str">
        <f>Annex!J145</f>
        <v>Female</v>
      </c>
      <c r="D411" s="1">
        <f>Annex!D145</f>
        <v>20</v>
      </c>
      <c r="E411" s="1" t="str">
        <f>Annex!K145</f>
        <v>Singaporean</v>
      </c>
      <c r="F411" s="1" t="str">
        <f>Annex!L145</f>
        <v xml:space="preserve">Case 410 is a Imported case, 20 years old female Singapore Citizen  and has been to UK . She is currently admitted at NCID . </v>
      </c>
      <c r="G411" s="2">
        <v>43911</v>
      </c>
      <c r="H411" s="1"/>
      <c r="I411" s="1"/>
      <c r="J411" s="1"/>
      <c r="K411" s="1"/>
      <c r="L411" s="1" t="str">
        <f>Annex!C145</f>
        <v xml:space="preserve">NCID </v>
      </c>
      <c r="M411" s="5" t="s">
        <v>1131</v>
      </c>
    </row>
    <row r="412" spans="1:13" ht="13.8" customHeight="1" x14ac:dyDescent="0.3">
      <c r="A412" s="1">
        <f>Annex!A146</f>
        <v>411</v>
      </c>
      <c r="B412" s="1" t="str">
        <f>IF(LEFT(Annex!H146,5)="Local","Local Transmission",Annex!H146)</f>
        <v>Imported</v>
      </c>
      <c r="C412" s="1" t="str">
        <f>Annex!J146</f>
        <v>Male</v>
      </c>
      <c r="D412" s="1">
        <f>Annex!D146</f>
        <v>30</v>
      </c>
      <c r="E412" s="1" t="str">
        <f>Annex!K146</f>
        <v>Singaporean</v>
      </c>
      <c r="F412" s="1" t="str">
        <f>Annex!L146</f>
        <v xml:space="preserve">Case 411 is a Imported case, 30 years old male Singapore Citizen  and has been to UK . He is currently admitted at NCID . </v>
      </c>
      <c r="G412" s="2">
        <v>43911</v>
      </c>
      <c r="H412" s="1"/>
      <c r="I412" s="1"/>
      <c r="J412" s="1"/>
      <c r="K412" s="1"/>
      <c r="L412" s="1" t="str">
        <f>Annex!C146</f>
        <v xml:space="preserve">NCID </v>
      </c>
      <c r="M412" s="5" t="s">
        <v>1131</v>
      </c>
    </row>
    <row r="413" spans="1:13" ht="13.8" customHeight="1" x14ac:dyDescent="0.3">
      <c r="A413" s="1">
        <f>Annex!A147</f>
        <v>412</v>
      </c>
      <c r="B413" s="1" t="str">
        <f>IF(LEFT(Annex!H147,5)="Local","Local Transmission",Annex!H147)</f>
        <v>Imported</v>
      </c>
      <c r="C413" s="1" t="str">
        <f>Annex!J147</f>
        <v>Female</v>
      </c>
      <c r="D413" s="1">
        <f>Annex!D147</f>
        <v>19</v>
      </c>
      <c r="E413" s="1" t="str">
        <f>Annex!K147</f>
        <v>Singaporean</v>
      </c>
      <c r="F413" s="1" t="str">
        <f>Annex!L147</f>
        <v xml:space="preserve">Case 412 is a Imported case, 19 years old female Singapore Citizen  and has been to UK . She is currently admitted at NCID . </v>
      </c>
      <c r="G413" s="2">
        <v>43911</v>
      </c>
      <c r="H413" s="1"/>
      <c r="I413" s="1"/>
      <c r="J413" s="1"/>
      <c r="K413" s="1"/>
      <c r="L413" s="1" t="str">
        <f>Annex!C147</f>
        <v xml:space="preserve">NCID </v>
      </c>
      <c r="M413" s="5" t="s">
        <v>1131</v>
      </c>
    </row>
    <row r="414" spans="1:13" ht="13.8" customHeight="1" x14ac:dyDescent="0.3">
      <c r="A414" s="1">
        <f>Annex!A148</f>
        <v>413</v>
      </c>
      <c r="B414" s="1" t="str">
        <f>IF(LEFT(Annex!H148,5)="Local","Local Transmission",Annex!H148)</f>
        <v>Imported</v>
      </c>
      <c r="C414" s="1" t="str">
        <f>Annex!J148</f>
        <v>Male</v>
      </c>
      <c r="D414" s="1">
        <f>Annex!D148</f>
        <v>29</v>
      </c>
      <c r="E414" s="1" t="str">
        <f>Annex!K148</f>
        <v>Singaporean</v>
      </c>
      <c r="F414" s="1" t="str">
        <f>Annex!L148</f>
        <v xml:space="preserve">Case 413 is a Imported case, 29 years old male Singapore Citizen  and has been to Switzerland . He is currently admitted at NCID . </v>
      </c>
      <c r="G414" s="2">
        <v>43911</v>
      </c>
      <c r="H414" s="1"/>
      <c r="I414" s="1"/>
      <c r="J414" s="1"/>
      <c r="K414" s="1"/>
      <c r="L414" s="1" t="str">
        <f>Annex!C148</f>
        <v xml:space="preserve">NCID </v>
      </c>
      <c r="M414" s="5" t="s">
        <v>1131</v>
      </c>
    </row>
    <row r="415" spans="1:13" ht="13.8" customHeight="1" x14ac:dyDescent="0.3">
      <c r="A415" s="1">
        <f>Annex!A149</f>
        <v>414</v>
      </c>
      <c r="B415" s="1" t="str">
        <f>IF(LEFT(Annex!H149,5)="Local","Local Transmission",Annex!H149)</f>
        <v>Imported</v>
      </c>
      <c r="C415" s="1" t="str">
        <f>Annex!J149</f>
        <v>Male</v>
      </c>
      <c r="D415" s="1">
        <f>Annex!D149</f>
        <v>37</v>
      </c>
      <c r="E415" s="1" t="str">
        <f>Annex!K149</f>
        <v>Australia</v>
      </c>
      <c r="F415" s="1" t="str">
        <f>Annex!L149</f>
        <v xml:space="preserve">Case 414 is a Imported case, 37 years old male Australia (Long Term Pass holder)  and has been to US . He is currently admitted at NCID . </v>
      </c>
      <c r="G415" s="2">
        <v>43911</v>
      </c>
      <c r="H415" s="64">
        <v>43923</v>
      </c>
      <c r="I415" s="1"/>
      <c r="J415" s="1"/>
      <c r="K415" s="1"/>
      <c r="L415" s="1" t="str">
        <f>Annex!C149</f>
        <v xml:space="preserve">NCID </v>
      </c>
      <c r="M415" s="5" t="s">
        <v>1131</v>
      </c>
    </row>
    <row r="416" spans="1:13" ht="13.8" customHeight="1" x14ac:dyDescent="0.3">
      <c r="A416" s="1">
        <f>Annex!A150</f>
        <v>415</v>
      </c>
      <c r="B416" s="1" t="str">
        <f>IF(LEFT(Annex!H150,5)="Local","Local Transmission",Annex!H150)</f>
        <v xml:space="preserve">Imported </v>
      </c>
      <c r="C416" s="1" t="str">
        <f>Annex!J150</f>
        <v>Female</v>
      </c>
      <c r="D416" s="1">
        <f>Annex!D150</f>
        <v>64</v>
      </c>
      <c r="E416" s="1" t="str">
        <f>Annex!K150</f>
        <v xml:space="preserve">Indonesia </v>
      </c>
      <c r="F416" s="1" t="str">
        <f>Annex!L150</f>
        <v>Case 415 is a Imported  case, 64 years old female Indonesia  and has been to Indonesia . She is currently admitted at NCID . Family member of Case 212</v>
      </c>
      <c r="G416" s="2">
        <v>43911</v>
      </c>
      <c r="H416" s="69">
        <v>43925</v>
      </c>
      <c r="I416" s="1"/>
      <c r="J416" s="1"/>
      <c r="K416" s="1"/>
      <c r="L416" s="1" t="str">
        <f>Annex!C150</f>
        <v xml:space="preserve">NCID </v>
      </c>
      <c r="M416" s="5" t="s">
        <v>1131</v>
      </c>
    </row>
    <row r="417" spans="1:13" ht="13.8" customHeight="1" x14ac:dyDescent="0.3">
      <c r="A417" s="1">
        <f>Annex!A151</f>
        <v>416</v>
      </c>
      <c r="B417" s="1" t="str">
        <f>IF(LEFT(Annex!H151,5)="Local","Local Transmission",Annex!H151)</f>
        <v>Imported</v>
      </c>
      <c r="C417" s="1" t="str">
        <f>Annex!J151</f>
        <v>Male</v>
      </c>
      <c r="D417" s="1">
        <f>Annex!D151</f>
        <v>21</v>
      </c>
      <c r="E417" s="1" t="str">
        <f>Annex!K151</f>
        <v>Singaporean</v>
      </c>
      <c r="F417" s="1" t="str">
        <f>Annex!L151</f>
        <v xml:space="preserve">Case 416 is a Imported case, 21 years old male Singapore Citizen  and has been to UK . He is currently admitted at NCID . </v>
      </c>
      <c r="G417" s="2">
        <v>43911</v>
      </c>
      <c r="H417" s="1"/>
      <c r="I417" s="1"/>
      <c r="J417" s="1"/>
      <c r="K417" s="1"/>
      <c r="L417" s="1" t="str">
        <f>Annex!C151</f>
        <v xml:space="preserve">NCID </v>
      </c>
      <c r="M417" s="5" t="s">
        <v>1131</v>
      </c>
    </row>
    <row r="418" spans="1:13" ht="13.8" customHeight="1" x14ac:dyDescent="0.3">
      <c r="A418" s="1">
        <f>Annex!A152</f>
        <v>417</v>
      </c>
      <c r="B418" s="1" t="str">
        <f>IF(LEFT(Annex!H152,5)="Local","Local Transmission",Annex!H152)</f>
        <v>Imported</v>
      </c>
      <c r="C418" s="1" t="str">
        <f>Annex!J152</f>
        <v>Female</v>
      </c>
      <c r="D418" s="1">
        <f>Annex!D152</f>
        <v>18</v>
      </c>
      <c r="E418" s="1" t="str">
        <f>Annex!K152</f>
        <v>France</v>
      </c>
      <c r="F418" s="1" t="str">
        <f>Annex!L152</f>
        <v xml:space="preserve">Case 417 is a Imported case, 18 years old female France (Long Term Pass holder)  and has been to UK . She is currently admitted at NCID . </v>
      </c>
      <c r="G418" s="2">
        <v>43911</v>
      </c>
      <c r="H418" s="1"/>
      <c r="I418" s="1"/>
      <c r="J418" s="1"/>
      <c r="K418" s="1"/>
      <c r="L418" s="1" t="str">
        <f>Annex!C152</f>
        <v xml:space="preserve">NCID </v>
      </c>
      <c r="M418" s="5" t="s">
        <v>1131</v>
      </c>
    </row>
    <row r="419" spans="1:13" ht="13.8" customHeight="1" x14ac:dyDescent="0.3">
      <c r="A419" s="1">
        <f>Annex!A153</f>
        <v>418</v>
      </c>
      <c r="B419" s="1" t="str">
        <f>IF(LEFT(Annex!H153,5)="Local","Local Transmission",Annex!H153)</f>
        <v xml:space="preserve">Imported </v>
      </c>
      <c r="C419" s="1" t="str">
        <f>Annex!J153</f>
        <v>Male</v>
      </c>
      <c r="D419" s="1">
        <f>Annex!D153</f>
        <v>44</v>
      </c>
      <c r="E419" s="1" t="str">
        <f>Annex!K153</f>
        <v>Singaporean</v>
      </c>
      <c r="F419" s="1" t="str">
        <f>Annex!L153</f>
        <v xml:space="preserve">Case 418 is a Imported  case, 44 years old male Singapore Permanent Resident  and has been to US . He is currently admitted at NCID . </v>
      </c>
      <c r="G419" s="2">
        <v>43911</v>
      </c>
      <c r="H419" s="1"/>
      <c r="I419" s="1"/>
      <c r="J419" s="1"/>
      <c r="K419" s="1"/>
      <c r="L419" s="1" t="str">
        <f>Annex!C153</f>
        <v xml:space="preserve">NCID </v>
      </c>
      <c r="M419" s="5" t="s">
        <v>1131</v>
      </c>
    </row>
    <row r="420" spans="1:13" ht="13.8" customHeight="1" x14ac:dyDescent="0.3">
      <c r="A420" s="1">
        <f>Annex!A154</f>
        <v>419</v>
      </c>
      <c r="B420" s="1" t="str">
        <f>IF(LEFT(Annex!H154,5)="Local","Local Transmission",Annex!H154)</f>
        <v>Imported</v>
      </c>
      <c r="C420" s="1" t="str">
        <f>Annex!J154</f>
        <v>Male</v>
      </c>
      <c r="D420" s="1">
        <f>Annex!D154</f>
        <v>45</v>
      </c>
      <c r="E420" s="1" t="str">
        <f>Annex!K154</f>
        <v xml:space="preserve">Netherlands </v>
      </c>
      <c r="F420" s="1" t="str">
        <f>Annex!L154</f>
        <v xml:space="preserve">Case 419 is a Imported case, 45 years old male Netherlands  and has been to Pending . He is currently admitted at NCID . </v>
      </c>
      <c r="G420" s="2">
        <v>43911</v>
      </c>
      <c r="H420" s="1"/>
      <c r="I420" s="1"/>
      <c r="J420" s="1"/>
      <c r="K420" s="1"/>
      <c r="L420" s="1" t="str">
        <f>Annex!C154</f>
        <v xml:space="preserve">NCID </v>
      </c>
      <c r="M420" s="5" t="s">
        <v>1131</v>
      </c>
    </row>
    <row r="421" spans="1:13" ht="13.8" customHeight="1" x14ac:dyDescent="0.3">
      <c r="A421" s="1">
        <f>Annex!A155</f>
        <v>420</v>
      </c>
      <c r="B421" s="1" t="str">
        <f>IF(LEFT(Annex!H155,5)="Local","Local Transmission",Annex!H155)</f>
        <v>Imported</v>
      </c>
      <c r="C421" s="1" t="str">
        <f>Annex!J155</f>
        <v>Female</v>
      </c>
      <c r="D421" s="1">
        <f>Annex!D155</f>
        <v>21</v>
      </c>
      <c r="E421" s="1" t="str">
        <f>Annex!K155</f>
        <v>Singaporean</v>
      </c>
      <c r="F421" s="1" t="str">
        <f>Annex!L155</f>
        <v xml:space="preserve">Case 420 is a Imported case, 21 years old female Singapore Citizen  and has been to UK . She is currently admitted at NCID . </v>
      </c>
      <c r="G421" s="2">
        <v>43911</v>
      </c>
      <c r="H421" s="1"/>
      <c r="I421" s="1"/>
      <c r="J421" s="1"/>
      <c r="K421" s="1"/>
      <c r="L421" s="1" t="str">
        <f>Annex!C155</f>
        <v xml:space="preserve">NCID </v>
      </c>
      <c r="M421" s="5" t="s">
        <v>1131</v>
      </c>
    </row>
    <row r="422" spans="1:13" ht="13.8" customHeight="1" x14ac:dyDescent="0.3">
      <c r="A422" s="1">
        <f>Annex!A156</f>
        <v>421</v>
      </c>
      <c r="B422" s="1" t="str">
        <f>IF(LEFT(Annex!H156,5)="Local","Local Transmission",Annex!H156)</f>
        <v>Imported</v>
      </c>
      <c r="C422" s="1" t="str">
        <f>Annex!J156</f>
        <v>Male</v>
      </c>
      <c r="D422" s="1">
        <f>Annex!D156</f>
        <v>23</v>
      </c>
      <c r="E422" s="1" t="str">
        <f>Annex!K156</f>
        <v>Singaporean</v>
      </c>
      <c r="F422" s="1" t="str">
        <f>Annex!L156</f>
        <v xml:space="preserve">Case 421 is a Imported case, 23 years old male Singapore Citizen  and has been to UK . He is currently admitted at NCID . </v>
      </c>
      <c r="G422" s="2">
        <v>43911</v>
      </c>
      <c r="H422" s="1"/>
      <c r="I422" s="1"/>
      <c r="J422" s="1"/>
      <c r="K422" s="1"/>
      <c r="L422" s="1" t="str">
        <f>Annex!C156</f>
        <v xml:space="preserve">NCID </v>
      </c>
      <c r="M422" s="5" t="s">
        <v>1131</v>
      </c>
    </row>
    <row r="423" spans="1:13" ht="13.8" customHeight="1" x14ac:dyDescent="0.3">
      <c r="A423" s="1">
        <f>Annex!A157</f>
        <v>422</v>
      </c>
      <c r="B423" s="1" t="str">
        <f>IF(LEFT(Annex!H157,5)="Local","Local Transmission",Annex!H157)</f>
        <v>Imported</v>
      </c>
      <c r="C423" s="1" t="str">
        <f>Annex!J157</f>
        <v>Female</v>
      </c>
      <c r="D423" s="1">
        <f>Annex!D157</f>
        <v>56</v>
      </c>
      <c r="E423" s="1" t="str">
        <f>Annex!K157</f>
        <v>Singaporean</v>
      </c>
      <c r="F423" s="1" t="str">
        <f>Annex!L157</f>
        <v xml:space="preserve">Case 422 is a Imported case, 56 years old female Singapore Citizen  and has been to US . She is currently admitted at NCID . </v>
      </c>
      <c r="G423" s="2">
        <v>43911</v>
      </c>
      <c r="H423" s="1"/>
      <c r="I423" s="1"/>
      <c r="J423" s="1"/>
      <c r="K423" s="1"/>
      <c r="L423" s="1" t="str">
        <f>Annex!C157</f>
        <v xml:space="preserve">NCID </v>
      </c>
      <c r="M423" s="5" t="s">
        <v>1131</v>
      </c>
    </row>
    <row r="424" spans="1:13" ht="13.8" customHeight="1" x14ac:dyDescent="0.3">
      <c r="A424" s="1">
        <f>Annex!A158</f>
        <v>423</v>
      </c>
      <c r="B424" s="1" t="str">
        <f>IF(LEFT(Annex!H158,5)="Local","Local Transmission",Annex!H158)</f>
        <v>Imported</v>
      </c>
      <c r="C424" s="1" t="str">
        <f>Annex!J158</f>
        <v>Male</v>
      </c>
      <c r="D424" s="1">
        <f>Annex!D158</f>
        <v>24</v>
      </c>
      <c r="E424" s="1" t="str">
        <f>Annex!K158</f>
        <v>Singaporean</v>
      </c>
      <c r="F424" s="1" t="str">
        <f>Annex!L158</f>
        <v xml:space="preserve">Case 423 is a Imported case, 24 years old male Singapore Citizen  and has been to Ireland . He is currently admitted at NCID . </v>
      </c>
      <c r="G424" s="2">
        <v>43911</v>
      </c>
      <c r="H424" s="43">
        <v>43919</v>
      </c>
      <c r="I424" s="1"/>
      <c r="J424" s="1"/>
      <c r="K424" s="1"/>
      <c r="L424" s="1" t="str">
        <f>Annex!C158</f>
        <v xml:space="preserve">NCID </v>
      </c>
      <c r="M424" s="5" t="s">
        <v>1131</v>
      </c>
    </row>
    <row r="425" spans="1:13" ht="13.8" customHeight="1" x14ac:dyDescent="0.3">
      <c r="A425" s="1">
        <f>Annex!A159</f>
        <v>424</v>
      </c>
      <c r="B425" s="1" t="str">
        <f>IF(LEFT(Annex!H159,5)="Local","Local Transmission",Annex!H159)</f>
        <v xml:space="preserve">Imported </v>
      </c>
      <c r="C425" s="1" t="str">
        <f>Annex!J159</f>
        <v>Male</v>
      </c>
      <c r="D425" s="1">
        <f>Annex!D159</f>
        <v>24</v>
      </c>
      <c r="E425" s="1" t="str">
        <f>Annex!K159</f>
        <v>Singaporean</v>
      </c>
      <c r="F425" s="1" t="str">
        <f>Annex!L159</f>
        <v>Case 424 is a Imported  case, 24 years old male Singapore Citizen  and has been to US . He is currently admitted at CGH . Contact of Case 425</v>
      </c>
      <c r="G425" s="2">
        <v>43911</v>
      </c>
      <c r="H425" s="1"/>
      <c r="I425" s="1"/>
      <c r="J425" s="1"/>
      <c r="K425" s="1"/>
      <c r="L425" s="1" t="str">
        <f>Annex!C159</f>
        <v xml:space="preserve">CGH </v>
      </c>
      <c r="M425" s="5" t="s">
        <v>1131</v>
      </c>
    </row>
    <row r="426" spans="1:13" ht="13.8" customHeight="1" x14ac:dyDescent="0.3">
      <c r="A426" s="1">
        <f>Annex!A160</f>
        <v>425</v>
      </c>
      <c r="B426" s="1" t="str">
        <f>IF(LEFT(Annex!H160,5)="Local","Local Transmission",Annex!H160)</f>
        <v xml:space="preserve">Imported </v>
      </c>
      <c r="C426" s="1" t="str">
        <f>Annex!J160</f>
        <v>Female</v>
      </c>
      <c r="D426" s="1">
        <f>Annex!D160</f>
        <v>21</v>
      </c>
      <c r="E426" s="1" t="str">
        <f>Annex!K160</f>
        <v>Singaporean</v>
      </c>
      <c r="F426" s="1" t="str">
        <f>Annex!L160</f>
        <v>Case 425 is a Imported  case, 21 years old female Singapore Citizen  and has been to US . She is currently admitted at CGH . Contact of Case 424</v>
      </c>
      <c r="G426" s="2">
        <v>43911</v>
      </c>
      <c r="H426" s="1"/>
      <c r="I426" s="1"/>
      <c r="J426" s="1"/>
      <c r="K426" s="1"/>
      <c r="L426" s="1" t="str">
        <f>Annex!C160</f>
        <v xml:space="preserve">CGH </v>
      </c>
      <c r="M426" s="5" t="s">
        <v>1131</v>
      </c>
    </row>
    <row r="427" spans="1:13" ht="13.8" customHeight="1" x14ac:dyDescent="0.3">
      <c r="A427" s="1">
        <f>Annex!A161</f>
        <v>426</v>
      </c>
      <c r="B427" s="1" t="str">
        <f>IF(LEFT(Annex!H161,5)="Local","Local Transmission",Annex!H161)</f>
        <v>Local Transmission</v>
      </c>
      <c r="C427" s="1" t="str">
        <f>Annex!J161</f>
        <v>Female</v>
      </c>
      <c r="D427" s="1">
        <f>Annex!D161</f>
        <v>55</v>
      </c>
      <c r="E427" s="1" t="str">
        <f>Annex!K161</f>
        <v>Singaporean</v>
      </c>
      <c r="F427" s="1" t="str">
        <f>Annex!L161</f>
        <v xml:space="preserve">Case 426 is a Local Unlinked case, 55 years old female Singapore Citizen  and has not been overseas. She is currently admitted at NCID . </v>
      </c>
      <c r="G427" s="2">
        <v>43911</v>
      </c>
      <c r="H427" s="43">
        <v>43919</v>
      </c>
      <c r="I427" s="1"/>
      <c r="J427" s="1"/>
      <c r="K427" s="1"/>
      <c r="L427" s="1" t="str">
        <f>Annex!C161</f>
        <v xml:space="preserve">NCID </v>
      </c>
      <c r="M427" s="5" t="s">
        <v>1131</v>
      </c>
    </row>
    <row r="428" spans="1:13" ht="13.8" customHeight="1" x14ac:dyDescent="0.3">
      <c r="A428" s="1">
        <f>Annex!A162</f>
        <v>427</v>
      </c>
      <c r="B428" s="1" t="str">
        <f>IF(LEFT(Annex!H162,5)="Local","Local Transmission",Annex!H162)</f>
        <v>Imported</v>
      </c>
      <c r="C428" s="1" t="str">
        <f>Annex!J162</f>
        <v>Male</v>
      </c>
      <c r="D428" s="1">
        <f>Annex!D162</f>
        <v>39</v>
      </c>
      <c r="E428" s="1" t="str">
        <f>Annex!K162</f>
        <v>Singaporean</v>
      </c>
      <c r="F428" s="1" t="str">
        <f>Annex!L162</f>
        <v xml:space="preserve">Case 427 is a Imported case, 39 years old male Singapore Citizen  and has been to US . He is currently admitted at NCID . </v>
      </c>
      <c r="G428" s="2">
        <v>43911</v>
      </c>
      <c r="H428" s="1"/>
      <c r="I428" s="1"/>
      <c r="J428" s="1"/>
      <c r="K428" s="1"/>
      <c r="L428" s="1" t="str">
        <f>Annex!C162</f>
        <v xml:space="preserve">NCID </v>
      </c>
      <c r="M428" s="5" t="s">
        <v>1131</v>
      </c>
    </row>
    <row r="429" spans="1:13" ht="13.8" customHeight="1" x14ac:dyDescent="0.3">
      <c r="A429" s="1">
        <f>Annex!A163</f>
        <v>428</v>
      </c>
      <c r="B429" s="1" t="str">
        <f>IF(LEFT(Annex!H163,5)="Local","Local Transmission",Annex!H163)</f>
        <v>Imported</v>
      </c>
      <c r="C429" s="1" t="str">
        <f>Annex!J163</f>
        <v>Male</v>
      </c>
      <c r="D429" s="1">
        <f>Annex!D163</f>
        <v>22</v>
      </c>
      <c r="E429" s="1" t="str">
        <f>Annex!K163</f>
        <v>Singaporean</v>
      </c>
      <c r="F429" s="1" t="str">
        <f>Annex!L163</f>
        <v xml:space="preserve">Case 428 is a Imported case, 22 years old male Singapore Citizen  and has been to UK . He is currently admitted at NCID . </v>
      </c>
      <c r="G429" s="2">
        <v>43911</v>
      </c>
      <c r="H429" s="1"/>
      <c r="I429" s="1"/>
      <c r="J429" s="1"/>
      <c r="K429" s="1"/>
      <c r="L429" s="1" t="str">
        <f>Annex!C163</f>
        <v xml:space="preserve">NCID </v>
      </c>
      <c r="M429" s="5" t="s">
        <v>1131</v>
      </c>
    </row>
    <row r="430" spans="1:13" ht="13.8" customHeight="1" x14ac:dyDescent="0.3">
      <c r="A430" s="1">
        <f>Annex!A164</f>
        <v>429</v>
      </c>
      <c r="B430" s="1" t="str">
        <f>IF(LEFT(Annex!H164,5)="Local","Local Transmission",Annex!H164)</f>
        <v>Imported</v>
      </c>
      <c r="C430" s="1" t="str">
        <f>Annex!J164</f>
        <v>Female</v>
      </c>
      <c r="D430" s="1">
        <f>Annex!D164</f>
        <v>31</v>
      </c>
      <c r="E430" s="1" t="str">
        <f>Annex!K164</f>
        <v>Singaporean</v>
      </c>
      <c r="F430" s="1" t="str">
        <f>Annex!L164</f>
        <v xml:space="preserve">Case 429 is a Imported case, 31 years old female Singapore Citizen  and has been to Germany, UK . She is currently admitted at NCID . </v>
      </c>
      <c r="G430" s="2">
        <v>43911</v>
      </c>
      <c r="H430" s="1"/>
      <c r="I430" s="1"/>
      <c r="J430" s="1"/>
      <c r="K430" s="1"/>
      <c r="L430" s="1" t="str">
        <f>Annex!C164</f>
        <v xml:space="preserve">NCID </v>
      </c>
      <c r="M430" s="5" t="s">
        <v>1131</v>
      </c>
    </row>
    <row r="431" spans="1:13" ht="13.8" customHeight="1" x14ac:dyDescent="0.3">
      <c r="A431" s="1">
        <f>Annex!A165</f>
        <v>430</v>
      </c>
      <c r="B431" s="1" t="str">
        <f>IF(LEFT(Annex!H165,5)="Local","Local Transmission",Annex!H165)</f>
        <v>Local Transmission</v>
      </c>
      <c r="C431" s="1" t="str">
        <f>Annex!J165</f>
        <v>Female</v>
      </c>
      <c r="D431" s="1">
        <f>Annex!D165</f>
        <v>59</v>
      </c>
      <c r="E431" s="1" t="str">
        <f>Annex!K165</f>
        <v>Singaporean</v>
      </c>
      <c r="F431" s="1" t="str">
        <f>Annex!L165</f>
        <v>Case 430 is a Local linked  case, 59 years old female Singapore Citizen  and has not been overseas. She is currently admitted at NCID . Family member of Case 350</v>
      </c>
      <c r="G431" s="2">
        <v>43911</v>
      </c>
      <c r="H431" s="74">
        <v>43926</v>
      </c>
      <c r="I431" s="1"/>
      <c r="J431" s="1"/>
      <c r="K431" s="1"/>
      <c r="L431" s="1" t="str">
        <f>Annex!C165</f>
        <v xml:space="preserve">NCID </v>
      </c>
      <c r="M431" s="5" t="s">
        <v>1131</v>
      </c>
    </row>
    <row r="432" spans="1:13" ht="13.8" customHeight="1" x14ac:dyDescent="0.3">
      <c r="A432" s="1">
        <f>Annex!A166</f>
        <v>431</v>
      </c>
      <c r="B432" s="1" t="str">
        <f>IF(LEFT(Annex!H166,5)="Local","Local Transmission",Annex!H166)</f>
        <v>Imported</v>
      </c>
      <c r="C432" s="1" t="str">
        <f>Annex!J166</f>
        <v>Male</v>
      </c>
      <c r="D432" s="1">
        <f>Annex!D166</f>
        <v>58</v>
      </c>
      <c r="E432" s="1" t="str">
        <f>Annex!K166</f>
        <v>Singaporean</v>
      </c>
      <c r="F432" s="1" t="str">
        <f>Annex!L166</f>
        <v xml:space="preserve">Case 431 is a Imported case, 58 years old male Singapore Citizen  and has been to UK . He is currently admitted at NCID . </v>
      </c>
      <c r="G432" s="2">
        <v>43911</v>
      </c>
      <c r="H432" s="69">
        <v>43925</v>
      </c>
      <c r="I432" s="1"/>
      <c r="J432" s="1"/>
      <c r="K432" s="1"/>
      <c r="L432" s="1" t="str">
        <f>Annex!C166</f>
        <v xml:space="preserve">NCID </v>
      </c>
      <c r="M432" s="5" t="s">
        <v>1131</v>
      </c>
    </row>
    <row r="433" spans="1:13" ht="13.8" customHeight="1" x14ac:dyDescent="0.3">
      <c r="A433" s="1">
        <f>Annex!A167</f>
        <v>432</v>
      </c>
      <c r="B433" s="1" t="str">
        <f>IF(LEFT(Annex!H167,5)="Local","Local Transmission",Annex!H167)</f>
        <v xml:space="preserve">Imported </v>
      </c>
      <c r="C433" s="1" t="str">
        <f>Annex!J167</f>
        <v>Female</v>
      </c>
      <c r="D433" s="1">
        <f>Annex!D167</f>
        <v>53</v>
      </c>
      <c r="E433" s="1" t="str">
        <f>Annex!K167</f>
        <v>UK</v>
      </c>
      <c r="F433" s="1" t="str">
        <f>Annex!L167</f>
        <v xml:space="preserve">Case 432 is a Imported  case, 53 years old female UK (Long Term Pass holder)  and has been to Indonesia . She is currently admitted at NCID . </v>
      </c>
      <c r="G433" s="2">
        <v>43911</v>
      </c>
      <c r="H433" s="1"/>
      <c r="I433" s="1"/>
      <c r="J433" s="1"/>
      <c r="K433" s="1"/>
      <c r="L433" s="1" t="str">
        <f>Annex!C167</f>
        <v xml:space="preserve">NCID </v>
      </c>
      <c r="M433" s="5" t="s">
        <v>1131</v>
      </c>
    </row>
    <row r="434" spans="1:13" ht="13.8" customHeight="1" x14ac:dyDescent="0.3">
      <c r="A434" s="1">
        <f>Annex!A168</f>
        <v>433</v>
      </c>
      <c r="B434" s="1" t="str">
        <f>IF(LEFT(Annex!H168,5)="Local","Local Transmission",Annex!H168)</f>
        <v>Imported</v>
      </c>
      <c r="C434" s="1" t="str">
        <f>Annex!J168</f>
        <v>Male</v>
      </c>
      <c r="D434" s="1">
        <f>Annex!D168</f>
        <v>24</v>
      </c>
      <c r="E434" s="1" t="str">
        <f>Annex!K168</f>
        <v>Singaporean</v>
      </c>
      <c r="F434" s="1" t="str">
        <f>Annex!L168</f>
        <v xml:space="preserve">Case 433 is a Imported case, 24 years old male Singapore Citizen  and has been to Canada . He is currently admitted at KTPH . </v>
      </c>
      <c r="G434" s="2">
        <v>43912</v>
      </c>
      <c r="H434" s="1"/>
      <c r="I434" s="1"/>
      <c r="J434" s="1"/>
      <c r="K434" s="1"/>
      <c r="L434" s="1" t="str">
        <f>Annex!C168</f>
        <v xml:space="preserve">KTPH </v>
      </c>
      <c r="M434" s="5" t="s">
        <v>1134</v>
      </c>
    </row>
    <row r="435" spans="1:13" ht="13.8" customHeight="1" x14ac:dyDescent="0.3">
      <c r="A435" s="1">
        <f>Annex!A169</f>
        <v>434</v>
      </c>
      <c r="B435" s="1" t="str">
        <f>IF(LEFT(Annex!H169,5)="Local","Local Transmission",Annex!H169)</f>
        <v>Local Transmission</v>
      </c>
      <c r="C435" s="1" t="str">
        <f>Annex!J169</f>
        <v>Male</v>
      </c>
      <c r="D435" s="1">
        <f>Annex!D169</f>
        <v>36</v>
      </c>
      <c r="E435" s="1" t="str">
        <f>Annex!K169</f>
        <v>Singaporean</v>
      </c>
      <c r="F435" s="1" t="str">
        <f>Annex!L169</f>
        <v xml:space="preserve">Case 434 is a Local unlinked case, 36 years old male Singapore Citizen  and has been to Malaysia . He is currently admitted at NCID . </v>
      </c>
      <c r="G435" s="2">
        <v>43912</v>
      </c>
      <c r="H435" s="43">
        <v>43919</v>
      </c>
      <c r="I435" s="1"/>
      <c r="J435" s="1"/>
      <c r="K435" s="1"/>
      <c r="L435" s="1" t="str">
        <f>Annex!C169</f>
        <v xml:space="preserve">NCID </v>
      </c>
      <c r="M435" s="5" t="s">
        <v>1134</v>
      </c>
    </row>
    <row r="436" spans="1:13" ht="13.8" customHeight="1" x14ac:dyDescent="0.3">
      <c r="A436" s="1">
        <f>Annex!A170</f>
        <v>435</v>
      </c>
      <c r="B436" s="1" t="str">
        <f>IF(LEFT(Annex!H170,5)="Local","Local Transmission",Annex!H170)</f>
        <v>Imported</v>
      </c>
      <c r="C436" s="1" t="str">
        <f>Annex!J170</f>
        <v>Female</v>
      </c>
      <c r="D436" s="1">
        <f>Annex!D170</f>
        <v>30</v>
      </c>
      <c r="E436" s="1" t="str">
        <f>Annex!K170</f>
        <v>Singaporean</v>
      </c>
      <c r="F436" s="1" t="str">
        <f>Annex!L170</f>
        <v xml:space="preserve">Case 435 is a Imported case, 30 years old female Singapore Citizen  and has been to Malaysia . She is currently admitted at NCID . </v>
      </c>
      <c r="G436" s="2">
        <v>43912</v>
      </c>
      <c r="H436" s="19">
        <v>43915</v>
      </c>
      <c r="I436" s="1"/>
      <c r="J436" s="1"/>
      <c r="K436" s="1"/>
      <c r="L436" s="1" t="str">
        <f>Annex!C170</f>
        <v xml:space="preserve">NCID </v>
      </c>
      <c r="M436" s="5" t="s">
        <v>1134</v>
      </c>
    </row>
    <row r="437" spans="1:13" ht="13.8" customHeight="1" x14ac:dyDescent="0.3">
      <c r="A437" s="1">
        <f>Annex!A171</f>
        <v>436</v>
      </c>
      <c r="B437" s="1" t="str">
        <f>IF(LEFT(Annex!H171,5)="Local","Local Transmission",Annex!H171)</f>
        <v>Imported</v>
      </c>
      <c r="C437" s="1" t="str">
        <f>Annex!J171</f>
        <v>Male</v>
      </c>
      <c r="D437" s="1">
        <f>Annex!D171</f>
        <v>46</v>
      </c>
      <c r="E437" s="1" t="str">
        <f>Annex!K171</f>
        <v>Singaporean</v>
      </c>
      <c r="F437" s="1" t="str">
        <f>Annex!L171</f>
        <v xml:space="preserve">Case 436 is a Imported case, 46 years old male Singapore Citizen  and has been to Philippines . He is currently admitted at NCID . </v>
      </c>
      <c r="G437" s="2">
        <v>43912</v>
      </c>
      <c r="H437" s="1"/>
      <c r="I437" s="1"/>
      <c r="J437" s="1"/>
      <c r="K437" s="1"/>
      <c r="L437" s="1" t="str">
        <f>Annex!C171</f>
        <v xml:space="preserve">NCID </v>
      </c>
      <c r="M437" s="5" t="s">
        <v>1134</v>
      </c>
    </row>
    <row r="438" spans="1:13" ht="13.8" customHeight="1" x14ac:dyDescent="0.3">
      <c r="A438" s="1">
        <f>Annex!A172</f>
        <v>437</v>
      </c>
      <c r="B438" s="1" t="str">
        <f>IF(LEFT(Annex!H172,5)="Local","Local Transmission",Annex!H172)</f>
        <v>Imported</v>
      </c>
      <c r="C438" s="1" t="str">
        <f>Annex!J172</f>
        <v>Male</v>
      </c>
      <c r="D438" s="1">
        <f>Annex!D172</f>
        <v>33</v>
      </c>
      <c r="E438" s="1" t="str">
        <f>Annex!K172</f>
        <v>UK</v>
      </c>
      <c r="F438" s="1" t="str">
        <f>Annex!L172</f>
        <v xml:space="preserve">Case 437 is a Imported case, 33 years old male UK (Singapore Work Pass holder)  and has been to Demark, Switzerland, France . He is currently admitted at SGH . </v>
      </c>
      <c r="G438" s="2">
        <v>43912</v>
      </c>
      <c r="H438" s="68">
        <v>43924</v>
      </c>
      <c r="I438" s="1"/>
      <c r="J438" s="1"/>
      <c r="K438" s="1"/>
      <c r="L438" s="1" t="str">
        <f>Annex!C172</f>
        <v xml:space="preserve">SGH </v>
      </c>
      <c r="M438" s="5" t="s">
        <v>1134</v>
      </c>
    </row>
    <row r="439" spans="1:13" ht="13.8" customHeight="1" x14ac:dyDescent="0.3">
      <c r="A439" s="1">
        <f>Annex!A173</f>
        <v>438</v>
      </c>
      <c r="B439" s="1" t="str">
        <f>IF(LEFT(Annex!H173,5)="Local","Local Transmission",Annex!H173)</f>
        <v>Imported</v>
      </c>
      <c r="C439" s="1" t="str">
        <f>Annex!J173</f>
        <v>Female</v>
      </c>
      <c r="D439" s="1">
        <f>Annex!D173</f>
        <v>55</v>
      </c>
      <c r="E439" s="1" t="str">
        <f>Annex!K173</f>
        <v xml:space="preserve">US </v>
      </c>
      <c r="F439" s="1" t="str">
        <f>Annex!L173</f>
        <v xml:space="preserve">Case 438 is a Imported case, 55 years old female US  and has been to US . She is currently admitted at SGH . </v>
      </c>
      <c r="G439" s="2">
        <v>43912</v>
      </c>
      <c r="H439" s="1"/>
      <c r="I439" s="1"/>
      <c r="J439" s="1"/>
      <c r="K439" s="1"/>
      <c r="L439" s="1" t="str">
        <f>Annex!C173</f>
        <v xml:space="preserve">SGH </v>
      </c>
      <c r="M439" s="5" t="s">
        <v>1134</v>
      </c>
    </row>
    <row r="440" spans="1:13" ht="13.8" customHeight="1" x14ac:dyDescent="0.3">
      <c r="A440" s="1">
        <f>Annex!A174</f>
        <v>439</v>
      </c>
      <c r="B440" s="1" t="str">
        <f>IF(LEFT(Annex!H174,5)="Local","Local Transmission",Annex!H174)</f>
        <v>Imported</v>
      </c>
      <c r="C440" s="1" t="str">
        <f>Annex!J174</f>
        <v>Female</v>
      </c>
      <c r="D440" s="1">
        <f>Annex!D174</f>
        <v>55</v>
      </c>
      <c r="E440" s="1" t="str">
        <f>Annex!K174</f>
        <v>Denmark</v>
      </c>
      <c r="F440" s="1" t="str">
        <f>Annex!L174</f>
        <v xml:space="preserve">Case 439 is a Imported case, 55 years old female Denmark (Long Term Pass holder)  and has been to Denmark . She is currently admitted at NCID . </v>
      </c>
      <c r="G440" s="2">
        <v>43912</v>
      </c>
      <c r="H440" s="1"/>
      <c r="I440" s="1"/>
      <c r="J440" s="1"/>
      <c r="K440" s="1"/>
      <c r="L440" s="1" t="str">
        <f>Annex!C174</f>
        <v xml:space="preserve">NCID </v>
      </c>
      <c r="M440" s="5" t="s">
        <v>1134</v>
      </c>
    </row>
    <row r="441" spans="1:13" ht="13.8" customHeight="1" x14ac:dyDescent="0.3">
      <c r="A441" s="1">
        <f>Annex!A175</f>
        <v>440</v>
      </c>
      <c r="B441" s="1" t="str">
        <f>IF(LEFT(Annex!H175,5)="Local","Local Transmission",Annex!H175)</f>
        <v>Imported</v>
      </c>
      <c r="C441" s="1" t="str">
        <f>Annex!J175</f>
        <v>Male</v>
      </c>
      <c r="D441" s="1">
        <f>Annex!D175</f>
        <v>55</v>
      </c>
      <c r="E441" s="1" t="str">
        <f>Annex!K175</f>
        <v>Singaporean</v>
      </c>
      <c r="F441" s="1" t="str">
        <f>Annex!L175</f>
        <v xml:space="preserve">Case 440 is a Imported case, 55 years old male Singapore Citizen  and has been to UK . He is currently admitted at NCID . </v>
      </c>
      <c r="G441" s="2">
        <v>43912</v>
      </c>
      <c r="H441" s="1"/>
      <c r="I441" s="1"/>
      <c r="J441" s="1"/>
      <c r="K441" s="1"/>
      <c r="L441" s="1" t="str">
        <f>Annex!C175</f>
        <v xml:space="preserve">NCID </v>
      </c>
      <c r="M441" s="5" t="s">
        <v>1134</v>
      </c>
    </row>
    <row r="442" spans="1:13" ht="13.8" customHeight="1" x14ac:dyDescent="0.3">
      <c r="A442" s="1">
        <f>Annex!A176</f>
        <v>441</v>
      </c>
      <c r="B442" s="1" t="str">
        <f>IF(LEFT(Annex!H176,5)="Local","Local Transmission",Annex!H176)</f>
        <v xml:space="preserve">Imported </v>
      </c>
      <c r="C442" s="1" t="str">
        <f>Annex!J176</f>
        <v>Female</v>
      </c>
      <c r="D442" s="1">
        <f>Annex!D176</f>
        <v>57</v>
      </c>
      <c r="E442" s="1" t="str">
        <f>Annex!K176</f>
        <v>Singaporean</v>
      </c>
      <c r="F442" s="1" t="str">
        <f>Annex!L176</f>
        <v>Case 441 is a Imported  case, 57 years old female Singapore Citizen  and has been to US, Mexico . She is currently admitted at NCID . Family member of Case 308; Contact of Case 277</v>
      </c>
      <c r="G442" s="2">
        <v>43912</v>
      </c>
      <c r="H442" s="1"/>
      <c r="I442" s="1"/>
      <c r="J442" s="1"/>
      <c r="K442" s="1"/>
      <c r="L442" s="1" t="str">
        <f>Annex!C176</f>
        <v xml:space="preserve">NCID </v>
      </c>
      <c r="M442" s="5" t="s">
        <v>1134</v>
      </c>
    </row>
    <row r="443" spans="1:13" ht="13.8" customHeight="1" x14ac:dyDescent="0.3">
      <c r="A443" s="1">
        <f>Annex!A177</f>
        <v>442</v>
      </c>
      <c r="B443" s="1" t="str">
        <f>IF(LEFT(Annex!H177,5)="Local","Local Transmission",Annex!H177)</f>
        <v>Local Transmission</v>
      </c>
      <c r="C443" s="1" t="str">
        <f>Annex!J177</f>
        <v>Female</v>
      </c>
      <c r="D443" s="1">
        <f>Annex!D177</f>
        <v>48</v>
      </c>
      <c r="E443" s="1" t="str">
        <f>Annex!K177</f>
        <v>Singaporean</v>
      </c>
      <c r="F443" s="1" t="str">
        <f>Annex!L177</f>
        <v>Case 442 is a Local linked  case, 48 years old female Singapore Citizen  and has not been overseas. She is currently admitted at NCID . Family member of Case 398</v>
      </c>
      <c r="G443" s="2">
        <v>43912</v>
      </c>
      <c r="H443" s="1"/>
      <c r="I443" s="1"/>
      <c r="J443" s="1"/>
      <c r="K443" s="1"/>
      <c r="L443" s="1" t="str">
        <f>Annex!C177</f>
        <v xml:space="preserve">NCID </v>
      </c>
      <c r="M443" s="5" t="s">
        <v>1134</v>
      </c>
    </row>
    <row r="444" spans="1:13" ht="13.8" customHeight="1" x14ac:dyDescent="0.3">
      <c r="A444" s="1">
        <f>Annex!A178</f>
        <v>443</v>
      </c>
      <c r="B444" s="1" t="str">
        <f>IF(LEFT(Annex!H178,5)="Local","Local Transmission",Annex!H178)</f>
        <v>Local Transmission</v>
      </c>
      <c r="C444" s="1" t="str">
        <f>Annex!J178</f>
        <v>Male</v>
      </c>
      <c r="D444" s="1">
        <f>Annex!D178</f>
        <v>29</v>
      </c>
      <c r="E444" s="1" t="str">
        <f>Annex!K178</f>
        <v>Singaporean</v>
      </c>
      <c r="F444" s="1" t="str">
        <f>Annex!L178</f>
        <v>Case 443 is a Local linked  case, 29 years old male Singapore Citizen  and has not been overseas. He is currently admitted at NUH . boulder+ Gym</v>
      </c>
      <c r="G444" s="2">
        <v>43912</v>
      </c>
      <c r="H444" s="74">
        <v>43926</v>
      </c>
      <c r="I444" s="1"/>
      <c r="J444" s="1"/>
      <c r="K444" s="1"/>
      <c r="L444" s="1" t="str">
        <f>Annex!C178</f>
        <v xml:space="preserve">NUH </v>
      </c>
      <c r="M444" s="5" t="s">
        <v>1134</v>
      </c>
    </row>
    <row r="445" spans="1:13" ht="13.8" customHeight="1" x14ac:dyDescent="0.3">
      <c r="A445" s="1">
        <f>Annex!A179</f>
        <v>444</v>
      </c>
      <c r="B445" s="1" t="str">
        <f>IF(LEFT(Annex!H179,5)="Local","Local Transmission",Annex!H179)</f>
        <v>Imported</v>
      </c>
      <c r="C445" s="1" t="str">
        <f>Annex!J179</f>
        <v>Male</v>
      </c>
      <c r="D445" s="1">
        <f>Annex!D179</f>
        <v>44</v>
      </c>
      <c r="E445" s="1" t="str">
        <f>Annex!K179</f>
        <v>Singaporean</v>
      </c>
      <c r="F445" s="1" t="str">
        <f>Annex!L179</f>
        <v xml:space="preserve">Case 444 is a Imported case, 44 years old male Singapore Citizen  and has not been overseas. He is currently admitted at NCID . </v>
      </c>
      <c r="G445" s="2">
        <v>43912</v>
      </c>
      <c r="H445" s="1"/>
      <c r="I445" s="1"/>
      <c r="J445" s="1"/>
      <c r="K445" s="1"/>
      <c r="L445" s="1" t="str">
        <f>Annex!C179</f>
        <v xml:space="preserve">NCID </v>
      </c>
      <c r="M445" s="5" t="s">
        <v>1134</v>
      </c>
    </row>
    <row r="446" spans="1:13" ht="13.8" customHeight="1" x14ac:dyDescent="0.3">
      <c r="A446" s="1">
        <f>Annex!A180</f>
        <v>445</v>
      </c>
      <c r="B446" s="1" t="str">
        <f>IF(LEFT(Annex!H180,5)="Local","Local Transmission",Annex!H180)</f>
        <v>Imported</v>
      </c>
      <c r="C446" s="1" t="str">
        <f>Annex!J180</f>
        <v>Male</v>
      </c>
      <c r="D446" s="1">
        <f>Annex!D180</f>
        <v>21</v>
      </c>
      <c r="E446" s="1" t="str">
        <f>Annex!K180</f>
        <v>Singaporean</v>
      </c>
      <c r="F446" s="1" t="str">
        <f>Annex!L180</f>
        <v xml:space="preserve">Case 445 is a Imported case, 21 years old male Singapore Citizen  and has been to UK . He is currently admitted at NCID . </v>
      </c>
      <c r="G446" s="2">
        <v>43912</v>
      </c>
      <c r="H446" s="68">
        <v>43924</v>
      </c>
      <c r="I446" s="1"/>
      <c r="J446" s="1"/>
      <c r="K446" s="1"/>
      <c r="L446" s="1" t="str">
        <f>Annex!C180</f>
        <v xml:space="preserve">NCID </v>
      </c>
      <c r="M446" s="5" t="s">
        <v>1134</v>
      </c>
    </row>
    <row r="447" spans="1:13" ht="13.8" customHeight="1" x14ac:dyDescent="0.3">
      <c r="A447" s="1">
        <f>Annex!A181</f>
        <v>446</v>
      </c>
      <c r="B447" s="1" t="str">
        <f>IF(LEFT(Annex!H181,5)="Local","Local Transmission",Annex!H181)</f>
        <v xml:space="preserve">Imported </v>
      </c>
      <c r="C447" s="1" t="str">
        <f>Annex!J181</f>
        <v>Female</v>
      </c>
      <c r="D447" s="1">
        <f>Annex!D181</f>
        <v>26</v>
      </c>
      <c r="E447" s="1" t="str">
        <f>Annex!K181</f>
        <v>Indonesia</v>
      </c>
      <c r="F447" s="1" t="str">
        <f>Annex!L181</f>
        <v>Case 446 is a Imported  case, 26 years old female Indonesia (Long Term Pass holder)  and has been to UK . She is currently admitted at NCID . Contact of Case 378</v>
      </c>
      <c r="G447" s="2">
        <v>43912</v>
      </c>
      <c r="H447" s="1"/>
      <c r="I447" s="1"/>
      <c r="J447" s="1"/>
      <c r="K447" s="1"/>
      <c r="L447" s="1" t="str">
        <f>Annex!C181</f>
        <v xml:space="preserve">NCID </v>
      </c>
      <c r="M447" s="5" t="s">
        <v>1134</v>
      </c>
    </row>
    <row r="448" spans="1:13" ht="13.8" customHeight="1" x14ac:dyDescent="0.3">
      <c r="A448" s="1">
        <f>Annex!A182</f>
        <v>447</v>
      </c>
      <c r="B448" s="1" t="str">
        <f>IF(LEFT(Annex!H182,5)="Local","Local Transmission",Annex!H182)</f>
        <v>Imported</v>
      </c>
      <c r="C448" s="1" t="str">
        <f>Annex!J182</f>
        <v>Female</v>
      </c>
      <c r="D448" s="1">
        <f>Annex!D182</f>
        <v>32</v>
      </c>
      <c r="E448" s="1" t="str">
        <f>Annex!K182</f>
        <v>Singaporean</v>
      </c>
      <c r="F448" s="1" t="str">
        <f>Annex!L182</f>
        <v xml:space="preserve">Case 447 is a Imported case, 32 years old female Singapore Citizen  and has been to UK . She is currently admitted at NCID . </v>
      </c>
      <c r="G448" s="2">
        <v>43912</v>
      </c>
      <c r="H448" s="1"/>
      <c r="I448" s="1"/>
      <c r="J448" s="1"/>
      <c r="K448" s="1"/>
      <c r="L448" s="1" t="str">
        <f>Annex!C182</f>
        <v xml:space="preserve">NCID </v>
      </c>
      <c r="M448" s="5" t="s">
        <v>1134</v>
      </c>
    </row>
    <row r="449" spans="1:13" ht="13.8" customHeight="1" x14ac:dyDescent="0.3">
      <c r="A449" s="1">
        <f>Annex!A183</f>
        <v>448</v>
      </c>
      <c r="B449" s="1" t="str">
        <f>IF(LEFT(Annex!H183,5)="Local","Local Transmission",Annex!H183)</f>
        <v>Imported</v>
      </c>
      <c r="C449" s="1" t="str">
        <f>Annex!J183</f>
        <v>Male</v>
      </c>
      <c r="D449" s="1">
        <f>Annex!D183</f>
        <v>21</v>
      </c>
      <c r="E449" s="1" t="str">
        <f>Annex!K183</f>
        <v>Singaporean</v>
      </c>
      <c r="F449" s="1" t="str">
        <f>Annex!L183</f>
        <v xml:space="preserve">Case 448 is a Imported case, 21 years old male Singapore Citizen  and has been to UK . He is currently admitted at NCID . </v>
      </c>
      <c r="G449" s="2">
        <v>43912</v>
      </c>
      <c r="H449" s="69">
        <v>43925</v>
      </c>
      <c r="I449" s="1"/>
      <c r="J449" s="1"/>
      <c r="K449" s="1"/>
      <c r="L449" s="1" t="str">
        <f>Annex!C183</f>
        <v xml:space="preserve">NCID </v>
      </c>
      <c r="M449" s="5" t="s">
        <v>1134</v>
      </c>
    </row>
    <row r="450" spans="1:13" ht="13.8" customHeight="1" x14ac:dyDescent="0.3">
      <c r="A450" s="1">
        <f>Annex!A184</f>
        <v>449</v>
      </c>
      <c r="B450" s="1" t="str">
        <f>IF(LEFT(Annex!H184,5)="Local","Local Transmission",Annex!H184)</f>
        <v>Imported</v>
      </c>
      <c r="C450" s="1" t="str">
        <f>Annex!J184</f>
        <v>Male</v>
      </c>
      <c r="D450" s="1">
        <f>Annex!D184</f>
        <v>21</v>
      </c>
      <c r="E450" s="1" t="str">
        <f>Annex!K184</f>
        <v>Singaporean</v>
      </c>
      <c r="F450" s="1" t="str">
        <f>Annex!L184</f>
        <v xml:space="preserve">Case 449 is a Imported case, 21 years old male Singapore Citizen  and has been to UK . He is currently admitted at NCID . </v>
      </c>
      <c r="G450" s="2">
        <v>43912</v>
      </c>
      <c r="H450" s="1"/>
      <c r="I450" s="1"/>
      <c r="J450" s="1"/>
      <c r="K450" s="1"/>
      <c r="L450" s="1" t="str">
        <f>Annex!C184</f>
        <v xml:space="preserve">NCID </v>
      </c>
      <c r="M450" s="5" t="s">
        <v>1134</v>
      </c>
    </row>
    <row r="451" spans="1:13" ht="13.8" customHeight="1" x14ac:dyDescent="0.3">
      <c r="A451" s="1">
        <f>Annex!A185</f>
        <v>450</v>
      </c>
      <c r="B451" s="1" t="str">
        <f>IF(LEFT(Annex!H185,5)="Local","Local Transmission",Annex!H185)</f>
        <v>Local Transmission</v>
      </c>
      <c r="C451" s="1" t="str">
        <f>Annex!J185</f>
        <v>Male</v>
      </c>
      <c r="D451" s="1">
        <f>Annex!D185</f>
        <v>44</v>
      </c>
      <c r="E451" s="1" t="str">
        <f>Annex!K185</f>
        <v>Singaporean</v>
      </c>
      <c r="F451" s="1" t="str">
        <f>Annex!L185</f>
        <v xml:space="preserve">Case 450 is a Local unlinked case, 44 years old male Singapore Citizen  and has not been overseas. He is currently admitted at NCID . </v>
      </c>
      <c r="G451" s="2">
        <v>43912</v>
      </c>
      <c r="H451" s="19">
        <v>43915</v>
      </c>
      <c r="I451" s="1"/>
      <c r="J451" s="1"/>
      <c r="K451" s="1"/>
      <c r="L451" s="1" t="str">
        <f>Annex!C185</f>
        <v xml:space="preserve">NCID </v>
      </c>
      <c r="M451" s="5" t="s">
        <v>1134</v>
      </c>
    </row>
    <row r="452" spans="1:13" ht="13.8" customHeight="1" x14ac:dyDescent="0.3">
      <c r="A452" s="1">
        <f>Annex!A186</f>
        <v>451</v>
      </c>
      <c r="B452" s="1" t="str">
        <f>IF(LEFT(Annex!H186,5)="Local","Local Transmission",Annex!H186)</f>
        <v>Local Transmission</v>
      </c>
      <c r="C452" s="1" t="str">
        <f>Annex!J186</f>
        <v>Male</v>
      </c>
      <c r="D452" s="1">
        <f>Annex!D186</f>
        <v>62</v>
      </c>
      <c r="E452" s="1" t="str">
        <f>Annex!K186</f>
        <v>Singaporean</v>
      </c>
      <c r="F452" s="1" t="str">
        <f>Annex!L186</f>
        <v>Case 451 is a Local linked  case, 62 years old male Singapore Citizen  and has not been overseas. He is currently admitted at NCID . Contact of Case 404</v>
      </c>
      <c r="G452" s="2">
        <v>43912</v>
      </c>
      <c r="H452" s="1"/>
      <c r="I452" s="1"/>
      <c r="J452" s="1"/>
      <c r="K452" s="1"/>
      <c r="L452" s="1" t="str">
        <f>Annex!C186</f>
        <v xml:space="preserve">NCID </v>
      </c>
      <c r="M452" s="5" t="s">
        <v>1134</v>
      </c>
    </row>
    <row r="453" spans="1:13" ht="13.8" customHeight="1" x14ac:dyDescent="0.3">
      <c r="A453" s="1">
        <f>Annex!A187</f>
        <v>452</v>
      </c>
      <c r="B453" s="1" t="str">
        <f>IF(LEFT(Annex!H187,5)="Local","Local Transmission",Annex!H187)</f>
        <v>Imported</v>
      </c>
      <c r="C453" s="1" t="str">
        <f>Annex!J187</f>
        <v>Female</v>
      </c>
      <c r="D453" s="1">
        <f>Annex!D187</f>
        <v>22</v>
      </c>
      <c r="E453" s="1" t="str">
        <f>Annex!K187</f>
        <v>Singaporean</v>
      </c>
      <c r="F453" s="1" t="str">
        <f>Annex!L187</f>
        <v xml:space="preserve">Case 452 is a Imported case, 22 years old female Singapore Permanent Resident  and has been to UK . She is currently admitted at NCID . </v>
      </c>
      <c r="G453" s="2">
        <v>43912</v>
      </c>
      <c r="H453" s="1"/>
      <c r="I453" s="1"/>
      <c r="J453" s="1"/>
      <c r="K453" s="1"/>
      <c r="L453" s="1" t="str">
        <f>Annex!C187</f>
        <v xml:space="preserve">NCID </v>
      </c>
      <c r="M453" s="5" t="s">
        <v>1134</v>
      </c>
    </row>
    <row r="454" spans="1:13" ht="13.8" customHeight="1" x14ac:dyDescent="0.3">
      <c r="A454" s="1">
        <f>Annex!A188</f>
        <v>453</v>
      </c>
      <c r="B454" s="1" t="str">
        <f>IF(LEFT(Annex!H188,5)="Local","Local Transmission",Annex!H188)</f>
        <v>Imported</v>
      </c>
      <c r="C454" s="1" t="str">
        <f>Annex!J188</f>
        <v>Male</v>
      </c>
      <c r="D454" s="1">
        <f>Annex!D188</f>
        <v>41</v>
      </c>
      <c r="E454" s="1" t="str">
        <f>Annex!K188</f>
        <v>India</v>
      </c>
      <c r="F454" s="1" t="str">
        <f>Annex!L188</f>
        <v xml:space="preserve">Case 453 is a Imported case, 41 years old male India (Long Term Pass holder)  and has been to UK . He is currently admitted at NCID . </v>
      </c>
      <c r="G454" s="2">
        <v>43912</v>
      </c>
      <c r="H454" s="1"/>
      <c r="I454" s="1"/>
      <c r="J454" s="1"/>
      <c r="K454" s="1"/>
      <c r="L454" s="1" t="str">
        <f>Annex!C188</f>
        <v xml:space="preserve">NCID </v>
      </c>
      <c r="M454" s="5" t="s">
        <v>1134</v>
      </c>
    </row>
    <row r="455" spans="1:13" ht="13.8" customHeight="1" x14ac:dyDescent="0.3">
      <c r="A455" s="1">
        <f>Annex!A189</f>
        <v>454</v>
      </c>
      <c r="B455" s="1" t="str">
        <f>IF(LEFT(Annex!H189,5)="Local","Local Transmission",Annex!H189)</f>
        <v>Imported</v>
      </c>
      <c r="C455" s="1" t="str">
        <f>Annex!J189</f>
        <v>Female</v>
      </c>
      <c r="D455" s="1">
        <f>Annex!D189</f>
        <v>47</v>
      </c>
      <c r="E455" s="1" t="str">
        <f>Annex!K189</f>
        <v>Singaporean</v>
      </c>
      <c r="F455" s="1" t="str">
        <f>Annex!L189</f>
        <v xml:space="preserve">Case 454 is a Imported case, 47 years old female Singapore Citizen  and has been to US . She is currently admitted at NCID . </v>
      </c>
      <c r="G455" s="2">
        <v>43912</v>
      </c>
      <c r="H455" s="1"/>
      <c r="I455" s="1"/>
      <c r="J455" s="1"/>
      <c r="K455" s="1"/>
      <c r="L455" s="1" t="str">
        <f>Annex!C189</f>
        <v xml:space="preserve">NCID </v>
      </c>
      <c r="M455" s="5" t="s">
        <v>1134</v>
      </c>
    </row>
    <row r="456" spans="1:13" ht="13.8" customHeight="1" x14ac:dyDescent="0.3">
      <c r="A456" s="1">
        <f>Annex!A190</f>
        <v>455</v>
      </c>
      <c r="B456" s="1" t="str">
        <f>IF(LEFT(Annex!H190,5)="Local","Local Transmission",Annex!H190)</f>
        <v>Imported</v>
      </c>
      <c r="C456" s="1" t="str">
        <f>Annex!J190</f>
        <v>Male</v>
      </c>
      <c r="D456" s="1">
        <f>Annex!D190</f>
        <v>29</v>
      </c>
      <c r="E456" s="1" t="str">
        <f>Annex!K190</f>
        <v>Singaporean</v>
      </c>
      <c r="F456" s="1" t="str">
        <f>Annex!L190</f>
        <v xml:space="preserve">Case 455 is a Imported case, 29 years old male Singapore Citizen  and has been to UK . He is currently admitted at NCID . </v>
      </c>
      <c r="G456" s="2">
        <v>43912</v>
      </c>
      <c r="H456" s="1"/>
      <c r="I456" s="1"/>
      <c r="J456" s="1"/>
      <c r="K456" s="1"/>
      <c r="L456" s="1" t="str">
        <f>Annex!C190</f>
        <v xml:space="preserve">NCID </v>
      </c>
      <c r="M456" s="5" t="s">
        <v>1134</v>
      </c>
    </row>
    <row r="457" spans="1:13" ht="13.8" customHeight="1" x14ac:dyDescent="0.3">
      <c r="A457" s="1">
        <f>Annex!A191</f>
        <v>456</v>
      </c>
      <c r="B457" s="1" t="str">
        <f>IF(LEFT(Annex!H191,5)="Local","Local Transmission",Annex!H191)</f>
        <v>Imported</v>
      </c>
      <c r="C457" s="1" t="str">
        <f>Annex!J191</f>
        <v>Male</v>
      </c>
      <c r="D457" s="1">
        <f>Annex!D191</f>
        <v>24</v>
      </c>
      <c r="E457" s="1" t="str">
        <f>Annex!K191</f>
        <v>Singaporean</v>
      </c>
      <c r="F457" s="1" t="str">
        <f>Annex!L191</f>
        <v xml:space="preserve">Case 456 is a Imported case, 24 years old male Singapore Citizen  and has been to UK . He is currently admitted at CGH . </v>
      </c>
      <c r="G457" s="2">
        <v>43913</v>
      </c>
      <c r="H457" s="1"/>
      <c r="I457" s="1"/>
      <c r="J457" s="1"/>
      <c r="K457" s="1"/>
      <c r="L457" s="1" t="str">
        <f>Annex!C191</f>
        <v xml:space="preserve">CGH </v>
      </c>
      <c r="M457" s="5" t="s">
        <v>1219</v>
      </c>
    </row>
    <row r="458" spans="1:13" ht="13.8" customHeight="1" x14ac:dyDescent="0.3">
      <c r="A458" s="1">
        <f>Annex!A192</f>
        <v>457</v>
      </c>
      <c r="B458" s="1" t="str">
        <f>IF(LEFT(Annex!H192,5)="Local","Local Transmission",Annex!H192)</f>
        <v>Local Transmission</v>
      </c>
      <c r="C458" s="1" t="str">
        <f>Annex!J192</f>
        <v>Male</v>
      </c>
      <c r="D458" s="1">
        <f>Annex!D192</f>
        <v>40</v>
      </c>
      <c r="E458" s="1" t="str">
        <f>Annex!K192</f>
        <v>Myanmar</v>
      </c>
      <c r="F458" s="1" t="str">
        <f>Annex!L192</f>
        <v xml:space="preserve">Case 457 is a Local unlinked case, 40 years old male Myanmar (Singapore Work Pass holder)  and has not been overseas. He is currently admitted at CGH . </v>
      </c>
      <c r="G458" s="2">
        <v>43913</v>
      </c>
      <c r="H458" s="64">
        <v>43923</v>
      </c>
      <c r="I458" s="1"/>
      <c r="J458" s="1"/>
      <c r="K458" s="1"/>
      <c r="L458" s="1" t="str">
        <f>Annex!C192</f>
        <v xml:space="preserve">CGH </v>
      </c>
      <c r="M458" s="5" t="s">
        <v>1219</v>
      </c>
    </row>
    <row r="459" spans="1:13" ht="13.8" customHeight="1" x14ac:dyDescent="0.3">
      <c r="A459" s="1">
        <f>Annex!A193</f>
        <v>458</v>
      </c>
      <c r="B459" s="1" t="str">
        <f>IF(LEFT(Annex!H193,5)="Local","Local Transmission",Annex!H193)</f>
        <v>Imported</v>
      </c>
      <c r="C459" s="1" t="str">
        <f>Annex!J193</f>
        <v>Female</v>
      </c>
      <c r="D459" s="1">
        <f>Annex!D193</f>
        <v>20</v>
      </c>
      <c r="E459" s="1" t="str">
        <f>Annex!K193</f>
        <v>Singaporean</v>
      </c>
      <c r="F459" s="1" t="str">
        <f>Annex!L193</f>
        <v xml:space="preserve">Case 458 is a Imported case, 20 years old female Singapore Citizen  and has been to UK . She is currently admitted at NCID . </v>
      </c>
      <c r="G459" s="2">
        <v>43913</v>
      </c>
      <c r="H459" s="1"/>
      <c r="I459" s="1"/>
      <c r="J459" s="1"/>
      <c r="K459" s="1"/>
      <c r="L459" s="1" t="str">
        <f>Annex!C193</f>
        <v xml:space="preserve">NCID </v>
      </c>
      <c r="M459" s="5" t="s">
        <v>1219</v>
      </c>
    </row>
    <row r="460" spans="1:13" ht="13.8" customHeight="1" x14ac:dyDescent="0.3">
      <c r="A460" s="1">
        <f>Annex!A194</f>
        <v>459</v>
      </c>
      <c r="B460" s="1" t="str">
        <f>IF(LEFT(Annex!H194,5)="Local","Local Transmission",Annex!H194)</f>
        <v>Local Transmission</v>
      </c>
      <c r="C460" s="1" t="str">
        <f>Annex!J194</f>
        <v>Male</v>
      </c>
      <c r="D460" s="1">
        <f>Annex!D194</f>
        <v>67</v>
      </c>
      <c r="E460" s="1" t="str">
        <f>Annex!K194</f>
        <v>Singaporean</v>
      </c>
      <c r="F460" s="1" t="str">
        <f>Annex!L194</f>
        <v xml:space="preserve">Case 459 is a Local unlinked case, 67 years old male Singapore Citizen  and has not been overseas. He is currently admitted at AH . </v>
      </c>
      <c r="G460" s="2">
        <v>43913</v>
      </c>
      <c r="H460" s="1"/>
      <c r="I460" s="1"/>
      <c r="J460" s="1"/>
      <c r="K460" s="1"/>
      <c r="L460" s="1" t="str">
        <f>Annex!C194</f>
        <v xml:space="preserve">AH </v>
      </c>
      <c r="M460" s="5" t="s">
        <v>1219</v>
      </c>
    </row>
    <row r="461" spans="1:13" ht="13.8" customHeight="1" x14ac:dyDescent="0.3">
      <c r="A461" s="1">
        <f>Annex!A195</f>
        <v>460</v>
      </c>
      <c r="B461" s="1" t="str">
        <f>IF(LEFT(Annex!H195,5)="Local","Local Transmission",Annex!H195)</f>
        <v>Imported</v>
      </c>
      <c r="C461" s="1" t="str">
        <f>Annex!J195</f>
        <v>Female</v>
      </c>
      <c r="D461" s="1">
        <f>Annex!D195</f>
        <v>23</v>
      </c>
      <c r="E461" s="1" t="str">
        <f>Annex!K195</f>
        <v xml:space="preserve">New Zealand </v>
      </c>
      <c r="F461" s="1" t="str">
        <f>Annex!L195</f>
        <v xml:space="preserve">Case 460 is a Imported case, 23 years old female New Zealand  and has been to UK . She is currently admitted at NUH . </v>
      </c>
      <c r="G461" s="2">
        <v>43913</v>
      </c>
      <c r="H461" s="1"/>
      <c r="I461" s="1"/>
      <c r="J461" s="1"/>
      <c r="K461" s="1"/>
      <c r="L461" s="1" t="str">
        <f>Annex!C195</f>
        <v xml:space="preserve">NUH </v>
      </c>
      <c r="M461" s="5" t="s">
        <v>1219</v>
      </c>
    </row>
    <row r="462" spans="1:13" ht="13.8" customHeight="1" x14ac:dyDescent="0.3">
      <c r="A462" s="1">
        <f>Annex!A196</f>
        <v>461</v>
      </c>
      <c r="B462" s="1" t="str">
        <f>IF(LEFT(Annex!H196,5)="Local","Local Transmission",Annex!H196)</f>
        <v>Imported</v>
      </c>
      <c r="C462" s="1" t="str">
        <f>Annex!J196</f>
        <v>Female</v>
      </c>
      <c r="D462" s="1">
        <f>Annex!D196</f>
        <v>49</v>
      </c>
      <c r="E462" s="1" t="str">
        <f>Annex!K196</f>
        <v>Singaporean</v>
      </c>
      <c r="F462" s="1" t="str">
        <f>Annex!L196</f>
        <v xml:space="preserve">Case 461 is a Imported case, 49 years old female Singapore Citizen  and has been to Malaysia . She is currently admitted at NUH . </v>
      </c>
      <c r="G462" s="2">
        <v>43913</v>
      </c>
      <c r="H462" s="38">
        <v>43918</v>
      </c>
      <c r="I462" s="1"/>
      <c r="J462" s="1"/>
      <c r="K462" s="1"/>
      <c r="L462" s="1" t="str">
        <f>Annex!C196</f>
        <v xml:space="preserve">NUH </v>
      </c>
      <c r="M462" s="5" t="s">
        <v>1219</v>
      </c>
    </row>
    <row r="463" spans="1:13" ht="13.8" customHeight="1" x14ac:dyDescent="0.3">
      <c r="A463" s="1">
        <f>Annex!A197</f>
        <v>462</v>
      </c>
      <c r="B463" s="1" t="str">
        <f>IF(LEFT(Annex!H197,5)="Local","Local Transmission",Annex!H197)</f>
        <v>Imported</v>
      </c>
      <c r="C463" s="1" t="str">
        <f>Annex!J197</f>
        <v>Female</v>
      </c>
      <c r="D463" s="1">
        <f>Annex!D197</f>
        <v>20</v>
      </c>
      <c r="E463" s="1" t="str">
        <f>Annex!K197</f>
        <v>Singaporean</v>
      </c>
      <c r="F463" s="1" t="str">
        <f>Annex!L197</f>
        <v xml:space="preserve">Case 462 is a Imported case, 20 years old female Singapore Citizen  and has been to UK . She is currently admitted at CGH . </v>
      </c>
      <c r="G463" s="2">
        <v>43913</v>
      </c>
      <c r="H463" s="56">
        <v>43921</v>
      </c>
      <c r="I463" s="1"/>
      <c r="J463" s="1"/>
      <c r="K463" s="1"/>
      <c r="L463" s="1" t="str">
        <f>Annex!C197</f>
        <v xml:space="preserve">CGH </v>
      </c>
      <c r="M463" s="5" t="s">
        <v>1219</v>
      </c>
    </row>
    <row r="464" spans="1:13" ht="13.8" customHeight="1" x14ac:dyDescent="0.3">
      <c r="A464" s="1">
        <f>Annex!A198</f>
        <v>463</v>
      </c>
      <c r="B464" s="1" t="str">
        <f>IF(LEFT(Annex!H198,5)="Local","Local Transmission",Annex!H198)</f>
        <v>Imported</v>
      </c>
      <c r="C464" s="1" t="str">
        <f>Annex!J198</f>
        <v>Male</v>
      </c>
      <c r="D464" s="1">
        <f>Annex!D198</f>
        <v>64</v>
      </c>
      <c r="E464" s="1" t="str">
        <f>Annex!K198</f>
        <v>Singaporean</v>
      </c>
      <c r="F464" s="1" t="str">
        <f>Annex!L198</f>
        <v xml:space="preserve">Case 463 is a Imported case, 64 years old male Singapore Citizen  and has been to Malaysia, Indonesia . He is currently admitted at NTFGH . </v>
      </c>
      <c r="G464" s="2">
        <v>43913</v>
      </c>
      <c r="H464" s="1"/>
      <c r="I464" s="1"/>
      <c r="J464" s="1"/>
      <c r="K464" s="1"/>
      <c r="L464" s="1" t="str">
        <f>Annex!C198</f>
        <v xml:space="preserve">NTFGH </v>
      </c>
      <c r="M464" s="5" t="s">
        <v>1219</v>
      </c>
    </row>
    <row r="465" spans="1:13" ht="13.8" customHeight="1" x14ac:dyDescent="0.3">
      <c r="A465" s="1">
        <f>Annex!A199</f>
        <v>464</v>
      </c>
      <c r="B465" s="1" t="str">
        <f>IF(LEFT(Annex!H199,5)="Local","Local Transmission",Annex!H199)</f>
        <v>Imported</v>
      </c>
      <c r="C465" s="1" t="str">
        <f>Annex!J199</f>
        <v>Male</v>
      </c>
      <c r="D465" s="1">
        <f>Annex!D199</f>
        <v>23</v>
      </c>
      <c r="E465" s="1" t="str">
        <f>Annex!K199</f>
        <v>Singaporean</v>
      </c>
      <c r="F465" s="1" t="str">
        <f>Annex!L199</f>
        <v xml:space="preserve">Case 464 is a Imported case, 23 years old male Singapore Citizen  and has been to UK . He is currently admitted at NTFGH . </v>
      </c>
      <c r="G465" s="2">
        <v>43913</v>
      </c>
      <c r="H465" s="1"/>
      <c r="I465" s="1"/>
      <c r="J465" s="1"/>
      <c r="K465" s="1"/>
      <c r="L465" s="1" t="str">
        <f>Annex!C199</f>
        <v xml:space="preserve">NTFGH </v>
      </c>
      <c r="M465" s="5" t="s">
        <v>1219</v>
      </c>
    </row>
    <row r="466" spans="1:13" ht="13.8" customHeight="1" x14ac:dyDescent="0.3">
      <c r="A466" s="1">
        <f>Annex!A200</f>
        <v>465</v>
      </c>
      <c r="B466" s="1" t="str">
        <f>IF(LEFT(Annex!H200,5)="Local","Local Transmission",Annex!H200)</f>
        <v>Imported</v>
      </c>
      <c r="C466" s="1" t="str">
        <f>Annex!J200</f>
        <v>Male</v>
      </c>
      <c r="D466" s="1">
        <f>Annex!D200</f>
        <v>41</v>
      </c>
      <c r="E466" s="1" t="str">
        <f>Annex!K200</f>
        <v>Singaporean</v>
      </c>
      <c r="F466" s="1" t="str">
        <f>Annex!L200</f>
        <v xml:space="preserve">Case 465 is a Imported case, 41 years old male Singapore Citizen  and has been to UK . He is currently admitted at NCID . </v>
      </c>
      <c r="G466" s="2">
        <v>43913</v>
      </c>
      <c r="H466" s="69">
        <v>43925</v>
      </c>
      <c r="I466" s="1"/>
      <c r="J466" s="1"/>
      <c r="K466" s="1"/>
      <c r="L466" s="1" t="str">
        <f>Annex!C200</f>
        <v xml:space="preserve">NCID </v>
      </c>
      <c r="M466" s="5" t="s">
        <v>1219</v>
      </c>
    </row>
    <row r="467" spans="1:13" ht="13.8" customHeight="1" x14ac:dyDescent="0.3">
      <c r="A467" s="1">
        <f>Annex!A201</f>
        <v>466</v>
      </c>
      <c r="B467" s="1" t="str">
        <f>IF(LEFT(Annex!H201,5)="Local","Local Transmission",Annex!H201)</f>
        <v>Imported</v>
      </c>
      <c r="C467" s="1" t="str">
        <f>Annex!J201</f>
        <v>Male</v>
      </c>
      <c r="D467" s="1">
        <f>Annex!D201</f>
        <v>55</v>
      </c>
      <c r="E467" s="1" t="str">
        <f>Annex!K201</f>
        <v>Singaporean</v>
      </c>
      <c r="F467" s="1" t="str">
        <f>Annex!L201</f>
        <v xml:space="preserve">Case 466 is a Imported case, 55 years old male Singapore Permanent Resident  and has been to Indonesia . He is currently admitted at NCID . </v>
      </c>
      <c r="G467" s="2">
        <v>43913</v>
      </c>
      <c r="H467" s="48">
        <v>43920</v>
      </c>
      <c r="I467" s="1"/>
      <c r="J467" s="1"/>
      <c r="K467" s="1"/>
      <c r="L467" s="1" t="str">
        <f>Annex!C201</f>
        <v xml:space="preserve">NCID </v>
      </c>
      <c r="M467" s="5" t="s">
        <v>1219</v>
      </c>
    </row>
    <row r="468" spans="1:13" ht="13.8" customHeight="1" x14ac:dyDescent="0.3">
      <c r="A468" s="1">
        <f>Annex!A202</f>
        <v>467</v>
      </c>
      <c r="B468" s="1" t="str">
        <f>IF(LEFT(Annex!H202,5)="Local","Local Transmission",Annex!H202)</f>
        <v>Imported</v>
      </c>
      <c r="C468" s="1" t="str">
        <f>Annex!J202</f>
        <v>Female</v>
      </c>
      <c r="D468" s="1">
        <f>Annex!D202</f>
        <v>20</v>
      </c>
      <c r="E468" s="1" t="str">
        <f>Annex!K202</f>
        <v>Singaporean</v>
      </c>
      <c r="F468" s="1" t="str">
        <f>Annex!L202</f>
        <v xml:space="preserve">Case 467 is a Imported case, 20 years old female Singapore Citizen  and has been to UK . She is currently admitted at NCID . </v>
      </c>
      <c r="G468" s="2">
        <v>43913</v>
      </c>
      <c r="H468" s="1"/>
      <c r="I468" s="1"/>
      <c r="J468" s="1"/>
      <c r="K468" s="1"/>
      <c r="L468" s="1" t="str">
        <f>Annex!C202</f>
        <v xml:space="preserve">NCID </v>
      </c>
      <c r="M468" s="5" t="s">
        <v>1219</v>
      </c>
    </row>
    <row r="469" spans="1:13" ht="13.8" customHeight="1" x14ac:dyDescent="0.3">
      <c r="A469" s="1">
        <f>Annex!A203</f>
        <v>468</v>
      </c>
      <c r="B469" s="1" t="str">
        <f>IF(LEFT(Annex!H203,5)="Local","Local Transmission",Annex!H203)</f>
        <v>Imported</v>
      </c>
      <c r="C469" s="1" t="str">
        <f>Annex!J203</f>
        <v>Male</v>
      </c>
      <c r="D469" s="1">
        <f>Annex!D203</f>
        <v>28</v>
      </c>
      <c r="E469" s="1" t="str">
        <f>Annex!K203</f>
        <v>Singaporean</v>
      </c>
      <c r="F469" s="1" t="str">
        <f>Annex!L203</f>
        <v xml:space="preserve">Case 468 is a Imported case, 28 years old male Singapore Permanent Resident  and has been to UK . He is currently admitted at NCID . </v>
      </c>
      <c r="G469" s="2">
        <v>43913</v>
      </c>
      <c r="H469" s="69">
        <v>43925</v>
      </c>
      <c r="I469" s="1"/>
      <c r="J469" s="1"/>
      <c r="K469" s="1"/>
      <c r="L469" s="1" t="str">
        <f>Annex!C203</f>
        <v xml:space="preserve">NCID </v>
      </c>
      <c r="M469" s="5" t="s">
        <v>1219</v>
      </c>
    </row>
    <row r="470" spans="1:13" ht="13.8" customHeight="1" x14ac:dyDescent="0.3">
      <c r="A470" s="1">
        <f>Annex!A204</f>
        <v>469</v>
      </c>
      <c r="B470" s="1" t="str">
        <f>IF(LEFT(Annex!H204,5)="Local","Local Transmission",Annex!H204)</f>
        <v>Imported</v>
      </c>
      <c r="C470" s="1" t="str">
        <f>Annex!J204</f>
        <v>Male</v>
      </c>
      <c r="D470" s="1">
        <f>Annex!D204</f>
        <v>43</v>
      </c>
      <c r="E470" s="1" t="str">
        <f>Annex!K204</f>
        <v>Singaporean</v>
      </c>
      <c r="F470" s="1" t="str">
        <f>Annex!L204</f>
        <v xml:space="preserve">Case 469 is a Imported case, 43 years old male Singapore Citizen  and has been to Spain, Malaysia . He is currently admitted at NCID . </v>
      </c>
      <c r="G470" s="2">
        <v>43913</v>
      </c>
      <c r="H470" s="64">
        <v>43923</v>
      </c>
      <c r="I470" s="1"/>
      <c r="J470" s="1"/>
      <c r="K470" s="1"/>
      <c r="L470" s="1" t="str">
        <f>Annex!C204</f>
        <v xml:space="preserve">NCID </v>
      </c>
      <c r="M470" s="5" t="s">
        <v>1219</v>
      </c>
    </row>
    <row r="471" spans="1:13" ht="13.8" customHeight="1" x14ac:dyDescent="0.3">
      <c r="A471" s="1">
        <f>Annex!A205</f>
        <v>470</v>
      </c>
      <c r="B471" s="1" t="str">
        <f>IF(LEFT(Annex!H205,5)="Local","Local Transmission",Annex!H205)</f>
        <v>Imported</v>
      </c>
      <c r="C471" s="1" t="str">
        <f>Annex!J205</f>
        <v>Female</v>
      </c>
      <c r="D471" s="1">
        <f>Annex!D205</f>
        <v>24</v>
      </c>
      <c r="E471" s="1" t="str">
        <f>Annex!K205</f>
        <v>Singaporean</v>
      </c>
      <c r="F471" s="1" t="str">
        <f>Annex!L205</f>
        <v xml:space="preserve">Case 470 is a Imported case, 24 years old female Singapore Permanent Resident  and has been to Indonesia . She is currently admitted at NCID . </v>
      </c>
      <c r="G471" s="2">
        <v>43913</v>
      </c>
      <c r="H471" s="1"/>
      <c r="I471" s="1"/>
      <c r="J471" s="1"/>
      <c r="K471" s="1"/>
      <c r="L471" s="1" t="str">
        <f>Annex!C205</f>
        <v xml:space="preserve">NCID </v>
      </c>
      <c r="M471" s="5" t="s">
        <v>1219</v>
      </c>
    </row>
    <row r="472" spans="1:13" ht="13.8" customHeight="1" x14ac:dyDescent="0.3">
      <c r="A472" s="1">
        <f>Annex!A206</f>
        <v>471</v>
      </c>
      <c r="B472" s="1" t="str">
        <f>IF(LEFT(Annex!H206,5)="Local","Local Transmission",Annex!H206)</f>
        <v>Imported</v>
      </c>
      <c r="C472" s="1" t="str">
        <f>Annex!J206</f>
        <v>Male</v>
      </c>
      <c r="D472" s="1">
        <f>Annex!D206</f>
        <v>22</v>
      </c>
      <c r="E472" s="1" t="str">
        <f>Annex!K206</f>
        <v>Singaporean</v>
      </c>
      <c r="F472" s="1" t="str">
        <f>Annex!L206</f>
        <v xml:space="preserve">Case 471 is a Imported case, 22 years old male Singapore Citizen  and has been to UK . He is currently admitted at NCID . </v>
      </c>
      <c r="G472" s="2">
        <v>43913</v>
      </c>
      <c r="H472" s="1"/>
      <c r="I472" s="1"/>
      <c r="J472" s="1"/>
      <c r="K472" s="1"/>
      <c r="L472" s="1" t="str">
        <f>Annex!C206</f>
        <v xml:space="preserve">NCID </v>
      </c>
      <c r="M472" s="5" t="s">
        <v>1219</v>
      </c>
    </row>
    <row r="473" spans="1:13" ht="13.8" customHeight="1" x14ac:dyDescent="0.3">
      <c r="A473" s="1">
        <f>Annex!A207</f>
        <v>472</v>
      </c>
      <c r="B473" s="1" t="str">
        <f>IF(LEFT(Annex!H207,5)="Local","Local Transmission",Annex!H207)</f>
        <v>Imported</v>
      </c>
      <c r="C473" s="1" t="str">
        <f>Annex!J207</f>
        <v>Female</v>
      </c>
      <c r="D473" s="1">
        <f>Annex!D207</f>
        <v>19</v>
      </c>
      <c r="E473" s="1" t="str">
        <f>Annex!K207</f>
        <v>Singaporean</v>
      </c>
      <c r="F473" s="1" t="str">
        <f>Annex!L207</f>
        <v xml:space="preserve">Case 472 is a Imported case, 19 years old female Singapore Citizen  and has been to UK . She is currently admitted at NCID . </v>
      </c>
      <c r="G473" s="2">
        <v>43913</v>
      </c>
      <c r="H473" s="1"/>
      <c r="I473" s="1"/>
      <c r="J473" s="1"/>
      <c r="K473" s="1"/>
      <c r="L473" s="1" t="str">
        <f>Annex!C207</f>
        <v xml:space="preserve">NCID </v>
      </c>
      <c r="M473" s="5" t="s">
        <v>1219</v>
      </c>
    </row>
    <row r="474" spans="1:13" ht="13.8" customHeight="1" x14ac:dyDescent="0.3">
      <c r="A474" s="1">
        <f>Annex!A208</f>
        <v>473</v>
      </c>
      <c r="B474" s="1" t="str">
        <f>IF(LEFT(Annex!H208,5)="Local","Local Transmission",Annex!H208)</f>
        <v>Imported</v>
      </c>
      <c r="C474" s="1" t="str">
        <f>Annex!J208</f>
        <v>Male</v>
      </c>
      <c r="D474" s="1">
        <f>Annex!D208</f>
        <v>25</v>
      </c>
      <c r="E474" s="1" t="str">
        <f>Annex!K208</f>
        <v>Singaporean</v>
      </c>
      <c r="F474" s="1" t="str">
        <f>Annex!L208</f>
        <v xml:space="preserve">Case 473 is a Imported case, 25 years old male Singapore Citizen  and has been to UK . He is currently admitted at NCID . </v>
      </c>
      <c r="G474" s="2">
        <v>43913</v>
      </c>
      <c r="H474" s="1"/>
      <c r="I474" s="1"/>
      <c r="J474" s="1"/>
      <c r="K474" s="1"/>
      <c r="L474" s="1" t="str">
        <f>Annex!C208</f>
        <v xml:space="preserve">NCID </v>
      </c>
      <c r="M474" s="5" t="s">
        <v>1219</v>
      </c>
    </row>
    <row r="475" spans="1:13" ht="13.8" customHeight="1" x14ac:dyDescent="0.3">
      <c r="A475" s="1">
        <f>Annex!A209</f>
        <v>474</v>
      </c>
      <c r="B475" s="1" t="str">
        <f>IF(LEFT(Annex!H209,5)="Local","Local Transmission",Annex!H209)</f>
        <v>Imported</v>
      </c>
      <c r="C475" s="1" t="str">
        <f>Annex!J209</f>
        <v>Female</v>
      </c>
      <c r="D475" s="1">
        <f>Annex!D209</f>
        <v>22</v>
      </c>
      <c r="E475" s="1" t="str">
        <f>Annex!K209</f>
        <v>Singaporean</v>
      </c>
      <c r="F475" s="1" t="str">
        <f>Annex!L209</f>
        <v xml:space="preserve">Case 474 is a Imported case, 22 years old female Singapore Citizen  and has been to UK . She is currently admitted at NCID . </v>
      </c>
      <c r="G475" s="2">
        <v>43913</v>
      </c>
      <c r="H475" s="1"/>
      <c r="I475" s="1"/>
      <c r="J475" s="1"/>
      <c r="K475" s="1"/>
      <c r="L475" s="1" t="str">
        <f>Annex!C209</f>
        <v xml:space="preserve">NCID </v>
      </c>
      <c r="M475" s="5" t="s">
        <v>1219</v>
      </c>
    </row>
    <row r="476" spans="1:13" ht="13.8" customHeight="1" x14ac:dyDescent="0.3">
      <c r="A476" s="1">
        <f>Annex!A210</f>
        <v>475</v>
      </c>
      <c r="B476" s="1" t="str">
        <f>IF(LEFT(Annex!H210,5)="Local","Local Transmission",Annex!H210)</f>
        <v xml:space="preserve">Imported </v>
      </c>
      <c r="C476" s="1" t="str">
        <f>Annex!J210</f>
        <v>Female</v>
      </c>
      <c r="D476" s="1">
        <f>Annex!D210</f>
        <v>22</v>
      </c>
      <c r="E476" s="1" t="str">
        <f>Annex!K210</f>
        <v>Singaporean</v>
      </c>
      <c r="F476" s="1" t="str">
        <f>Annex!L210</f>
        <v>Case 475 is a Imported  case, 22 years old female Singapore Citizen  and has been to Ireland . She is currently admitted at NCID . Contact of Case 423</v>
      </c>
      <c r="G476" s="2">
        <v>43913</v>
      </c>
      <c r="H476" s="1"/>
      <c r="I476" s="1"/>
      <c r="J476" s="1"/>
      <c r="K476" s="1"/>
      <c r="L476" s="1" t="str">
        <f>Annex!C210</f>
        <v xml:space="preserve">NCID </v>
      </c>
      <c r="M476" s="5" t="s">
        <v>1219</v>
      </c>
    </row>
    <row r="477" spans="1:13" ht="13.8" customHeight="1" x14ac:dyDescent="0.3">
      <c r="A477" s="1">
        <f>Annex!A211</f>
        <v>476</v>
      </c>
      <c r="B477" s="1" t="str">
        <f>IF(LEFT(Annex!H211,5)="Local","Local Transmission",Annex!H211)</f>
        <v xml:space="preserve">Imported </v>
      </c>
      <c r="C477" s="1" t="str">
        <f>Annex!J211</f>
        <v>Male</v>
      </c>
      <c r="D477" s="1">
        <f>Annex!D211</f>
        <v>68</v>
      </c>
      <c r="E477" s="1" t="str">
        <f>Annex!K211</f>
        <v>Indonesia</v>
      </c>
      <c r="F477" s="1" t="str">
        <f>Annex!L211</f>
        <v xml:space="preserve">Case 476 is a Imported  case, 68 years old male Indonesia (Singapore Work Pass holder)  and has been to Indonesia . He is currently admitted at NCID . </v>
      </c>
      <c r="G477" s="2">
        <v>43913</v>
      </c>
      <c r="H477" s="1"/>
      <c r="I477" s="64">
        <v>43923</v>
      </c>
      <c r="J477" s="1"/>
      <c r="K477" s="1"/>
      <c r="L477" s="1" t="str">
        <f>Annex!C211</f>
        <v xml:space="preserve">NCID </v>
      </c>
      <c r="M477" s="5" t="s">
        <v>1219</v>
      </c>
    </row>
    <row r="478" spans="1:13" ht="13.8" customHeight="1" x14ac:dyDescent="0.3">
      <c r="A478" s="1">
        <f>Annex!A212</f>
        <v>477</v>
      </c>
      <c r="B478" s="1" t="str">
        <f>IF(LEFT(Annex!H212,5)="Local","Local Transmission",Annex!H212)</f>
        <v>Local Transmission</v>
      </c>
      <c r="C478" s="1" t="str">
        <f>Annex!J212</f>
        <v>Male</v>
      </c>
      <c r="D478" s="1">
        <f>Annex!D212</f>
        <v>44</v>
      </c>
      <c r="E478" s="1" t="str">
        <f>Annex!K212</f>
        <v>Ireland</v>
      </c>
      <c r="F478" s="1" t="str">
        <f>Annex!L212</f>
        <v xml:space="preserve">Case 477 is a Local unlinked case, 44 years old male Ireland (Singapore Work Pass holder)  and has not been overseas. He is currently admitted at NCID . </v>
      </c>
      <c r="G478" s="2">
        <v>43913</v>
      </c>
      <c r="H478" s="1"/>
      <c r="I478" s="1"/>
      <c r="J478" s="1"/>
      <c r="K478" s="1"/>
      <c r="L478" s="1" t="str">
        <f>Annex!C212</f>
        <v xml:space="preserve">NCID </v>
      </c>
      <c r="M478" s="5" t="s">
        <v>1219</v>
      </c>
    </row>
    <row r="479" spans="1:13" ht="13.8" customHeight="1" x14ac:dyDescent="0.3">
      <c r="A479" s="1">
        <f>Annex!A213</f>
        <v>478</v>
      </c>
      <c r="B479" s="1" t="str">
        <f>IF(LEFT(Annex!H213,5)="Local","Local Transmission",Annex!H213)</f>
        <v>Local Transmission</v>
      </c>
      <c r="C479" s="1" t="str">
        <f>Annex!J213</f>
        <v>Male</v>
      </c>
      <c r="D479" s="1">
        <f>Annex!D213</f>
        <v>80</v>
      </c>
      <c r="E479" s="1" t="str">
        <f>Annex!K213</f>
        <v>Singaporean</v>
      </c>
      <c r="F479" s="1" t="str">
        <f>Annex!L213</f>
        <v xml:space="preserve">Case 478 is a Local unlinked case, 80 years old male Singapore Citizen  and has not been overseas. He is currently admitted at NCID . </v>
      </c>
      <c r="G479" s="2">
        <v>43913</v>
      </c>
      <c r="H479" s="64">
        <v>43923</v>
      </c>
      <c r="I479" s="1"/>
      <c r="J479" s="1"/>
      <c r="K479" s="1"/>
      <c r="L479" s="1" t="str">
        <f>Annex!C213</f>
        <v xml:space="preserve">NCID </v>
      </c>
      <c r="M479" s="5" t="s">
        <v>1219</v>
      </c>
    </row>
    <row r="480" spans="1:13" ht="13.8" customHeight="1" x14ac:dyDescent="0.3">
      <c r="A480" s="1">
        <f>Annex!A214</f>
        <v>479</v>
      </c>
      <c r="B480" s="1" t="str">
        <f>IF(LEFT(Annex!H214,5)="Local","Local Transmission",Annex!H214)</f>
        <v>Local Transmission</v>
      </c>
      <c r="C480" s="1" t="str">
        <f>Annex!J214</f>
        <v>Female</v>
      </c>
      <c r="D480" s="1">
        <f>Annex!D214</f>
        <v>35</v>
      </c>
      <c r="E480" s="1" t="str">
        <f>Annex!K214</f>
        <v>Indonesia</v>
      </c>
      <c r="F480" s="1" t="str">
        <f>Annex!L214</f>
        <v xml:space="preserve">Case 479 is a Local unlinked case, 35 years old female Indonesia (Singapore Work Pass holder)  and has not been overseas. She is currently admitted at NUH . </v>
      </c>
      <c r="G480" s="2">
        <v>43913</v>
      </c>
      <c r="H480" s="1"/>
      <c r="I480" s="1"/>
      <c r="J480" s="1"/>
      <c r="K480" s="1"/>
      <c r="L480" s="1" t="str">
        <f>Annex!C214</f>
        <v xml:space="preserve">NUH </v>
      </c>
      <c r="M480" s="5" t="s">
        <v>1219</v>
      </c>
    </row>
    <row r="481" spans="1:13" ht="13.8" customHeight="1" x14ac:dyDescent="0.3">
      <c r="A481" s="1">
        <f>Annex!A215</f>
        <v>480</v>
      </c>
      <c r="B481" s="1" t="str">
        <f>IF(LEFT(Annex!H215,5)="Local","Local Transmission",Annex!H215)</f>
        <v>Local Transmission</v>
      </c>
      <c r="C481" s="1" t="str">
        <f>Annex!J215</f>
        <v>Female</v>
      </c>
      <c r="D481" s="1">
        <f>Annex!D215</f>
        <v>52</v>
      </c>
      <c r="E481" s="1" t="str">
        <f>Annex!K215</f>
        <v>Singaporean</v>
      </c>
      <c r="F481" s="1" t="str">
        <f>Annex!L215</f>
        <v xml:space="preserve">Case 480 is a Local unlinked case, 52 years old female Singapore Citizen  and has not been overseas. She is currently admitted at KTPH . </v>
      </c>
      <c r="G481" s="2">
        <v>43913</v>
      </c>
      <c r="H481" s="74">
        <v>43926</v>
      </c>
      <c r="I481" s="1"/>
      <c r="J481" s="1"/>
      <c r="K481" s="1"/>
      <c r="L481" s="1" t="str">
        <f>Annex!C215</f>
        <v xml:space="preserve">KTPH </v>
      </c>
      <c r="M481" s="5" t="s">
        <v>1219</v>
      </c>
    </row>
    <row r="482" spans="1:13" ht="13.8" customHeight="1" x14ac:dyDescent="0.3">
      <c r="A482" s="1">
        <f>Annex!A216</f>
        <v>481</v>
      </c>
      <c r="B482" s="1" t="str">
        <f>IF(LEFT(Annex!H216,5)="Local","Local Transmission",Annex!H216)</f>
        <v xml:space="preserve">Imported </v>
      </c>
      <c r="C482" s="1" t="str">
        <f>Annex!J216</f>
        <v>Female</v>
      </c>
      <c r="D482" s="1">
        <f>Annex!D216</f>
        <v>37</v>
      </c>
      <c r="E482" s="1" t="str">
        <f>Annex!K216</f>
        <v>Singaporean</v>
      </c>
      <c r="F482" s="1" t="str">
        <f>Annex!L216</f>
        <v>Case 481 is a Imported  case, 37 years old female Singapore Permanent Resident  and has been to UK . She is currently admitted at NCID . Family member of Case 440</v>
      </c>
      <c r="G482" s="2">
        <v>43913</v>
      </c>
      <c r="H482" s="1"/>
      <c r="I482" s="1"/>
      <c r="J482" s="1"/>
      <c r="K482" s="1"/>
      <c r="L482" s="1" t="str">
        <f>Annex!C216</f>
        <v xml:space="preserve">NCID </v>
      </c>
      <c r="M482" s="5" t="s">
        <v>1219</v>
      </c>
    </row>
    <row r="483" spans="1:13" ht="13.8" customHeight="1" x14ac:dyDescent="0.3">
      <c r="A483" s="1">
        <f>Annex!A217</f>
        <v>482</v>
      </c>
      <c r="B483" s="1" t="str">
        <f>IF(LEFT(Annex!H217,5)="Local","Local Transmission",Annex!H217)</f>
        <v>Imported</v>
      </c>
      <c r="C483" s="1" t="str">
        <f>Annex!J217</f>
        <v>Male</v>
      </c>
      <c r="D483" s="1">
        <f>Annex!D217</f>
        <v>35</v>
      </c>
      <c r="E483" s="1" t="str">
        <f>Annex!K217</f>
        <v>Singaporean</v>
      </c>
      <c r="F483" s="1" t="str">
        <f>Annex!L217</f>
        <v xml:space="preserve">Case 482 is a Imported case, 35 years old male Singapore Citizen  and has been to US . He is currently admitted at NCID . </v>
      </c>
      <c r="G483" s="2">
        <v>43913</v>
      </c>
      <c r="H483" s="1"/>
      <c r="I483" s="1"/>
      <c r="J483" s="1"/>
      <c r="K483" s="1"/>
      <c r="L483" s="1" t="str">
        <f>Annex!C217</f>
        <v xml:space="preserve">NCID </v>
      </c>
      <c r="M483" s="5" t="s">
        <v>1219</v>
      </c>
    </row>
    <row r="484" spans="1:13" ht="13.8" customHeight="1" x14ac:dyDescent="0.3">
      <c r="A484" s="1">
        <f>Annex!A218</f>
        <v>483</v>
      </c>
      <c r="B484" s="1" t="str">
        <f>IF(LEFT(Annex!H218,5)="Local","Local Transmission",Annex!H218)</f>
        <v>Imported</v>
      </c>
      <c r="C484" s="1" t="str">
        <f>Annex!J218</f>
        <v>Female</v>
      </c>
      <c r="D484" s="1">
        <f>Annex!D218</f>
        <v>28</v>
      </c>
      <c r="E484" s="1" t="str">
        <f>Annex!K218</f>
        <v>Singaporean</v>
      </c>
      <c r="F484" s="1" t="str">
        <f>Annex!L218</f>
        <v xml:space="preserve">Case 483 is a Imported case, 28 years old female Singapore Citizen  and has been to US . She is currently admitted at NCID . </v>
      </c>
      <c r="G484" s="2">
        <v>43913</v>
      </c>
      <c r="H484" s="1"/>
      <c r="I484" s="1"/>
      <c r="J484" s="1"/>
      <c r="K484" s="1"/>
      <c r="L484" s="1" t="str">
        <f>Annex!C218</f>
        <v xml:space="preserve">NCID </v>
      </c>
      <c r="M484" s="5" t="s">
        <v>1219</v>
      </c>
    </row>
    <row r="485" spans="1:13" ht="13.8" customHeight="1" x14ac:dyDescent="0.3">
      <c r="A485" s="1">
        <f>Annex!A219</f>
        <v>484</v>
      </c>
      <c r="B485" s="1" t="str">
        <f>IF(LEFT(Annex!H219,5)="Local","Local Transmission",Annex!H219)</f>
        <v>Imported</v>
      </c>
      <c r="C485" s="1" t="str">
        <f>Annex!J219</f>
        <v>Male</v>
      </c>
      <c r="D485" s="1">
        <f>Annex!D219</f>
        <v>21</v>
      </c>
      <c r="E485" s="1" t="str">
        <f>Annex!K219</f>
        <v>Singaporean</v>
      </c>
      <c r="F485" s="1" t="str">
        <f>Annex!L219</f>
        <v xml:space="preserve">Case 484 is a Imported case, 21 years old male Singapore Citizen  and has been to UK . He is currently admitted at NCID . </v>
      </c>
      <c r="G485" s="2">
        <v>43913</v>
      </c>
      <c r="H485" s="1"/>
      <c r="I485" s="1"/>
      <c r="J485" s="1"/>
      <c r="K485" s="1"/>
      <c r="L485" s="1" t="str">
        <f>Annex!C219</f>
        <v xml:space="preserve">NCID </v>
      </c>
      <c r="M485" s="5" t="s">
        <v>1219</v>
      </c>
    </row>
    <row r="486" spans="1:13" ht="13.8" customHeight="1" x14ac:dyDescent="0.3">
      <c r="A486" s="1">
        <f>Annex!A220</f>
        <v>485</v>
      </c>
      <c r="B486" s="1" t="str">
        <f>IF(LEFT(Annex!H220,5)="Local","Local Transmission",Annex!H220)</f>
        <v>Imported</v>
      </c>
      <c r="C486" s="1" t="str">
        <f>Annex!J220</f>
        <v>Male</v>
      </c>
      <c r="D486" s="1">
        <f>Annex!D220</f>
        <v>20</v>
      </c>
      <c r="E486" s="1" t="str">
        <f>Annex!K220</f>
        <v>Singaporean</v>
      </c>
      <c r="F486" s="1" t="str">
        <f>Annex!L220</f>
        <v xml:space="preserve">Case 485 is a Imported case, 20 years old male Singapore Citizen  and has been to UK . He is currently admitted at NCID . </v>
      </c>
      <c r="G486" s="2">
        <v>43913</v>
      </c>
      <c r="H486" s="1"/>
      <c r="I486" s="1"/>
      <c r="J486" s="1"/>
      <c r="K486" s="1"/>
      <c r="L486" s="1" t="str">
        <f>Annex!C220</f>
        <v xml:space="preserve">NCID </v>
      </c>
      <c r="M486" s="5" t="s">
        <v>1219</v>
      </c>
    </row>
    <row r="487" spans="1:13" ht="13.8" customHeight="1" x14ac:dyDescent="0.3">
      <c r="A487" s="1">
        <f>Annex!A221</f>
        <v>486</v>
      </c>
      <c r="B487" s="1" t="str">
        <f>IF(LEFT(Annex!H221,5)="Local","Local Transmission",Annex!H221)</f>
        <v>Imported</v>
      </c>
      <c r="C487" s="1" t="str">
        <f>Annex!J221</f>
        <v>Male</v>
      </c>
      <c r="D487" s="1">
        <f>Annex!D221</f>
        <v>22</v>
      </c>
      <c r="E487" s="1" t="str">
        <f>Annex!K221</f>
        <v>Singaporean</v>
      </c>
      <c r="F487" s="1" t="str">
        <f>Annex!L221</f>
        <v xml:space="preserve">Case 486 is a Imported case, 22 years old male Singapore Citizen  and has been to UK . He is currently admitted at NCID . </v>
      </c>
      <c r="G487" s="2">
        <v>43913</v>
      </c>
      <c r="H487" s="48">
        <v>43920</v>
      </c>
      <c r="I487" s="1"/>
      <c r="J487" s="1"/>
      <c r="K487" s="1"/>
      <c r="L487" s="1" t="str">
        <f>Annex!C221</f>
        <v xml:space="preserve">NCID </v>
      </c>
      <c r="M487" s="5" t="s">
        <v>1219</v>
      </c>
    </row>
    <row r="488" spans="1:13" ht="13.8" customHeight="1" x14ac:dyDescent="0.3">
      <c r="A488" s="1">
        <f>Annex!A222</f>
        <v>487</v>
      </c>
      <c r="B488" s="1" t="str">
        <f>IF(LEFT(Annex!H222,5)="Local","Local Transmission",Annex!H222)</f>
        <v>Imported</v>
      </c>
      <c r="C488" s="1" t="str">
        <f>Annex!J222</f>
        <v>Male</v>
      </c>
      <c r="D488" s="1">
        <f>Annex!D222</f>
        <v>72</v>
      </c>
      <c r="E488" s="1" t="str">
        <f>Annex!K222</f>
        <v>Singaporean</v>
      </c>
      <c r="F488" s="1" t="str">
        <f>Annex!L222</f>
        <v xml:space="preserve">Case 487 is a Imported case, 72 years old male Singapore Citizen  and has been to Indonesia . He is currently admitted at NCID . </v>
      </c>
      <c r="G488" s="2">
        <v>43913</v>
      </c>
      <c r="H488" s="1"/>
      <c r="I488" s="1"/>
      <c r="J488" s="1"/>
      <c r="K488" s="1"/>
      <c r="L488" s="1" t="str">
        <f>Annex!C222</f>
        <v xml:space="preserve">NCID </v>
      </c>
      <c r="M488" s="5" t="s">
        <v>1219</v>
      </c>
    </row>
    <row r="489" spans="1:13" ht="13.8" customHeight="1" x14ac:dyDescent="0.3">
      <c r="A489" s="1">
        <f>Annex!A223</f>
        <v>488</v>
      </c>
      <c r="B489" s="1" t="str">
        <f>IF(LEFT(Annex!H223,5)="Local","Local Transmission",Annex!H223)</f>
        <v>Imported</v>
      </c>
      <c r="C489" s="1" t="str">
        <f>Annex!J223</f>
        <v>Male</v>
      </c>
      <c r="D489" s="1">
        <f>Annex!D223</f>
        <v>36</v>
      </c>
      <c r="E489" s="1" t="str">
        <f>Annex!K223</f>
        <v>Singaporean</v>
      </c>
      <c r="F489" s="1" t="str">
        <f>Annex!L223</f>
        <v xml:space="preserve">Case 488 is a Imported case, 36 years old male Singapore Citizen  and has been to UK . He is currently admitted at SKH . </v>
      </c>
      <c r="G489" s="2">
        <v>43913</v>
      </c>
      <c r="H489" s="68">
        <v>43924</v>
      </c>
      <c r="I489" s="1"/>
      <c r="J489" s="1"/>
      <c r="K489" s="1"/>
      <c r="L489" s="1" t="str">
        <f>Annex!C223</f>
        <v xml:space="preserve">SKH </v>
      </c>
      <c r="M489" s="5" t="s">
        <v>1219</v>
      </c>
    </row>
    <row r="490" spans="1:13" ht="13.8" customHeight="1" x14ac:dyDescent="0.3">
      <c r="A490" s="1">
        <f>Annex!A224</f>
        <v>489</v>
      </c>
      <c r="B490" s="1" t="str">
        <f>IF(LEFT(Annex!H224,5)="Local","Local Transmission",Annex!H224)</f>
        <v>Imported</v>
      </c>
      <c r="C490" s="1" t="str">
        <f>Annex!J224</f>
        <v>Male</v>
      </c>
      <c r="D490" s="1">
        <f>Annex!D224</f>
        <v>25</v>
      </c>
      <c r="E490" s="1" t="str">
        <f>Annex!K224</f>
        <v>Singaporean</v>
      </c>
      <c r="F490" s="1" t="str">
        <f>Annex!L224</f>
        <v xml:space="preserve">Case 489 is a Imported case, 25 years old male Singapore Citizen  and has been to UK . He is currently admitted at NCID . </v>
      </c>
      <c r="G490" s="2">
        <v>43913</v>
      </c>
      <c r="H490" s="1"/>
      <c r="I490" s="1"/>
      <c r="J490" s="1"/>
      <c r="K490" s="1"/>
      <c r="L490" s="1" t="str">
        <f>Annex!C224</f>
        <v xml:space="preserve">NCID </v>
      </c>
      <c r="M490" s="5" t="s">
        <v>1219</v>
      </c>
    </row>
    <row r="491" spans="1:13" ht="13.8" customHeight="1" x14ac:dyDescent="0.3">
      <c r="A491" s="1">
        <f>Annex!A225</f>
        <v>490</v>
      </c>
      <c r="B491" s="1" t="str">
        <f>IF(LEFT(Annex!H225,5)="Local","Local Transmission",Annex!H225)</f>
        <v>Imported</v>
      </c>
      <c r="C491" s="1" t="str">
        <f>Annex!J225</f>
        <v>Male</v>
      </c>
      <c r="D491" s="1">
        <f>Annex!D225</f>
        <v>36</v>
      </c>
      <c r="E491" s="1" t="str">
        <f>Annex!K225</f>
        <v>Singaporean</v>
      </c>
      <c r="F491" s="1" t="str">
        <f>Annex!L225</f>
        <v xml:space="preserve">Case 490 is a Imported case, 36 years old male Singapore Citizen  and has been to France, UK . He is currently admitted at AH . </v>
      </c>
      <c r="G491" s="2">
        <v>43913</v>
      </c>
      <c r="H491" s="1"/>
      <c r="I491" s="1"/>
      <c r="J491" s="1"/>
      <c r="K491" s="1"/>
      <c r="L491" s="1" t="str">
        <f>Annex!C225</f>
        <v xml:space="preserve">AH </v>
      </c>
      <c r="M491" s="5" t="s">
        <v>1219</v>
      </c>
    </row>
    <row r="492" spans="1:13" ht="13.8" customHeight="1" x14ac:dyDescent="0.3">
      <c r="A492" s="1">
        <f>Annex!A226</f>
        <v>491</v>
      </c>
      <c r="B492" s="1" t="str">
        <f>IF(LEFT(Annex!H226,5)="Local","Local Transmission",Annex!H226)</f>
        <v xml:space="preserve">Imported </v>
      </c>
      <c r="C492" s="1" t="str">
        <f>Annex!J226</f>
        <v>Male</v>
      </c>
      <c r="D492" s="1">
        <f>Annex!D226</f>
        <v>22</v>
      </c>
      <c r="E492" s="1" t="str">
        <f>Annex!K226</f>
        <v>Singaporean</v>
      </c>
      <c r="F492" s="1" t="str">
        <f>Annex!L226</f>
        <v>Case 491 is a Imported  case, 22 years old male Singapore Citizen  and has been to UK . He is currently admitted at NCID . Contact of Case 269</v>
      </c>
      <c r="G492" s="2">
        <v>43913</v>
      </c>
      <c r="H492" s="1"/>
      <c r="I492" s="1"/>
      <c r="J492" s="1"/>
      <c r="K492" s="1"/>
      <c r="L492" s="1" t="str">
        <f>Annex!C226</f>
        <v xml:space="preserve">NCID </v>
      </c>
      <c r="M492" s="5" t="s">
        <v>1219</v>
      </c>
    </row>
    <row r="493" spans="1:13" ht="13.8" customHeight="1" x14ac:dyDescent="0.3">
      <c r="A493" s="1">
        <f>Annex!A227</f>
        <v>492</v>
      </c>
      <c r="B493" s="1" t="str">
        <f>IF(LEFT(Annex!H227,5)="Local","Local Transmission",Annex!H227)</f>
        <v>Imported</v>
      </c>
      <c r="C493" s="1" t="str">
        <f>Annex!J227</f>
        <v>Female</v>
      </c>
      <c r="D493" s="1">
        <f>Annex!D227</f>
        <v>24</v>
      </c>
      <c r="E493" s="1" t="str">
        <f>Annex!K227</f>
        <v>India</v>
      </c>
      <c r="F493" s="1" t="str">
        <f>Annex!L227</f>
        <v xml:space="preserve">Case 492 is a Imported case, 24 years old female India (Long Term Pass holder)  and has been to UK . She is currently admitted at NCID . </v>
      </c>
      <c r="G493" s="2">
        <v>43913</v>
      </c>
      <c r="H493" s="1"/>
      <c r="I493" s="1"/>
      <c r="J493" s="1"/>
      <c r="K493" s="1"/>
      <c r="L493" s="1" t="str">
        <f>Annex!C227</f>
        <v xml:space="preserve">NCID </v>
      </c>
      <c r="M493" s="5" t="s">
        <v>1219</v>
      </c>
    </row>
    <row r="494" spans="1:13" ht="13.8" customHeight="1" x14ac:dyDescent="0.3">
      <c r="A494" s="1">
        <f>Annex!A228</f>
        <v>493</v>
      </c>
      <c r="B494" s="1" t="str">
        <f>IF(LEFT(Annex!H228,5)="Local","Local Transmission",Annex!H228)</f>
        <v>Imported</v>
      </c>
      <c r="C494" s="1" t="str">
        <f>Annex!J228</f>
        <v>Female</v>
      </c>
      <c r="D494" s="1">
        <f>Annex!D228</f>
        <v>23</v>
      </c>
      <c r="E494" s="1" t="str">
        <f>Annex!K228</f>
        <v>Singaporean</v>
      </c>
      <c r="F494" s="1" t="str">
        <f>Annex!L228</f>
        <v xml:space="preserve">Case 493 is a Imported case, 23 years old female Singapore Citizen  and has been to UK . She is currently admitted at NCID . </v>
      </c>
      <c r="G494" s="2">
        <v>43913</v>
      </c>
      <c r="H494" s="1"/>
      <c r="I494" s="1"/>
      <c r="J494" s="1"/>
      <c r="K494" s="1"/>
      <c r="L494" s="1" t="str">
        <f>Annex!C228</f>
        <v xml:space="preserve">NCID </v>
      </c>
      <c r="M494" s="5" t="s">
        <v>1219</v>
      </c>
    </row>
    <row r="495" spans="1:13" ht="13.8" customHeight="1" x14ac:dyDescent="0.3">
      <c r="A495" s="1">
        <f>Annex!A229</f>
        <v>494</v>
      </c>
      <c r="B495" s="1" t="str">
        <f>IF(LEFT(Annex!H229,5)="Local","Local Transmission",Annex!H229)</f>
        <v>Imported</v>
      </c>
      <c r="C495" s="1" t="str">
        <f>Annex!J229</f>
        <v>Male</v>
      </c>
      <c r="D495" s="1">
        <f>Annex!D229</f>
        <v>24</v>
      </c>
      <c r="E495" s="1" t="str">
        <f>Annex!K229</f>
        <v>Singaporean</v>
      </c>
      <c r="F495" s="1" t="str">
        <f>Annex!L229</f>
        <v xml:space="preserve">Case 494 is a Imported case, 24 years old male Singapore Citizen  and has been to Sweden . He is currently admitted at NCID . </v>
      </c>
      <c r="G495" s="2">
        <v>43913</v>
      </c>
      <c r="H495" s="1"/>
      <c r="I495" s="1"/>
      <c r="J495" s="1"/>
      <c r="K495" s="1"/>
      <c r="L495" s="1" t="str">
        <f>Annex!C229</f>
        <v xml:space="preserve">NCID </v>
      </c>
      <c r="M495" s="5" t="s">
        <v>1219</v>
      </c>
    </row>
    <row r="496" spans="1:13" ht="13.8" customHeight="1" x14ac:dyDescent="0.3">
      <c r="A496" s="1">
        <f>Annex!A230</f>
        <v>495</v>
      </c>
      <c r="B496" s="1" t="str">
        <f>IF(LEFT(Annex!H230,5)="Local","Local Transmission",Annex!H230)</f>
        <v xml:space="preserve">Imported </v>
      </c>
      <c r="C496" s="1" t="str">
        <f>Annex!J230</f>
        <v>Female</v>
      </c>
      <c r="D496" s="1">
        <f>Annex!D230</f>
        <v>29</v>
      </c>
      <c r="E496" s="1" t="str">
        <f>Annex!K230</f>
        <v>Singaporean</v>
      </c>
      <c r="F496" s="1" t="str">
        <f>Annex!L230</f>
        <v>Case 495 is a Imported  case, 29 years old female Singapore Citizen  and has been to UK . She is currently admitted at NCID . Family member of Case 468</v>
      </c>
      <c r="G496" s="2">
        <v>43913</v>
      </c>
      <c r="H496" s="68">
        <v>43924</v>
      </c>
      <c r="I496" s="1"/>
      <c r="J496" s="1"/>
      <c r="K496" s="1"/>
      <c r="L496" s="1" t="str">
        <f>Annex!C230</f>
        <v xml:space="preserve">NCID </v>
      </c>
      <c r="M496" s="5" t="s">
        <v>1219</v>
      </c>
    </row>
    <row r="497" spans="1:13" ht="13.8" customHeight="1" x14ac:dyDescent="0.3">
      <c r="A497" s="1">
        <f>Annex!A231</f>
        <v>496</v>
      </c>
      <c r="B497" s="1" t="str">
        <f>IF(LEFT(Annex!H231,5)="Local","Local Transmission",Annex!H231)</f>
        <v>Imported</v>
      </c>
      <c r="C497" s="1" t="str">
        <f>Annex!J231</f>
        <v>Female</v>
      </c>
      <c r="D497" s="1">
        <f>Annex!D231</f>
        <v>21</v>
      </c>
      <c r="E497" s="1" t="str">
        <f>Annex!K231</f>
        <v>Singaporean</v>
      </c>
      <c r="F497" s="1" t="str">
        <f>Annex!L231</f>
        <v xml:space="preserve">Case 496 is a Imported case, 21 years old female Singapore Citizen  and has been to UK . She is currently admitted at NCID . </v>
      </c>
      <c r="G497" s="2">
        <v>43913</v>
      </c>
      <c r="H497" s="1"/>
      <c r="I497" s="1"/>
      <c r="J497" s="1"/>
      <c r="K497" s="1"/>
      <c r="L497" s="1" t="str">
        <f>Annex!C231</f>
        <v xml:space="preserve">NCID </v>
      </c>
      <c r="M497" s="5" t="s">
        <v>1219</v>
      </c>
    </row>
    <row r="498" spans="1:13" ht="13.8" customHeight="1" x14ac:dyDescent="0.3">
      <c r="A498" s="1">
        <f>Annex!A232</f>
        <v>497</v>
      </c>
      <c r="B498" s="1" t="str">
        <f>IF(LEFT(Annex!H232,5)="Local","Local Transmission",Annex!H232)</f>
        <v>Imported</v>
      </c>
      <c r="C498" s="1" t="str">
        <f>Annex!J232</f>
        <v>Female</v>
      </c>
      <c r="D498" s="1">
        <f>Annex!D232</f>
        <v>63</v>
      </c>
      <c r="E498" s="1" t="str">
        <f>Annex!K232</f>
        <v>Singaporean</v>
      </c>
      <c r="F498" s="1" t="str">
        <f>Annex!L232</f>
        <v xml:space="preserve">Case 497 is a Imported case, 63 years old female Singapore Citizen  and has been to UK . She is currently admitted at NCID . </v>
      </c>
      <c r="G498" s="2">
        <v>43913</v>
      </c>
      <c r="H498" s="1"/>
      <c r="I498" s="1"/>
      <c r="J498" s="1"/>
      <c r="K498" s="1"/>
      <c r="L498" s="1" t="str">
        <f>Annex!C232</f>
        <v xml:space="preserve">NCID </v>
      </c>
      <c r="M498" s="5" t="s">
        <v>1219</v>
      </c>
    </row>
    <row r="499" spans="1:13" ht="13.8" customHeight="1" x14ac:dyDescent="0.3">
      <c r="A499" s="1">
        <f>Annex!A233</f>
        <v>498</v>
      </c>
      <c r="B499" s="1" t="str">
        <f>IF(LEFT(Annex!H233,5)="Local","Local Transmission",Annex!H233)</f>
        <v>Imported</v>
      </c>
      <c r="C499" s="1" t="str">
        <f>Annex!J233</f>
        <v>Female</v>
      </c>
      <c r="D499" s="1">
        <f>Annex!D233</f>
        <v>22</v>
      </c>
      <c r="E499" s="1" t="str">
        <f>Annex!K233</f>
        <v>Singaporean</v>
      </c>
      <c r="F499" s="1" t="str">
        <f>Annex!L233</f>
        <v xml:space="preserve">Case 498 is a Imported case, 22 years old female Singapore Citizen  and has been to UK . She is currently admitted at NCID . </v>
      </c>
      <c r="G499" s="2">
        <v>43913</v>
      </c>
      <c r="H499" s="1"/>
      <c r="I499" s="1"/>
      <c r="J499" s="1"/>
      <c r="K499" s="1"/>
      <c r="L499" s="1" t="str">
        <f>Annex!C233</f>
        <v xml:space="preserve">NCID </v>
      </c>
      <c r="M499" s="5" t="s">
        <v>1219</v>
      </c>
    </row>
    <row r="500" spans="1:13" ht="13.8" customHeight="1" x14ac:dyDescent="0.3">
      <c r="A500" s="1">
        <f>Annex!A234</f>
        <v>499</v>
      </c>
      <c r="B500" s="1" t="str">
        <f>IF(LEFT(Annex!H234,5)="Local","Local Transmission",Annex!H234)</f>
        <v>Imported</v>
      </c>
      <c r="C500" s="1" t="str">
        <f>Annex!J234</f>
        <v>Female</v>
      </c>
      <c r="D500" s="1">
        <f>Annex!D234</f>
        <v>27</v>
      </c>
      <c r="E500" s="1" t="str">
        <f>Annex!K234</f>
        <v>Singaporean</v>
      </c>
      <c r="F500" s="1" t="str">
        <f>Annex!L234</f>
        <v xml:space="preserve">Case 499 is a Imported case, 27 years old female Singapore Citizen  and has been to US . She is currently admitted at NCID . </v>
      </c>
      <c r="G500" s="2">
        <v>43913</v>
      </c>
      <c r="H500" s="1"/>
      <c r="I500" s="1"/>
      <c r="J500" s="1"/>
      <c r="K500" s="1"/>
      <c r="L500" s="1" t="str">
        <f>Annex!C234</f>
        <v xml:space="preserve">NCID </v>
      </c>
      <c r="M500" s="5" t="s">
        <v>1219</v>
      </c>
    </row>
    <row r="501" spans="1:13" ht="13.8" customHeight="1" x14ac:dyDescent="0.3">
      <c r="A501" s="1">
        <f>Annex!A235</f>
        <v>500</v>
      </c>
      <c r="B501" s="1" t="str">
        <f>IF(LEFT(Annex!H235,5)="Local","Local Transmission",Annex!H235)</f>
        <v>Imported</v>
      </c>
      <c r="C501" s="1" t="str">
        <f>Annex!J235</f>
        <v>Male</v>
      </c>
      <c r="D501" s="1">
        <f>Annex!D235</f>
        <v>24</v>
      </c>
      <c r="E501" s="1" t="str">
        <f>Annex!K235</f>
        <v>Singaporean</v>
      </c>
      <c r="F501" s="1" t="str">
        <f>Annex!L235</f>
        <v xml:space="preserve">Case 500 is a Imported case, 24 years old male Singapore Citizen  and has been to Switzerland, Iceland . He is currently admitted at NCID . </v>
      </c>
      <c r="G501" s="2">
        <v>43913</v>
      </c>
      <c r="H501" s="1"/>
      <c r="I501" s="1"/>
      <c r="J501" s="1"/>
      <c r="K501" s="1"/>
      <c r="L501" s="1" t="str">
        <f>Annex!C235</f>
        <v xml:space="preserve">NCID </v>
      </c>
      <c r="M501" s="5" t="s">
        <v>1219</v>
      </c>
    </row>
    <row r="502" spans="1:13" ht="13.8" customHeight="1" x14ac:dyDescent="0.3">
      <c r="A502" s="1">
        <f>Annex!A236</f>
        <v>501</v>
      </c>
      <c r="B502" s="1" t="str">
        <f>IF(LEFT(Annex!H236,5)="Local","Local Transmission",Annex!H236)</f>
        <v>Imported</v>
      </c>
      <c r="C502" s="1" t="str">
        <f>Annex!J236</f>
        <v>Male</v>
      </c>
      <c r="D502" s="1">
        <f>Annex!D236</f>
        <v>65</v>
      </c>
      <c r="E502" s="1" t="str">
        <f>Annex!K236</f>
        <v>Singaporean</v>
      </c>
      <c r="F502" s="1" t="str">
        <f>Annex!L236</f>
        <v xml:space="preserve">Case 501 is a Imported case, 65 years old male Singapore Citizen  and has been to UK . He is currently admitted at NCID . </v>
      </c>
      <c r="G502" s="2">
        <v>43913</v>
      </c>
      <c r="H502" s="1"/>
      <c r="I502" s="1"/>
      <c r="J502" s="1"/>
      <c r="K502" s="1"/>
      <c r="L502" s="1" t="str">
        <f>Annex!C236</f>
        <v xml:space="preserve">NCID </v>
      </c>
      <c r="M502" s="5" t="s">
        <v>1219</v>
      </c>
    </row>
    <row r="503" spans="1:13" ht="13.8" customHeight="1" x14ac:dyDescent="0.3">
      <c r="A503" s="1">
        <f>Annex!A237</f>
        <v>502</v>
      </c>
      <c r="B503" s="1" t="str">
        <f>IF(LEFT(Annex!H237,5)="Local","Local Transmission",Annex!H237)</f>
        <v>Imported</v>
      </c>
      <c r="C503" s="1" t="str">
        <f>Annex!J237</f>
        <v>Female</v>
      </c>
      <c r="D503" s="1">
        <f>Annex!D237</f>
        <v>74</v>
      </c>
      <c r="E503" s="1" t="str">
        <f>Annex!K237</f>
        <v>India</v>
      </c>
      <c r="F503" s="1" t="str">
        <f>Annex!L237</f>
        <v xml:space="preserve">Case 502 is a Imported case, 74 years old female India (Long Term Pass holder)  and has been to UK . She is currently admitted at NCID . </v>
      </c>
      <c r="G503" s="2">
        <v>43913</v>
      </c>
      <c r="H503" s="43">
        <v>43919</v>
      </c>
      <c r="I503" s="1"/>
      <c r="J503" s="1"/>
      <c r="K503" s="1"/>
      <c r="L503" s="1" t="str">
        <f>Annex!C237</f>
        <v xml:space="preserve">NCID </v>
      </c>
      <c r="M503" s="5" t="s">
        <v>1219</v>
      </c>
    </row>
    <row r="504" spans="1:13" ht="13.8" customHeight="1" x14ac:dyDescent="0.3">
      <c r="A504" s="1">
        <f>Annex!A238</f>
        <v>503</v>
      </c>
      <c r="B504" s="1" t="str">
        <f>IF(LEFT(Annex!H238,5)="Local","Local Transmission",Annex!H238)</f>
        <v>Imported</v>
      </c>
      <c r="C504" s="1" t="str">
        <f>Annex!J238</f>
        <v>Male</v>
      </c>
      <c r="D504" s="1">
        <f>Annex!D238</f>
        <v>26</v>
      </c>
      <c r="E504" s="1" t="str">
        <f>Annex!K238</f>
        <v>Singaporean</v>
      </c>
      <c r="F504" s="1" t="str">
        <f>Annex!L238</f>
        <v xml:space="preserve">Case 503 is a Imported case, 26 years old male Singapore Citizen  and has been to UK . He is currently admitted at NCID . </v>
      </c>
      <c r="G504" s="2">
        <v>43913</v>
      </c>
      <c r="H504" s="1"/>
      <c r="I504" s="1"/>
      <c r="J504" s="1"/>
      <c r="K504" s="1"/>
      <c r="L504" s="1" t="str">
        <f>Annex!C238</f>
        <v xml:space="preserve">NCID </v>
      </c>
      <c r="M504" s="5" t="s">
        <v>1219</v>
      </c>
    </row>
    <row r="505" spans="1:13" ht="13.8" customHeight="1" x14ac:dyDescent="0.3">
      <c r="A505" s="1">
        <f>Annex!A239</f>
        <v>504</v>
      </c>
      <c r="B505" s="1" t="str">
        <f>IF(LEFT(Annex!H239,5)="Local","Local Transmission",Annex!H239)</f>
        <v>Imported</v>
      </c>
      <c r="C505" s="1" t="str">
        <f>Annex!J239</f>
        <v>Female</v>
      </c>
      <c r="D505" s="1">
        <f>Annex!D239</f>
        <v>32</v>
      </c>
      <c r="E505" s="1" t="str">
        <f>Annex!K239</f>
        <v>Singaporean</v>
      </c>
      <c r="F505" s="1" t="str">
        <f>Annex!L239</f>
        <v xml:space="preserve">Case 504 is a Imported case, 32 years old female Singapore Citizen  and has been to Netherlands, UK . She is currently admitted at NCID . </v>
      </c>
      <c r="G505" s="2">
        <v>43913</v>
      </c>
      <c r="H505" s="19">
        <v>43916</v>
      </c>
      <c r="I505" s="1"/>
      <c r="J505" s="1"/>
      <c r="K505" s="1"/>
      <c r="L505" s="1" t="str">
        <f>Annex!C239</f>
        <v xml:space="preserve">NCID </v>
      </c>
      <c r="M505" s="5" t="s">
        <v>1219</v>
      </c>
    </row>
    <row r="506" spans="1:13" ht="13.8" customHeight="1" x14ac:dyDescent="0.3">
      <c r="A506" s="1">
        <f>Annex!A240</f>
        <v>505</v>
      </c>
      <c r="B506" s="1" t="str">
        <f>IF(LEFT(Annex!H240,5)="Local","Local Transmission",Annex!H240)</f>
        <v>Imported</v>
      </c>
      <c r="C506" s="1" t="str">
        <f>Annex!J240</f>
        <v>Male</v>
      </c>
      <c r="D506" s="1">
        <f>Annex!D240</f>
        <v>24</v>
      </c>
      <c r="E506" s="1" t="str">
        <f>Annex!K240</f>
        <v>Singaporean</v>
      </c>
      <c r="F506" s="1" t="str">
        <f>Annex!L240</f>
        <v xml:space="preserve">Case 505 is a Imported case, 24 years old male Singapore Citizen  and has been to UK . He is currently admitted at NCID . </v>
      </c>
      <c r="G506" s="2">
        <v>43913</v>
      </c>
      <c r="H506" s="1"/>
      <c r="I506" s="1"/>
      <c r="J506" s="1"/>
      <c r="K506" s="1"/>
      <c r="L506" s="1" t="str">
        <f>Annex!C240</f>
        <v xml:space="preserve">NCID </v>
      </c>
      <c r="M506" s="5" t="s">
        <v>1219</v>
      </c>
    </row>
    <row r="507" spans="1:13" ht="13.8" customHeight="1" x14ac:dyDescent="0.3">
      <c r="A507" s="1">
        <f>Annex!A241</f>
        <v>506</v>
      </c>
      <c r="B507" s="1" t="str">
        <f>IF(LEFT(Annex!H241,5)="Local","Local Transmission",Annex!H241)</f>
        <v>Imported</v>
      </c>
      <c r="C507" s="1" t="str">
        <f>Annex!J241</f>
        <v>Male</v>
      </c>
      <c r="D507" s="1">
        <f>Annex!D241</f>
        <v>49</v>
      </c>
      <c r="E507" s="1" t="str">
        <f>Annex!K241</f>
        <v>Australia</v>
      </c>
      <c r="F507" s="1" t="str">
        <f>Annex!L241</f>
        <v xml:space="preserve">Case 506 is a Imported case, 49 years old male Australia (Singapore Work Pass holder)  and has been to France, UK . He is currently admitted at NCID . </v>
      </c>
      <c r="G507" s="2">
        <v>43913</v>
      </c>
      <c r="H507" s="1"/>
      <c r="I507" s="1"/>
      <c r="J507" s="1"/>
      <c r="K507" s="1"/>
      <c r="L507" s="1" t="str">
        <f>Annex!C241</f>
        <v xml:space="preserve">NCID </v>
      </c>
      <c r="M507" s="5" t="s">
        <v>1219</v>
      </c>
    </row>
    <row r="508" spans="1:13" ht="13.8" customHeight="1" x14ac:dyDescent="0.3">
      <c r="A508" s="1">
        <f>Annex!A242</f>
        <v>507</v>
      </c>
      <c r="B508" s="1" t="str">
        <f>IF(LEFT(Annex!H242,5)="Local","Local Transmission",Annex!H242)</f>
        <v>Imported</v>
      </c>
      <c r="C508" s="1" t="str">
        <f>Annex!J242</f>
        <v>Female</v>
      </c>
      <c r="D508" s="1">
        <f>Annex!D242</f>
        <v>29</v>
      </c>
      <c r="E508" s="1" t="str">
        <f>Annex!K242</f>
        <v>Singaporean</v>
      </c>
      <c r="F508" s="1" t="str">
        <f>Annex!L242</f>
        <v xml:space="preserve">Case 507 is a Imported case, 29 years old female Singapore Citizen  and has been to UK . She is currently admitted at NCID . </v>
      </c>
      <c r="G508" s="2">
        <v>43913</v>
      </c>
      <c r="H508" s="1"/>
      <c r="I508" s="1"/>
      <c r="J508" s="1"/>
      <c r="K508" s="1"/>
      <c r="L508" s="1" t="str">
        <f>Annex!C242</f>
        <v xml:space="preserve">NCID </v>
      </c>
      <c r="M508" s="5" t="s">
        <v>1219</v>
      </c>
    </row>
    <row r="509" spans="1:13" ht="13.8" customHeight="1" x14ac:dyDescent="0.3">
      <c r="A509" s="1">
        <f>Annex!A243</f>
        <v>508</v>
      </c>
      <c r="B509" s="1" t="str">
        <f>IF(LEFT(Annex!H243,5)="Local","Local Transmission",Annex!H243)</f>
        <v>Imported</v>
      </c>
      <c r="C509" s="1" t="str">
        <f>Annex!J243</f>
        <v>Male</v>
      </c>
      <c r="D509" s="1">
        <f>Annex!D243</f>
        <v>23</v>
      </c>
      <c r="E509" s="1" t="str">
        <f>Annex!K243</f>
        <v>Singaporean</v>
      </c>
      <c r="F509" s="1" t="str">
        <f>Annex!L243</f>
        <v xml:space="preserve">Case 508 is a Imported case, 23 years old male Singapore Citizen  and has been to UK . He is currently admitted at NCID . </v>
      </c>
      <c r="G509" s="2">
        <v>43913</v>
      </c>
      <c r="H509" s="1"/>
      <c r="I509" s="1"/>
      <c r="J509" s="1"/>
      <c r="K509" s="1"/>
      <c r="L509" s="1" t="str">
        <f>Annex!C243</f>
        <v xml:space="preserve">NCID </v>
      </c>
      <c r="M509" s="5" t="s">
        <v>1219</v>
      </c>
    </row>
    <row r="510" spans="1:13" ht="13.8" customHeight="1" x14ac:dyDescent="0.3">
      <c r="A510" s="1">
        <f>Annex!A244</f>
        <v>509</v>
      </c>
      <c r="B510" s="1" t="str">
        <f>IF(LEFT(Annex!H244,5)="Local","Local Transmission",Annex!H244)</f>
        <v xml:space="preserve">Imported </v>
      </c>
      <c r="C510" s="1" t="str">
        <f>Annex!J244</f>
        <v>Male</v>
      </c>
      <c r="D510" s="1">
        <f>Annex!D244</f>
        <v>53</v>
      </c>
      <c r="E510" s="1" t="str">
        <f>Annex!K244</f>
        <v>Singaporean</v>
      </c>
      <c r="F510" s="1" t="str">
        <f>Annex!L244</f>
        <v>Case 509 is a Imported  case, 53 years old male Singapore Citizen  and has been to Indonesia . He is currently admitted at NCID . Contact of Case 212</v>
      </c>
      <c r="G510" s="2">
        <v>43913</v>
      </c>
      <c r="H510" s="64">
        <v>43923</v>
      </c>
      <c r="I510" s="1"/>
      <c r="J510" s="1"/>
      <c r="K510" s="1"/>
      <c r="L510" s="1" t="str">
        <f>Annex!C244</f>
        <v xml:space="preserve">NCID </v>
      </c>
      <c r="M510" s="5" t="s">
        <v>1219</v>
      </c>
    </row>
    <row r="511" spans="1:13" ht="13.8" customHeight="1" x14ac:dyDescent="0.3">
      <c r="A511" s="1">
        <f>Annex!A245</f>
        <v>510</v>
      </c>
      <c r="B511" s="1" t="str">
        <f>IF(LEFT(Annex!H245,5)="Local","Local Transmission",Annex!H245)</f>
        <v>Local Transmission</v>
      </c>
      <c r="C511" s="1" t="str">
        <f>Annex!J245</f>
        <v>Female</v>
      </c>
      <c r="D511" s="1">
        <f>Annex!D245</f>
        <v>52</v>
      </c>
      <c r="E511" s="1" t="str">
        <f>Annex!K245</f>
        <v>Singaporean</v>
      </c>
      <c r="F511" s="1" t="str">
        <f>Annex!L245</f>
        <v xml:space="preserve">Case 510 is a Local unlinked case, 52 years old female Singapore Citizen  and has been to Malaysia . She is currently admitted at KTPH . </v>
      </c>
      <c r="G511" s="2">
        <v>43914</v>
      </c>
      <c r="H511" s="1"/>
      <c r="I511" s="1"/>
      <c r="J511" s="1"/>
      <c r="K511" s="1"/>
      <c r="L511" s="1" t="str">
        <f>Annex!C245</f>
        <v xml:space="preserve">KTPH </v>
      </c>
      <c r="M511" s="5" t="s">
        <v>1234</v>
      </c>
    </row>
    <row r="512" spans="1:13" ht="13.8" customHeight="1" x14ac:dyDescent="0.3">
      <c r="A512" s="1">
        <f>Annex!A246</f>
        <v>511</v>
      </c>
      <c r="B512" s="1" t="str">
        <f>IF(LEFT(Annex!H246,5)="Local","Local Transmission",Annex!H246)</f>
        <v>Local Transmission</v>
      </c>
      <c r="C512" s="1" t="str">
        <f>Annex!J246</f>
        <v>Male</v>
      </c>
      <c r="D512" s="1">
        <f>Annex!D246</f>
        <v>53</v>
      </c>
      <c r="E512" s="1" t="str">
        <f>Annex!K246</f>
        <v>Singaporean</v>
      </c>
      <c r="F512" s="1" t="str">
        <f>Annex!L246</f>
        <v xml:space="preserve">Case 511 is a Local unlinked case, 53 years old male Singapore Citizen  and has been to Malaysia . He is currently admitted at KTPH . </v>
      </c>
      <c r="G512" s="2">
        <v>43914</v>
      </c>
      <c r="H512" s="1"/>
      <c r="I512" s="1"/>
      <c r="J512" s="1"/>
      <c r="K512" s="1"/>
      <c r="L512" s="1" t="str">
        <f>Annex!C246</f>
        <v xml:space="preserve">KTPH </v>
      </c>
      <c r="M512" s="5" t="s">
        <v>1234</v>
      </c>
    </row>
    <row r="513" spans="1:13" ht="13.8" customHeight="1" x14ac:dyDescent="0.3">
      <c r="A513" s="1">
        <f>Annex!A247</f>
        <v>512</v>
      </c>
      <c r="B513" s="1" t="str">
        <f>IF(LEFT(Annex!H247,5)="Local","Local Transmission",Annex!H247)</f>
        <v>Imported</v>
      </c>
      <c r="C513" s="1" t="str">
        <f>Annex!J247</f>
        <v>Female</v>
      </c>
      <c r="D513" s="1">
        <f>Annex!D247</f>
        <v>21</v>
      </c>
      <c r="E513" s="1" t="str">
        <f>Annex!K247</f>
        <v>Singaporean</v>
      </c>
      <c r="F513" s="1" t="str">
        <f>Annex!L247</f>
        <v xml:space="preserve">Case 512 is a Imported case, 21 years old female Singapore Citizen  and has been to UK . She is currently admitted at NCID . </v>
      </c>
      <c r="G513" s="2">
        <v>43914</v>
      </c>
      <c r="H513" s="68">
        <v>43924</v>
      </c>
      <c r="I513" s="1"/>
      <c r="J513" s="1"/>
      <c r="K513" s="1"/>
      <c r="L513" s="1" t="str">
        <f>Annex!C247</f>
        <v xml:space="preserve">NCID </v>
      </c>
      <c r="M513" s="5" t="s">
        <v>1234</v>
      </c>
    </row>
    <row r="514" spans="1:13" ht="13.8" customHeight="1" x14ac:dyDescent="0.3">
      <c r="A514" s="1">
        <f>Annex!A248</f>
        <v>513</v>
      </c>
      <c r="B514" s="1" t="str">
        <f>IF(LEFT(Annex!H248,5)="Local","Local Transmission",Annex!H248)</f>
        <v>Imported</v>
      </c>
      <c r="C514" s="1" t="str">
        <f>Annex!J248</f>
        <v>Male</v>
      </c>
      <c r="D514" s="1">
        <f>Annex!D248</f>
        <v>21</v>
      </c>
      <c r="E514" s="1" t="str">
        <f>Annex!K248</f>
        <v>Singaporean</v>
      </c>
      <c r="F514" s="1" t="str">
        <f>Annex!L248</f>
        <v xml:space="preserve">Case 513 is a Imported case, 21 years old male Singapore Citizen  and has been to Pending . He is currently admitted at NCID . </v>
      </c>
      <c r="G514" s="2">
        <v>43914</v>
      </c>
      <c r="H514" s="1"/>
      <c r="I514" s="1"/>
      <c r="J514" s="1"/>
      <c r="K514" s="1"/>
      <c r="L514" s="1" t="str">
        <f>Annex!C248</f>
        <v xml:space="preserve">NCID </v>
      </c>
      <c r="M514" s="5" t="s">
        <v>1234</v>
      </c>
    </row>
    <row r="515" spans="1:13" ht="13.8" customHeight="1" x14ac:dyDescent="0.3">
      <c r="A515" s="1">
        <f>Annex!A249</f>
        <v>514</v>
      </c>
      <c r="B515" s="1" t="str">
        <f>IF(LEFT(Annex!H249,5)="Local","Local Transmission",Annex!H249)</f>
        <v>Imported</v>
      </c>
      <c r="C515" s="1" t="str">
        <f>Annex!J249</f>
        <v>Female</v>
      </c>
      <c r="D515" s="1">
        <f>Annex!D249</f>
        <v>18</v>
      </c>
      <c r="E515" s="1" t="str">
        <f>Annex!K249</f>
        <v xml:space="preserve">India </v>
      </c>
      <c r="F515" s="1" t="str">
        <f>Annex!L249</f>
        <v xml:space="preserve">Case 514 is a Imported case, 18 years old female India  and has been to Pending . She is currently admitted at NCID . </v>
      </c>
      <c r="G515" s="2">
        <v>43914</v>
      </c>
      <c r="H515" s="1"/>
      <c r="I515" s="1"/>
      <c r="J515" s="1"/>
      <c r="K515" s="1"/>
      <c r="L515" s="1" t="str">
        <f>Annex!C249</f>
        <v xml:space="preserve">NCID </v>
      </c>
      <c r="M515" s="5" t="s">
        <v>1234</v>
      </c>
    </row>
    <row r="516" spans="1:13" ht="13.8" customHeight="1" x14ac:dyDescent="0.3">
      <c r="A516" s="1">
        <f>Annex!A250</f>
        <v>515</v>
      </c>
      <c r="B516" s="1" t="str">
        <f>IF(LEFT(Annex!H250,5)="Local","Local Transmission",Annex!H250)</f>
        <v>Imported</v>
      </c>
      <c r="C516" s="1" t="str">
        <f>Annex!J250</f>
        <v>Male</v>
      </c>
      <c r="D516" s="1">
        <f>Annex!D250</f>
        <v>24</v>
      </c>
      <c r="E516" s="1" t="str">
        <f>Annex!K250</f>
        <v>Singaporean</v>
      </c>
      <c r="F516" s="1" t="str">
        <f>Annex!L250</f>
        <v xml:space="preserve">Case 515 is a Imported case, 24 years old male Singapore Citizen  and has been to US . He is currently admitted at NTFGH . </v>
      </c>
      <c r="G516" s="2">
        <v>43914</v>
      </c>
      <c r="H516" s="1"/>
      <c r="I516" s="1"/>
      <c r="J516" s="1"/>
      <c r="K516" s="1"/>
      <c r="L516" s="1" t="str">
        <f>Annex!C250</f>
        <v xml:space="preserve">NTFGH </v>
      </c>
      <c r="M516" s="5" t="s">
        <v>1234</v>
      </c>
    </row>
    <row r="517" spans="1:13" ht="13.8" customHeight="1" x14ac:dyDescent="0.3">
      <c r="A517" s="1">
        <f>Annex!A251</f>
        <v>516</v>
      </c>
      <c r="B517" s="1" t="str">
        <f>IF(LEFT(Annex!H251,5)="Local","Local Transmission",Annex!H251)</f>
        <v>Local Transmission</v>
      </c>
      <c r="C517" s="1" t="str">
        <f>Annex!J251</f>
        <v>Female</v>
      </c>
      <c r="D517" s="1">
        <f>Annex!D251</f>
        <v>42</v>
      </c>
      <c r="E517" s="1" t="str">
        <f>Annex!K251</f>
        <v>Singaporean</v>
      </c>
      <c r="F517" s="1" t="str">
        <f>Annex!L251</f>
        <v xml:space="preserve">Case 516 is a Local unlinked case, 42 years old female Singapore Citizen  and has not been overseas. She is currently admitted at CGH . </v>
      </c>
      <c r="G517" s="2">
        <v>43914</v>
      </c>
      <c r="H517" s="1"/>
      <c r="I517" s="1"/>
      <c r="J517" s="1"/>
      <c r="K517" s="1"/>
      <c r="L517" s="1" t="str">
        <f>Annex!C251</f>
        <v xml:space="preserve">CGH </v>
      </c>
      <c r="M517" s="5" t="s">
        <v>1234</v>
      </c>
    </row>
    <row r="518" spans="1:13" ht="13.8" customHeight="1" x14ac:dyDescent="0.3">
      <c r="A518" s="1">
        <f>Annex!A252</f>
        <v>517</v>
      </c>
      <c r="B518" s="1" t="str">
        <f>IF(LEFT(Annex!H252,5)="Local","Local Transmission",Annex!H252)</f>
        <v xml:space="preserve">Imported </v>
      </c>
      <c r="C518" s="1" t="str">
        <f>Annex!J252</f>
        <v>Male</v>
      </c>
      <c r="D518" s="1">
        <f>Annex!D252</f>
        <v>37</v>
      </c>
      <c r="E518" s="1" t="str">
        <f>Annex!K252</f>
        <v>Singaporean</v>
      </c>
      <c r="F518" s="1" t="str">
        <f>Annex!L252</f>
        <v>Case 517 is a Imported  case, 37 years old male Singapore Citizen  and has been to France, UK . He is currently admitted at NCID . Family member of Case 459; Contact of Case 490</v>
      </c>
      <c r="G518" s="2">
        <v>43914</v>
      </c>
      <c r="H518" s="1"/>
      <c r="I518" s="1"/>
      <c r="J518" s="1"/>
      <c r="K518" s="1"/>
      <c r="L518" s="1" t="str">
        <f>Annex!C252</f>
        <v xml:space="preserve">NCID </v>
      </c>
      <c r="M518" s="5" t="s">
        <v>1234</v>
      </c>
    </row>
    <row r="519" spans="1:13" ht="13.8" customHeight="1" x14ac:dyDescent="0.3">
      <c r="A519" s="1">
        <f>Annex!A253</f>
        <v>518</v>
      </c>
      <c r="B519" s="1" t="str">
        <f>IF(LEFT(Annex!H253,5)="Local","Local Transmission",Annex!H253)</f>
        <v>Imported</v>
      </c>
      <c r="C519" s="1" t="str">
        <f>Annex!J253</f>
        <v>Male</v>
      </c>
      <c r="D519" s="1">
        <f>Annex!D253</f>
        <v>46</v>
      </c>
      <c r="E519" s="1" t="str">
        <f>Annex!K253</f>
        <v>Australia</v>
      </c>
      <c r="F519" s="1" t="str">
        <f>Annex!L253</f>
        <v xml:space="preserve">Case 518 is a Imported case, 46 years old male Australia (Long Term Pass holder)  and has been to US . He is currently admitted at SGH . </v>
      </c>
      <c r="G519" s="2">
        <v>43914</v>
      </c>
      <c r="H519" s="1"/>
      <c r="I519" s="1"/>
      <c r="J519" s="1"/>
      <c r="K519" s="1"/>
      <c r="L519" s="1" t="str">
        <f>Annex!C253</f>
        <v xml:space="preserve">SGH </v>
      </c>
      <c r="M519" s="5" t="s">
        <v>1234</v>
      </c>
    </row>
    <row r="520" spans="1:13" ht="13.8" customHeight="1" x14ac:dyDescent="0.3">
      <c r="A520" s="1">
        <f>Annex!A254</f>
        <v>519</v>
      </c>
      <c r="B520" s="1" t="str">
        <f>IF(LEFT(Annex!H254,5)="Local","Local Transmission",Annex!H254)</f>
        <v>Imported</v>
      </c>
      <c r="C520" s="1" t="str">
        <f>Annex!J254</f>
        <v>Male</v>
      </c>
      <c r="D520" s="1">
        <f>Annex!D254</f>
        <v>44</v>
      </c>
      <c r="E520" s="1" t="str">
        <f>Annex!K254</f>
        <v xml:space="preserve">Germany </v>
      </c>
      <c r="F520" s="1" t="str">
        <f>Annex!L254</f>
        <v xml:space="preserve">Case 519 is a Imported case, 44 years old male Germany  and has been to Germany . He is currently admitted at SGH . </v>
      </c>
      <c r="G520" s="2">
        <v>43914</v>
      </c>
      <c r="H520" s="1"/>
      <c r="I520" s="1"/>
      <c r="J520" s="1"/>
      <c r="K520" s="1"/>
      <c r="L520" s="1" t="str">
        <f>Annex!C254</f>
        <v xml:space="preserve">SGH </v>
      </c>
      <c r="M520" s="5" t="s">
        <v>1234</v>
      </c>
    </row>
    <row r="521" spans="1:13" ht="13.8" customHeight="1" x14ac:dyDescent="0.3">
      <c r="A521" s="1">
        <f>Annex!A255</f>
        <v>520</v>
      </c>
      <c r="B521" s="1" t="str">
        <f>IF(LEFT(Annex!H255,5)="Local","Local Transmission",Annex!H255)</f>
        <v>Local Transmission</v>
      </c>
      <c r="C521" s="1" t="str">
        <f>Annex!J255</f>
        <v>Male</v>
      </c>
      <c r="D521" s="1">
        <f>Annex!D255</f>
        <v>71</v>
      </c>
      <c r="E521" s="1" t="str">
        <f>Annex!K255</f>
        <v>Singaporean</v>
      </c>
      <c r="F521" s="1" t="str">
        <f>Annex!L255</f>
        <v>Case 520 is a Local linked  case, 71 years old male Singapore Citizen  and has not been overseas. He is currently admitted at . Contact of Case 94</v>
      </c>
      <c r="G521" s="2">
        <v>43914</v>
      </c>
      <c r="H521" s="2">
        <v>43914</v>
      </c>
      <c r="I521" s="1"/>
      <c r="J521" s="1"/>
      <c r="K521" s="1"/>
      <c r="L521" s="1"/>
      <c r="M521" s="5" t="s">
        <v>1234</v>
      </c>
    </row>
    <row r="522" spans="1:13" ht="13.8" customHeight="1" x14ac:dyDescent="0.3">
      <c r="A522" s="1">
        <f>Annex!A256</f>
        <v>521</v>
      </c>
      <c r="B522" s="1" t="str">
        <f>IF(LEFT(Annex!H256,5)="Local","Local Transmission",Annex!H256)</f>
        <v>Local Transmission</v>
      </c>
      <c r="C522" s="1" t="str">
        <f>Annex!J256</f>
        <v>Female</v>
      </c>
      <c r="D522" s="1">
        <f>Annex!D256</f>
        <v>37</v>
      </c>
      <c r="E522" s="1" t="str">
        <f>Annex!K256</f>
        <v>Singaporean</v>
      </c>
      <c r="F522" s="1" t="str">
        <f>Annex!L256</f>
        <v xml:space="preserve">Case 521 is a Local unlinked case, 37 years old female Singapore Citizen  and has been to Malaysia . She is currently admitted at CGH . </v>
      </c>
      <c r="G522" s="2">
        <v>43914</v>
      </c>
      <c r="H522" s="1"/>
      <c r="I522" s="1"/>
      <c r="J522" s="1"/>
      <c r="K522" s="1"/>
      <c r="L522" s="1" t="str">
        <f>Annex!C256</f>
        <v xml:space="preserve">CGH </v>
      </c>
      <c r="M522" s="5" t="s">
        <v>1234</v>
      </c>
    </row>
    <row r="523" spans="1:13" ht="13.8" customHeight="1" x14ac:dyDescent="0.3">
      <c r="A523" s="1">
        <f>Annex!A257</f>
        <v>522</v>
      </c>
      <c r="B523" s="1" t="str">
        <f>IF(LEFT(Annex!H257,5)="Local","Local Transmission",Annex!H257)</f>
        <v>Imported</v>
      </c>
      <c r="C523" s="1" t="str">
        <f>Annex!J257</f>
        <v>Female</v>
      </c>
      <c r="D523" s="1">
        <f>Annex!D257</f>
        <v>45</v>
      </c>
      <c r="E523" s="1" t="str">
        <f>Annex!K257</f>
        <v>Singaporean</v>
      </c>
      <c r="F523" s="1" t="str">
        <f>Annex!L257</f>
        <v xml:space="preserve">Case 522 is a Imported case, 45 years old female Singapore Permanent Resident  and has been to US . She is currently admitted at NCID . </v>
      </c>
      <c r="G523" s="2">
        <v>43914</v>
      </c>
      <c r="H523" s="1"/>
      <c r="I523" s="1"/>
      <c r="J523" s="1"/>
      <c r="K523" s="1"/>
      <c r="L523" s="1" t="str">
        <f>Annex!C257</f>
        <v xml:space="preserve">NCID </v>
      </c>
      <c r="M523" s="5" t="s">
        <v>1234</v>
      </c>
    </row>
    <row r="524" spans="1:13" ht="13.8" customHeight="1" x14ac:dyDescent="0.3">
      <c r="A524" s="1">
        <f>Annex!A258</f>
        <v>523</v>
      </c>
      <c r="B524" s="1" t="str">
        <f>IF(LEFT(Annex!H258,5)="Local","Local Transmission",Annex!H258)</f>
        <v xml:space="preserve">Imported </v>
      </c>
      <c r="C524" s="1" t="str">
        <f>Annex!J258</f>
        <v>Male</v>
      </c>
      <c r="D524" s="1">
        <f>Annex!D258</f>
        <v>9</v>
      </c>
      <c r="E524" s="1" t="str">
        <f>Annex!K258</f>
        <v>Philippines</v>
      </c>
      <c r="F524" s="1" t="str">
        <f>Annex!L258</f>
        <v>Case 523 is a Imported  case, 9 years old male Philippines (Long Term Pass holder)  and has been to Philippines . He is currently admitted at KKH . Family member of Case 394</v>
      </c>
      <c r="G524" s="2">
        <v>43914</v>
      </c>
      <c r="H524" s="1"/>
      <c r="I524" s="1"/>
      <c r="J524" s="1"/>
      <c r="K524" s="1"/>
      <c r="L524" s="1" t="str">
        <f>Annex!C258</f>
        <v xml:space="preserve">KKH </v>
      </c>
      <c r="M524" s="5" t="s">
        <v>1234</v>
      </c>
    </row>
    <row r="525" spans="1:13" ht="13.8" customHeight="1" x14ac:dyDescent="0.3">
      <c r="A525" s="1">
        <f>Annex!A259</f>
        <v>524</v>
      </c>
      <c r="B525" s="1" t="str">
        <f>IF(LEFT(Annex!H259,5)="Local","Local Transmission",Annex!H259)</f>
        <v>Local Transmission</v>
      </c>
      <c r="C525" s="1" t="str">
        <f>Annex!J259</f>
        <v>Male</v>
      </c>
      <c r="D525" s="1">
        <f>Annex!D259</f>
        <v>61</v>
      </c>
      <c r="E525" s="1" t="str">
        <f>Annex!K259</f>
        <v>Singaporean</v>
      </c>
      <c r="F525" s="1" t="str">
        <f>Annex!L259</f>
        <v xml:space="preserve">Case 524 is a Local unlinked case, 61 years old male Singapore Citizen  and has not been overseas. He is currently admitted at NCID . </v>
      </c>
      <c r="G525" s="2">
        <v>43914</v>
      </c>
      <c r="H525" s="1"/>
      <c r="I525" s="1"/>
      <c r="J525" s="1"/>
      <c r="K525" s="1"/>
      <c r="L525" s="1" t="str">
        <f>Annex!C259</f>
        <v xml:space="preserve">NCID </v>
      </c>
      <c r="M525" s="5" t="s">
        <v>1234</v>
      </c>
    </row>
    <row r="526" spans="1:13" ht="13.8" customHeight="1" x14ac:dyDescent="0.3">
      <c r="A526" s="1">
        <f>Annex!A260</f>
        <v>525</v>
      </c>
      <c r="B526" s="1" t="str">
        <f>IF(LEFT(Annex!H260,5)="Local","Local Transmission",Annex!H260)</f>
        <v>Local Transmission</v>
      </c>
      <c r="C526" s="1" t="str">
        <f>Annex!J260</f>
        <v>Female</v>
      </c>
      <c r="D526" s="1">
        <f>Annex!D260</f>
        <v>64</v>
      </c>
      <c r="E526" s="1" t="str">
        <f>Annex!K260</f>
        <v>Singaporean</v>
      </c>
      <c r="F526" s="1" t="str">
        <f>Annex!L260</f>
        <v xml:space="preserve">Case 525 is a Local unlinked case, 64 years old female Singapore Citizen  and has not been overseas. She is currently admitted at NCID . </v>
      </c>
      <c r="G526" s="2">
        <v>43914</v>
      </c>
      <c r="H526" s="1"/>
      <c r="I526" s="1"/>
      <c r="J526" s="1"/>
      <c r="K526" s="1"/>
      <c r="L526" s="1" t="str">
        <f>Annex!C260</f>
        <v xml:space="preserve">NCID </v>
      </c>
      <c r="M526" s="5" t="s">
        <v>1234</v>
      </c>
    </row>
    <row r="527" spans="1:13" ht="13.8" customHeight="1" x14ac:dyDescent="0.3">
      <c r="A527" s="1">
        <f>Annex!A261</f>
        <v>526</v>
      </c>
      <c r="B527" s="1" t="str">
        <f>IF(LEFT(Annex!H261,5)="Local","Local Transmission",Annex!H261)</f>
        <v>Imported</v>
      </c>
      <c r="C527" s="1" t="str">
        <f>Annex!J261</f>
        <v>Female</v>
      </c>
      <c r="D527" s="1">
        <f>Annex!D261</f>
        <v>22</v>
      </c>
      <c r="E527" s="1" t="str">
        <f>Annex!K261</f>
        <v>Singaporean</v>
      </c>
      <c r="F527" s="1" t="str">
        <f>Annex!L261</f>
        <v xml:space="preserve">Case 526 is a Imported case, 22 years old female Singapore Citizen  and has been to US . She is currently admitted at NCID . </v>
      </c>
      <c r="G527" s="2">
        <v>43914</v>
      </c>
      <c r="H527" s="1"/>
      <c r="I527" s="1"/>
      <c r="J527" s="1"/>
      <c r="K527" s="1"/>
      <c r="L527" s="1" t="str">
        <f>Annex!C261</f>
        <v xml:space="preserve">NCID </v>
      </c>
      <c r="M527" s="5" t="s">
        <v>1234</v>
      </c>
    </row>
    <row r="528" spans="1:13" ht="13.8" customHeight="1" x14ac:dyDescent="0.3">
      <c r="A528" s="1">
        <f>Annex!A262</f>
        <v>527</v>
      </c>
      <c r="B528" s="1" t="str">
        <f>IF(LEFT(Annex!H262,5)="Local","Local Transmission",Annex!H262)</f>
        <v>Local Transmission</v>
      </c>
      <c r="C528" s="1" t="str">
        <f>Annex!J262</f>
        <v>Male</v>
      </c>
      <c r="D528" s="1">
        <f>Annex!D262</f>
        <v>44</v>
      </c>
      <c r="E528" s="1" t="str">
        <f>Annex!K262</f>
        <v>Singaporean</v>
      </c>
      <c r="F528" s="1" t="str">
        <f>Annex!L262</f>
        <v xml:space="preserve">Case 527 is a Local unlinked case, 44 years old male Singapore Citizen  and has not been overseas. He is currently admitted at KTPH . </v>
      </c>
      <c r="G528" s="2">
        <v>43914</v>
      </c>
      <c r="H528" s="1"/>
      <c r="I528" s="1"/>
      <c r="J528" s="1"/>
      <c r="K528" s="1"/>
      <c r="L528" s="1" t="str">
        <f>Annex!C262</f>
        <v xml:space="preserve">KTPH </v>
      </c>
      <c r="M528" s="5" t="s">
        <v>1234</v>
      </c>
    </row>
    <row r="529" spans="1:13" ht="13.8" customHeight="1" x14ac:dyDescent="0.3">
      <c r="A529" s="1">
        <f>Annex!A263</f>
        <v>528</v>
      </c>
      <c r="B529" s="1" t="str">
        <f>IF(LEFT(Annex!H263,5)="Local","Local Transmission",Annex!H263)</f>
        <v>Local Transmission</v>
      </c>
      <c r="C529" s="1" t="str">
        <f>Annex!J263</f>
        <v>Male</v>
      </c>
      <c r="D529" s="1">
        <f>Annex!D263</f>
        <v>50</v>
      </c>
      <c r="E529" s="1" t="str">
        <f>Annex!K263</f>
        <v>Singaporean</v>
      </c>
      <c r="F529" s="1" t="str">
        <f>Annex!L263</f>
        <v xml:space="preserve">Case 528 is a Local unlinked case, 50 years old male Singapore Citizen  and has not been overseas. He is currently admitted at KTPH . </v>
      </c>
      <c r="G529" s="2">
        <v>43914</v>
      </c>
      <c r="H529" s="1"/>
      <c r="I529" s="1"/>
      <c r="J529" s="1"/>
      <c r="K529" s="1"/>
      <c r="L529" s="1" t="str">
        <f>Annex!C263</f>
        <v xml:space="preserve">KTPH </v>
      </c>
      <c r="M529" s="5" t="s">
        <v>1234</v>
      </c>
    </row>
    <row r="530" spans="1:13" ht="13.8" customHeight="1" x14ac:dyDescent="0.3">
      <c r="A530" s="1">
        <f>Annex!A264</f>
        <v>529</v>
      </c>
      <c r="B530" s="1" t="str">
        <f>IF(LEFT(Annex!H264,5)="Local","Local Transmission",Annex!H264)</f>
        <v>Imported</v>
      </c>
      <c r="C530" s="1" t="str">
        <f>Annex!J264</f>
        <v>Female</v>
      </c>
      <c r="D530" s="1">
        <f>Annex!D264</f>
        <v>19</v>
      </c>
      <c r="E530" s="1" t="str">
        <f>Annex!K264</f>
        <v>Singaporean</v>
      </c>
      <c r="F530" s="1" t="str">
        <f>Annex!L264</f>
        <v xml:space="preserve">Case 529 is a Imported case, 19 years old female Singapore Citizen  and has been to Europe . She is currently admitted at NTFGH . </v>
      </c>
      <c r="G530" s="2">
        <v>43914</v>
      </c>
      <c r="H530" s="64">
        <v>43923</v>
      </c>
      <c r="I530" s="1"/>
      <c r="J530" s="1"/>
      <c r="K530" s="1"/>
      <c r="L530" s="1" t="str">
        <f>Annex!C264</f>
        <v xml:space="preserve">NTFGH </v>
      </c>
      <c r="M530" s="5" t="s">
        <v>1234</v>
      </c>
    </row>
    <row r="531" spans="1:13" ht="13.8" customHeight="1" x14ac:dyDescent="0.3">
      <c r="A531" s="1">
        <f>Annex!A265</f>
        <v>530</v>
      </c>
      <c r="B531" s="1" t="str">
        <f>IF(LEFT(Annex!H265,5)="Local","Local Transmission",Annex!H265)</f>
        <v>Imported</v>
      </c>
      <c r="C531" s="1" t="str">
        <f>Annex!J265</f>
        <v>Male</v>
      </c>
      <c r="D531" s="1">
        <f>Annex!D265</f>
        <v>35</v>
      </c>
      <c r="E531" s="1" t="str">
        <f>Annex!K265</f>
        <v>Singaporean</v>
      </c>
      <c r="F531" s="1" t="str">
        <f>Annex!L265</f>
        <v xml:space="preserve">Case 530 is a Imported case, 35 years old male Singapore Citizen  and has been to US . He is currently admitted at NUH . </v>
      </c>
      <c r="G531" s="2">
        <v>43914</v>
      </c>
      <c r="H531" s="1"/>
      <c r="I531" s="1"/>
      <c r="J531" s="1"/>
      <c r="K531" s="1"/>
      <c r="L531" s="1" t="str">
        <f>Annex!C265</f>
        <v xml:space="preserve">NUH </v>
      </c>
      <c r="M531" s="5" t="s">
        <v>1234</v>
      </c>
    </row>
    <row r="532" spans="1:13" ht="13.8" customHeight="1" x14ac:dyDescent="0.3">
      <c r="A532" s="1">
        <f>Annex!A266</f>
        <v>531</v>
      </c>
      <c r="B532" s="1" t="str">
        <f>IF(LEFT(Annex!H266,5)="Local","Local Transmission",Annex!H266)</f>
        <v>Local Transmission</v>
      </c>
      <c r="C532" s="1" t="str">
        <f>Annex!J266</f>
        <v>Male</v>
      </c>
      <c r="D532" s="1">
        <f>Annex!D266</f>
        <v>43</v>
      </c>
      <c r="E532" s="1" t="str">
        <f>Annex!K266</f>
        <v>India</v>
      </c>
      <c r="F532" s="1" t="str">
        <f>Annex!L266</f>
        <v xml:space="preserve">Case 531 is a Local unlinked case, 43 years old male India (Singapore Work Pass holder)   and has not been overseas. He is currently admitted at SKH . </v>
      </c>
      <c r="G532" s="2">
        <v>43914</v>
      </c>
      <c r="H532" s="1"/>
      <c r="I532" s="1"/>
      <c r="J532" s="1"/>
      <c r="K532" s="1"/>
      <c r="L532" s="1" t="str">
        <f>Annex!C266</f>
        <v xml:space="preserve">SKH </v>
      </c>
      <c r="M532" s="5" t="s">
        <v>1234</v>
      </c>
    </row>
    <row r="533" spans="1:13" ht="13.8" customHeight="1" x14ac:dyDescent="0.3">
      <c r="A533" s="1">
        <f>Annex!A267</f>
        <v>532</v>
      </c>
      <c r="B533" s="1" t="str">
        <f>IF(LEFT(Annex!H267,5)="Local","Local Transmission",Annex!H267)</f>
        <v>Imported</v>
      </c>
      <c r="C533" s="1" t="str">
        <f>Annex!J267</f>
        <v>Male</v>
      </c>
      <c r="D533" s="1">
        <f>Annex!D267</f>
        <v>44</v>
      </c>
      <c r="E533" s="1" t="str">
        <f>Annex!K267</f>
        <v>Singaporean</v>
      </c>
      <c r="F533" s="1" t="str">
        <f>Annex!L267</f>
        <v xml:space="preserve">Case 532 is a Imported case, 44 years old male Singapore Citizen  and has been to ASEAN . He is currently admitted at SKH . </v>
      </c>
      <c r="G533" s="2">
        <v>43914</v>
      </c>
      <c r="H533" s="1"/>
      <c r="I533" s="1"/>
      <c r="J533" s="1"/>
      <c r="K533" s="1"/>
      <c r="L533" s="1" t="str">
        <f>Annex!C267</f>
        <v xml:space="preserve">SKH </v>
      </c>
      <c r="M533" s="5" t="s">
        <v>1234</v>
      </c>
    </row>
    <row r="534" spans="1:13" ht="13.8" customHeight="1" x14ac:dyDescent="0.3">
      <c r="A534" s="1">
        <f>Annex!A268</f>
        <v>533</v>
      </c>
      <c r="B534" s="1" t="str">
        <f>IF(LEFT(Annex!H268,5)="Local","Local Transmission",Annex!H268)</f>
        <v>Local Transmission</v>
      </c>
      <c r="C534" s="1" t="str">
        <f>Annex!J268</f>
        <v>Male</v>
      </c>
      <c r="D534" s="1">
        <f>Annex!D268</f>
        <v>61</v>
      </c>
      <c r="E534" s="1" t="str">
        <f>Annex!K268</f>
        <v>Singaporean</v>
      </c>
      <c r="F534" s="1" t="str">
        <f>Annex!L268</f>
        <v xml:space="preserve">Case 533 is a Local unlinked case, 61 years old male Singapore Citizen  and has not been overseas. He is currently admitted at SKH . </v>
      </c>
      <c r="G534" s="2">
        <v>43914</v>
      </c>
      <c r="H534" s="1"/>
      <c r="I534" s="1"/>
      <c r="J534" s="1"/>
      <c r="K534" s="1"/>
      <c r="L534" s="1" t="str">
        <f>Annex!C268</f>
        <v xml:space="preserve">SKH </v>
      </c>
      <c r="M534" s="5" t="s">
        <v>1234</v>
      </c>
    </row>
    <row r="535" spans="1:13" ht="13.8" customHeight="1" x14ac:dyDescent="0.3">
      <c r="A535" s="1">
        <f>Annex!A269</f>
        <v>534</v>
      </c>
      <c r="B535" s="1" t="str">
        <f>IF(LEFT(Annex!H269,5)="Local","Local Transmission",Annex!H269)</f>
        <v xml:space="preserve">Imported </v>
      </c>
      <c r="C535" s="1" t="str">
        <f>Annex!J269</f>
        <v>Male</v>
      </c>
      <c r="D535" s="1">
        <f>Annex!D269</f>
        <v>34</v>
      </c>
      <c r="E535" s="1" t="str">
        <f>Annex!K269</f>
        <v>UK</v>
      </c>
      <c r="F535" s="1" t="str">
        <f>Annex!L269</f>
        <v xml:space="preserve">Case 534 is a Imported  case, 34 years old male UK (Singapore Work Pass holder)  and has been to Europe . He is currently admitted at NCID . </v>
      </c>
      <c r="G535" s="2">
        <v>43914</v>
      </c>
      <c r="H535" s="1"/>
      <c r="I535" s="1"/>
      <c r="J535" s="1"/>
      <c r="K535" s="1"/>
      <c r="L535" s="1" t="str">
        <f>Annex!C269</f>
        <v xml:space="preserve">NCID </v>
      </c>
      <c r="M535" s="5" t="s">
        <v>1234</v>
      </c>
    </row>
    <row r="536" spans="1:13" ht="13.8" customHeight="1" x14ac:dyDescent="0.3">
      <c r="A536" s="1">
        <f>Annex!A270</f>
        <v>535</v>
      </c>
      <c r="B536" s="1" t="str">
        <f>IF(LEFT(Annex!H270,5)="Local","Local Transmission",Annex!H270)</f>
        <v>Local Transmission</v>
      </c>
      <c r="C536" s="1" t="str">
        <f>Annex!J270</f>
        <v>Male</v>
      </c>
      <c r="D536" s="1">
        <f>Annex!D270</f>
        <v>61</v>
      </c>
      <c r="E536" s="1" t="str">
        <f>Annex!K270</f>
        <v>Singaporean</v>
      </c>
      <c r="F536" s="1" t="str">
        <f>Annex!L270</f>
        <v xml:space="preserve">Case 535 is a Local Unlinked case, 61 years old male Singapore Citizen  and has not been overseas. He is currently admitted at NTFGH . </v>
      </c>
      <c r="G536" s="2">
        <v>43914</v>
      </c>
      <c r="H536" s="64">
        <v>43923</v>
      </c>
      <c r="I536" s="1"/>
      <c r="J536" s="1"/>
      <c r="K536" s="1"/>
      <c r="L536" s="1" t="str">
        <f>Annex!C270</f>
        <v xml:space="preserve">NTFGH </v>
      </c>
      <c r="M536" s="5" t="s">
        <v>1234</v>
      </c>
    </row>
    <row r="537" spans="1:13" ht="13.8" customHeight="1" x14ac:dyDescent="0.3">
      <c r="A537" s="1">
        <f>Annex!A271</f>
        <v>536</v>
      </c>
      <c r="B537" s="1" t="str">
        <f>IF(LEFT(Annex!H271,5)="Local","Local Transmission",Annex!H271)</f>
        <v>Local Transmission</v>
      </c>
      <c r="C537" s="1" t="str">
        <f>Annex!J271</f>
        <v>Female</v>
      </c>
      <c r="D537" s="1">
        <f>Annex!D271</f>
        <v>86</v>
      </c>
      <c r="E537" s="1" t="str">
        <f>Annex!K271</f>
        <v>Singaporean</v>
      </c>
      <c r="F537" s="1" t="str">
        <f>Annex!L271</f>
        <v xml:space="preserve">Case 536 is a Local unlinked case, 86 years old female Singapore Citizen  and has not been overseas. She is currently admitted at MAH . </v>
      </c>
      <c r="G537" s="2">
        <v>43914</v>
      </c>
      <c r="H537" s="1"/>
      <c r="I537" s="1"/>
      <c r="J537" s="1"/>
      <c r="K537" s="1"/>
      <c r="L537" s="1" t="str">
        <f>Annex!C271</f>
        <v xml:space="preserve">MAH </v>
      </c>
      <c r="M537" s="5" t="s">
        <v>1234</v>
      </c>
    </row>
    <row r="538" spans="1:13" ht="13.8" customHeight="1" x14ac:dyDescent="0.3">
      <c r="A538" s="1">
        <f>Annex!A272</f>
        <v>537</v>
      </c>
      <c r="B538" s="1" t="str">
        <f>IF(LEFT(Annex!H272,5)="Local","Local Transmission",Annex!H272)</f>
        <v>Imported</v>
      </c>
      <c r="C538" s="1" t="str">
        <f>Annex!J272</f>
        <v>Female</v>
      </c>
      <c r="D538" s="1">
        <f>Annex!D272</f>
        <v>22</v>
      </c>
      <c r="E538" s="1" t="str">
        <f>Annex!K272</f>
        <v>Singaporean</v>
      </c>
      <c r="F538" s="1" t="str">
        <f>Annex!L272</f>
        <v xml:space="preserve">Case 537 is a Imported case, 22 years old female Singapore Citizen  and has been to Europe . She is currently admitted at NCID . </v>
      </c>
      <c r="G538" s="2">
        <v>43914</v>
      </c>
      <c r="H538" s="1"/>
      <c r="I538" s="1"/>
      <c r="J538" s="1"/>
      <c r="K538" s="1"/>
      <c r="L538" s="1" t="str">
        <f>Annex!C272</f>
        <v xml:space="preserve">NCID </v>
      </c>
      <c r="M538" s="5" t="s">
        <v>1234</v>
      </c>
    </row>
    <row r="539" spans="1:13" ht="13.8" customHeight="1" x14ac:dyDescent="0.3">
      <c r="A539" s="1">
        <f>Annex!A273</f>
        <v>538</v>
      </c>
      <c r="B539" s="1" t="str">
        <f>IF(LEFT(Annex!H273,5)="Local","Local Transmission",Annex!H273)</f>
        <v>Imported</v>
      </c>
      <c r="C539" s="1" t="str">
        <f>Annex!J273</f>
        <v>Male</v>
      </c>
      <c r="D539" s="1">
        <f>Annex!D273</f>
        <v>50</v>
      </c>
      <c r="E539" s="1" t="str">
        <f>Annex!K273</f>
        <v>Singaporean</v>
      </c>
      <c r="F539" s="1" t="str">
        <f>Annex!L273</f>
        <v xml:space="preserve">Case 538 is a Imported case, 50 years old male Singapore Citizen  and has been to ASEAN . He is currently admitted at NCID . </v>
      </c>
      <c r="G539" s="2">
        <v>43914</v>
      </c>
      <c r="H539" s="1"/>
      <c r="I539" s="1"/>
      <c r="J539" s="1"/>
      <c r="K539" s="1"/>
      <c r="L539" s="1" t="str">
        <f>Annex!C273</f>
        <v xml:space="preserve">NCID </v>
      </c>
      <c r="M539" s="5" t="s">
        <v>1234</v>
      </c>
    </row>
    <row r="540" spans="1:13" ht="13.8" customHeight="1" x14ac:dyDescent="0.3">
      <c r="A540" s="1">
        <f>Annex!A274</f>
        <v>539</v>
      </c>
      <c r="B540" s="1" t="str">
        <f>IF(LEFT(Annex!H274,5)="Local","Local Transmission",Annex!H274)</f>
        <v>Local Transmission</v>
      </c>
      <c r="C540" s="1" t="str">
        <f>Annex!J274</f>
        <v>Female</v>
      </c>
      <c r="D540" s="1">
        <f>Annex!D274</f>
        <v>74</v>
      </c>
      <c r="E540" s="1" t="str">
        <f>Annex!K274</f>
        <v>Singaporean</v>
      </c>
      <c r="F540" s="1" t="str">
        <f>Annex!L274</f>
        <v>Case 539 is a Local linked  case, 74 years old female Singapore Citizen  and has not been overseas. She is currently admitted at SGH . Contact of Cases 338 and 367</v>
      </c>
      <c r="G540" s="2">
        <v>43914</v>
      </c>
      <c r="H540" s="53">
        <v>43922</v>
      </c>
      <c r="I540" s="1"/>
      <c r="J540" s="1"/>
      <c r="K540" s="1"/>
      <c r="L540" s="1" t="str">
        <f>Annex!C274</f>
        <v xml:space="preserve">SGH </v>
      </c>
      <c r="M540" s="5" t="s">
        <v>1234</v>
      </c>
    </row>
    <row r="541" spans="1:13" ht="13.8" customHeight="1" x14ac:dyDescent="0.3">
      <c r="A541" s="1">
        <f>Annex!A275</f>
        <v>540</v>
      </c>
      <c r="B541" s="1" t="str">
        <f>IF(LEFT(Annex!H275,5)="Local","Local Transmission",Annex!H275)</f>
        <v>Imported</v>
      </c>
      <c r="C541" s="1" t="str">
        <f>Annex!J275</f>
        <v>Male</v>
      </c>
      <c r="D541" s="1">
        <f>Annex!D275</f>
        <v>23</v>
      </c>
      <c r="E541" s="1" t="str">
        <f>Annex!K275</f>
        <v>Singaporean</v>
      </c>
      <c r="F541" s="1" t="str">
        <f>Annex!L275</f>
        <v xml:space="preserve">Case 540 is a Imported case, 23 years old male Singapore Citizen  and has been to US . He is currently admitted at NUH . </v>
      </c>
      <c r="G541" s="2">
        <v>43914</v>
      </c>
      <c r="H541" s="1"/>
      <c r="I541" s="1"/>
      <c r="J541" s="1"/>
      <c r="K541" s="1"/>
      <c r="L541" s="1" t="str">
        <f>Annex!C275</f>
        <v xml:space="preserve">NUH </v>
      </c>
      <c r="M541" s="5" t="s">
        <v>1234</v>
      </c>
    </row>
    <row r="542" spans="1:13" ht="13.8" customHeight="1" x14ac:dyDescent="0.3">
      <c r="A542" s="1">
        <f>Annex!A276</f>
        <v>541</v>
      </c>
      <c r="B542" s="1" t="str">
        <f>IF(LEFT(Annex!H276,5)="Local","Local Transmission",Annex!H276)</f>
        <v>Imported</v>
      </c>
      <c r="C542" s="1" t="str">
        <f>Annex!J276</f>
        <v>Female</v>
      </c>
      <c r="D542" s="1">
        <f>Annex!D276</f>
        <v>20</v>
      </c>
      <c r="E542" s="1" t="str">
        <f>Annex!K276</f>
        <v>Singaporean</v>
      </c>
      <c r="F542" s="1" t="str">
        <f>Annex!L276</f>
        <v xml:space="preserve">Case 541 is a Imported case, 20 years old female Singapore Citizen  and has been to Europe . She is currently admitted at NCID . </v>
      </c>
      <c r="G542" s="2">
        <v>43914</v>
      </c>
      <c r="H542" s="19">
        <v>43917</v>
      </c>
      <c r="I542" s="1"/>
      <c r="J542" s="1"/>
      <c r="K542" s="1"/>
      <c r="L542" s="1" t="str">
        <f>Annex!C276</f>
        <v xml:space="preserve">NCID </v>
      </c>
      <c r="M542" s="5" t="s">
        <v>1234</v>
      </c>
    </row>
    <row r="543" spans="1:13" ht="13.8" customHeight="1" x14ac:dyDescent="0.3">
      <c r="A543" s="1">
        <f>Annex!A277</f>
        <v>542</v>
      </c>
      <c r="B543" s="1" t="str">
        <f>IF(LEFT(Annex!H277,5)="Local","Local Transmission",Annex!H277)</f>
        <v>Imported</v>
      </c>
      <c r="C543" s="1" t="str">
        <f>Annex!J277</f>
        <v>Male</v>
      </c>
      <c r="D543" s="1">
        <f>Annex!D277</f>
        <v>23</v>
      </c>
      <c r="E543" s="1" t="str">
        <f>Annex!K277</f>
        <v>Singaporean</v>
      </c>
      <c r="F543" s="1" t="str">
        <f>Annex!L277</f>
        <v xml:space="preserve">Case 542 is a Imported case, 23 years old male Singapore Citizen  and has been to Europe . He is currently admitted at NCID . </v>
      </c>
      <c r="G543" s="2">
        <v>43914</v>
      </c>
      <c r="H543" s="1"/>
      <c r="I543" s="1"/>
      <c r="J543" s="1"/>
      <c r="K543" s="1"/>
      <c r="L543" s="1" t="str">
        <f>Annex!C277</f>
        <v xml:space="preserve">NCID </v>
      </c>
      <c r="M543" s="5" t="s">
        <v>1234</v>
      </c>
    </row>
    <row r="544" spans="1:13" ht="13.8" customHeight="1" x14ac:dyDescent="0.3">
      <c r="A544" s="1">
        <f>Annex!A278</f>
        <v>543</v>
      </c>
      <c r="B544" s="1" t="str">
        <f>IF(LEFT(Annex!H278,5)="Local","Local Transmission",Annex!H278)</f>
        <v>Imported</v>
      </c>
      <c r="C544" s="1" t="str">
        <f>Annex!J278</f>
        <v>Female</v>
      </c>
      <c r="D544" s="1">
        <f>Annex!D278</f>
        <v>19</v>
      </c>
      <c r="E544" s="1" t="str">
        <f>Annex!K278</f>
        <v>Singaporean</v>
      </c>
      <c r="F544" s="1" t="str">
        <f>Annex!L278</f>
        <v xml:space="preserve">Case 543 is a Imported case, 19 years old female Singapore Citizen  and has been to Europe . She is currently admitted at NCID . </v>
      </c>
      <c r="G544" s="2">
        <v>43914</v>
      </c>
      <c r="H544" s="1"/>
      <c r="I544" s="1"/>
      <c r="J544" s="1"/>
      <c r="K544" s="1"/>
      <c r="L544" s="1" t="str">
        <f>Annex!C278</f>
        <v xml:space="preserve">NCID </v>
      </c>
      <c r="M544" s="5" t="s">
        <v>1234</v>
      </c>
    </row>
    <row r="545" spans="1:13" ht="13.8" customHeight="1" x14ac:dyDescent="0.3">
      <c r="A545" s="1">
        <f>Annex!A279</f>
        <v>544</v>
      </c>
      <c r="B545" s="1" t="str">
        <f>IF(LEFT(Annex!H279,5)="Local","Local Transmission",Annex!H279)</f>
        <v>Imported</v>
      </c>
      <c r="C545" s="1" t="str">
        <f>Annex!J279</f>
        <v>Male</v>
      </c>
      <c r="D545" s="1">
        <f>Annex!D279</f>
        <v>55</v>
      </c>
      <c r="E545" s="1" t="str">
        <f>Annex!K279</f>
        <v>Singaporean</v>
      </c>
      <c r="F545" s="1" t="str">
        <f>Annex!L279</f>
        <v xml:space="preserve">Case 544 is a Imported case, 55 years old male Singapore Citizen  and has been to Europe . He is currently admitted at NCID . </v>
      </c>
      <c r="G545" s="2">
        <v>43914</v>
      </c>
      <c r="H545" s="1"/>
      <c r="I545" s="1"/>
      <c r="J545" s="1"/>
      <c r="K545" s="1"/>
      <c r="L545" s="1" t="str">
        <f>Annex!C279</f>
        <v xml:space="preserve">NCID </v>
      </c>
      <c r="M545" s="5" t="s">
        <v>1234</v>
      </c>
    </row>
    <row r="546" spans="1:13" ht="13.8" customHeight="1" x14ac:dyDescent="0.3">
      <c r="A546" s="1">
        <f>Annex!A280</f>
        <v>545</v>
      </c>
      <c r="B546" s="1" t="str">
        <f>IF(LEFT(Annex!H280,5)="Local","Local Transmission",Annex!H280)</f>
        <v xml:space="preserve">Imported </v>
      </c>
      <c r="C546" s="1" t="str">
        <f>Annex!J280</f>
        <v>Female</v>
      </c>
      <c r="D546" s="1">
        <f>Annex!D280</f>
        <v>75</v>
      </c>
      <c r="E546" s="1" t="str">
        <f>Annex!K280</f>
        <v>Indonesia</v>
      </c>
      <c r="F546" s="1" t="str">
        <f>Annex!L280</f>
        <v>Case 545 is a Imported  case, 75 years old female Indonesia (Long Term Pass holder)  and has been to ASEAN . She is currently admitted at NCID . Family member of Case 403</v>
      </c>
      <c r="G546" s="2">
        <v>43914</v>
      </c>
      <c r="H546" s="1"/>
      <c r="I546" s="1"/>
      <c r="J546" s="1"/>
      <c r="K546" s="1"/>
      <c r="L546" s="1" t="str">
        <f>Annex!C280</f>
        <v xml:space="preserve">NCID </v>
      </c>
      <c r="M546" s="5" t="s">
        <v>1234</v>
      </c>
    </row>
    <row r="547" spans="1:13" ht="13.8" customHeight="1" x14ac:dyDescent="0.3">
      <c r="A547" s="1">
        <f>Annex!A281</f>
        <v>546</v>
      </c>
      <c r="B547" s="1" t="str">
        <f>IF(LEFT(Annex!H281,5)="Local","Local Transmission",Annex!H281)</f>
        <v>Imported</v>
      </c>
      <c r="C547" s="1" t="str">
        <f>Annex!J281</f>
        <v>Male</v>
      </c>
      <c r="D547" s="1">
        <f>Annex!D281</f>
        <v>27</v>
      </c>
      <c r="E547" s="1" t="str">
        <f>Annex!K281</f>
        <v>Singaporean</v>
      </c>
      <c r="F547" s="1" t="str">
        <f>Annex!L281</f>
        <v xml:space="preserve">Case 546 is a Imported case, 27 years old male Singapore Citizen  and has been to UK . He is currently admitted at NCID . </v>
      </c>
      <c r="G547" s="2">
        <v>43914</v>
      </c>
      <c r="H547" s="1"/>
      <c r="I547" s="1"/>
      <c r="J547" s="1"/>
      <c r="K547" s="1"/>
      <c r="L547" s="1" t="str">
        <f>Annex!C281</f>
        <v xml:space="preserve">NCID </v>
      </c>
      <c r="M547" s="5" t="s">
        <v>1234</v>
      </c>
    </row>
    <row r="548" spans="1:13" ht="13.8" customHeight="1" x14ac:dyDescent="0.3">
      <c r="A548" s="1">
        <f>Annex!A282</f>
        <v>547</v>
      </c>
      <c r="B548" s="1" t="str">
        <f>IF(LEFT(Annex!H282,5)="Local","Local Transmission",Annex!H282)</f>
        <v>Imported</v>
      </c>
      <c r="C548" s="1" t="str">
        <f>Annex!J282</f>
        <v>Female</v>
      </c>
      <c r="D548" s="1">
        <f>Annex!D282</f>
        <v>25</v>
      </c>
      <c r="E548" s="1" t="str">
        <f>Annex!K282</f>
        <v>Singaporean</v>
      </c>
      <c r="F548" s="1" t="str">
        <f>Annex!L282</f>
        <v xml:space="preserve">Case 547 is a Imported case, 25 years old female Singapore Citizen  and has been to UK . She is currently admitted at NCID . </v>
      </c>
      <c r="G548" s="2">
        <v>43914</v>
      </c>
      <c r="H548" s="1"/>
      <c r="I548" s="1"/>
      <c r="J548" s="1"/>
      <c r="K548" s="1"/>
      <c r="L548" s="1" t="str">
        <f>Annex!C282</f>
        <v xml:space="preserve">NCID </v>
      </c>
      <c r="M548" s="5" t="s">
        <v>1234</v>
      </c>
    </row>
    <row r="549" spans="1:13" ht="13.8" customHeight="1" x14ac:dyDescent="0.3">
      <c r="A549" s="1">
        <f>Annex!A283</f>
        <v>548</v>
      </c>
      <c r="B549" s="1" t="str">
        <f>IF(LEFT(Annex!H283,5)="Local","Local Transmission",Annex!H283)</f>
        <v>Imported</v>
      </c>
      <c r="C549" s="1" t="str">
        <f>Annex!J283</f>
        <v>Female</v>
      </c>
      <c r="D549" s="1">
        <f>Annex!D283</f>
        <v>44</v>
      </c>
      <c r="E549" s="1" t="str">
        <f>Annex!K283</f>
        <v>Singaporean</v>
      </c>
      <c r="F549" s="1" t="str">
        <f>Annex!L283</f>
        <v xml:space="preserve">Case 548 is a Imported case, 44 years old female Singapore Citizen  and has been to Spain . She is currently admitted at NCID . </v>
      </c>
      <c r="G549" s="2">
        <v>43914</v>
      </c>
      <c r="H549" s="1"/>
      <c r="I549" s="1"/>
      <c r="J549" s="1"/>
      <c r="K549" s="1"/>
      <c r="L549" s="1" t="str">
        <f>Annex!C283</f>
        <v xml:space="preserve">NCID </v>
      </c>
      <c r="M549" s="5" t="s">
        <v>1234</v>
      </c>
    </row>
    <row r="550" spans="1:13" ht="13.8" customHeight="1" x14ac:dyDescent="0.3">
      <c r="A550" s="1">
        <f>Annex!A284</f>
        <v>549</v>
      </c>
      <c r="B550" s="1" t="str">
        <f>IF(LEFT(Annex!H284,5)="Local","Local Transmission",Annex!H284)</f>
        <v>Imported</v>
      </c>
      <c r="C550" s="1" t="str">
        <f>Annex!J284</f>
        <v>Female</v>
      </c>
      <c r="D550" s="1">
        <f>Annex!D284</f>
        <v>21</v>
      </c>
      <c r="E550" s="1" t="str">
        <f>Annex!K284</f>
        <v>Singaporean</v>
      </c>
      <c r="F550" s="1" t="str">
        <f>Annex!L284</f>
        <v xml:space="preserve">Case 549 is a Imported case, 21 years old female Singapore Citizen  and has been to UK . She is currently admitted at NCID . </v>
      </c>
      <c r="G550" s="2">
        <v>43914</v>
      </c>
      <c r="H550" s="1"/>
      <c r="I550" s="1"/>
      <c r="J550" s="1"/>
      <c r="K550" s="1"/>
      <c r="L550" s="1" t="str">
        <f>Annex!C284</f>
        <v xml:space="preserve">NCID </v>
      </c>
      <c r="M550" s="5" t="s">
        <v>1234</v>
      </c>
    </row>
    <row r="551" spans="1:13" ht="13.8" customHeight="1" x14ac:dyDescent="0.3">
      <c r="A551" s="1">
        <f>Annex!A285</f>
        <v>550</v>
      </c>
      <c r="B551" s="1" t="str">
        <f>IF(LEFT(Annex!H285,5)="Local","Local Transmission",Annex!H285)</f>
        <v>Local Transmission</v>
      </c>
      <c r="C551" s="1" t="str">
        <f>Annex!J285</f>
        <v>Female</v>
      </c>
      <c r="D551" s="1">
        <f>Annex!D285</f>
        <v>24</v>
      </c>
      <c r="E551" s="1" t="str">
        <f>Annex!K285</f>
        <v>Singaporean</v>
      </c>
      <c r="F551" s="1" t="str">
        <f>Annex!L285</f>
        <v>Case 550 is a Local linked  case, 24 years old female Singapore Citizen  and has not been overseas. She is currently admitted at NCID . Family member of Case 451</v>
      </c>
      <c r="G551" s="2">
        <v>43914</v>
      </c>
      <c r="H551" s="1"/>
      <c r="I551" s="1"/>
      <c r="J551" s="1"/>
      <c r="K551" s="1"/>
      <c r="L551" s="1" t="str">
        <f>Annex!C285</f>
        <v xml:space="preserve">NCID </v>
      </c>
      <c r="M551" s="5" t="s">
        <v>1234</v>
      </c>
    </row>
    <row r="552" spans="1:13" ht="13.8" customHeight="1" x14ac:dyDescent="0.3">
      <c r="A552" s="1">
        <f>Annex!A286</f>
        <v>551</v>
      </c>
      <c r="B552" s="1" t="str">
        <f>IF(LEFT(Annex!H286,5)="Local","Local Transmission",Annex!H286)</f>
        <v>Imported</v>
      </c>
      <c r="C552" s="1" t="str">
        <f>Annex!J286</f>
        <v>Female</v>
      </c>
      <c r="D552" s="1">
        <f>Annex!D286</f>
        <v>22</v>
      </c>
      <c r="E552" s="1" t="str">
        <f>Annex!K286</f>
        <v>Singaporean</v>
      </c>
      <c r="F552" s="1" t="str">
        <f>Annex!L286</f>
        <v xml:space="preserve">Case 551 is a Imported case, 22 years old female Singapore Citizen  and has been to UK . She is currently admitted at NCID . </v>
      </c>
      <c r="G552" s="2">
        <v>43914</v>
      </c>
      <c r="H552" s="1"/>
      <c r="I552" s="1"/>
      <c r="J552" s="1"/>
      <c r="K552" s="1"/>
      <c r="L552" s="1" t="str">
        <f>Annex!C286</f>
        <v xml:space="preserve">NCID </v>
      </c>
      <c r="M552" s="5" t="s">
        <v>1234</v>
      </c>
    </row>
    <row r="553" spans="1:13" ht="13.8" customHeight="1" x14ac:dyDescent="0.3">
      <c r="A553" s="1">
        <f>Annex!A287</f>
        <v>552</v>
      </c>
      <c r="B553" s="1" t="str">
        <f>IF(LEFT(Annex!H287,5)="Local","Local Transmission",Annex!H287)</f>
        <v>Imported</v>
      </c>
      <c r="C553" s="1" t="str">
        <f>Annex!J287</f>
        <v>Female</v>
      </c>
      <c r="D553" s="1">
        <f>Annex!D287</f>
        <v>21</v>
      </c>
      <c r="E553" s="1" t="str">
        <f>Annex!K287</f>
        <v>Singaporean</v>
      </c>
      <c r="F553" s="1" t="str">
        <f>Annex!L287</f>
        <v xml:space="preserve">Case 552 is a Imported case, 21 years old female Singapore Permanent Resident  and has been to UK . She is currently admitted at NCID . </v>
      </c>
      <c r="G553" s="2">
        <v>43914</v>
      </c>
      <c r="H553" s="1"/>
      <c r="I553" s="1"/>
      <c r="J553" s="1"/>
      <c r="K553" s="1"/>
      <c r="L553" s="1" t="str">
        <f>Annex!C287</f>
        <v xml:space="preserve">NCID </v>
      </c>
      <c r="M553" s="5" t="s">
        <v>1234</v>
      </c>
    </row>
    <row r="554" spans="1:13" ht="13.8" customHeight="1" x14ac:dyDescent="0.3">
      <c r="A554" s="1">
        <f>Annex!A288</f>
        <v>553</v>
      </c>
      <c r="B554" s="1" t="str">
        <f>IF(LEFT(Annex!H288,5)="Local","Local Transmission",Annex!H288)</f>
        <v>Local Transmission</v>
      </c>
      <c r="C554" s="1" t="str">
        <f>Annex!J288</f>
        <v>Female</v>
      </c>
      <c r="D554" s="1">
        <f>Annex!D288</f>
        <v>57</v>
      </c>
      <c r="E554" s="1" t="str">
        <f>Annex!K288</f>
        <v>Singaporean</v>
      </c>
      <c r="F554" s="1" t="str">
        <f>Annex!L288</f>
        <v>Case 553 is a Local linked  case, 57 years old female Singapore Citizen  and has not been overseas. She is currently admitted at NCID . Contact of Case 384</v>
      </c>
      <c r="G554" s="2">
        <v>43914</v>
      </c>
      <c r="H554" s="1"/>
      <c r="I554" s="1"/>
      <c r="J554" s="1"/>
      <c r="K554" s="1"/>
      <c r="L554" s="1" t="str">
        <f>Annex!C288</f>
        <v xml:space="preserve">NCID </v>
      </c>
      <c r="M554" s="5" t="s">
        <v>1234</v>
      </c>
    </row>
    <row r="555" spans="1:13" ht="13.8" customHeight="1" x14ac:dyDescent="0.3">
      <c r="A555" s="1">
        <f>Annex!A289</f>
        <v>554</v>
      </c>
      <c r="B555" s="1" t="str">
        <f>IF(LEFT(Annex!H289,5)="Local","Local Transmission",Annex!H289)</f>
        <v>Imported</v>
      </c>
      <c r="C555" s="1" t="str">
        <f>Annex!J289</f>
        <v>Female</v>
      </c>
      <c r="D555" s="1">
        <f>Annex!D289</f>
        <v>24</v>
      </c>
      <c r="E555" s="1" t="str">
        <f>Annex!K289</f>
        <v>Malaysia</v>
      </c>
      <c r="F555" s="1" t="str">
        <f>Annex!L289</f>
        <v xml:space="preserve">Case 554 is a Imported case, 24 years old female Malaysia (Long Term Pass holder)  and has been to Turkey, United Arab Emirates . She is currently admitted at KTPH . </v>
      </c>
      <c r="G555" s="2">
        <v>43914</v>
      </c>
      <c r="H555" s="1"/>
      <c r="I555" s="1"/>
      <c r="J555" s="1"/>
      <c r="K555" s="1"/>
      <c r="L555" s="1" t="str">
        <f>Annex!C289</f>
        <v xml:space="preserve">KTPH </v>
      </c>
      <c r="M555" s="5" t="s">
        <v>1234</v>
      </c>
    </row>
    <row r="556" spans="1:13" ht="13.8" customHeight="1" x14ac:dyDescent="0.3">
      <c r="A556" s="1">
        <f>Annex!A290</f>
        <v>555</v>
      </c>
      <c r="B556" s="1" t="str">
        <f>IF(LEFT(Annex!H290,5)="Local","Local Transmission",Annex!H290)</f>
        <v>Imported</v>
      </c>
      <c r="C556" s="1" t="str">
        <f>Annex!J290</f>
        <v>Male</v>
      </c>
      <c r="D556" s="1">
        <f>Annex!D290</f>
        <v>24</v>
      </c>
      <c r="E556" s="1" t="str">
        <f>Annex!K290</f>
        <v>Singaporean</v>
      </c>
      <c r="F556" s="1" t="str">
        <f>Annex!L290</f>
        <v xml:space="preserve">Case 555 is a Imported case, 24 years old male Singapore Citizen  and has been to UK . He is currently admitted at NCID . </v>
      </c>
      <c r="G556" s="2">
        <v>43914</v>
      </c>
      <c r="H556" s="1"/>
      <c r="I556" s="1"/>
      <c r="J556" s="1"/>
      <c r="K556" s="1"/>
      <c r="L556" s="1" t="str">
        <f>Annex!C290</f>
        <v xml:space="preserve">NCID </v>
      </c>
      <c r="M556" s="5" t="s">
        <v>1234</v>
      </c>
    </row>
    <row r="557" spans="1:13" ht="13.8" customHeight="1" x14ac:dyDescent="0.3">
      <c r="A557" s="1">
        <f>Annex!A291</f>
        <v>556</v>
      </c>
      <c r="B557" s="1" t="str">
        <f>IF(LEFT(Annex!H291,5)="Local","Local Transmission",Annex!H291)</f>
        <v>Local Transmission</v>
      </c>
      <c r="C557" s="1" t="str">
        <f>Annex!J291</f>
        <v>Female</v>
      </c>
      <c r="D557" s="1">
        <f>Annex!D291</f>
        <v>27</v>
      </c>
      <c r="E557" s="1" t="str">
        <f>Annex!K291</f>
        <v>UK</v>
      </c>
      <c r="F557" s="1" t="str">
        <f>Annex!L291</f>
        <v xml:space="preserve">Case 556 is a Local unlinked case, 27 years old female UK (Singapore Work Pass holder)  and has been to Australia . She is currently admitted at NCID . </v>
      </c>
      <c r="G557" s="2">
        <v>43914</v>
      </c>
      <c r="H557" s="1"/>
      <c r="I557" s="1"/>
      <c r="J557" s="1"/>
      <c r="K557" s="1"/>
      <c r="L557" s="1" t="str">
        <f>Annex!C291</f>
        <v xml:space="preserve">NCID </v>
      </c>
      <c r="M557" s="5" t="s">
        <v>1234</v>
      </c>
    </row>
    <row r="558" spans="1:13" ht="13.8" customHeight="1" x14ac:dyDescent="0.3">
      <c r="A558" s="1">
        <f>Annex!A292</f>
        <v>557</v>
      </c>
      <c r="B558" s="1" t="str">
        <f>IF(LEFT(Annex!H292,5)="Local","Local Transmission",Annex!H292)</f>
        <v>Imported</v>
      </c>
      <c r="C558" s="1" t="str">
        <f>Annex!J292</f>
        <v>Male</v>
      </c>
      <c r="D558" s="1">
        <f>Annex!D292</f>
        <v>68</v>
      </c>
      <c r="E558" s="1" t="str">
        <f>Annex!K292</f>
        <v>Singaporean</v>
      </c>
      <c r="F558" s="1" t="str">
        <f>Annex!L292</f>
        <v xml:space="preserve">Case 557 is a Imported case, 68 years old male Singapore Citizen  and has been to Pakistan . He is currently admitted at NCID . </v>
      </c>
      <c r="G558" s="2">
        <v>43914</v>
      </c>
      <c r="H558" s="1"/>
      <c r="I558" s="1"/>
      <c r="J558" s="1"/>
      <c r="K558" s="1"/>
      <c r="L558" s="1" t="str">
        <f>Annex!C292</f>
        <v xml:space="preserve">NCID </v>
      </c>
      <c r="M558" s="5" t="s">
        <v>1234</v>
      </c>
    </row>
    <row r="559" spans="1:13" ht="13.8" customHeight="1" x14ac:dyDescent="0.3">
      <c r="A559" s="1">
        <f>Annex!A293</f>
        <v>558</v>
      </c>
      <c r="B559" s="1" t="str">
        <f>IF(LEFT(Annex!H293,5)="Local","Local Transmission",Annex!H293)</f>
        <v xml:space="preserve">Imported </v>
      </c>
      <c r="C559" s="1" t="str">
        <f>Annex!J293</f>
        <v>Male</v>
      </c>
      <c r="D559" s="1">
        <f>Annex!D293</f>
        <v>17</v>
      </c>
      <c r="E559" s="1" t="str">
        <f>Annex!K293</f>
        <v>Singaporean</v>
      </c>
      <c r="F559" s="1" t="str">
        <f>Annex!L293</f>
        <v xml:space="preserve">Case 558 is a Imported  case, 17 years old male Singapore Citizen  and has been to Malaysia . He is currently admitted at SGH . </v>
      </c>
      <c r="G559" s="2">
        <v>43914</v>
      </c>
      <c r="H559" s="1"/>
      <c r="I559" s="1"/>
      <c r="J559" s="1"/>
      <c r="K559" s="1"/>
      <c r="L559" s="1" t="str">
        <f>Annex!C293</f>
        <v xml:space="preserve">SGH </v>
      </c>
      <c r="M559" s="5" t="s">
        <v>1234</v>
      </c>
    </row>
    <row r="560" spans="1:13" ht="13.8" customHeight="1" x14ac:dyDescent="0.3">
      <c r="A560" s="1">
        <f>Annex!A294</f>
        <v>559</v>
      </c>
      <c r="B560" s="1" t="str">
        <f>IF(LEFT(Annex!H294,5)="Local","Local Transmission",Annex!H294)</f>
        <v>Imported</v>
      </c>
      <c r="C560" s="1" t="str">
        <f>Annex!J294</f>
        <v>Male</v>
      </c>
      <c r="D560" s="1">
        <f>Annex!D294</f>
        <v>22</v>
      </c>
      <c r="E560" s="1" t="str">
        <f>Annex!K294</f>
        <v>Singaporean</v>
      </c>
      <c r="F560" s="1" t="str">
        <f>Annex!L294</f>
        <v xml:space="preserve">Case 559 is a Imported case, 22 years old male Singapore Citizen  and has been to UK . He is currently admitted at NCID . </v>
      </c>
      <c r="G560" s="2">
        <v>43915</v>
      </c>
      <c r="H560" s="1"/>
      <c r="I560" s="1"/>
      <c r="J560" s="1"/>
      <c r="K560" s="1"/>
      <c r="L560" s="1" t="str">
        <f>Annex!C294</f>
        <v xml:space="preserve">NCID </v>
      </c>
      <c r="M560" s="13" t="s">
        <v>1264</v>
      </c>
    </row>
    <row r="561" spans="1:13" ht="13.8" customHeight="1" x14ac:dyDescent="0.3">
      <c r="A561" s="1">
        <f>Annex!A295</f>
        <v>560</v>
      </c>
      <c r="B561" s="1" t="str">
        <f>IF(LEFT(Annex!H295,5)="Local","Local Transmission",Annex!H295)</f>
        <v>Imported</v>
      </c>
      <c r="C561" s="1" t="str">
        <f>Annex!J295</f>
        <v>Male</v>
      </c>
      <c r="D561" s="1">
        <f>Annex!D295</f>
        <v>24</v>
      </c>
      <c r="E561" s="1" t="str">
        <f>Annex!K295</f>
        <v>Singaporean</v>
      </c>
      <c r="F561" s="1" t="str">
        <f>Annex!L295</f>
        <v xml:space="preserve">Case 560 is a Imported case, 24 years old male Singapore Citizen  and has been to US . He is currently admitted at NCID . </v>
      </c>
      <c r="G561" s="2">
        <v>43915</v>
      </c>
      <c r="H561" s="1"/>
      <c r="I561" s="1"/>
      <c r="J561" s="1"/>
      <c r="K561" s="1"/>
      <c r="L561" s="1" t="str">
        <f>Annex!C295</f>
        <v xml:space="preserve">NCID </v>
      </c>
      <c r="M561" s="13" t="s">
        <v>1264</v>
      </c>
    </row>
    <row r="562" spans="1:13" ht="13.8" customHeight="1" x14ac:dyDescent="0.3">
      <c r="A562" s="1">
        <f>Annex!A296</f>
        <v>561</v>
      </c>
      <c r="B562" s="1" t="str">
        <f>IF(LEFT(Annex!H296,5)="Local","Local Transmission",Annex!H296)</f>
        <v>Imported</v>
      </c>
      <c r="C562" s="1" t="str">
        <f>Annex!J296</f>
        <v>Male</v>
      </c>
      <c r="D562" s="1">
        <f>Annex!D296</f>
        <v>30</v>
      </c>
      <c r="E562" s="1" t="str">
        <f>Annex!K296</f>
        <v>Singaporean</v>
      </c>
      <c r="F562" s="1" t="str">
        <f>Annex!L296</f>
        <v xml:space="preserve">Case 561 is a Imported case, 30 years old male Singapore Citizen  and has been to France . He is currently admitted at NCID . </v>
      </c>
      <c r="G562" s="2">
        <v>43915</v>
      </c>
      <c r="H562" s="1"/>
      <c r="I562" s="1"/>
      <c r="J562" s="1"/>
      <c r="K562" s="1"/>
      <c r="L562" s="1" t="str">
        <f>Annex!C296</f>
        <v xml:space="preserve">NCID </v>
      </c>
      <c r="M562" s="13" t="s">
        <v>1264</v>
      </c>
    </row>
    <row r="563" spans="1:13" ht="13.8" customHeight="1" x14ac:dyDescent="0.3">
      <c r="A563" s="1">
        <f>Annex!A297</f>
        <v>562</v>
      </c>
      <c r="B563" s="1" t="str">
        <f>IF(LEFT(Annex!H297,5)="Local","Local Transmission",Annex!H297)</f>
        <v>Imported</v>
      </c>
      <c r="C563" s="1" t="str">
        <f>Annex!J297</f>
        <v>Female</v>
      </c>
      <c r="D563" s="1">
        <f>Annex!D297</f>
        <v>28</v>
      </c>
      <c r="E563" s="1" t="str">
        <f>Annex!K297</f>
        <v>Singaporean</v>
      </c>
      <c r="F563" s="1" t="str">
        <f>Annex!L297</f>
        <v xml:space="preserve">Case 562 is a Imported case, 28 years old female Singapore Permanent Resident  and has been to Indonesia . She is currently admitted at NTFGH . </v>
      </c>
      <c r="G563" s="2">
        <v>43915</v>
      </c>
      <c r="H563" s="1"/>
      <c r="I563" s="1"/>
      <c r="J563" s="1"/>
      <c r="K563" s="1"/>
      <c r="L563" s="1" t="str">
        <f>Annex!C297</f>
        <v xml:space="preserve">NTFGH </v>
      </c>
      <c r="M563" s="13" t="s">
        <v>1264</v>
      </c>
    </row>
    <row r="564" spans="1:13" ht="13.8" customHeight="1" x14ac:dyDescent="0.3">
      <c r="A564" s="1">
        <f>Annex!A298</f>
        <v>563</v>
      </c>
      <c r="B564" s="1" t="str">
        <f>IF(LEFT(Annex!H298,5)="Local","Local Transmission",Annex!H298)</f>
        <v>Imported</v>
      </c>
      <c r="C564" s="1" t="str">
        <f>Annex!J298</f>
        <v>Male</v>
      </c>
      <c r="D564" s="1">
        <f>Annex!D298</f>
        <v>25</v>
      </c>
      <c r="E564" s="1" t="str">
        <f>Annex!K298</f>
        <v>Singaporean</v>
      </c>
      <c r="F564" s="1" t="str">
        <f>Annex!L298</f>
        <v xml:space="preserve">Case 563 is a Imported case, 25 years old male Singapore Citizen  and has been to UK . He is currently admitted at NCID . </v>
      </c>
      <c r="G564" s="2">
        <v>43915</v>
      </c>
      <c r="H564" s="1"/>
      <c r="I564" s="1"/>
      <c r="J564" s="1"/>
      <c r="K564" s="1"/>
      <c r="L564" s="1" t="str">
        <f>Annex!C298</f>
        <v xml:space="preserve">NCID </v>
      </c>
      <c r="M564" s="13" t="s">
        <v>1264</v>
      </c>
    </row>
    <row r="565" spans="1:13" ht="13.8" customHeight="1" x14ac:dyDescent="0.3">
      <c r="A565" s="1">
        <f>Annex!A299</f>
        <v>564</v>
      </c>
      <c r="B565" s="1" t="str">
        <f>IF(LEFT(Annex!H299,5)="Local","Local Transmission",Annex!H299)</f>
        <v>Imported</v>
      </c>
      <c r="C565" s="1" t="str">
        <f>Annex!J299</f>
        <v>Male</v>
      </c>
      <c r="D565" s="1">
        <f>Annex!D299</f>
        <v>29</v>
      </c>
      <c r="E565" s="1" t="str">
        <f>Annex!K299</f>
        <v>France</v>
      </c>
      <c r="F565" s="1" t="str">
        <f>Annex!L299</f>
        <v xml:space="preserve">Case 564 is a Imported case, 29 years old male France (Singapore Work Pass holder)  and has been to Pending . He is currently admitted at NCID . </v>
      </c>
      <c r="G565" s="2">
        <v>43915</v>
      </c>
      <c r="H565" s="1"/>
      <c r="I565" s="1"/>
      <c r="J565" s="1"/>
      <c r="K565" s="1"/>
      <c r="L565" s="1" t="str">
        <f>Annex!C299</f>
        <v xml:space="preserve">NCID </v>
      </c>
      <c r="M565" s="13" t="s">
        <v>1264</v>
      </c>
    </row>
    <row r="566" spans="1:13" ht="13.8" customHeight="1" x14ac:dyDescent="0.3">
      <c r="A566" s="1">
        <f>Annex!A300</f>
        <v>565</v>
      </c>
      <c r="B566" s="1" t="str">
        <f>IF(LEFT(Annex!H300,5)="Local","Local Transmission",Annex!H300)</f>
        <v>Imported</v>
      </c>
      <c r="C566" s="1" t="str">
        <f>Annex!J300</f>
        <v>Female</v>
      </c>
      <c r="D566" s="1">
        <f>Annex!D300</f>
        <v>46</v>
      </c>
      <c r="E566" s="1" t="str">
        <f>Annex!K300</f>
        <v>Singaporean</v>
      </c>
      <c r="F566" s="1" t="str">
        <f>Annex!L300</f>
        <v xml:space="preserve">Case 565 is a Imported case, 46 years old female Singapore Permanent Resident  and has been to UK . She is currently admitted at NCID . </v>
      </c>
      <c r="G566" s="2">
        <v>43915</v>
      </c>
      <c r="H566" s="1"/>
      <c r="I566" s="1"/>
      <c r="J566" s="1"/>
      <c r="K566" s="1"/>
      <c r="L566" s="1" t="str">
        <f>Annex!C300</f>
        <v xml:space="preserve">NCID </v>
      </c>
      <c r="M566" s="13" t="s">
        <v>1264</v>
      </c>
    </row>
    <row r="567" spans="1:13" ht="13.8" customHeight="1" x14ac:dyDescent="0.3">
      <c r="A567" s="1">
        <f>Annex!A301</f>
        <v>566</v>
      </c>
      <c r="B567" s="1" t="str">
        <f>IF(LEFT(Annex!H301,5)="Local","Local Transmission",Annex!H301)</f>
        <v>Local Transmission</v>
      </c>
      <c r="C567" s="1" t="str">
        <f>Annex!J301</f>
        <v>Female</v>
      </c>
      <c r="D567" s="1">
        <f>Annex!D301</f>
        <v>67</v>
      </c>
      <c r="E567" s="1" t="str">
        <f>Annex!K301</f>
        <v>Singaporean</v>
      </c>
      <c r="F567" s="1" t="str">
        <f>Annex!L301</f>
        <v>Case 566 is a Local linked  case, 67 years old female Singapore Citizen  and has been to Malaysia . She is currently admitted at CGH. Family member of Cases 521, 567, 572 and 601 PCF Fengshan</v>
      </c>
      <c r="G567" s="2">
        <v>43915</v>
      </c>
      <c r="H567" s="1"/>
      <c r="I567" s="1"/>
      <c r="J567" s="1"/>
      <c r="K567" s="1"/>
      <c r="L567" s="1" t="str">
        <f>Annex!C301</f>
        <v>CGH</v>
      </c>
      <c r="M567" s="13" t="s">
        <v>1264</v>
      </c>
    </row>
    <row r="568" spans="1:13" ht="13.8" customHeight="1" x14ac:dyDescent="0.3">
      <c r="A568" s="1">
        <f>Annex!A302</f>
        <v>567</v>
      </c>
      <c r="B568" s="1" t="str">
        <f>IF(LEFT(Annex!H302,5)="Local","Local Transmission",Annex!H302)</f>
        <v>Local Transmission</v>
      </c>
      <c r="C568" s="1" t="str">
        <f>Annex!J302</f>
        <v>Male</v>
      </c>
      <c r="D568" s="1">
        <f>Annex!D302</f>
        <v>70</v>
      </c>
      <c r="E568" s="1" t="str">
        <f>Annex!K302</f>
        <v>Singaporean</v>
      </c>
      <c r="F568" s="1" t="str">
        <f>Annex!L302</f>
        <v>Case 567 is a Local linked  case, 70 years old male Singapore Citizen  and has been to Malaysia . He is currently admitted at CGH . Family member of Cases 521, 566, 572 and 601 PCF Fengshan</v>
      </c>
      <c r="G568" s="2">
        <v>43915</v>
      </c>
      <c r="H568" s="1"/>
      <c r="I568" s="1"/>
      <c r="J568" s="1"/>
      <c r="K568" s="1"/>
      <c r="L568" s="1" t="str">
        <f>Annex!C302</f>
        <v xml:space="preserve">CGH </v>
      </c>
      <c r="M568" s="13" t="s">
        <v>1264</v>
      </c>
    </row>
    <row r="569" spans="1:13" ht="13.8" customHeight="1" x14ac:dyDescent="0.3">
      <c r="A569" s="1">
        <f>Annex!A303</f>
        <v>568</v>
      </c>
      <c r="B569" s="1" t="str">
        <f>IF(LEFT(Annex!H303,5)="Local","Local Transmission",Annex!H303)</f>
        <v>Imported</v>
      </c>
      <c r="C569" s="1" t="str">
        <f>Annex!J303</f>
        <v>Male</v>
      </c>
      <c r="D569" s="1">
        <f>Annex!D303</f>
        <v>30</v>
      </c>
      <c r="E569" s="1" t="str">
        <f>Annex!K303</f>
        <v>Malaysia</v>
      </c>
      <c r="F569" s="1" t="str">
        <f>Annex!L303</f>
        <v xml:space="preserve">Case 568 is a Imported case, 30 years old male Malaysia (Singapore Work Pass holder)  and has been to Malaysia . He is currently admitted at NCID . </v>
      </c>
      <c r="G569" s="2">
        <v>43915</v>
      </c>
      <c r="H569" s="1"/>
      <c r="I569" s="1"/>
      <c r="J569" s="1"/>
      <c r="K569" s="1"/>
      <c r="L569" s="1" t="str">
        <f>Annex!C303</f>
        <v xml:space="preserve">NCID </v>
      </c>
      <c r="M569" s="13" t="s">
        <v>1264</v>
      </c>
    </row>
    <row r="570" spans="1:13" ht="13.8" customHeight="1" x14ac:dyDescent="0.3">
      <c r="A570" s="1">
        <f>Annex!A304</f>
        <v>569</v>
      </c>
      <c r="B570" s="1" t="str">
        <f>IF(LEFT(Annex!H304,5)="Local","Local Transmission",Annex!H304)</f>
        <v>Imported</v>
      </c>
      <c r="C570" s="1" t="str">
        <f>Annex!J304</f>
        <v>Female</v>
      </c>
      <c r="D570" s="1">
        <f>Annex!D304</f>
        <v>22</v>
      </c>
      <c r="E570" s="1" t="str">
        <f>Annex!K304</f>
        <v>Singaporean</v>
      </c>
      <c r="F570" s="1" t="str">
        <f>Annex!L304</f>
        <v xml:space="preserve">Case 569 is a Imported case, 22 years old female Singapore Citizen  and has been to UK . She is currently admitted at NCID . </v>
      </c>
      <c r="G570" s="2">
        <v>43915</v>
      </c>
      <c r="H570" s="1"/>
      <c r="I570" s="1"/>
      <c r="J570" s="1"/>
      <c r="K570" s="1"/>
      <c r="L570" s="1" t="str">
        <f>Annex!C304</f>
        <v xml:space="preserve">NCID </v>
      </c>
      <c r="M570" s="13" t="s">
        <v>1264</v>
      </c>
    </row>
    <row r="571" spans="1:13" ht="13.8" customHeight="1" x14ac:dyDescent="0.3">
      <c r="A571" s="1">
        <f>Annex!A305</f>
        <v>570</v>
      </c>
      <c r="B571" s="1" t="str">
        <f>IF(LEFT(Annex!H305,5)="Local","Local Transmission",Annex!H305)</f>
        <v>Local Transmission</v>
      </c>
      <c r="C571" s="1" t="str">
        <f>Annex!J305</f>
        <v>Male</v>
      </c>
      <c r="D571" s="1">
        <f>Annex!D305</f>
        <v>50</v>
      </c>
      <c r="E571" s="1" t="str">
        <f>Annex!K305</f>
        <v>Singaporean</v>
      </c>
      <c r="F571" s="1" t="str">
        <f>Annex!L305</f>
        <v>Case 570 is a Local linked  case, 50 years old male Singapore Citizen  and has not been overseas. He is currently admitted at SKH . Family member of Case 597</v>
      </c>
      <c r="G571" s="2">
        <v>43915</v>
      </c>
      <c r="H571" s="56">
        <v>43921</v>
      </c>
      <c r="I571" s="1"/>
      <c r="J571" s="1"/>
      <c r="K571" s="1"/>
      <c r="L571" s="1" t="str">
        <f>Annex!C305</f>
        <v xml:space="preserve">SKH </v>
      </c>
      <c r="M571" s="13" t="s">
        <v>1264</v>
      </c>
    </row>
    <row r="572" spans="1:13" ht="13.8" customHeight="1" x14ac:dyDescent="0.3">
      <c r="A572" s="1">
        <f>Annex!A306</f>
        <v>571</v>
      </c>
      <c r="B572" s="1" t="str">
        <f>IF(LEFT(Annex!H306,5)="Local","Local Transmission",Annex!H306)</f>
        <v>Imported</v>
      </c>
      <c r="C572" s="1" t="str">
        <f>Annex!J306</f>
        <v>Male</v>
      </c>
      <c r="D572" s="1">
        <f>Annex!D306</f>
        <v>52</v>
      </c>
      <c r="E572" s="1" t="str">
        <f>Annex!K306</f>
        <v xml:space="preserve">UK </v>
      </c>
      <c r="F572" s="1" t="str">
        <f>Annex!L306</f>
        <v xml:space="preserve">Case 571 is a Imported case, 52 years old male UK  and has been to UK . He is currently admitted at MEH . </v>
      </c>
      <c r="G572" s="2">
        <v>43915</v>
      </c>
      <c r="H572" s="1"/>
      <c r="I572" s="1"/>
      <c r="J572" s="1"/>
      <c r="K572" s="1"/>
      <c r="L572" s="1" t="str">
        <f>Annex!C306</f>
        <v xml:space="preserve">MEH </v>
      </c>
      <c r="M572" s="13" t="s">
        <v>1264</v>
      </c>
    </row>
    <row r="573" spans="1:13" ht="13.8" customHeight="1" x14ac:dyDescent="0.3">
      <c r="A573" s="1">
        <f>Annex!A307</f>
        <v>572</v>
      </c>
      <c r="B573" s="1" t="str">
        <f>IF(LEFT(Annex!H307,5)="Local","Local Transmission",Annex!H307)</f>
        <v>Local Transmission</v>
      </c>
      <c r="C573" s="1" t="str">
        <f>Annex!J307</f>
        <v>Female</v>
      </c>
      <c r="D573" s="1">
        <f>Annex!D307</f>
        <v>26</v>
      </c>
      <c r="E573" s="1" t="str">
        <f>Annex!K307</f>
        <v>Singaporean</v>
      </c>
      <c r="F573" s="1" t="str">
        <f>Annex!L307</f>
        <v>Case 572 is a Local linked  case, 26 years old female Singapore Citizen  and has not been overseas. She is currently admitted at CGH . Family member of Cases 521, 566, 567 and 601 PCF Fengshan</v>
      </c>
      <c r="G573" s="2">
        <v>43915</v>
      </c>
      <c r="H573" s="1"/>
      <c r="I573" s="1"/>
      <c r="J573" s="1"/>
      <c r="K573" s="1"/>
      <c r="L573" s="1" t="str">
        <f>Annex!C307</f>
        <v xml:space="preserve">CGH </v>
      </c>
      <c r="M573" s="13" t="s">
        <v>1264</v>
      </c>
    </row>
    <row r="574" spans="1:13" ht="13.8" customHeight="1" x14ac:dyDescent="0.3">
      <c r="A574" s="1">
        <f>Annex!A308</f>
        <v>573</v>
      </c>
      <c r="B574" s="1" t="str">
        <f>IF(LEFT(Annex!H308,5)="Local","Local Transmission",Annex!H308)</f>
        <v>Local Transmission</v>
      </c>
      <c r="C574" s="1" t="str">
        <f>Annex!J308</f>
        <v>Male</v>
      </c>
      <c r="D574" s="1">
        <f>Annex!D308</f>
        <v>45</v>
      </c>
      <c r="E574" s="1" t="str">
        <f>Annex!K308</f>
        <v>Singaporean</v>
      </c>
      <c r="F574" s="1" t="str">
        <f>Annex!L308</f>
        <v xml:space="preserve">Case 573 is a Local unlinked case, 45 years old male Singapore Citizen  and has not been overseas. He is currently admitted at CGH . </v>
      </c>
      <c r="G574" s="2">
        <v>43915</v>
      </c>
      <c r="H574" s="1"/>
      <c r="I574" s="1"/>
      <c r="J574" s="1"/>
      <c r="K574" s="1"/>
      <c r="L574" s="1" t="str">
        <f>Annex!C308</f>
        <v xml:space="preserve">CGH </v>
      </c>
      <c r="M574" s="13" t="s">
        <v>1264</v>
      </c>
    </row>
    <row r="575" spans="1:13" ht="13.8" customHeight="1" x14ac:dyDescent="0.3">
      <c r="A575" s="1">
        <f>Annex!A309</f>
        <v>574</v>
      </c>
      <c r="B575" s="1" t="str">
        <f>IF(LEFT(Annex!H309,5)="Local","Local Transmission",Annex!H309)</f>
        <v>Imported</v>
      </c>
      <c r="C575" s="1" t="str">
        <f>Annex!J309</f>
        <v>Male</v>
      </c>
      <c r="D575" s="1">
        <f>Annex!D309</f>
        <v>24</v>
      </c>
      <c r="E575" s="1" t="str">
        <f>Annex!K309</f>
        <v>Singaporean</v>
      </c>
      <c r="F575" s="1" t="str">
        <f>Annex!L309</f>
        <v xml:space="preserve">Case 574 is a Imported case, 24 years old male Singapore Citizen  and has been to Pending . He is currently admitted at NCID . </v>
      </c>
      <c r="G575" s="2">
        <v>43915</v>
      </c>
      <c r="H575" s="1"/>
      <c r="I575" s="1"/>
      <c r="J575" s="1"/>
      <c r="K575" s="1"/>
      <c r="L575" s="1" t="str">
        <f>Annex!C309</f>
        <v xml:space="preserve">NCID </v>
      </c>
      <c r="M575" s="13" t="s">
        <v>1264</v>
      </c>
    </row>
    <row r="576" spans="1:13" ht="13.8" customHeight="1" x14ac:dyDescent="0.3">
      <c r="A576" s="1">
        <f>Annex!A310</f>
        <v>575</v>
      </c>
      <c r="B576" s="1" t="str">
        <f>IF(LEFT(Annex!H310,5)="Local","Local Transmission",Annex!H310)</f>
        <v xml:space="preserve">Imported </v>
      </c>
      <c r="C576" s="1" t="str">
        <f>Annex!J310</f>
        <v>Male</v>
      </c>
      <c r="D576" s="1">
        <f>Annex!D310</f>
        <v>28</v>
      </c>
      <c r="E576" s="1" t="str">
        <f>Annex!K310</f>
        <v>Singaporean</v>
      </c>
      <c r="F576" s="1" t="str">
        <f>Annex!L310</f>
        <v xml:space="preserve">Case 575 is a Imported  case, 28 years old male Singapore Permanent Resident  and has been to Pending . He is currently admitted at NTFGH . </v>
      </c>
      <c r="G576" s="2">
        <v>43915</v>
      </c>
      <c r="H576" s="1"/>
      <c r="I576" s="1"/>
      <c r="J576" s="1"/>
      <c r="K576" s="1"/>
      <c r="L576" s="1" t="str">
        <f>Annex!C310</f>
        <v xml:space="preserve">NTFGH </v>
      </c>
      <c r="M576" s="13" t="s">
        <v>1264</v>
      </c>
    </row>
    <row r="577" spans="1:13" ht="13.8" customHeight="1" x14ac:dyDescent="0.3">
      <c r="A577" s="1">
        <f>Annex!A311</f>
        <v>576</v>
      </c>
      <c r="B577" s="1" t="str">
        <f>IF(LEFT(Annex!H311,5)="Local","Local Transmission",Annex!H311)</f>
        <v>Imported</v>
      </c>
      <c r="C577" s="1" t="str">
        <f>Annex!J311</f>
        <v>Female</v>
      </c>
      <c r="D577" s="1">
        <f>Annex!D311</f>
        <v>21</v>
      </c>
      <c r="E577" s="1" t="str">
        <f>Annex!K311</f>
        <v>Singaporean</v>
      </c>
      <c r="F577" s="1" t="str">
        <f>Annex!L311</f>
        <v xml:space="preserve">Case 576 is a Imported case, 21 years old female Singapore Permanent Resident  and has been to US . She is currently admitted at NUH . </v>
      </c>
      <c r="G577" s="2">
        <v>43915</v>
      </c>
      <c r="H577" s="1"/>
      <c r="I577" s="1"/>
      <c r="J577" s="1"/>
      <c r="K577" s="1"/>
      <c r="L577" s="1" t="str">
        <f>Annex!C311</f>
        <v xml:space="preserve">NUH </v>
      </c>
      <c r="M577" s="13" t="s">
        <v>1264</v>
      </c>
    </row>
    <row r="578" spans="1:13" ht="13.8" customHeight="1" x14ac:dyDescent="0.3">
      <c r="A578" s="1">
        <f>Annex!A312</f>
        <v>577</v>
      </c>
      <c r="B578" s="1" t="str">
        <f>IF(LEFT(Annex!H312,5)="Local","Local Transmission",Annex!H312)</f>
        <v>Local Transmission</v>
      </c>
      <c r="C578" s="1" t="str">
        <f>Annex!J312</f>
        <v>Female</v>
      </c>
      <c r="D578" s="1">
        <f>Annex!D312</f>
        <v>37</v>
      </c>
      <c r="E578" s="1" t="str">
        <f>Annex!K312</f>
        <v xml:space="preserve">Pending </v>
      </c>
      <c r="F578" s="1" t="str">
        <f>Annex!L312</f>
        <v>Case 577 is a Local linked  case, 37 years old female Pending  and has not been overseas. She is currently admitted at KTPH . Contact of Case 527</v>
      </c>
      <c r="G578" s="2">
        <v>43915</v>
      </c>
      <c r="H578" s="1"/>
      <c r="I578" s="1"/>
      <c r="J578" s="1"/>
      <c r="K578" s="1"/>
      <c r="L578" s="1" t="str">
        <f>Annex!C312</f>
        <v xml:space="preserve">KTPH </v>
      </c>
      <c r="M578" s="13" t="s">
        <v>1264</v>
      </c>
    </row>
    <row r="579" spans="1:13" ht="13.8" customHeight="1" x14ac:dyDescent="0.3">
      <c r="A579" s="1">
        <f>Annex!A313</f>
        <v>578</v>
      </c>
      <c r="B579" s="1" t="str">
        <f>IF(LEFT(Annex!H313,5)="Local","Local Transmission",Annex!H313)</f>
        <v>Local Transmission</v>
      </c>
      <c r="C579" s="1" t="str">
        <f>Annex!J313</f>
        <v>Male</v>
      </c>
      <c r="D579" s="1">
        <f>Annex!D313</f>
        <v>11</v>
      </c>
      <c r="E579" s="1" t="str">
        <f>Annex!K313</f>
        <v>Singaporean</v>
      </c>
      <c r="F579" s="1" t="str">
        <f>Annex!L313</f>
        <v>Case 578 is a Local linked  case, 11 years old male Singapore Citizen  and has not been overseas. He is currently admitted at KKH . Contact of Case 532</v>
      </c>
      <c r="G579" s="2">
        <v>43915</v>
      </c>
      <c r="H579" s="1"/>
      <c r="I579" s="1"/>
      <c r="J579" s="1"/>
      <c r="K579" s="1"/>
      <c r="L579" s="1" t="str">
        <f>Annex!C313</f>
        <v xml:space="preserve">KKH </v>
      </c>
      <c r="M579" s="13" t="s">
        <v>1264</v>
      </c>
    </row>
    <row r="580" spans="1:13" ht="13.8" customHeight="1" x14ac:dyDescent="0.3">
      <c r="A580" s="1">
        <f>Annex!A314</f>
        <v>579</v>
      </c>
      <c r="B580" s="1" t="str">
        <f>IF(LEFT(Annex!H314,5)="Local","Local Transmission",Annex!H314)</f>
        <v>Imported</v>
      </c>
      <c r="C580" s="1" t="str">
        <f>Annex!J314</f>
        <v>Male</v>
      </c>
      <c r="D580" s="1">
        <f>Annex!D314</f>
        <v>25</v>
      </c>
      <c r="E580" s="1" t="str">
        <f>Annex!K314</f>
        <v>Singaporean</v>
      </c>
      <c r="F580" s="1" t="str">
        <f>Annex!L314</f>
        <v xml:space="preserve">Case 579 is a Imported case, 25 years old male Singapore Citizen  and has been to UK . He is currently admitted at SGH . </v>
      </c>
      <c r="G580" s="2">
        <v>43915</v>
      </c>
      <c r="H580" s="1"/>
      <c r="I580" s="1"/>
      <c r="J580" s="1"/>
      <c r="K580" s="1"/>
      <c r="L580" s="1" t="str">
        <f>Annex!C314</f>
        <v xml:space="preserve">SGH </v>
      </c>
      <c r="M580" s="13" t="s">
        <v>1264</v>
      </c>
    </row>
    <row r="581" spans="1:13" ht="13.8" customHeight="1" x14ac:dyDescent="0.3">
      <c r="A581" s="1">
        <f>Annex!A315</f>
        <v>580</v>
      </c>
      <c r="B581" s="1" t="str">
        <f>IF(LEFT(Annex!H315,5)="Local","Local Transmission",Annex!H315)</f>
        <v>Local Transmission</v>
      </c>
      <c r="C581" s="1" t="str">
        <f>Annex!J315</f>
        <v>Female</v>
      </c>
      <c r="D581" s="1">
        <f>Annex!D315</f>
        <v>35</v>
      </c>
      <c r="E581" s="1" t="str">
        <f>Annex!K315</f>
        <v>US</v>
      </c>
      <c r="F581" s="1" t="str">
        <f>Annex!L315</f>
        <v>Case 580 is a Local linked  case, 35 years old female US (Singapore Work Pass holder)  and has not been overseas. She is currently admitted at SGH . Contact of Case 518</v>
      </c>
      <c r="G581" s="2">
        <v>43915</v>
      </c>
      <c r="H581" s="1"/>
      <c r="I581" s="1"/>
      <c r="J581" s="1"/>
      <c r="K581" s="1"/>
      <c r="L581" s="1" t="str">
        <f>Annex!C315</f>
        <v xml:space="preserve">SGH </v>
      </c>
      <c r="M581" s="13" t="s">
        <v>1264</v>
      </c>
    </row>
    <row r="582" spans="1:13" ht="13.8" customHeight="1" x14ac:dyDescent="0.3">
      <c r="A582" s="1">
        <f>Annex!A316</f>
        <v>581</v>
      </c>
      <c r="B582" s="1" t="str">
        <f>IF(LEFT(Annex!H316,5)="Local","Local Transmission",Annex!H316)</f>
        <v>Local Transmission</v>
      </c>
      <c r="C582" s="1" t="str">
        <f>Annex!J316</f>
        <v>Male</v>
      </c>
      <c r="D582" s="1">
        <f>Annex!D316</f>
        <v>47</v>
      </c>
      <c r="E582" s="1" t="str">
        <f>Annex!K316</f>
        <v>Singaporean</v>
      </c>
      <c r="F582" s="1" t="str">
        <f>Annex!L316</f>
        <v xml:space="preserve">Case 581 is a Local unlinked case, 47 years old male Singapore Permanent Resident  and has not been overseas. He is currently admitted at SGH . </v>
      </c>
      <c r="G582" s="2">
        <v>43915</v>
      </c>
      <c r="H582" s="1"/>
      <c r="I582" s="1"/>
      <c r="J582" s="1"/>
      <c r="K582" s="1"/>
      <c r="L582" s="1" t="str">
        <f>Annex!C316</f>
        <v xml:space="preserve">SGH </v>
      </c>
      <c r="M582" s="13" t="s">
        <v>1264</v>
      </c>
    </row>
    <row r="583" spans="1:13" ht="13.8" customHeight="1" x14ac:dyDescent="0.3">
      <c r="A583" s="1">
        <f>Annex!A317</f>
        <v>582</v>
      </c>
      <c r="B583" s="1" t="str">
        <f>IF(LEFT(Annex!H317,5)="Local","Local Transmission",Annex!H317)</f>
        <v xml:space="preserve">Imported </v>
      </c>
      <c r="C583" s="1" t="str">
        <f>Annex!J317</f>
        <v>Female</v>
      </c>
      <c r="D583" s="1">
        <f>Annex!D317</f>
        <v>3</v>
      </c>
      <c r="E583" s="1" t="str">
        <f>Annex!K317</f>
        <v>Singaporean</v>
      </c>
      <c r="F583" s="1" t="str">
        <f>Annex!L317</f>
        <v>Case 582 is a Imported  case, 3 years old female Singapore Citizen  and has been to US . She is currently admitted at KKH . Contact of Case 418</v>
      </c>
      <c r="G583" s="2">
        <v>43915</v>
      </c>
      <c r="H583" s="1"/>
      <c r="I583" s="1"/>
      <c r="J583" s="1"/>
      <c r="K583" s="1"/>
      <c r="L583" s="1" t="str">
        <f>Annex!C317</f>
        <v xml:space="preserve">KKH </v>
      </c>
      <c r="M583" s="13" t="s">
        <v>1264</v>
      </c>
    </row>
    <row r="584" spans="1:13" ht="13.8" customHeight="1" x14ac:dyDescent="0.3">
      <c r="A584" s="1">
        <f>Annex!A318</f>
        <v>583</v>
      </c>
      <c r="B584" s="1" t="str">
        <f>IF(LEFT(Annex!H318,5)="Local","Local Transmission",Annex!H318)</f>
        <v>Local Transmission</v>
      </c>
      <c r="C584" s="1" t="str">
        <f>Annex!J318</f>
        <v>Female</v>
      </c>
      <c r="D584" s="1">
        <f>Annex!D318</f>
        <v>61</v>
      </c>
      <c r="E584" s="1" t="str">
        <f>Annex!K318</f>
        <v>Singaporean</v>
      </c>
      <c r="F584" s="1" t="str">
        <f>Annex!L318</f>
        <v>Case 583 is a Local linked  case, 61 years old female Singapore Citizen  and has not been overseas. She is currently admitted at NCID . Contact of Cases 516 and 584 PCF Fengshan</v>
      </c>
      <c r="G584" s="2">
        <v>43915</v>
      </c>
      <c r="H584" s="1"/>
      <c r="I584" s="1"/>
      <c r="J584" s="1"/>
      <c r="K584" s="1"/>
      <c r="L584" s="1" t="str">
        <f>Annex!C318</f>
        <v xml:space="preserve">NCID </v>
      </c>
      <c r="M584" s="13" t="s">
        <v>1264</v>
      </c>
    </row>
    <row r="585" spans="1:13" ht="13.8" customHeight="1" x14ac:dyDescent="0.3">
      <c r="A585" s="1">
        <f>Annex!A319</f>
        <v>584</v>
      </c>
      <c r="B585" s="1" t="str">
        <f>IF(LEFT(Annex!H319,5)="Local","Local Transmission",Annex!H319)</f>
        <v>Local Transmission</v>
      </c>
      <c r="C585" s="1" t="str">
        <f>Annex!J319</f>
        <v>Female</v>
      </c>
      <c r="D585" s="1">
        <f>Annex!D319</f>
        <v>37</v>
      </c>
      <c r="E585" s="1" t="str">
        <f>Annex!K319</f>
        <v>Singaporean</v>
      </c>
      <c r="F585" s="1" t="str">
        <f>Annex!L319</f>
        <v>Case 584 is a Local linked  case, 37 years old female Singapore Permanent Resident  and has not been overseas. She is currently admitted at NCID . Contact of Cases 516 and 583 PCF Fengshan</v>
      </c>
      <c r="G585" s="2">
        <v>43915</v>
      </c>
      <c r="H585" s="1"/>
      <c r="I585" s="1"/>
      <c r="J585" s="1"/>
      <c r="K585" s="1"/>
      <c r="L585" s="1" t="str">
        <f>Annex!C319</f>
        <v xml:space="preserve">NCID </v>
      </c>
      <c r="M585" s="13" t="s">
        <v>1264</v>
      </c>
    </row>
    <row r="586" spans="1:13" ht="13.8" customHeight="1" x14ac:dyDescent="0.3">
      <c r="A586" s="1">
        <f>Annex!A320</f>
        <v>585</v>
      </c>
      <c r="B586" s="1" t="str">
        <f>IF(LEFT(Annex!H320,5)="Local","Local Transmission",Annex!H320)</f>
        <v>Local Transmission</v>
      </c>
      <c r="C586" s="1" t="str">
        <f>Annex!J320</f>
        <v>Female</v>
      </c>
      <c r="D586" s="1">
        <f>Annex!D320</f>
        <v>38</v>
      </c>
      <c r="E586" s="1" t="str">
        <f>Annex!K320</f>
        <v>Philippines</v>
      </c>
      <c r="F586" s="1" t="str">
        <f>Annex!L320</f>
        <v>Case 585 is a Local linked  case, 38 years old female Philippines (Singapore Work Pass holder)  and has not been overseas. She is currently admitted at KKH . Contact of Case 523</v>
      </c>
      <c r="G586" s="2">
        <v>43915</v>
      </c>
      <c r="H586" s="1"/>
      <c r="I586" s="1"/>
      <c r="J586" s="1"/>
      <c r="K586" s="1"/>
      <c r="L586" s="1" t="str">
        <f>Annex!C320</f>
        <v xml:space="preserve">KKH </v>
      </c>
      <c r="M586" s="13" t="s">
        <v>1264</v>
      </c>
    </row>
    <row r="587" spans="1:13" ht="13.8" customHeight="1" x14ac:dyDescent="0.3">
      <c r="A587" s="1">
        <f>Annex!A321</f>
        <v>586</v>
      </c>
      <c r="B587" s="1" t="str">
        <f>IF(LEFT(Annex!H321,5)="Local","Local Transmission",Annex!H321)</f>
        <v>Local Transmission</v>
      </c>
      <c r="C587" s="1" t="str">
        <f>Annex!J321</f>
        <v>Male</v>
      </c>
      <c r="D587" s="1">
        <f>Annex!D321</f>
        <v>51</v>
      </c>
      <c r="E587" s="1" t="str">
        <f>Annex!K321</f>
        <v>Singaporean</v>
      </c>
      <c r="F587" s="1" t="str">
        <f>Annex!L321</f>
        <v xml:space="preserve">Case 586 is a Local unlinked case, 51 years old male Singapore Citizen  and has not been overseas. He is currently admitted at NTFGH . </v>
      </c>
      <c r="G587" s="2">
        <v>43915</v>
      </c>
      <c r="H587" s="1"/>
      <c r="I587" s="1"/>
      <c r="J587" s="1"/>
      <c r="K587" s="1"/>
      <c r="L587" s="1" t="str">
        <f>Annex!C321</f>
        <v xml:space="preserve">NTFGH </v>
      </c>
      <c r="M587" s="13" t="s">
        <v>1264</v>
      </c>
    </row>
    <row r="588" spans="1:13" ht="13.8" customHeight="1" x14ac:dyDescent="0.3">
      <c r="A588" s="1">
        <f>Annex!A322</f>
        <v>587</v>
      </c>
      <c r="B588" s="1" t="str">
        <f>IF(LEFT(Annex!H322,5)="Local","Local Transmission",Annex!H322)</f>
        <v>Imported</v>
      </c>
      <c r="C588" s="1" t="str">
        <f>Annex!J322</f>
        <v>Male</v>
      </c>
      <c r="D588" s="1">
        <f>Annex!D322</f>
        <v>25</v>
      </c>
      <c r="E588" s="1" t="str">
        <f>Annex!K322</f>
        <v>Singaporean</v>
      </c>
      <c r="F588" s="1" t="str">
        <f>Annex!L322</f>
        <v xml:space="preserve">Case 587 is a Imported case, 25 years old male Singapore Citizen  and has been to UK . He is currently admitted at NCID . </v>
      </c>
      <c r="G588" s="2">
        <v>43915</v>
      </c>
      <c r="H588" s="1"/>
      <c r="I588" s="1"/>
      <c r="J588" s="1"/>
      <c r="K588" s="1"/>
      <c r="L588" s="1" t="str">
        <f>Annex!C322</f>
        <v xml:space="preserve">NCID </v>
      </c>
      <c r="M588" s="13" t="s">
        <v>1264</v>
      </c>
    </row>
    <row r="589" spans="1:13" ht="13.8" customHeight="1" x14ac:dyDescent="0.3">
      <c r="A589" s="1">
        <f>Annex!A323</f>
        <v>588</v>
      </c>
      <c r="B589" s="1" t="str">
        <f>IF(LEFT(Annex!H323,5)="Local","Local Transmission",Annex!H323)</f>
        <v>Imported</v>
      </c>
      <c r="C589" s="1" t="str">
        <f>Annex!J323</f>
        <v>Male</v>
      </c>
      <c r="D589" s="1">
        <f>Annex!D323</f>
        <v>62</v>
      </c>
      <c r="E589" s="1" t="str">
        <f>Annex!K323</f>
        <v>UK</v>
      </c>
      <c r="F589" s="1" t="str">
        <f>Annex!L323</f>
        <v xml:space="preserve">Case 588 is a Imported case, 62 years old male UK (Singapore Work Pass holder) and has been to UK . He is currently admitted at NCID . </v>
      </c>
      <c r="G589" s="2">
        <v>43915</v>
      </c>
      <c r="H589" s="1"/>
      <c r="I589" s="1"/>
      <c r="J589" s="1"/>
      <c r="K589" s="1"/>
      <c r="L589" s="1" t="str">
        <f>Annex!C323</f>
        <v xml:space="preserve">NCID </v>
      </c>
      <c r="M589" s="13" t="s">
        <v>1264</v>
      </c>
    </row>
    <row r="590" spans="1:13" ht="13.8" customHeight="1" x14ac:dyDescent="0.3">
      <c r="A590" s="1">
        <f>Annex!A324</f>
        <v>589</v>
      </c>
      <c r="B590" s="1" t="str">
        <f>IF(LEFT(Annex!H324,5)="Local","Local Transmission",Annex!H324)</f>
        <v>Local Transmission</v>
      </c>
      <c r="C590" s="1" t="str">
        <f>Annex!J324</f>
        <v>Male</v>
      </c>
      <c r="D590" s="1">
        <f>Annex!D324</f>
        <v>47</v>
      </c>
      <c r="E590" s="1" t="str">
        <f>Annex!K324</f>
        <v>Singaporean</v>
      </c>
      <c r="F590" s="1" t="str">
        <f>Annex!L324</f>
        <v xml:space="preserve">Case 589 is a Local unlinked case, 47 years old male Singapore Citizen  and has not been overseas. He is currently admitted at NCID . </v>
      </c>
      <c r="G590" s="2">
        <v>43915</v>
      </c>
      <c r="H590" s="1"/>
      <c r="I590" s="1"/>
      <c r="J590" s="1"/>
      <c r="K590" s="1"/>
      <c r="L590" s="1" t="str">
        <f>Annex!C324</f>
        <v xml:space="preserve">NCID </v>
      </c>
      <c r="M590" s="13" t="s">
        <v>1264</v>
      </c>
    </row>
    <row r="591" spans="1:13" ht="13.8" customHeight="1" x14ac:dyDescent="0.3">
      <c r="A591" s="1">
        <f>Annex!A325</f>
        <v>590</v>
      </c>
      <c r="B591" s="1" t="str">
        <f>IF(LEFT(Annex!H325,5)="Local","Local Transmission",Annex!H325)</f>
        <v>Imported</v>
      </c>
      <c r="C591" s="1" t="str">
        <f>Annex!J325</f>
        <v>Female</v>
      </c>
      <c r="D591" s="1">
        <f>Annex!D325</f>
        <v>21</v>
      </c>
      <c r="E591" s="1" t="str">
        <f>Annex!K325</f>
        <v>Singaporean</v>
      </c>
      <c r="F591" s="1" t="str">
        <f>Annex!L325</f>
        <v xml:space="preserve">Case 590 is a Imported case, 21 years old female Singapore Permanent Resident  and has been to UK . She is currently admitted at NUH . </v>
      </c>
      <c r="G591" s="2">
        <v>43915</v>
      </c>
      <c r="H591" s="1"/>
      <c r="I591" s="1"/>
      <c r="J591" s="1"/>
      <c r="K591" s="1"/>
      <c r="L591" s="1" t="str">
        <f>Annex!C325</f>
        <v xml:space="preserve">NUH </v>
      </c>
      <c r="M591" s="13" t="s">
        <v>1264</v>
      </c>
    </row>
    <row r="592" spans="1:13" ht="13.8" customHeight="1" x14ac:dyDescent="0.3">
      <c r="A592" s="1">
        <f>Annex!A326</f>
        <v>591</v>
      </c>
      <c r="B592" s="1" t="str">
        <f>IF(LEFT(Annex!H326,5)="Local","Local Transmission",Annex!H326)</f>
        <v>Imported</v>
      </c>
      <c r="C592" s="1" t="str">
        <f>Annex!J326</f>
        <v>Male</v>
      </c>
      <c r="D592" s="1">
        <f>Annex!D326</f>
        <v>64</v>
      </c>
      <c r="E592" s="1" t="str">
        <f>Annex!K326</f>
        <v>Singaporean</v>
      </c>
      <c r="F592" s="1" t="str">
        <f>Annex!L326</f>
        <v xml:space="preserve">Case 591 is a Imported case, 64 years old male Singapore Citizen  and has been to Portugal . He is currently admitted at SGH . </v>
      </c>
      <c r="G592" s="2">
        <v>43915</v>
      </c>
      <c r="H592" s="1"/>
      <c r="I592" s="1"/>
      <c r="J592" s="1"/>
      <c r="K592" s="1"/>
      <c r="L592" s="1" t="str">
        <f>Annex!C326</f>
        <v xml:space="preserve">SGH </v>
      </c>
      <c r="M592" s="13" t="s">
        <v>1264</v>
      </c>
    </row>
    <row r="593" spans="1:13" ht="13.8" customHeight="1" x14ac:dyDescent="0.3">
      <c r="A593" s="1">
        <f>Annex!A327</f>
        <v>592</v>
      </c>
      <c r="B593" s="1" t="str">
        <f>IF(LEFT(Annex!H327,5)="Local","Local Transmission",Annex!H327)</f>
        <v>Imported</v>
      </c>
      <c r="C593" s="1" t="str">
        <f>Annex!J327</f>
        <v>Male</v>
      </c>
      <c r="D593" s="1">
        <f>Annex!D327</f>
        <v>24</v>
      </c>
      <c r="E593" s="1" t="str">
        <f>Annex!K327</f>
        <v>Singaporean</v>
      </c>
      <c r="F593" s="1" t="str">
        <f>Annex!L327</f>
        <v xml:space="preserve">Case 592 is a Imported case, 24 years old male Singapore Citizen  and has been to UK . He is currently admitted at NCID . </v>
      </c>
      <c r="G593" s="2">
        <v>43915</v>
      </c>
      <c r="H593" s="1"/>
      <c r="I593" s="1"/>
      <c r="J593" s="1"/>
      <c r="K593" s="1"/>
      <c r="L593" s="1" t="str">
        <f>Annex!C327</f>
        <v xml:space="preserve">NCID </v>
      </c>
      <c r="M593" s="13" t="s">
        <v>1264</v>
      </c>
    </row>
    <row r="594" spans="1:13" ht="13.8" customHeight="1" x14ac:dyDescent="0.3">
      <c r="A594" s="1">
        <f>Annex!A328</f>
        <v>593</v>
      </c>
      <c r="B594" s="1" t="str">
        <f>IF(LEFT(Annex!H328,5)="Local","Local Transmission",Annex!H328)</f>
        <v>Imported</v>
      </c>
      <c r="C594" s="1" t="str">
        <f>Annex!J328</f>
        <v>Male</v>
      </c>
      <c r="D594" s="1">
        <f>Annex!D328</f>
        <v>24</v>
      </c>
      <c r="E594" s="1" t="str">
        <f>Annex!K328</f>
        <v>Singaporean</v>
      </c>
      <c r="F594" s="1" t="str">
        <f>Annex!L328</f>
        <v xml:space="preserve">Case 593 is a Imported case, 24 years old male Singapore Citizen  and has been to US . He is currently admitted at NCID . </v>
      </c>
      <c r="G594" s="2">
        <v>43915</v>
      </c>
      <c r="H594" s="43">
        <v>43919</v>
      </c>
      <c r="I594" s="1"/>
      <c r="J594" s="1"/>
      <c r="K594" s="1"/>
      <c r="L594" s="1" t="str">
        <f>Annex!C328</f>
        <v xml:space="preserve">NCID </v>
      </c>
      <c r="M594" s="13" t="s">
        <v>1264</v>
      </c>
    </row>
    <row r="595" spans="1:13" ht="13.8" customHeight="1" x14ac:dyDescent="0.3">
      <c r="A595" s="1">
        <f>Annex!A329</f>
        <v>594</v>
      </c>
      <c r="B595" s="1" t="str">
        <f>IF(LEFT(Annex!H329,5)="Local","Local Transmission",Annex!H329)</f>
        <v>Local Transmission</v>
      </c>
      <c r="C595" s="1" t="str">
        <f>Annex!J329</f>
        <v>Female</v>
      </c>
      <c r="D595" s="1">
        <f>Annex!D329</f>
        <v>23</v>
      </c>
      <c r="E595" s="1" t="str">
        <f>Annex!K329</f>
        <v>China</v>
      </c>
      <c r="F595" s="1" t="str">
        <f>Annex!L329</f>
        <v xml:space="preserve">Case 594 is a Local unlinked case, 23 years old female China (Long Term Pass holder)  and has not been overseas. She is currently admitted at NCID . </v>
      </c>
      <c r="G595" s="2">
        <v>43915</v>
      </c>
      <c r="H595" s="1"/>
      <c r="I595" s="1"/>
      <c r="J595" s="1"/>
      <c r="K595" s="1"/>
      <c r="L595" s="1" t="str">
        <f>Annex!C329</f>
        <v xml:space="preserve">NCID </v>
      </c>
      <c r="M595" s="13" t="s">
        <v>1264</v>
      </c>
    </row>
    <row r="596" spans="1:13" ht="13.8" customHeight="1" x14ac:dyDescent="0.3">
      <c r="A596" s="1">
        <f>Annex!A330</f>
        <v>595</v>
      </c>
      <c r="B596" s="1" t="str">
        <f>IF(LEFT(Annex!H330,5)="Local","Local Transmission",Annex!H330)</f>
        <v>Imported</v>
      </c>
      <c r="C596" s="1" t="str">
        <f>Annex!J330</f>
        <v>Female</v>
      </c>
      <c r="D596" s="1">
        <f>Annex!D330</f>
        <v>19</v>
      </c>
      <c r="E596" s="1" t="str">
        <f>Annex!K330</f>
        <v>Singaporean</v>
      </c>
      <c r="F596" s="1" t="str">
        <f>Annex!L330</f>
        <v xml:space="preserve">Case 595 is a Imported case, 19 years old female Singapore Citizen  and has been to Pending . She is currently admitted at NCID . </v>
      </c>
      <c r="G596" s="2">
        <v>43915</v>
      </c>
      <c r="H596" s="1"/>
      <c r="I596" s="1"/>
      <c r="J596" s="1"/>
      <c r="K596" s="1"/>
      <c r="L596" s="1" t="str">
        <f>Annex!C330</f>
        <v xml:space="preserve">NCID </v>
      </c>
      <c r="M596" s="13" t="s">
        <v>1264</v>
      </c>
    </row>
    <row r="597" spans="1:13" ht="13.8" customHeight="1" x14ac:dyDescent="0.3">
      <c r="A597" s="1">
        <f>Annex!A331</f>
        <v>596</v>
      </c>
      <c r="B597" s="1" t="str">
        <f>IF(LEFT(Annex!H331,5)="Local","Local Transmission",Annex!H331)</f>
        <v>Imported</v>
      </c>
      <c r="C597" s="1" t="str">
        <f>Annex!J331</f>
        <v>Male</v>
      </c>
      <c r="D597" s="1">
        <f>Annex!D331</f>
        <v>35</v>
      </c>
      <c r="E597" s="1" t="str">
        <f>Annex!K331</f>
        <v>Singaporean</v>
      </c>
      <c r="F597" s="1" t="str">
        <f>Annex!L331</f>
        <v xml:space="preserve">Case 596 is a Imported case, 35 years old male Singapore Citizen  and has been to UK . He is currently admitted at NCID . </v>
      </c>
      <c r="G597" s="2">
        <v>43915</v>
      </c>
      <c r="H597" s="1"/>
      <c r="I597" s="1"/>
      <c r="J597" s="1"/>
      <c r="K597" s="1"/>
      <c r="L597" s="1" t="str">
        <f>Annex!C331</f>
        <v xml:space="preserve">NCID </v>
      </c>
      <c r="M597" s="13" t="s">
        <v>1264</v>
      </c>
    </row>
    <row r="598" spans="1:13" ht="13.8" customHeight="1" x14ac:dyDescent="0.3">
      <c r="A598" s="1">
        <f>Annex!A332</f>
        <v>597</v>
      </c>
      <c r="B598" s="1" t="str">
        <f>IF(LEFT(Annex!H332,5)="Local","Local Transmission",Annex!H332)</f>
        <v>Local Transmission</v>
      </c>
      <c r="C598" s="1" t="str">
        <f>Annex!J332</f>
        <v>Female</v>
      </c>
      <c r="D598" s="1">
        <f>Annex!D332</f>
        <v>50</v>
      </c>
      <c r="E598" s="1" t="str">
        <f>Annex!K332</f>
        <v>Singaporean</v>
      </c>
      <c r="F598" s="1" t="str">
        <f>Annex!L332</f>
        <v>Case 597 is a Local linked  case, 50 years old female Singapore Citizen  and has not been overseas. She is currently admitted at SKH . Family member of Case 570</v>
      </c>
      <c r="G598" s="2">
        <v>43915</v>
      </c>
      <c r="H598" s="1"/>
      <c r="I598" s="1"/>
      <c r="J598" s="1"/>
      <c r="K598" s="1"/>
      <c r="L598" s="1" t="str">
        <f>Annex!C332</f>
        <v xml:space="preserve">SKH </v>
      </c>
      <c r="M598" s="13" t="s">
        <v>1264</v>
      </c>
    </row>
    <row r="599" spans="1:13" ht="13.8" customHeight="1" x14ac:dyDescent="0.3">
      <c r="A599" s="1">
        <f>Annex!A333</f>
        <v>598</v>
      </c>
      <c r="B599" s="1" t="str">
        <f>IF(LEFT(Annex!H333,5)="Local","Local Transmission",Annex!H333)</f>
        <v>Local Transmission</v>
      </c>
      <c r="C599" s="1" t="str">
        <f>Annex!J333</f>
        <v>Female</v>
      </c>
      <c r="D599" s="1">
        <f>Annex!D333</f>
        <v>35</v>
      </c>
      <c r="E599" s="1" t="str">
        <f>Annex!K333</f>
        <v>India</v>
      </c>
      <c r="F599" s="1" t="str">
        <f>Annex!L333</f>
        <v xml:space="preserve">Case 598 is a Local unlinked case, 35 years old female India (Singapore Work Pass holder)  and has not been overseas. She is currently admitted at SKH . </v>
      </c>
      <c r="G599" s="2">
        <v>43915</v>
      </c>
      <c r="H599" s="1"/>
      <c r="I599" s="1"/>
      <c r="J599" s="1"/>
      <c r="K599" s="1"/>
      <c r="L599" s="1" t="str">
        <f>Annex!C333</f>
        <v xml:space="preserve">SKH </v>
      </c>
      <c r="M599" s="13" t="s">
        <v>1264</v>
      </c>
    </row>
    <row r="600" spans="1:13" ht="13.8" customHeight="1" x14ac:dyDescent="0.3">
      <c r="A600" s="1">
        <f>Annex!A334</f>
        <v>599</v>
      </c>
      <c r="B600" s="1" t="str">
        <f>IF(LEFT(Annex!H334,5)="Local","Local Transmission",Annex!H334)</f>
        <v xml:space="preserve">Imported </v>
      </c>
      <c r="C600" s="1" t="str">
        <f>Annex!J334</f>
        <v>Male</v>
      </c>
      <c r="D600" s="1">
        <f>Annex!D334</f>
        <v>32</v>
      </c>
      <c r="E600" s="1" t="str">
        <f>Annex!K334</f>
        <v>Singaporean</v>
      </c>
      <c r="F600" s="1" t="str">
        <f>Annex!L334</f>
        <v>Case 599 is a Imported  case, 32 years old male Singapore Citizen  and has been to UK . He is currently admitted at NCID . Contact of Case 385</v>
      </c>
      <c r="G600" s="2">
        <v>43915</v>
      </c>
      <c r="H600" s="68">
        <v>43924</v>
      </c>
      <c r="I600" s="1"/>
      <c r="J600" s="1"/>
      <c r="K600" s="1"/>
      <c r="L600" s="1" t="str">
        <f>Annex!C334</f>
        <v xml:space="preserve">NCID </v>
      </c>
      <c r="M600" s="13" t="s">
        <v>1264</v>
      </c>
    </row>
    <row r="601" spans="1:13" ht="13.8" customHeight="1" x14ac:dyDescent="0.3">
      <c r="A601" s="1">
        <f>Annex!A335</f>
        <v>600</v>
      </c>
      <c r="B601" s="1" t="str">
        <f>IF(LEFT(Annex!H335,5)="Local","Local Transmission",Annex!H335)</f>
        <v>Imported</v>
      </c>
      <c r="C601" s="1" t="str">
        <f>Annex!J335</f>
        <v>Male</v>
      </c>
      <c r="D601" s="1">
        <f>Annex!D335</f>
        <v>66</v>
      </c>
      <c r="E601" s="1" t="str">
        <f>Annex!K335</f>
        <v>Singaporean</v>
      </c>
      <c r="F601" s="1" t="str">
        <f>Annex!L335</f>
        <v xml:space="preserve">Case 600 is a Imported case, 66 years old male Singapore Permanent Resident  and has been to Pending . He is currently admitted at NCID . </v>
      </c>
      <c r="G601" s="2">
        <v>43915</v>
      </c>
      <c r="H601" s="1"/>
      <c r="I601" s="1"/>
      <c r="J601" s="1"/>
      <c r="K601" s="1"/>
      <c r="L601" s="1" t="str">
        <f>Annex!C335</f>
        <v xml:space="preserve">NCID </v>
      </c>
      <c r="M601" s="13" t="s">
        <v>1264</v>
      </c>
    </row>
    <row r="602" spans="1:13" ht="13.8" customHeight="1" x14ac:dyDescent="0.3">
      <c r="A602" s="1">
        <f>Annex!A336</f>
        <v>601</v>
      </c>
      <c r="B602" s="1" t="str">
        <f>IF(LEFT(Annex!H336,5)="Local","Local Transmission",Annex!H336)</f>
        <v>Local Transmission</v>
      </c>
      <c r="C602" s="1" t="str">
        <f>Annex!J336</f>
        <v>Female</v>
      </c>
      <c r="D602" s="1">
        <f>Annex!D336</f>
        <v>47</v>
      </c>
      <c r="E602" s="1" t="str">
        <f>Annex!K336</f>
        <v>Singaporean</v>
      </c>
      <c r="F602" s="1" t="str">
        <f>Annex!L336</f>
        <v>Case 601 is a Local linked  case, 47 years old female Singapore Citizen  and has not been overseas. She is currently admitted at NCID . Family member of Cases 521, 566, 567 and 572 PCF Fengshan</v>
      </c>
      <c r="G602" s="2">
        <v>43915</v>
      </c>
      <c r="H602" s="43">
        <v>43919</v>
      </c>
      <c r="I602" s="1"/>
      <c r="J602" s="1"/>
      <c r="K602" s="1"/>
      <c r="L602" s="1" t="str">
        <f>Annex!C336</f>
        <v xml:space="preserve">NCID </v>
      </c>
      <c r="M602" s="13" t="s">
        <v>1264</v>
      </c>
    </row>
    <row r="603" spans="1:13" ht="13.8" customHeight="1" x14ac:dyDescent="0.3">
      <c r="A603" s="1">
        <f>Annex!A337</f>
        <v>602</v>
      </c>
      <c r="B603" s="1" t="str">
        <f>IF(LEFT(Annex!H337,5)="Local","Local Transmission",Annex!H337)</f>
        <v>Local Transmission</v>
      </c>
      <c r="C603" s="1" t="str">
        <f>Annex!J337</f>
        <v>Female</v>
      </c>
      <c r="D603" s="1">
        <f>Annex!D337</f>
        <v>56</v>
      </c>
      <c r="E603" s="1" t="str">
        <f>Annex!K337</f>
        <v>Singaporean</v>
      </c>
      <c r="F603" s="1" t="str">
        <f>Annex!L337</f>
        <v>Case 602 is a Local linked  case, 56 years old female Singapore Citizen  and has not been overseas. She is currently admitted at NCID . Contact of Case 516 PCF Fengshan</v>
      </c>
      <c r="G603" s="16">
        <v>43915</v>
      </c>
      <c r="H603" s="68">
        <v>43924</v>
      </c>
      <c r="I603" s="17"/>
      <c r="J603" s="17"/>
      <c r="K603" s="17"/>
      <c r="L603" s="17" t="str">
        <f>Annex!C337</f>
        <v xml:space="preserve">NCID </v>
      </c>
      <c r="M603" s="13" t="s">
        <v>1264</v>
      </c>
    </row>
    <row r="604" spans="1:13" ht="13.8" customHeight="1" x14ac:dyDescent="0.3">
      <c r="A604" s="1">
        <f>Annex!A338</f>
        <v>603</v>
      </c>
      <c r="B604" s="1" t="str">
        <f>IF(LEFT(Annex!H338,5)="Local","Local Transmission",Annex!H338)</f>
        <v>Local Transmission</v>
      </c>
      <c r="C604" s="1" t="str">
        <f>Annex!J338</f>
        <v>Female</v>
      </c>
      <c r="D604" s="1">
        <f>Annex!D338</f>
        <v>23</v>
      </c>
      <c r="E604" s="1" t="str">
        <f>Annex!K338</f>
        <v>Singaporean</v>
      </c>
      <c r="F604" s="1" t="str">
        <f>Annex!L338</f>
        <v>Case 603 is a Local linked  case, 23 years old female Singapore Citizen  and has not been overseas. She is currently admitted at NCID . PCF Fengshan</v>
      </c>
      <c r="G604" s="2">
        <v>43915</v>
      </c>
      <c r="H604" s="1"/>
      <c r="I604" s="1"/>
      <c r="J604" s="1"/>
      <c r="K604" s="1"/>
      <c r="L604" s="1" t="str">
        <f>Annex!C338</f>
        <v xml:space="preserve">NCID </v>
      </c>
      <c r="M604" s="5" t="s">
        <v>1264</v>
      </c>
    </row>
    <row r="605" spans="1:13" ht="13.8" customHeight="1" x14ac:dyDescent="0.3">
      <c r="A605" s="1">
        <f>Annex!A339</f>
        <v>604</v>
      </c>
      <c r="B605" s="1" t="str">
        <f>IF(LEFT(Annex!H339,5)="Local","Local Transmission",Annex!H339)</f>
        <v>Local Transmission</v>
      </c>
      <c r="C605" s="1" t="str">
        <f>Annex!J339</f>
        <v>Female</v>
      </c>
      <c r="D605" s="1">
        <f>Annex!D339</f>
        <v>36</v>
      </c>
      <c r="E605" s="1" t="str">
        <f>Annex!K339</f>
        <v>Philippines</v>
      </c>
      <c r="F605" s="1" t="str">
        <f>Annex!L339</f>
        <v>Case 604 is a Local linked  case, 36 years old female Philippines (Long Term Pass holder)  and has not been overseas. She is currently admitted at NCID . PCF Fengshan</v>
      </c>
      <c r="G605" s="2">
        <v>43915</v>
      </c>
      <c r="H605" s="1"/>
      <c r="I605" s="1"/>
      <c r="J605" s="1"/>
      <c r="K605" s="1"/>
      <c r="L605" s="1" t="str">
        <f>Annex!C339</f>
        <v xml:space="preserve">NCID </v>
      </c>
      <c r="M605" s="5" t="s">
        <v>1264</v>
      </c>
    </row>
    <row r="606" spans="1:13" ht="13.8" customHeight="1" x14ac:dyDescent="0.3">
      <c r="A606" s="1">
        <f>Annex!A340</f>
        <v>605</v>
      </c>
      <c r="B606" s="1" t="str">
        <f>IF(LEFT(Annex!H340,5)="Local","Local Transmission",Annex!H340)</f>
        <v>Local Transmission</v>
      </c>
      <c r="C606" s="1" t="str">
        <f>Annex!J340</f>
        <v>Female</v>
      </c>
      <c r="D606" s="1">
        <f>Annex!D340</f>
        <v>29</v>
      </c>
      <c r="E606" s="1" t="str">
        <f>Annex!K340</f>
        <v>Singaporean</v>
      </c>
      <c r="F606" s="1" t="str">
        <f>Annex!L340</f>
        <v>Case 605 is a Local linked  case, 29 years old female Singapore Citizen  and has not been overseas. She is currently admitted at NCID . PCF Fengshan</v>
      </c>
      <c r="G606" s="2">
        <v>43915</v>
      </c>
      <c r="H606" s="1"/>
      <c r="I606" s="1"/>
      <c r="J606" s="1"/>
      <c r="K606" s="1"/>
      <c r="L606" s="1" t="str">
        <f>Annex!C340</f>
        <v xml:space="preserve">NCID </v>
      </c>
      <c r="M606" s="5" t="s">
        <v>1264</v>
      </c>
    </row>
    <row r="607" spans="1:13" ht="13.8" customHeight="1" x14ac:dyDescent="0.3">
      <c r="A607" s="1">
        <f>Annex!A341</f>
        <v>606</v>
      </c>
      <c r="B607" s="1" t="str">
        <f>IF(LEFT(Annex!H341,5)="Local","Local Transmission",Annex!H341)</f>
        <v>Local Transmission</v>
      </c>
      <c r="C607" s="1" t="str">
        <f>Annex!J341</f>
        <v>Male</v>
      </c>
      <c r="D607" s="1">
        <f>Annex!D341</f>
        <v>55</v>
      </c>
      <c r="E607" s="1" t="str">
        <f>Annex!K341</f>
        <v>Singaporean</v>
      </c>
      <c r="F607" s="1" t="str">
        <f>Annex!L341</f>
        <v xml:space="preserve">Case 606 is a Local unlinked case, 55 years old male Singapore Citizen  and has not been overseas. He is currently admitted at NCID . </v>
      </c>
      <c r="G607" s="2">
        <v>43915</v>
      </c>
      <c r="H607" s="1"/>
      <c r="I607" s="1"/>
      <c r="J607" s="1"/>
      <c r="K607" s="1"/>
      <c r="L607" s="1" t="str">
        <f>Annex!C341</f>
        <v xml:space="preserve">NCID </v>
      </c>
      <c r="M607" s="5" t="s">
        <v>1264</v>
      </c>
    </row>
    <row r="608" spans="1:13" ht="13.8" customHeight="1" x14ac:dyDescent="0.3">
      <c r="A608" s="1">
        <f>Annex!A342</f>
        <v>607</v>
      </c>
      <c r="B608" s="1" t="str">
        <f>IF(LEFT(Annex!H342,5)="Local","Local Transmission",Annex!H342)</f>
        <v>Imported</v>
      </c>
      <c r="C608" s="1" t="str">
        <f>Annex!J342</f>
        <v>Female</v>
      </c>
      <c r="D608" s="1">
        <f>Annex!D342</f>
        <v>40</v>
      </c>
      <c r="E608" s="1" t="str">
        <f>Annex!K342</f>
        <v>Singaporean</v>
      </c>
      <c r="F608" s="1" t="str">
        <f>Annex!L342</f>
        <v xml:space="preserve">Case 607 is a Imported case, 40 years old female Singapore Citizen  and has been to UK . She is currently admitted at NCID . </v>
      </c>
      <c r="G608" s="2">
        <v>43915</v>
      </c>
      <c r="H608" s="1"/>
      <c r="I608" s="1"/>
      <c r="J608" s="1"/>
      <c r="K608" s="1"/>
      <c r="L608" s="1" t="str">
        <f>Annex!C342</f>
        <v xml:space="preserve">NCID </v>
      </c>
      <c r="M608" s="5" t="s">
        <v>1264</v>
      </c>
    </row>
    <row r="609" spans="1:13" ht="13.8" customHeight="1" x14ac:dyDescent="0.3">
      <c r="A609" s="1">
        <f>Annex!A343</f>
        <v>608</v>
      </c>
      <c r="B609" s="1" t="str">
        <f>IF(LEFT(Annex!H343,5)="Local","Local Transmission",Annex!H343)</f>
        <v>Imported</v>
      </c>
      <c r="C609" s="1" t="str">
        <f>Annex!J343</f>
        <v>Female</v>
      </c>
      <c r="D609" s="1">
        <f>Annex!D343</f>
        <v>18</v>
      </c>
      <c r="E609" s="1" t="str">
        <f>Annex!K343</f>
        <v>France</v>
      </c>
      <c r="F609" s="1" t="str">
        <f>Annex!L343</f>
        <v xml:space="preserve">Case 608 is a Imported case, 18 years old female France (Long Term Pass holder)  and has been to Canada . She is currently admitted at NCID . </v>
      </c>
      <c r="G609" s="2">
        <v>43915</v>
      </c>
      <c r="H609" s="1"/>
      <c r="I609" s="1"/>
      <c r="J609" s="1"/>
      <c r="K609" s="1"/>
      <c r="L609" s="1" t="str">
        <f>Annex!C343</f>
        <v xml:space="preserve">NCID </v>
      </c>
      <c r="M609" s="5" t="s">
        <v>1264</v>
      </c>
    </row>
    <row r="610" spans="1:13" ht="13.8" customHeight="1" x14ac:dyDescent="0.3">
      <c r="A610" s="1">
        <f>Annex!A344</f>
        <v>609</v>
      </c>
      <c r="B610" s="1" t="str">
        <f>IF(LEFT(Annex!H344,5)="Local","Local Transmission",Annex!H344)</f>
        <v>Local Transmission</v>
      </c>
      <c r="C610" s="1" t="str">
        <f>Annex!J344</f>
        <v>Female</v>
      </c>
      <c r="D610" s="1">
        <f>Annex!D344</f>
        <v>30</v>
      </c>
      <c r="E610" s="1" t="str">
        <f>Annex!K344</f>
        <v>Singaporean</v>
      </c>
      <c r="F610" s="1" t="str">
        <f>Annex!L344</f>
        <v>Case 609 is a Local linked  case, 30 years old female Singapore Citizen  and has not been overseas. She is currently admitted at NCID . Contact of Case 516 PCF Fengshan</v>
      </c>
      <c r="G610" s="2">
        <v>43915</v>
      </c>
      <c r="H610" s="1"/>
      <c r="I610" s="1"/>
      <c r="J610" s="1"/>
      <c r="K610" s="1"/>
      <c r="L610" s="1" t="str">
        <f>Annex!C344</f>
        <v xml:space="preserve">NCID </v>
      </c>
      <c r="M610" s="5" t="s">
        <v>1264</v>
      </c>
    </row>
    <row r="611" spans="1:13" ht="13.8" customHeight="1" x14ac:dyDescent="0.3">
      <c r="A611" s="1">
        <f>Annex!A345</f>
        <v>610</v>
      </c>
      <c r="B611" s="1" t="str">
        <f>IF(LEFT(Annex!H345,5)="Local","Local Transmission",Annex!H345)</f>
        <v>Local Transmission</v>
      </c>
      <c r="C611" s="1" t="str">
        <f>Annex!J345</f>
        <v>Female</v>
      </c>
      <c r="D611" s="1">
        <f>Annex!D345</f>
        <v>25</v>
      </c>
      <c r="E611" s="1" t="str">
        <f>Annex!K345</f>
        <v>Singaporean</v>
      </c>
      <c r="F611" s="1" t="str">
        <f>Annex!L345</f>
        <v>Case 610 is a Local linked  case, 25 years old female Singapore Citizen  and has not been overseas. She is currently admitted at NCID . Contact of Case 516 PCF Fengshan</v>
      </c>
      <c r="G611" s="2">
        <v>43915</v>
      </c>
      <c r="H611" s="1"/>
      <c r="I611" s="1"/>
      <c r="J611" s="1"/>
      <c r="K611" s="1"/>
      <c r="L611" s="1" t="str">
        <f>Annex!C345</f>
        <v xml:space="preserve">NCID </v>
      </c>
      <c r="M611" s="5" t="s">
        <v>1264</v>
      </c>
    </row>
    <row r="612" spans="1:13" ht="13.8" customHeight="1" x14ac:dyDescent="0.3">
      <c r="A612" s="1">
        <f>Annex!A346</f>
        <v>611</v>
      </c>
      <c r="B612" s="1" t="str">
        <f>IF(LEFT(Annex!H346,5)="Local","Local Transmission",Annex!H346)</f>
        <v>Imported</v>
      </c>
      <c r="C612" s="1" t="str">
        <f>Annex!J346</f>
        <v>Male</v>
      </c>
      <c r="D612" s="1">
        <f>Annex!D346</f>
        <v>24</v>
      </c>
      <c r="E612" s="1" t="str">
        <f>Annex!K346</f>
        <v>Singaporean</v>
      </c>
      <c r="F612" s="1" t="str">
        <f>Annex!L346</f>
        <v xml:space="preserve">Case 611 is a Imported case, 24 years old male Singapore Citizen  and has been to UK . He is currently admitted at NCID . </v>
      </c>
      <c r="G612" s="2">
        <v>43915</v>
      </c>
      <c r="H612" s="1"/>
      <c r="I612" s="1"/>
      <c r="J612" s="1"/>
      <c r="K612" s="1"/>
      <c r="L612" s="1" t="str">
        <f>Annex!C346</f>
        <v xml:space="preserve">NCID </v>
      </c>
      <c r="M612" s="5" t="s">
        <v>1264</v>
      </c>
    </row>
    <row r="613" spans="1:13" ht="13.8" customHeight="1" x14ac:dyDescent="0.3">
      <c r="A613" s="1">
        <f>Annex!A347</f>
        <v>612</v>
      </c>
      <c r="B613" s="1" t="str">
        <f>IF(LEFT(Annex!H347,5)="Local","Local Transmission",Annex!H347)</f>
        <v>Local Transmission</v>
      </c>
      <c r="C613" s="1" t="str">
        <f>Annex!J347</f>
        <v>Female</v>
      </c>
      <c r="D613" s="1">
        <f>Annex!D347</f>
        <v>22</v>
      </c>
      <c r="E613" s="1" t="str">
        <f>Annex!K347</f>
        <v>Singaporean</v>
      </c>
      <c r="F613" s="1" t="str">
        <f>Annex!L347</f>
        <v>Case 612 is a Local linked  case, 22 years old female Singapore Citizen  and has not been overseas. She is currently admitted at NCID . PCF Fengshan</v>
      </c>
      <c r="G613" s="2">
        <v>43915</v>
      </c>
      <c r="H613" s="1"/>
      <c r="I613" s="1"/>
      <c r="J613" s="1"/>
      <c r="K613" s="1"/>
      <c r="L613" s="1" t="str">
        <f>Annex!C347</f>
        <v xml:space="preserve">NCID </v>
      </c>
      <c r="M613" s="5" t="s">
        <v>1264</v>
      </c>
    </row>
    <row r="614" spans="1:13" ht="13.8" customHeight="1" x14ac:dyDescent="0.3">
      <c r="A614" s="1">
        <f>Annex!A348</f>
        <v>613</v>
      </c>
      <c r="B614" s="1" t="str">
        <f>IF(LEFT(Annex!H348,5)="Local","Local Transmission",Annex!H348)</f>
        <v>Imported</v>
      </c>
      <c r="C614" s="1" t="str">
        <f>Annex!J348</f>
        <v>Female</v>
      </c>
      <c r="D614" s="1">
        <f>Annex!D348</f>
        <v>62</v>
      </c>
      <c r="E614" s="1" t="str">
        <f>Annex!K348</f>
        <v>Singaporean</v>
      </c>
      <c r="F614" s="1" t="str">
        <f>Annex!L348</f>
        <v xml:space="preserve">Case 613 is a Imported case, 62 years old female Singapore Citizen  and has been to Thailand . She is currently admitted at NCID . </v>
      </c>
      <c r="G614" s="2">
        <v>43915</v>
      </c>
      <c r="H614" s="1"/>
      <c r="I614" s="1"/>
      <c r="J614" s="1"/>
      <c r="K614" s="1"/>
      <c r="L614" s="1" t="str">
        <f>Annex!C348</f>
        <v xml:space="preserve">NCID </v>
      </c>
      <c r="M614" s="5" t="s">
        <v>1264</v>
      </c>
    </row>
    <row r="615" spans="1:13" ht="13.8" customHeight="1" x14ac:dyDescent="0.3">
      <c r="A615" s="1">
        <f>Annex!A349</f>
        <v>614</v>
      </c>
      <c r="B615" s="1" t="str">
        <f>IF(LEFT(Annex!H349,5)="Local","Local Transmission",Annex!H349)</f>
        <v>Local Transmission</v>
      </c>
      <c r="C615" s="1" t="str">
        <f>Annex!J349</f>
        <v>Female</v>
      </c>
      <c r="D615" s="1">
        <f>Annex!D349</f>
        <v>62</v>
      </c>
      <c r="E615" s="1" t="str">
        <f>Annex!K349</f>
        <v>Singaporean</v>
      </c>
      <c r="F615" s="1" t="str">
        <f>Annex!L349</f>
        <v>Case 614 is a Local linked  case, 62 years old female Singapore Citizen  and has not been overseas. She is currently admitted at NCID . PCF Fengshan</v>
      </c>
      <c r="G615" s="2">
        <v>43915</v>
      </c>
      <c r="H615" s="74">
        <v>43926</v>
      </c>
      <c r="I615" s="1"/>
      <c r="J615" s="1"/>
      <c r="K615" s="1"/>
      <c r="L615" s="1" t="str">
        <f>Annex!C349</f>
        <v xml:space="preserve">NCID </v>
      </c>
      <c r="M615" s="5" t="s">
        <v>1264</v>
      </c>
    </row>
    <row r="616" spans="1:13" ht="13.8" customHeight="1" x14ac:dyDescent="0.3">
      <c r="A616" s="1">
        <f>Annex!A350</f>
        <v>615</v>
      </c>
      <c r="B616" s="1" t="str">
        <f>IF(LEFT(Annex!H350,5)="Local","Local Transmission",Annex!H350)</f>
        <v>Imported</v>
      </c>
      <c r="C616" s="1" t="str">
        <f>Annex!J350</f>
        <v>Female</v>
      </c>
      <c r="D616" s="1">
        <f>Annex!D350</f>
        <v>44</v>
      </c>
      <c r="E616" s="1" t="str">
        <f>Annex!K350</f>
        <v>Singaporean</v>
      </c>
      <c r="F616" s="1" t="str">
        <f>Annex!L350</f>
        <v xml:space="preserve">Case 615 is a Imported case, 44 years old female Singapore Citizen  and has been to Germany . She is currently admitted at NCID . </v>
      </c>
      <c r="G616" s="2">
        <v>43915</v>
      </c>
      <c r="H616" s="1"/>
      <c r="I616" s="1"/>
      <c r="J616" s="1"/>
      <c r="K616" s="1"/>
      <c r="L616" s="1" t="str">
        <f>Annex!C350</f>
        <v xml:space="preserve">NCID </v>
      </c>
      <c r="M616" s="5" t="s">
        <v>1264</v>
      </c>
    </row>
    <row r="617" spans="1:13" ht="13.8" customHeight="1" x14ac:dyDescent="0.3">
      <c r="A617" s="1">
        <f>Annex!A351</f>
        <v>616</v>
      </c>
      <c r="B617" s="1" t="str">
        <f>IF(LEFT(Annex!H351,5)="Local","Local Transmission",Annex!H351)</f>
        <v>Imported</v>
      </c>
      <c r="C617" s="1" t="str">
        <f>Annex!J351</f>
        <v>Male</v>
      </c>
      <c r="D617" s="1">
        <f>Annex!D351</f>
        <v>39</v>
      </c>
      <c r="E617" s="1" t="str">
        <f>Annex!K351</f>
        <v>Malaysia</v>
      </c>
      <c r="F617" s="1" t="str">
        <f>Annex!L351</f>
        <v xml:space="preserve">Case 616 is a Imported case, 39 years old male Malaysia (Singapore Work Pass holder)  and has been to Malaysia . He is currently admitted at NCID . </v>
      </c>
      <c r="G617" s="2">
        <v>43915</v>
      </c>
      <c r="H617" s="1"/>
      <c r="I617" s="1"/>
      <c r="J617" s="1"/>
      <c r="K617" s="1"/>
      <c r="L617" s="1" t="str">
        <f>Annex!C351</f>
        <v xml:space="preserve">NCID </v>
      </c>
      <c r="M617" s="5" t="s">
        <v>1264</v>
      </c>
    </row>
    <row r="618" spans="1:13" ht="13.8" customHeight="1" x14ac:dyDescent="0.3">
      <c r="A618" s="1">
        <f>Annex!A352</f>
        <v>617</v>
      </c>
      <c r="B618" s="1" t="str">
        <f>IF(LEFT(Annex!H352,5)="Local","Local Transmission",Annex!H352)</f>
        <v>Local Transmission</v>
      </c>
      <c r="C618" s="1" t="str">
        <f>Annex!J352</f>
        <v>Female</v>
      </c>
      <c r="D618" s="1">
        <f>Annex!D352</f>
        <v>26</v>
      </c>
      <c r="E618" s="1" t="str">
        <f>Annex!K352</f>
        <v>Philippines</v>
      </c>
      <c r="F618" s="1" t="str">
        <f>Annex!L352</f>
        <v>Case 617 is a Local linked  case, 26 years old female Philippines (Singapore Work Pass holder)  and has not been overseas. She is currently admitted at NCID . PCF Fengshan</v>
      </c>
      <c r="G618" s="2">
        <v>43915</v>
      </c>
      <c r="H618" s="1"/>
      <c r="I618" s="1"/>
      <c r="J618" s="1"/>
      <c r="K618" s="1"/>
      <c r="L618" s="1" t="str">
        <f>Annex!C352</f>
        <v xml:space="preserve">NCID </v>
      </c>
      <c r="M618" s="5" t="s">
        <v>1264</v>
      </c>
    </row>
    <row r="619" spans="1:13" ht="13.8" customHeight="1" x14ac:dyDescent="0.3">
      <c r="A619" s="1">
        <f>Annex!A353</f>
        <v>618</v>
      </c>
      <c r="B619" s="1" t="str">
        <f>IF(LEFT(Annex!H353,5)="Local","Local Transmission",Annex!H353)</f>
        <v>Local Transmission</v>
      </c>
      <c r="C619" s="1" t="str">
        <f>Annex!J353</f>
        <v>Female</v>
      </c>
      <c r="D619" s="1">
        <f>Annex!D353</f>
        <v>29</v>
      </c>
      <c r="E619" s="1" t="str">
        <f>Annex!K353</f>
        <v>UK</v>
      </c>
      <c r="F619" s="1" t="str">
        <f>Annex!L353</f>
        <v>Case 618 is a Local linked  case, 29 years old female UK (Singapore Work Pass holder)  and has not been overseas. She is currently admitted at NCID . Contact of Case 556 Dover Court International School</v>
      </c>
      <c r="G619" s="2">
        <v>43915</v>
      </c>
      <c r="H619" s="1"/>
      <c r="I619" s="1"/>
      <c r="J619" s="1"/>
      <c r="K619" s="1"/>
      <c r="L619" s="1" t="str">
        <f>Annex!C353</f>
        <v xml:space="preserve">NCID </v>
      </c>
      <c r="M619" s="5" t="s">
        <v>1264</v>
      </c>
    </row>
    <row r="620" spans="1:13" ht="13.8" customHeight="1" x14ac:dyDescent="0.3">
      <c r="A620" s="1">
        <f>Annex!A354</f>
        <v>619</v>
      </c>
      <c r="B620" s="1" t="str">
        <f>IF(LEFT(Annex!H354,5)="Local","Local Transmission",Annex!H354)</f>
        <v>Local Transmission</v>
      </c>
      <c r="C620" s="1" t="str">
        <f>Annex!J354</f>
        <v>Female</v>
      </c>
      <c r="D620" s="1">
        <f>Annex!D354</f>
        <v>65</v>
      </c>
      <c r="E620" s="1" t="str">
        <f>Annex!K354</f>
        <v>Singaporean</v>
      </c>
      <c r="F620" s="1" t="str">
        <f>Annex!L354</f>
        <v>Case 619 is a Local linked  case, 65 years old female Singapore Citizen  and has not been overseas. She is currently admitted at NCID . Family member of Case 557</v>
      </c>
      <c r="G620" s="2">
        <v>43915</v>
      </c>
      <c r="H620" s="1"/>
      <c r="I620" s="1"/>
      <c r="J620" s="1"/>
      <c r="K620" s="1"/>
      <c r="L620" s="1" t="str">
        <f>Annex!C354</f>
        <v xml:space="preserve">NCID </v>
      </c>
      <c r="M620" s="5" t="s">
        <v>1264</v>
      </c>
    </row>
    <row r="621" spans="1:13" ht="13.8" customHeight="1" x14ac:dyDescent="0.3">
      <c r="A621" s="1">
        <f>Annex!A355</f>
        <v>620</v>
      </c>
      <c r="B621" s="1" t="str">
        <f>IF(LEFT(Annex!H355,5)="Local","Local Transmission",Annex!H355)</f>
        <v>Imported</v>
      </c>
      <c r="C621" s="1" t="str">
        <f>Annex!J355</f>
        <v>Female</v>
      </c>
      <c r="D621" s="1">
        <f>Annex!D355</f>
        <v>18</v>
      </c>
      <c r="E621" s="1" t="str">
        <f>Annex!K355</f>
        <v>Singaporean</v>
      </c>
      <c r="F621" s="1" t="str">
        <f>Annex!L355</f>
        <v xml:space="preserve">Case 620 is a Imported case, 18 years old female Singapore Citizen  and has been to UK . She is currently admitted at NCID . </v>
      </c>
      <c r="G621" s="2">
        <v>43915</v>
      </c>
      <c r="H621" s="1"/>
      <c r="I621" s="1"/>
      <c r="J621" s="1"/>
      <c r="K621" s="1"/>
      <c r="L621" s="1" t="str">
        <f>Annex!C355</f>
        <v xml:space="preserve">NCID </v>
      </c>
      <c r="M621" s="5" t="s">
        <v>1264</v>
      </c>
    </row>
    <row r="622" spans="1:13" ht="13.8" customHeight="1" x14ac:dyDescent="0.3">
      <c r="A622" s="1">
        <f>Annex!A356</f>
        <v>621</v>
      </c>
      <c r="B622" s="1" t="str">
        <f>IF(LEFT(Annex!H356,5)="Local","Local Transmission",Annex!H356)</f>
        <v>Local Transmission</v>
      </c>
      <c r="C622" s="1" t="str">
        <f>Annex!J356</f>
        <v>Male</v>
      </c>
      <c r="D622" s="1">
        <f>Annex!D356</f>
        <v>50</v>
      </c>
      <c r="E622" s="1" t="str">
        <f>Annex!K356</f>
        <v>Singaporean</v>
      </c>
      <c r="F622" s="1" t="str">
        <f>Annex!L356</f>
        <v xml:space="preserve">Case 621 is a Local unlinked case, 50 years old male Singapore Permanent Resident  and has not been overseas. He is currently admitted at NCID . </v>
      </c>
      <c r="G622" s="2">
        <v>43915</v>
      </c>
      <c r="H622" s="1"/>
      <c r="I622" s="1"/>
      <c r="J622" s="1"/>
      <c r="K622" s="1"/>
      <c r="L622" s="1" t="str">
        <f>Annex!C356</f>
        <v xml:space="preserve">NCID </v>
      </c>
      <c r="M622" s="5" t="s">
        <v>1264</v>
      </c>
    </row>
    <row r="623" spans="1:13" ht="13.8" customHeight="1" x14ac:dyDescent="0.3">
      <c r="A623" s="1">
        <f>Annex!A357</f>
        <v>622</v>
      </c>
      <c r="B623" s="1" t="str">
        <f>IF(LEFT(Annex!H357,5)="Local","Local Transmission",Annex!H357)</f>
        <v>Imported</v>
      </c>
      <c r="C623" s="1" t="str">
        <f>Annex!J357</f>
        <v>Female</v>
      </c>
      <c r="D623" s="1">
        <f>Annex!D357</f>
        <v>27</v>
      </c>
      <c r="E623" s="1" t="str">
        <f>Annex!K357</f>
        <v>Singaporean</v>
      </c>
      <c r="F623" s="1" t="str">
        <f>Annex!L357</f>
        <v xml:space="preserve">Case 622 is a Imported case, 27 years old female Singapore Citizen  and has been to UK . She is currently admitted at NCID . </v>
      </c>
      <c r="G623" s="2">
        <v>43915</v>
      </c>
      <c r="H623" s="68">
        <v>43924</v>
      </c>
      <c r="I623" s="1"/>
      <c r="J623" s="1"/>
      <c r="K623" s="1"/>
      <c r="L623" s="1" t="str">
        <f>Annex!C357</f>
        <v xml:space="preserve">NCID </v>
      </c>
      <c r="M623" s="5" t="s">
        <v>1264</v>
      </c>
    </row>
    <row r="624" spans="1:13" ht="13.8" customHeight="1" x14ac:dyDescent="0.3">
      <c r="A624" s="1">
        <f>Annex!A358</f>
        <v>623</v>
      </c>
      <c r="B624" s="1" t="str">
        <f>IF(LEFT(Annex!H358,5)="Local","Local Transmission",Annex!H358)</f>
        <v>Imported</v>
      </c>
      <c r="C624" s="1" t="str">
        <f>Annex!J358</f>
        <v>Female</v>
      </c>
      <c r="D624" s="1">
        <f>Annex!D358</f>
        <v>58</v>
      </c>
      <c r="E624" s="1" t="str">
        <f>Annex!K358</f>
        <v>Indonesia</v>
      </c>
      <c r="F624" s="1" t="str">
        <f>Annex!L358</f>
        <v xml:space="preserve">Case 623 is a Imported case, 58 years old female Indonesia (Long Term Pass holder)  and has been to Indonesia . She is currently admitted at NCID . </v>
      </c>
      <c r="G624" s="2">
        <v>43915</v>
      </c>
      <c r="H624" s="1"/>
      <c r="I624" s="1"/>
      <c r="J624" s="1"/>
      <c r="K624" s="1"/>
      <c r="L624" s="1" t="str">
        <f>Annex!C358</f>
        <v xml:space="preserve">NCID </v>
      </c>
      <c r="M624" s="5" t="s">
        <v>1264</v>
      </c>
    </row>
    <row r="625" spans="1:13" ht="13.8" customHeight="1" x14ac:dyDescent="0.3">
      <c r="A625" s="1">
        <f>Annex!A359</f>
        <v>624</v>
      </c>
      <c r="B625" s="1" t="str">
        <f>IF(LEFT(Annex!H359,5)="Local","Local Transmission",Annex!H359)</f>
        <v>Local Transmission</v>
      </c>
      <c r="C625" s="1" t="str">
        <f>Annex!J359</f>
        <v>Female</v>
      </c>
      <c r="D625" s="1">
        <f>Annex!D359</f>
        <v>48</v>
      </c>
      <c r="E625" s="1" t="str">
        <f>Annex!K359</f>
        <v>Singaporean</v>
      </c>
      <c r="F625" s="1" t="str">
        <f>Annex!L359</f>
        <v>Case 624 is a Local linked  case, 48 years old female Singapore Citizen  and has not been overseas. She is currently admitted at NCID . PCF Fengshan</v>
      </c>
      <c r="G625" s="2">
        <v>43915</v>
      </c>
      <c r="H625" s="1"/>
      <c r="I625" s="1"/>
      <c r="J625" s="1"/>
      <c r="K625" s="1"/>
      <c r="L625" s="1" t="str">
        <f>Annex!C359</f>
        <v xml:space="preserve">NCID </v>
      </c>
      <c r="M625" s="5" t="s">
        <v>1264</v>
      </c>
    </row>
    <row r="626" spans="1:13" ht="13.8" customHeight="1" x14ac:dyDescent="0.3">
      <c r="A626" s="1">
        <f>Annex!A360</f>
        <v>625</v>
      </c>
      <c r="B626" s="1" t="str">
        <f>IF(LEFT(Annex!H360,5)="Local","Local Transmission",Annex!H360)</f>
        <v>Imported</v>
      </c>
      <c r="C626" s="1" t="str">
        <f>Annex!J360</f>
        <v>Male</v>
      </c>
      <c r="D626" s="1">
        <f>Annex!D360</f>
        <v>27</v>
      </c>
      <c r="E626" s="1" t="str">
        <f>Annex!K360</f>
        <v>Philippines</v>
      </c>
      <c r="F626" s="1" t="str">
        <f>Annex!L360</f>
        <v xml:space="preserve">Case 625 is a Imported case, 27 years old male Philippines (Singapore Work Pass holder)  and has been to Philippines . He is currently admitted at CGH . </v>
      </c>
      <c r="G626" s="2">
        <v>43915</v>
      </c>
      <c r="H626" s="64">
        <v>43923</v>
      </c>
      <c r="I626" s="1"/>
      <c r="J626" s="1"/>
      <c r="K626" s="1"/>
      <c r="L626" s="1" t="str">
        <f>Annex!C360</f>
        <v xml:space="preserve">CGH </v>
      </c>
      <c r="M626" s="5" t="s">
        <v>1264</v>
      </c>
    </row>
    <row r="627" spans="1:13" ht="13.8" customHeight="1" x14ac:dyDescent="0.3">
      <c r="A627" s="1">
        <f>Annex!A361</f>
        <v>626</v>
      </c>
      <c r="B627" s="1" t="str">
        <f>IF(LEFT(Annex!H361,5)="Local","Local Transmission",Annex!H361)</f>
        <v>Local Transmission</v>
      </c>
      <c r="C627" s="1" t="str">
        <f>Annex!J361</f>
        <v>Female</v>
      </c>
      <c r="D627" s="1">
        <f>Annex!D361</f>
        <v>44</v>
      </c>
      <c r="E627" s="1" t="str">
        <f>Annex!K361</f>
        <v>UK</v>
      </c>
      <c r="F627" s="1" t="str">
        <f>Annex!L361</f>
        <v>Case 626 is a Local linked  case, 44 years old female UK (Singapore Work Pass holder)  and has not been overseas. She is currently admitted at NUH . Contact of Case 556 Dover Court International School</v>
      </c>
      <c r="G627" s="2">
        <v>43915</v>
      </c>
      <c r="H627" s="1"/>
      <c r="I627" s="1"/>
      <c r="J627" s="1"/>
      <c r="K627" s="1"/>
      <c r="L627" s="1" t="str">
        <f>Annex!C361</f>
        <v xml:space="preserve">NUH </v>
      </c>
      <c r="M627" s="5" t="s">
        <v>1264</v>
      </c>
    </row>
    <row r="628" spans="1:13" ht="13.8" customHeight="1" x14ac:dyDescent="0.3">
      <c r="A628" s="1">
        <f>Annex!A362</f>
        <v>627</v>
      </c>
      <c r="B628" s="1" t="str">
        <f>IF(LEFT(Annex!H362,5)="Local","Local Transmission",Annex!H362)</f>
        <v xml:space="preserve">Imported </v>
      </c>
      <c r="C628" s="1" t="str">
        <f>Annex!J362</f>
        <v>Female</v>
      </c>
      <c r="D628" s="1">
        <f>Annex!D362</f>
        <v>18</v>
      </c>
      <c r="E628" s="1" t="str">
        <f>Annex!K362</f>
        <v>Singaporean</v>
      </c>
      <c r="F628" s="1" t="str">
        <f>Annex!L362</f>
        <v xml:space="preserve">Case 627 is a Imported  case, 18 years old female Singapore Citizen  and has been to UK . She is currently admitted at SKH . </v>
      </c>
      <c r="G628" s="2">
        <v>43915</v>
      </c>
      <c r="H628" s="1"/>
      <c r="I628" s="1"/>
      <c r="J628" s="1"/>
      <c r="K628" s="1"/>
      <c r="L628" s="1" t="str">
        <f>Annex!C362</f>
        <v xml:space="preserve">SKH </v>
      </c>
      <c r="M628" s="5" t="s">
        <v>1264</v>
      </c>
    </row>
    <row r="629" spans="1:13" ht="13.8" customHeight="1" x14ac:dyDescent="0.3">
      <c r="A629" s="1">
        <f>Annex!A363</f>
        <v>628</v>
      </c>
      <c r="B629" s="1" t="str">
        <f>IF(LEFT(Annex!H363,5)="Local","Local Transmission",Annex!H363)</f>
        <v>Imported</v>
      </c>
      <c r="C629" s="1" t="str">
        <f>Annex!J363</f>
        <v>Male</v>
      </c>
      <c r="D629" s="1">
        <f>Annex!D363</f>
        <v>23</v>
      </c>
      <c r="E629" s="1" t="str">
        <f>Annex!K363</f>
        <v>Singaporean</v>
      </c>
      <c r="F629" s="1" t="str">
        <f>Annex!L363</f>
        <v xml:space="preserve">Case 628 is a Imported case, 23 years old male Singapore Citizen  and has been to UK . He is currently admitted at NCID . </v>
      </c>
      <c r="G629" s="2">
        <v>43915</v>
      </c>
      <c r="H629" s="1"/>
      <c r="I629" s="1"/>
      <c r="J629" s="1"/>
      <c r="K629" s="1"/>
      <c r="L629" s="1" t="str">
        <f>Annex!C363</f>
        <v xml:space="preserve">NCID </v>
      </c>
      <c r="M629" s="5" t="s">
        <v>1264</v>
      </c>
    </row>
    <row r="630" spans="1:13" ht="13.8" customHeight="1" x14ac:dyDescent="0.3">
      <c r="A630" s="1">
        <f>Annex!A364</f>
        <v>629</v>
      </c>
      <c r="B630" s="1" t="str">
        <f>IF(LEFT(Annex!H364,5)="Local","Local Transmission",Annex!H364)</f>
        <v xml:space="preserve">Imported </v>
      </c>
      <c r="C630" s="1" t="str">
        <f>Annex!J364</f>
        <v>Male</v>
      </c>
      <c r="D630" s="1">
        <f>Annex!D364</f>
        <v>46</v>
      </c>
      <c r="E630" s="1" t="str">
        <f>Annex!K364</f>
        <v>Singaporean</v>
      </c>
      <c r="F630" s="1" t="str">
        <f>Annex!L364</f>
        <v>Case 629 is a Imported  case, 46 years old male Singapore Citizen  and has been to Pakistan . He is currently admitted at SGH . Contact of Case 557</v>
      </c>
      <c r="G630" s="2">
        <v>43915</v>
      </c>
      <c r="H630" s="48">
        <v>43920</v>
      </c>
      <c r="I630" s="1"/>
      <c r="J630" s="1"/>
      <c r="K630" s="1"/>
      <c r="L630" s="1" t="str">
        <f>Annex!C364</f>
        <v xml:space="preserve">SGH </v>
      </c>
      <c r="M630" s="5" t="s">
        <v>1264</v>
      </c>
    </row>
    <row r="631" spans="1:13" ht="13.8" customHeight="1" x14ac:dyDescent="0.3">
      <c r="A631" s="1">
        <f>Annex!A365</f>
        <v>630</v>
      </c>
      <c r="B631" s="1" t="str">
        <f>IF(LEFT(Annex!H365,5)="Local","Local Transmission",Annex!H365)</f>
        <v>Local Transmission</v>
      </c>
      <c r="C631" s="1" t="str">
        <f>Annex!J365</f>
        <v>Female</v>
      </c>
      <c r="D631" s="1">
        <f>Annex!D365</f>
        <v>43</v>
      </c>
      <c r="E631" s="1" t="str">
        <f>Annex!K365</f>
        <v>Singaporean</v>
      </c>
      <c r="F631" s="1" t="str">
        <f>Annex!L365</f>
        <v>Case 630 is a Local linked  case, 43 years old female Singapore Citizen  and has not been overseas. She is currently admitted at SGH . Contact of Case 532</v>
      </c>
      <c r="G631" s="2">
        <v>43915</v>
      </c>
      <c r="H631" s="1"/>
      <c r="I631" s="1"/>
      <c r="J631" s="1"/>
      <c r="K631" s="1"/>
      <c r="L631" s="1" t="str">
        <f>Annex!C365</f>
        <v xml:space="preserve">SGH </v>
      </c>
      <c r="M631" s="5" t="s">
        <v>1264</v>
      </c>
    </row>
    <row r="632" spans="1:13" ht="13.8" customHeight="1" x14ac:dyDescent="0.3">
      <c r="A632" s="1">
        <f>Annex!A366</f>
        <v>631</v>
      </c>
      <c r="B632" s="1" t="str">
        <f>IF(LEFT(Annex!H366,5)="Local","Local Transmission",Annex!H366)</f>
        <v>Local Transmission</v>
      </c>
      <c r="C632" s="1" t="str">
        <f>Annex!J366</f>
        <v>Female</v>
      </c>
      <c r="D632" s="1">
        <f>Annex!D366</f>
        <v>3</v>
      </c>
      <c r="E632" s="1" t="str">
        <f>Annex!K366</f>
        <v>India</v>
      </c>
      <c r="F632" s="1" t="str">
        <f>Annex!L366</f>
        <v>Case 631 is a Local linked  case, 3 years old female India (Long Term Pass holder)  and has not been overseas. She is currently admitted at KKH . Contact of Case 453</v>
      </c>
      <c r="G632" s="2">
        <v>43915</v>
      </c>
      <c r="H632" s="1"/>
      <c r="I632" s="1"/>
      <c r="J632" s="1"/>
      <c r="K632" s="1"/>
      <c r="L632" s="1" t="str">
        <f>Annex!C366</f>
        <v xml:space="preserve">KKH </v>
      </c>
      <c r="M632" s="5" t="s">
        <v>1264</v>
      </c>
    </row>
    <row r="633" spans="1:13" ht="13.8" customHeight="1" x14ac:dyDescent="0.3">
      <c r="A633" s="1">
        <f>Annex!A367</f>
        <v>632</v>
      </c>
      <c r="B633" s="1" t="str">
        <f>IF(LEFT(Annex!H367,5)="Local","Local Transmission",Annex!H367)</f>
        <v>Local Transmission</v>
      </c>
      <c r="C633" s="1" t="str">
        <f>Annex!J367</f>
        <v>Male</v>
      </c>
      <c r="D633" s="1">
        <f>Annex!D367</f>
        <v>32</v>
      </c>
      <c r="E633" s="1" t="str">
        <f>Annex!K367</f>
        <v>Singaporean</v>
      </c>
      <c r="F633" s="1" t="str">
        <f>Annex!L367</f>
        <v>Case 632 is a Local linked  case, 32 years old male Singapore Citizen  and has not been overseas. He is currently admitted at KTPH . Contact of Case 644</v>
      </c>
      <c r="G633" s="2">
        <v>43916</v>
      </c>
      <c r="H633" s="1"/>
      <c r="I633" s="1"/>
      <c r="J633" s="1"/>
      <c r="K633" s="1"/>
      <c r="L633" s="1" t="str">
        <f>Annex!C367</f>
        <v xml:space="preserve">KTPH </v>
      </c>
      <c r="M633" s="5" t="s">
        <v>1284</v>
      </c>
    </row>
    <row r="634" spans="1:13" ht="13.8" customHeight="1" x14ac:dyDescent="0.3">
      <c r="A634" s="1">
        <f>Annex!A368</f>
        <v>633</v>
      </c>
      <c r="B634" s="1" t="str">
        <f>IF(LEFT(Annex!H368,5)="Local","Local Transmission",Annex!H368)</f>
        <v>Imported</v>
      </c>
      <c r="C634" s="1" t="str">
        <f>Annex!J368</f>
        <v>Male</v>
      </c>
      <c r="D634" s="1">
        <f>Annex!D368</f>
        <v>35</v>
      </c>
      <c r="E634" s="1" t="str">
        <f>Annex!K368</f>
        <v>Singaporean</v>
      </c>
      <c r="F634" s="1" t="str">
        <f>Annex!L368</f>
        <v xml:space="preserve">Case 633 is a Imported case, 35 years old male Singapore Citizen  and has been to UK . He is currently admitted at NCID . </v>
      </c>
      <c r="G634" s="2">
        <v>43916</v>
      </c>
      <c r="H634" s="1"/>
      <c r="I634" s="1"/>
      <c r="J634" s="1"/>
      <c r="K634" s="1"/>
      <c r="L634" s="1" t="str">
        <f>Annex!C368</f>
        <v xml:space="preserve">NCID </v>
      </c>
      <c r="M634" s="5" t="s">
        <v>1284</v>
      </c>
    </row>
    <row r="635" spans="1:13" ht="13.8" customHeight="1" x14ac:dyDescent="0.3">
      <c r="A635" s="1">
        <f>Annex!A369</f>
        <v>634</v>
      </c>
      <c r="B635" s="1" t="str">
        <f>IF(LEFT(Annex!H369,5)="Local","Local Transmission",Annex!H369)</f>
        <v xml:space="preserve">Imported </v>
      </c>
      <c r="C635" s="1" t="str">
        <f>Annex!J369</f>
        <v>Female</v>
      </c>
      <c r="D635" s="1">
        <f>Annex!D369</f>
        <v>42</v>
      </c>
      <c r="E635" s="1" t="str">
        <f>Annex!K369</f>
        <v>Singaporean</v>
      </c>
      <c r="F635" s="1" t="str">
        <f>Annex!L369</f>
        <v>Case 634 is a Imported  case, 42 years old female Singapore Citizen  and has been to Taiwan, Philippines . She is currently admitted at NCID . Contact of Case 222</v>
      </c>
      <c r="G635" s="2">
        <v>43916</v>
      </c>
      <c r="H635" s="1"/>
      <c r="I635" s="1"/>
      <c r="J635" s="1"/>
      <c r="K635" s="1"/>
      <c r="L635" s="1" t="str">
        <f>Annex!C369</f>
        <v xml:space="preserve">NCID </v>
      </c>
      <c r="M635" s="5" t="s">
        <v>1284</v>
      </c>
    </row>
    <row r="636" spans="1:13" ht="13.8" customHeight="1" x14ac:dyDescent="0.3">
      <c r="A636" s="1">
        <f>Annex!A370</f>
        <v>635</v>
      </c>
      <c r="B636" s="1" t="str">
        <f>IF(LEFT(Annex!H370,5)="Local","Local Transmission",Annex!H370)</f>
        <v>Imported</v>
      </c>
      <c r="C636" s="1" t="str">
        <f>Annex!J370</f>
        <v>Female</v>
      </c>
      <c r="D636" s="1">
        <f>Annex!D370</f>
        <v>21</v>
      </c>
      <c r="E636" s="1" t="str">
        <f>Annex!K370</f>
        <v>Singaporean</v>
      </c>
      <c r="F636" s="1" t="str">
        <f>Annex!L370</f>
        <v xml:space="preserve">Case 635 is a Imported case, 21 years old female Singapore Citizen  and has been to US . She is currently admitted at NCID . </v>
      </c>
      <c r="G636" s="2">
        <v>43916</v>
      </c>
      <c r="H636" s="1"/>
      <c r="I636" s="1"/>
      <c r="J636" s="1"/>
      <c r="K636" s="1"/>
      <c r="L636" s="1" t="str">
        <f>Annex!C370</f>
        <v xml:space="preserve">NCID </v>
      </c>
      <c r="M636" s="5" t="s">
        <v>1284</v>
      </c>
    </row>
    <row r="637" spans="1:13" ht="13.8" customHeight="1" x14ac:dyDescent="0.3">
      <c r="A637" s="1">
        <f>Annex!A371</f>
        <v>636</v>
      </c>
      <c r="B637" s="1" t="str">
        <f>IF(LEFT(Annex!H371,5)="Local","Local Transmission",Annex!H371)</f>
        <v>Imported</v>
      </c>
      <c r="C637" s="1" t="str">
        <f>Annex!J371</f>
        <v>Female</v>
      </c>
      <c r="D637" s="1">
        <f>Annex!D371</f>
        <v>22</v>
      </c>
      <c r="E637" s="1" t="str">
        <f>Annex!K371</f>
        <v>Singaporean</v>
      </c>
      <c r="F637" s="1" t="str">
        <f>Annex!L371</f>
        <v xml:space="preserve">Case 636 is a Imported case, 22 years old female Singapore Citizen  and has been to UK . She is currently admitted at NCID . </v>
      </c>
      <c r="G637" s="2">
        <v>43916</v>
      </c>
      <c r="H637" s="1"/>
      <c r="I637" s="1"/>
      <c r="J637" s="1"/>
      <c r="K637" s="1"/>
      <c r="L637" s="1" t="str">
        <f>Annex!C371</f>
        <v xml:space="preserve">NCID </v>
      </c>
      <c r="M637" s="5" t="s">
        <v>1284</v>
      </c>
    </row>
    <row r="638" spans="1:13" ht="13.8" customHeight="1" x14ac:dyDescent="0.3">
      <c r="A638" s="1">
        <f>Annex!A372</f>
        <v>637</v>
      </c>
      <c r="B638" s="1" t="str">
        <f>IF(LEFT(Annex!H372,5)="Local","Local Transmission",Annex!H372)</f>
        <v>Local Transmission</v>
      </c>
      <c r="C638" s="1" t="str">
        <f>Annex!J372</f>
        <v>Male</v>
      </c>
      <c r="D638" s="1">
        <f>Annex!D372</f>
        <v>24</v>
      </c>
      <c r="E638" s="1" t="str">
        <f>Annex!K372</f>
        <v>China</v>
      </c>
      <c r="F638" s="1" t="str">
        <f>Annex!L372</f>
        <v xml:space="preserve">Case 637 is a Local unlinked case, 24 years old male China (Long Term Pass holder)  and has not been overseas. He is currently admitted at NCID . </v>
      </c>
      <c r="G638" s="2">
        <v>43916</v>
      </c>
      <c r="H638" s="1"/>
      <c r="I638" s="1"/>
      <c r="J638" s="1"/>
      <c r="K638" s="1"/>
      <c r="L638" s="1" t="str">
        <f>Annex!C372</f>
        <v xml:space="preserve">NCID </v>
      </c>
      <c r="M638" s="5" t="s">
        <v>1284</v>
      </c>
    </row>
    <row r="639" spans="1:13" ht="13.8" customHeight="1" x14ac:dyDescent="0.3">
      <c r="A639" s="1">
        <f>Annex!A373</f>
        <v>638</v>
      </c>
      <c r="B639" s="1" t="str">
        <f>IF(LEFT(Annex!H373,5)="Local","Local Transmission",Annex!H373)</f>
        <v>Local Transmission</v>
      </c>
      <c r="C639" s="1" t="str">
        <f>Annex!J373</f>
        <v>Male</v>
      </c>
      <c r="D639" s="1">
        <f>Annex!D373</f>
        <v>49</v>
      </c>
      <c r="E639" s="1" t="str">
        <f>Annex!K373</f>
        <v>Singaporean</v>
      </c>
      <c r="F639" s="1" t="str">
        <f>Annex!L373</f>
        <v>Case 638 is a Local linked  case, 49 years old male Singapore Citizen  and has not been overseas. He is currently admitted at CGH . PCF Fengshan</v>
      </c>
      <c r="G639" s="2">
        <v>43916</v>
      </c>
      <c r="H639" s="1"/>
      <c r="I639" s="1"/>
      <c r="J639" s="1"/>
      <c r="K639" s="1"/>
      <c r="L639" s="1" t="str">
        <f>Annex!C373</f>
        <v xml:space="preserve">CGH </v>
      </c>
      <c r="M639" s="5" t="s">
        <v>1284</v>
      </c>
    </row>
    <row r="640" spans="1:13" ht="13.8" customHeight="1" x14ac:dyDescent="0.3">
      <c r="A640" s="1">
        <f>Annex!A374</f>
        <v>639</v>
      </c>
      <c r="B640" s="1" t="str">
        <f>IF(LEFT(Annex!H374,5)="Local","Local Transmission",Annex!H374)</f>
        <v xml:space="preserve">Imported </v>
      </c>
      <c r="C640" s="1" t="str">
        <f>Annex!J374</f>
        <v>Male</v>
      </c>
      <c r="D640" s="1">
        <f>Annex!D374</f>
        <v>40</v>
      </c>
      <c r="E640" s="1" t="str">
        <f>Annex!K374</f>
        <v>Singaporean</v>
      </c>
      <c r="F640" s="1" t="str">
        <f>Annex!L374</f>
        <v>Case 639 is a Imported  case, 40 years old male Singapore Citizen  and has been to UK . He is currently admitted at NTFGH . Contact of Case 233</v>
      </c>
      <c r="G640" s="2">
        <v>43916</v>
      </c>
      <c r="H640" s="1"/>
      <c r="I640" s="1"/>
      <c r="J640" s="1"/>
      <c r="K640" s="1"/>
      <c r="L640" s="1" t="str">
        <f>Annex!C374</f>
        <v xml:space="preserve">NTFGH </v>
      </c>
      <c r="M640" s="5" t="s">
        <v>1284</v>
      </c>
    </row>
    <row r="641" spans="1:13" ht="13.8" customHeight="1" x14ac:dyDescent="0.3">
      <c r="A641" s="1">
        <f>Annex!A375</f>
        <v>640</v>
      </c>
      <c r="B641" s="1" t="str">
        <f>IF(LEFT(Annex!H375,5)="Local","Local Transmission",Annex!H375)</f>
        <v xml:space="preserve">Imported </v>
      </c>
      <c r="C641" s="1" t="str">
        <f>Annex!J375</f>
        <v>Male</v>
      </c>
      <c r="D641" s="1">
        <f>Annex!D375</f>
        <v>18</v>
      </c>
      <c r="E641" s="1" t="str">
        <f>Annex!K375</f>
        <v>Singaporean</v>
      </c>
      <c r="F641" s="1" t="str">
        <f>Annex!L375</f>
        <v>Case 640 is a Imported  case, 18 years old male Singapore Citizen  and has been to UAE, UK, Germany . He is currently admitted at NTFGH . Family member of Case 641</v>
      </c>
      <c r="G641" s="2">
        <v>43916</v>
      </c>
      <c r="H641" s="1"/>
      <c r="I641" s="1"/>
      <c r="J641" s="1"/>
      <c r="K641" s="1"/>
      <c r="L641" s="1" t="str">
        <f>Annex!C375</f>
        <v xml:space="preserve">NTFGH </v>
      </c>
      <c r="M641" s="5" t="s">
        <v>1284</v>
      </c>
    </row>
    <row r="642" spans="1:13" ht="13.8" customHeight="1" x14ac:dyDescent="0.3">
      <c r="A642" s="1">
        <f>Annex!A376</f>
        <v>641</v>
      </c>
      <c r="B642" s="1" t="str">
        <f>IF(LEFT(Annex!H376,5)="Local","Local Transmission",Annex!H376)</f>
        <v xml:space="preserve">Imported </v>
      </c>
      <c r="C642" s="1" t="str">
        <f>Annex!J376</f>
        <v>Male</v>
      </c>
      <c r="D642" s="1">
        <f>Annex!D376</f>
        <v>55</v>
      </c>
      <c r="E642" s="1" t="str">
        <f>Annex!K376</f>
        <v>Singaporean</v>
      </c>
      <c r="F642" s="1" t="str">
        <f>Annex!L376</f>
        <v>Case 641 is a Imported  case, 55 years old male Singapore Citizen  and has been to UAE, UK, Germany . He is currently admitted at NTFGH . Family member of Case 640</v>
      </c>
      <c r="G642" s="2">
        <v>43916</v>
      </c>
      <c r="H642" s="1"/>
      <c r="I642" s="1"/>
      <c r="J642" s="1"/>
      <c r="K642" s="1"/>
      <c r="L642" s="1" t="str">
        <f>Annex!C376</f>
        <v xml:space="preserve">NTFGH </v>
      </c>
      <c r="M642" s="5" t="s">
        <v>1284</v>
      </c>
    </row>
    <row r="643" spans="1:13" ht="13.8" customHeight="1" x14ac:dyDescent="0.3">
      <c r="A643" s="1">
        <f>Annex!A377</f>
        <v>642</v>
      </c>
      <c r="B643" s="1" t="str">
        <f>IF(LEFT(Annex!H377,5)="Local","Local Transmission",Annex!H377)</f>
        <v>Imported</v>
      </c>
      <c r="C643" s="1" t="str">
        <f>Annex!J377</f>
        <v>Male</v>
      </c>
      <c r="D643" s="1">
        <f>Annex!D377</f>
        <v>19</v>
      </c>
      <c r="E643" s="1" t="str">
        <f>Annex!K377</f>
        <v>Singaporean</v>
      </c>
      <c r="F643" s="1" t="str">
        <f>Annex!L377</f>
        <v xml:space="preserve">Case 642 is a Imported case, 19 years old male Singapore Citizen  and has been to UK . He is currently admitted at NTFGH . </v>
      </c>
      <c r="G643" s="2">
        <v>43916</v>
      </c>
      <c r="H643" s="1"/>
      <c r="I643" s="1"/>
      <c r="J643" s="1"/>
      <c r="K643" s="1"/>
      <c r="L643" s="1" t="str">
        <f>Annex!C377</f>
        <v xml:space="preserve">NTFGH </v>
      </c>
      <c r="M643" s="5" t="s">
        <v>1284</v>
      </c>
    </row>
    <row r="644" spans="1:13" ht="13.8" customHeight="1" x14ac:dyDescent="0.3">
      <c r="A644" s="1">
        <f>Annex!A378</f>
        <v>643</v>
      </c>
      <c r="B644" s="1" t="str">
        <f>IF(LEFT(Annex!H378,5)="Local","Local Transmission",Annex!H378)</f>
        <v>Local Transmission</v>
      </c>
      <c r="C644" s="1" t="str">
        <f>Annex!J378</f>
        <v>Female</v>
      </c>
      <c r="D644" s="1">
        <f>Annex!D378</f>
        <v>51</v>
      </c>
      <c r="E644" s="1" t="str">
        <f>Annex!K378</f>
        <v>Singaporean</v>
      </c>
      <c r="F644" s="1" t="str">
        <f>Annex!L378</f>
        <v xml:space="preserve">Case 643 is a Local unlinked case, 51 years old female Singapore Permanent Resident  and has not been overseas. She is currently admitted at NTFGH . </v>
      </c>
      <c r="G644" s="2">
        <v>43916</v>
      </c>
      <c r="H644" s="74">
        <v>43926</v>
      </c>
      <c r="I644" s="1"/>
      <c r="J644" s="1"/>
      <c r="K644" s="1"/>
      <c r="L644" s="1" t="str">
        <f>Annex!C378</f>
        <v xml:space="preserve">NTFGH </v>
      </c>
      <c r="M644" s="5" t="s">
        <v>1284</v>
      </c>
    </row>
    <row r="645" spans="1:13" ht="13.8" customHeight="1" x14ac:dyDescent="0.3">
      <c r="A645" s="1">
        <f>Annex!A379</f>
        <v>644</v>
      </c>
      <c r="B645" s="1" t="str">
        <f>IF(LEFT(Annex!H379,5)="Local","Local Transmission",Annex!H379)</f>
        <v>Local Transmission</v>
      </c>
      <c r="C645" s="1" t="str">
        <f>Annex!J379</f>
        <v>Male</v>
      </c>
      <c r="D645" s="1">
        <f>Annex!D379</f>
        <v>52</v>
      </c>
      <c r="E645" s="1" t="str">
        <f>Annex!K379</f>
        <v>Singaporean</v>
      </c>
      <c r="F645" s="1" t="str">
        <f>Annex!L379</f>
        <v>Case 644 is a Local linked  case, 52 years old male Singapore Citizen  and has not been overseas. He is currently admitted at CGH . Contact of Case 632</v>
      </c>
      <c r="G645" s="2">
        <v>43916</v>
      </c>
      <c r="H645" s="1"/>
      <c r="I645" s="1"/>
      <c r="J645" s="1"/>
      <c r="K645" s="1"/>
      <c r="L645" s="1" t="str">
        <f>Annex!C379</f>
        <v xml:space="preserve">CGH </v>
      </c>
      <c r="M645" s="5" t="s">
        <v>1284</v>
      </c>
    </row>
    <row r="646" spans="1:13" ht="13.8" customHeight="1" x14ac:dyDescent="0.3">
      <c r="A646" s="1">
        <f>Annex!A380</f>
        <v>645</v>
      </c>
      <c r="B646" s="1" t="str">
        <f>IF(LEFT(Annex!H380,5)="Local","Local Transmission",Annex!H380)</f>
        <v>Local Transmission</v>
      </c>
      <c r="C646" s="1" t="str">
        <f>Annex!J380</f>
        <v>Male</v>
      </c>
      <c r="D646" s="1">
        <f>Annex!D380</f>
        <v>27</v>
      </c>
      <c r="E646" s="1" t="str">
        <f>Annex!K380</f>
        <v>Singaporean</v>
      </c>
      <c r="F646" s="1" t="str">
        <f>Annex!L380</f>
        <v xml:space="preserve">Case 645 is a Local linked  case, 27 years old male Singapore Citizen  and has been to Thailand, Malaysia . He is currently admitted at SGH . </v>
      </c>
      <c r="G646" s="2">
        <v>43916</v>
      </c>
      <c r="H646" s="74">
        <v>43926</v>
      </c>
      <c r="I646" s="1"/>
      <c r="J646" s="1"/>
      <c r="K646" s="1"/>
      <c r="L646" s="1" t="str">
        <f>Annex!C380</f>
        <v xml:space="preserve">SGH </v>
      </c>
      <c r="M646" s="5" t="s">
        <v>1284</v>
      </c>
    </row>
    <row r="647" spans="1:13" ht="13.8" customHeight="1" x14ac:dyDescent="0.3">
      <c r="A647" s="1">
        <f>Annex!A381</f>
        <v>646</v>
      </c>
      <c r="B647" s="1" t="str">
        <f>IF(LEFT(Annex!H381,5)="Local","Local Transmission",Annex!H381)</f>
        <v>Imported</v>
      </c>
      <c r="C647" s="1" t="str">
        <f>Annex!J381</f>
        <v>Female</v>
      </c>
      <c r="D647" s="1">
        <f>Annex!D381</f>
        <v>56</v>
      </c>
      <c r="E647" s="1" t="str">
        <f>Annex!K381</f>
        <v>Singaporean</v>
      </c>
      <c r="F647" s="1" t="str">
        <f>Annex!L381</f>
        <v xml:space="preserve">Case 646 is a Imported case, 56 years old female Singapore Permanent Resident  and has been to Indonesia . She is currently admitted at SGH . </v>
      </c>
      <c r="G647" s="2">
        <v>43916</v>
      </c>
      <c r="H647" s="1"/>
      <c r="I647" s="1"/>
      <c r="J647" s="1"/>
      <c r="K647" s="1"/>
      <c r="L647" s="1" t="str">
        <f>Annex!C381</f>
        <v xml:space="preserve">SGH </v>
      </c>
      <c r="M647" s="5" t="s">
        <v>1284</v>
      </c>
    </row>
    <row r="648" spans="1:13" ht="13.8" customHeight="1" x14ac:dyDescent="0.3">
      <c r="A648" s="1">
        <f>Annex!A382</f>
        <v>647</v>
      </c>
      <c r="B648" s="1" t="str">
        <f>IF(LEFT(Annex!H382,5)="Local","Local Transmission",Annex!H382)</f>
        <v xml:space="preserve">Imported </v>
      </c>
      <c r="C648" s="1" t="str">
        <f>Annex!J382</f>
        <v>Female</v>
      </c>
      <c r="D648" s="1">
        <f>Annex!D382</f>
        <v>46</v>
      </c>
      <c r="E648" s="1" t="str">
        <f>Annex!K382</f>
        <v>Singaporean</v>
      </c>
      <c r="F648" s="1" t="str">
        <f>Annex!L382</f>
        <v>Case 647 is a Imported  case, 46 years old female Singapore Citizen  and has been to US . She is currently admitted at KKH . Contact of Cases 418 and 582</v>
      </c>
      <c r="G648" s="2">
        <v>43916</v>
      </c>
      <c r="H648" s="1"/>
      <c r="I648" s="1"/>
      <c r="J648" s="1"/>
      <c r="K648" s="1"/>
      <c r="L648" s="1" t="str">
        <f>Annex!C382</f>
        <v xml:space="preserve">KKH </v>
      </c>
      <c r="M648" s="5" t="s">
        <v>1284</v>
      </c>
    </row>
    <row r="649" spans="1:13" ht="13.8" customHeight="1" x14ac:dyDescent="0.3">
      <c r="A649" s="1">
        <f>Annex!A383</f>
        <v>648</v>
      </c>
      <c r="B649" s="1" t="str">
        <f>IF(LEFT(Annex!H383,5)="Local","Local Transmission",Annex!H383)</f>
        <v>Imported</v>
      </c>
      <c r="C649" s="1" t="str">
        <f>Annex!J383</f>
        <v>Male</v>
      </c>
      <c r="D649" s="1">
        <f>Annex!D383</f>
        <v>26</v>
      </c>
      <c r="E649" s="1" t="str">
        <f>Annex!K383</f>
        <v>France</v>
      </c>
      <c r="F649" s="1" t="str">
        <f>Annex!L383</f>
        <v xml:space="preserve">Case 648 is a Imported case, 26 years old male France (Singapore Work Pass holder)  and has been to Sri Lanka . He is currently admitted at NCID . </v>
      </c>
      <c r="G649" s="2">
        <v>43916</v>
      </c>
      <c r="H649" s="1"/>
      <c r="I649" s="1"/>
      <c r="J649" s="1"/>
      <c r="K649" s="1"/>
      <c r="L649" s="1" t="str">
        <f>Annex!C383</f>
        <v xml:space="preserve">NCID </v>
      </c>
      <c r="M649" s="5" t="s">
        <v>1284</v>
      </c>
    </row>
    <row r="650" spans="1:13" ht="13.8" customHeight="1" x14ac:dyDescent="0.3">
      <c r="A650" s="1">
        <f>Annex!A384</f>
        <v>649</v>
      </c>
      <c r="B650" s="1" t="str">
        <f>IF(LEFT(Annex!H384,5)="Local","Local Transmission",Annex!H384)</f>
        <v>Imported</v>
      </c>
      <c r="C650" s="1" t="str">
        <f>Annex!J384</f>
        <v>Male</v>
      </c>
      <c r="D650" s="1">
        <f>Annex!D384</f>
        <v>36</v>
      </c>
      <c r="E650" s="1" t="str">
        <f>Annex!K384</f>
        <v>Singaporean</v>
      </c>
      <c r="F650" s="1" t="str">
        <f>Annex!L384</f>
        <v xml:space="preserve">Case 649 is a Imported case, 36 years old male Singapore Citizen  and has been to Australia . He is currently admitted at NCID . </v>
      </c>
      <c r="G650" s="2">
        <v>43916</v>
      </c>
      <c r="H650" s="1"/>
      <c r="I650" s="1"/>
      <c r="J650" s="1"/>
      <c r="K650" s="1"/>
      <c r="L650" s="1" t="str">
        <f>Annex!C384</f>
        <v xml:space="preserve">NCID </v>
      </c>
      <c r="M650" s="5" t="s">
        <v>1284</v>
      </c>
    </row>
    <row r="651" spans="1:13" ht="13.8" customHeight="1" x14ac:dyDescent="0.3">
      <c r="A651" s="1">
        <f>Annex!A385</f>
        <v>650</v>
      </c>
      <c r="B651" s="1" t="str">
        <f>IF(LEFT(Annex!H385,5)="Local","Local Transmission",Annex!H385)</f>
        <v>Imported</v>
      </c>
      <c r="C651" s="1" t="str">
        <f>Annex!J385</f>
        <v>Male</v>
      </c>
      <c r="D651" s="1">
        <f>Annex!D385</f>
        <v>19</v>
      </c>
      <c r="E651" s="1" t="str">
        <f>Annex!K385</f>
        <v>Singaporean</v>
      </c>
      <c r="F651" s="1" t="str">
        <f>Annex!L385</f>
        <v xml:space="preserve">Case 650 is a Imported case, 19 years old male Singapore Permanent Resident  and has been to UK . He is currently admitted at NCID . </v>
      </c>
      <c r="G651" s="2">
        <v>43916</v>
      </c>
      <c r="H651" s="1"/>
      <c r="I651" s="1"/>
      <c r="J651" s="1"/>
      <c r="K651" s="1"/>
      <c r="L651" s="1" t="str">
        <f>Annex!C385</f>
        <v xml:space="preserve">NCID </v>
      </c>
      <c r="M651" s="5" t="s">
        <v>1284</v>
      </c>
    </row>
    <row r="652" spans="1:13" ht="13.8" customHeight="1" x14ac:dyDescent="0.3">
      <c r="A652" s="1">
        <f>Annex!A386</f>
        <v>651</v>
      </c>
      <c r="B652" s="1" t="str">
        <f>IF(LEFT(Annex!H386,5)="Local","Local Transmission",Annex!H386)</f>
        <v>Imported</v>
      </c>
      <c r="C652" s="1" t="str">
        <f>Annex!J386</f>
        <v>Male</v>
      </c>
      <c r="D652" s="1">
        <f>Annex!D386</f>
        <v>31</v>
      </c>
      <c r="E652" s="1" t="str">
        <f>Annex!K386</f>
        <v>Malaysia</v>
      </c>
      <c r="F652" s="1" t="str">
        <f>Annex!L386</f>
        <v xml:space="preserve">Case 651 is a Imported case, 31 years old male Malaysia (Singapore Work Pass holder)  and has been to Thailand . He is currently admitted at NCID . </v>
      </c>
      <c r="G652" s="2">
        <v>43916</v>
      </c>
      <c r="H652" s="69">
        <v>43925</v>
      </c>
      <c r="I652" s="1"/>
      <c r="J652" s="1"/>
      <c r="K652" s="1"/>
      <c r="L652" s="1" t="str">
        <f>Annex!C386</f>
        <v xml:space="preserve">NCID </v>
      </c>
      <c r="M652" s="5" t="s">
        <v>1284</v>
      </c>
    </row>
    <row r="653" spans="1:13" ht="13.8" customHeight="1" x14ac:dyDescent="0.3">
      <c r="A653" s="1">
        <f>Annex!A387</f>
        <v>652</v>
      </c>
      <c r="B653" s="1" t="str">
        <f>IF(LEFT(Annex!H387,5)="Local","Local Transmission",Annex!H387)</f>
        <v>Local Transmission</v>
      </c>
      <c r="C653" s="1" t="str">
        <f>Annex!J387</f>
        <v>Male</v>
      </c>
      <c r="D653" s="1">
        <f>Annex!D387</f>
        <v>37</v>
      </c>
      <c r="E653" s="1" t="str">
        <f>Annex!K387</f>
        <v>Australia</v>
      </c>
      <c r="F653" s="1" t="str">
        <f>Annex!L387</f>
        <v xml:space="preserve">Case 652 is a Local unlinked case, 37 years old male Australia (Singapore Work Pass holder)  and has not been overseas. He is currently admitted at NCID . </v>
      </c>
      <c r="G653" s="2">
        <v>43916</v>
      </c>
      <c r="H653" s="1"/>
      <c r="I653" s="1"/>
      <c r="J653" s="1"/>
      <c r="K653" s="1"/>
      <c r="L653" s="1" t="str">
        <f>Annex!C387</f>
        <v xml:space="preserve">NCID </v>
      </c>
      <c r="M653" s="5" t="s">
        <v>1284</v>
      </c>
    </row>
    <row r="654" spans="1:13" ht="13.8" customHeight="1" x14ac:dyDescent="0.3">
      <c r="A654" s="1">
        <f>Annex!A388</f>
        <v>653</v>
      </c>
      <c r="B654" s="1" t="str">
        <f>IF(LEFT(Annex!H388,5)="Local","Local Transmission",Annex!H388)</f>
        <v>Imported</v>
      </c>
      <c r="C654" s="1" t="str">
        <f>Annex!J388</f>
        <v>Female</v>
      </c>
      <c r="D654" s="1">
        <f>Annex!D388</f>
        <v>25</v>
      </c>
      <c r="E654" s="1" t="str">
        <f>Annex!K388</f>
        <v>Singaporean</v>
      </c>
      <c r="F654" s="1" t="str">
        <f>Annex!L388</f>
        <v xml:space="preserve">Case 653 is a Imported case, 25 years old female Singapore Citizen  and has been to US . She is currently admitted at SGH . </v>
      </c>
      <c r="G654" s="2">
        <v>43916</v>
      </c>
      <c r="H654" s="1"/>
      <c r="I654" s="1"/>
      <c r="J654" s="1"/>
      <c r="K654" s="1"/>
      <c r="L654" s="1" t="str">
        <f>Annex!C388</f>
        <v xml:space="preserve">SGH </v>
      </c>
      <c r="M654" s="5" t="s">
        <v>1284</v>
      </c>
    </row>
    <row r="655" spans="1:13" ht="13.8" customHeight="1" x14ac:dyDescent="0.3">
      <c r="A655" s="1">
        <f>Annex!A389</f>
        <v>654</v>
      </c>
      <c r="B655" s="1" t="str">
        <f>IF(LEFT(Annex!H389,5)="Local","Local Transmission",Annex!H389)</f>
        <v xml:space="preserve">Imported </v>
      </c>
      <c r="C655" s="1" t="str">
        <f>Annex!J389</f>
        <v>Female</v>
      </c>
      <c r="D655" s="1">
        <f>Annex!D389</f>
        <v>66</v>
      </c>
      <c r="E655" s="1" t="str">
        <f>Annex!K389</f>
        <v>Singaporean</v>
      </c>
      <c r="F655" s="1" t="str">
        <f>Annex!L389</f>
        <v>Case 654 is a Imported  case, 66 years old female Singapore Citizen  and has been to Italy, Switzerland . She is currently admitted at AH . Family member of Cases 459 and 517</v>
      </c>
      <c r="G655" s="2">
        <v>43916</v>
      </c>
      <c r="H655" s="1"/>
      <c r="I655" s="1"/>
      <c r="J655" s="1"/>
      <c r="K655" s="1"/>
      <c r="L655" s="1" t="str">
        <f>Annex!C389</f>
        <v xml:space="preserve">AH </v>
      </c>
      <c r="M655" s="5" t="s">
        <v>1284</v>
      </c>
    </row>
    <row r="656" spans="1:13" ht="13.8" customHeight="1" x14ac:dyDescent="0.3">
      <c r="A656" s="1">
        <f>Annex!A390</f>
        <v>655</v>
      </c>
      <c r="B656" s="1" t="str">
        <f>IF(LEFT(Annex!H390,5)="Local","Local Transmission",Annex!H390)</f>
        <v>Local Transmission</v>
      </c>
      <c r="C656" s="1" t="str">
        <f>Annex!J390</f>
        <v>Male</v>
      </c>
      <c r="D656" s="1">
        <f>Annex!D390</f>
        <v>30</v>
      </c>
      <c r="E656" s="1" t="str">
        <f>Annex!K390</f>
        <v>India</v>
      </c>
      <c r="F656" s="1" t="str">
        <f>Annex!L390</f>
        <v xml:space="preserve">Case 655 is a Local unlinked case, 30 years old male India (Long Term Pass holder)  and has not been overseas. He is currently admitted at NCID . </v>
      </c>
      <c r="G656" s="2">
        <v>43916</v>
      </c>
      <c r="H656" s="1"/>
      <c r="I656" s="1"/>
      <c r="J656" s="1"/>
      <c r="K656" s="1"/>
      <c r="L656" s="1" t="str">
        <f>Annex!C390</f>
        <v xml:space="preserve">NCID </v>
      </c>
      <c r="M656" s="5" t="s">
        <v>1284</v>
      </c>
    </row>
    <row r="657" spans="1:13" ht="13.8" customHeight="1" x14ac:dyDescent="0.3">
      <c r="A657" s="1">
        <f>Annex!A391</f>
        <v>656</v>
      </c>
      <c r="B657" s="1" t="str">
        <f>IF(LEFT(Annex!H391,5)="Local","Local Transmission",Annex!H391)</f>
        <v>Imported</v>
      </c>
      <c r="C657" s="1" t="str">
        <f>Annex!J391</f>
        <v>Male</v>
      </c>
      <c r="D657" s="1">
        <f>Annex!D391</f>
        <v>30</v>
      </c>
      <c r="E657" s="1" t="str">
        <f>Annex!K391</f>
        <v>Singaporean</v>
      </c>
      <c r="F657" s="1" t="str">
        <f>Annex!L391</f>
        <v xml:space="preserve">Case 656 is a Imported case, 30 years old male Singapore Citizen  and has been to Pending . He is currently admitted at NCID . </v>
      </c>
      <c r="G657" s="2">
        <v>43916</v>
      </c>
      <c r="H657" s="1"/>
      <c r="I657" s="1"/>
      <c r="J657" s="1"/>
      <c r="K657" s="1"/>
      <c r="L657" s="1" t="str">
        <f>Annex!C391</f>
        <v xml:space="preserve">NCID </v>
      </c>
      <c r="M657" s="5" t="s">
        <v>1284</v>
      </c>
    </row>
    <row r="658" spans="1:13" ht="13.8" customHeight="1" x14ac:dyDescent="0.3">
      <c r="A658" s="1">
        <f>Annex!A392</f>
        <v>657</v>
      </c>
      <c r="B658" s="1" t="str">
        <f>IF(LEFT(Annex!H392,5)="Local","Local Transmission",Annex!H392)</f>
        <v>Local Transmission</v>
      </c>
      <c r="C658" s="1" t="str">
        <f>Annex!J392</f>
        <v>Male</v>
      </c>
      <c r="D658" s="1">
        <f>Annex!D392</f>
        <v>46</v>
      </c>
      <c r="E658" s="1" t="str">
        <f>Annex!K392</f>
        <v>UK</v>
      </c>
      <c r="F658" s="1" t="str">
        <f>Annex!L392</f>
        <v xml:space="preserve">Case 657 is a Local unlinked case, 46 years old male UK (Singapore Work Pass holder)  and has not been overseas. He is currently admitted at NCID . </v>
      </c>
      <c r="G658" s="2">
        <v>43916</v>
      </c>
      <c r="H658" s="1"/>
      <c r="I658" s="1"/>
      <c r="J658" s="1"/>
      <c r="K658" s="1"/>
      <c r="L658" s="1" t="str">
        <f>Annex!C392</f>
        <v xml:space="preserve">NCID </v>
      </c>
      <c r="M658" s="5" t="s">
        <v>1284</v>
      </c>
    </row>
    <row r="659" spans="1:13" ht="13.8" customHeight="1" x14ac:dyDescent="0.3">
      <c r="A659" s="1">
        <f>Annex!A393</f>
        <v>658</v>
      </c>
      <c r="B659" s="1" t="str">
        <f>IF(LEFT(Annex!H393,5)="Local","Local Transmission",Annex!H393)</f>
        <v>Local Transmission</v>
      </c>
      <c r="C659" s="1" t="str">
        <f>Annex!J393</f>
        <v>Male</v>
      </c>
      <c r="D659" s="1">
        <f>Annex!D393</f>
        <v>28</v>
      </c>
      <c r="E659" s="1" t="str">
        <f>Annex!K393</f>
        <v>Bangladesh</v>
      </c>
      <c r="F659" s="1" t="str">
        <f>Annex!L393</f>
        <v xml:space="preserve">Case 658 is a Local unlinked case, 28 years old male Bangladesh (Long Term Pass holder)  and has not been overseas. He is currently admitted at NCID . </v>
      </c>
      <c r="G659" s="2">
        <v>43916</v>
      </c>
      <c r="H659" s="1"/>
      <c r="I659" s="1"/>
      <c r="J659" s="1"/>
      <c r="K659" s="1"/>
      <c r="L659" s="1" t="str">
        <f>Annex!C393</f>
        <v xml:space="preserve">NCID </v>
      </c>
      <c r="M659" s="5" t="s">
        <v>1284</v>
      </c>
    </row>
    <row r="660" spans="1:13" ht="13.8" customHeight="1" x14ac:dyDescent="0.3">
      <c r="A660" s="1">
        <f>Annex!A394</f>
        <v>659</v>
      </c>
      <c r="B660" s="1" t="str">
        <f>IF(LEFT(Annex!H394,5)="Local","Local Transmission",Annex!H394)</f>
        <v>Local Transmission</v>
      </c>
      <c r="C660" s="1" t="str">
        <f>Annex!J394</f>
        <v>Female</v>
      </c>
      <c r="D660" s="1">
        <f>Annex!D394</f>
        <v>27</v>
      </c>
      <c r="E660" s="1" t="str">
        <f>Annex!K394</f>
        <v>Singaporean</v>
      </c>
      <c r="F660" s="1" t="str">
        <f>Annex!L394</f>
        <v xml:space="preserve">Case 659 is a Local unlinked case, 27 years old female Singapore Citizen  and has not been overseas. She is currently admitted at KKH . </v>
      </c>
      <c r="G660" s="2">
        <v>43916</v>
      </c>
      <c r="H660" s="1"/>
      <c r="I660" s="1"/>
      <c r="J660" s="1"/>
      <c r="K660" s="1"/>
      <c r="L660" s="1" t="str">
        <f>Annex!C394</f>
        <v xml:space="preserve">KKH </v>
      </c>
      <c r="M660" s="5" t="s">
        <v>1284</v>
      </c>
    </row>
    <row r="661" spans="1:13" ht="13.8" customHeight="1" x14ac:dyDescent="0.3">
      <c r="A661" s="1">
        <f>Annex!A395</f>
        <v>660</v>
      </c>
      <c r="B661" s="1" t="str">
        <f>IF(LEFT(Annex!H395,5)="Local","Local Transmission",Annex!H395)</f>
        <v>Local Transmission</v>
      </c>
      <c r="C661" s="1" t="str">
        <f>Annex!J395</f>
        <v>Female</v>
      </c>
      <c r="D661" s="1">
        <f>Annex!D395</f>
        <v>22</v>
      </c>
      <c r="E661" s="1" t="str">
        <f>Annex!K395</f>
        <v>Philippines</v>
      </c>
      <c r="F661" s="1" t="str">
        <f>Annex!L395</f>
        <v>Case 660 is a Local linked  case, 22 years old female Philippines (Singapore Work Pass holder)  and has not been overseas. She is currently admitted at NCID . PCF Fengshan</v>
      </c>
      <c r="G661" s="2">
        <v>43916</v>
      </c>
      <c r="H661" s="1"/>
      <c r="I661" s="1"/>
      <c r="J661" s="1"/>
      <c r="K661" s="1"/>
      <c r="L661" s="1" t="str">
        <f>Annex!C395</f>
        <v xml:space="preserve">NCID </v>
      </c>
      <c r="M661" s="5" t="s">
        <v>1284</v>
      </c>
    </row>
    <row r="662" spans="1:13" ht="13.8" customHeight="1" x14ac:dyDescent="0.3">
      <c r="A662" s="1">
        <f>Annex!A396</f>
        <v>661</v>
      </c>
      <c r="B662" s="1" t="str">
        <f>IF(LEFT(Annex!H396,5)="Local","Local Transmission",Annex!H396)</f>
        <v>Local Transmission</v>
      </c>
      <c r="C662" s="1" t="str">
        <f>Annex!J396</f>
        <v>Female</v>
      </c>
      <c r="D662" s="1">
        <f>Annex!D396</f>
        <v>44</v>
      </c>
      <c r="E662" s="1" t="str">
        <f>Annex!K396</f>
        <v>Singaporean</v>
      </c>
      <c r="F662" s="1" t="str">
        <f>Annex!L396</f>
        <v xml:space="preserve">Case 661 is a Local unlinked case, 44 years old female Singapore Citizen  and has not been overseas. She is currently admitted at NCID . </v>
      </c>
      <c r="G662" s="2">
        <v>43916</v>
      </c>
      <c r="H662" s="1"/>
      <c r="I662" s="1"/>
      <c r="J662" s="1"/>
      <c r="K662" s="1"/>
      <c r="L662" s="1" t="str">
        <f>Annex!C396</f>
        <v xml:space="preserve">NCID </v>
      </c>
      <c r="M662" s="5" t="s">
        <v>1284</v>
      </c>
    </row>
    <row r="663" spans="1:13" ht="13.8" customHeight="1" x14ac:dyDescent="0.3">
      <c r="A663" s="1">
        <f>Annex!A397</f>
        <v>662</v>
      </c>
      <c r="B663" s="1" t="str">
        <f>IF(LEFT(Annex!H397,5)="Local","Local Transmission",Annex!H397)</f>
        <v>Local Transmission</v>
      </c>
      <c r="C663" s="1" t="str">
        <f>Annex!J397</f>
        <v>Male</v>
      </c>
      <c r="D663" s="1">
        <f>Annex!D397</f>
        <v>42</v>
      </c>
      <c r="E663" s="1" t="str">
        <f>Annex!K397</f>
        <v>UK</v>
      </c>
      <c r="F663" s="1" t="str">
        <f>Annex!L397</f>
        <v>Case 662 is a Local linked  case, 42 years old male UK (Singapore Work Pass holder)  and has been to Malaysia . He is currently admitted at NCID . Dover Court International School</v>
      </c>
      <c r="G663" s="2">
        <v>43916</v>
      </c>
      <c r="H663" s="1"/>
      <c r="I663" s="1"/>
      <c r="J663" s="1"/>
      <c r="K663" s="1"/>
      <c r="L663" s="1" t="str">
        <f>Annex!C397</f>
        <v xml:space="preserve">NCID </v>
      </c>
      <c r="M663" s="5" t="s">
        <v>1284</v>
      </c>
    </row>
    <row r="664" spans="1:13" ht="13.8" customHeight="1" x14ac:dyDescent="0.3">
      <c r="A664" s="1">
        <f>Annex!A398</f>
        <v>663</v>
      </c>
      <c r="B664" s="1" t="str">
        <f>IF(LEFT(Annex!H398,5)="Local","Local Transmission",Annex!H398)</f>
        <v>Imported</v>
      </c>
      <c r="C664" s="1" t="str">
        <f>Annex!J398</f>
        <v>Female</v>
      </c>
      <c r="D664" s="1">
        <f>Annex!D398</f>
        <v>21</v>
      </c>
      <c r="E664" s="1" t="str">
        <f>Annex!K398</f>
        <v>Singaporean</v>
      </c>
      <c r="F664" s="1" t="str">
        <f>Annex!L398</f>
        <v xml:space="preserve">Case 663 is a Imported case, 21 years old female Singapore Citizen  and has been to UK . She is currently admitted at NCID . </v>
      </c>
      <c r="G664" s="2">
        <v>43916</v>
      </c>
      <c r="H664" s="1"/>
      <c r="I664" s="1"/>
      <c r="J664" s="1"/>
      <c r="K664" s="1"/>
      <c r="L664" s="1" t="str">
        <f>Annex!C398</f>
        <v xml:space="preserve">NCID </v>
      </c>
      <c r="M664" s="5" t="s">
        <v>1284</v>
      </c>
    </row>
    <row r="665" spans="1:13" ht="13.8" customHeight="1" x14ac:dyDescent="0.3">
      <c r="A665" s="1">
        <f>Annex!A399</f>
        <v>664</v>
      </c>
      <c r="B665" s="1" t="str">
        <f>IF(LEFT(Annex!H399,5)="Local","Local Transmission",Annex!H399)</f>
        <v>Imported</v>
      </c>
      <c r="C665" s="1" t="str">
        <f>Annex!J399</f>
        <v>Female</v>
      </c>
      <c r="D665" s="1">
        <f>Annex!D399</f>
        <v>38</v>
      </c>
      <c r="E665" s="1" t="str">
        <f>Annex!K399</f>
        <v xml:space="preserve">US </v>
      </c>
      <c r="F665" s="1" t="str">
        <f>Annex!L399</f>
        <v xml:space="preserve">Case 664 is a Imported case, 38 years old female US  and has been to Pending . She is currently admitted at NCID . </v>
      </c>
      <c r="G665" s="2">
        <v>43916</v>
      </c>
      <c r="H665" s="1"/>
      <c r="I665" s="1"/>
      <c r="J665" s="1"/>
      <c r="K665" s="1"/>
      <c r="L665" s="1" t="str">
        <f>Annex!C399</f>
        <v xml:space="preserve">NCID </v>
      </c>
      <c r="M665" s="5" t="s">
        <v>1284</v>
      </c>
    </row>
    <row r="666" spans="1:13" ht="13.8" customHeight="1" x14ac:dyDescent="0.3">
      <c r="A666" s="1">
        <f>Annex!A400</f>
        <v>665</v>
      </c>
      <c r="B666" s="1" t="str">
        <f>IF(LEFT(Annex!H400,5)="Local","Local Transmission",Annex!H400)</f>
        <v>Imported</v>
      </c>
      <c r="C666" s="1" t="str">
        <f>Annex!J400</f>
        <v>Female</v>
      </c>
      <c r="D666" s="1">
        <f>Annex!D400</f>
        <v>21</v>
      </c>
      <c r="E666" s="1" t="str">
        <f>Annex!K400</f>
        <v>Singaporean</v>
      </c>
      <c r="F666" s="1" t="str">
        <f>Annex!L400</f>
        <v xml:space="preserve">Case 665 is a Imported case, 21 years old female Singapore Citizen  and has been to US . She is currently admitted at NCID . </v>
      </c>
      <c r="G666" s="2">
        <v>43916</v>
      </c>
      <c r="H666" s="1"/>
      <c r="I666" s="1"/>
      <c r="J666" s="1"/>
      <c r="K666" s="1"/>
      <c r="L666" s="1" t="str">
        <f>Annex!C400</f>
        <v xml:space="preserve">NCID </v>
      </c>
      <c r="M666" s="5" t="s">
        <v>1284</v>
      </c>
    </row>
    <row r="667" spans="1:13" ht="13.8" customHeight="1" x14ac:dyDescent="0.3">
      <c r="A667" s="1">
        <f>Annex!A401</f>
        <v>666</v>
      </c>
      <c r="B667" s="1" t="str">
        <f>IF(LEFT(Annex!H401,5)="Local","Local Transmission",Annex!H401)</f>
        <v>Local Transmission</v>
      </c>
      <c r="C667" s="1" t="str">
        <f>Annex!J401</f>
        <v>Female</v>
      </c>
      <c r="D667" s="1">
        <f>Annex!D401</f>
        <v>32</v>
      </c>
      <c r="E667" s="1" t="str">
        <f>Annex!K401</f>
        <v>Singaporean</v>
      </c>
      <c r="F667" s="1" t="str">
        <f>Annex!L401</f>
        <v xml:space="preserve">Case 666 is a Local unlinked case, 32 years old female Singapore Citizen  and has not been overseas. She is currently admitted at SGH . </v>
      </c>
      <c r="G667" s="2">
        <v>43916</v>
      </c>
      <c r="H667" s="1"/>
      <c r="I667" s="1"/>
      <c r="J667" s="1"/>
      <c r="K667" s="1"/>
      <c r="L667" s="1" t="str">
        <f>Annex!C401</f>
        <v xml:space="preserve">SGH </v>
      </c>
      <c r="M667" s="5" t="s">
        <v>1284</v>
      </c>
    </row>
    <row r="668" spans="1:13" ht="13.8" customHeight="1" x14ac:dyDescent="0.3">
      <c r="A668" s="1">
        <f>Annex!A402</f>
        <v>667</v>
      </c>
      <c r="B668" s="1" t="str">
        <f>IF(LEFT(Annex!H402,5)="Local","Local Transmission",Annex!H402)</f>
        <v>Imported</v>
      </c>
      <c r="C668" s="1" t="str">
        <f>Annex!J402</f>
        <v>Female</v>
      </c>
      <c r="D668" s="1">
        <f>Annex!D402</f>
        <v>40</v>
      </c>
      <c r="E668" s="1" t="str">
        <f>Annex!K402</f>
        <v>Singaporean</v>
      </c>
      <c r="F668" s="1" t="str">
        <f>Annex!L402</f>
        <v xml:space="preserve">Case 667 is a Imported case, 40 years old female Singapore Citizen  and has been to US . She is currently admitted at NCID . </v>
      </c>
      <c r="G668" s="2">
        <v>43916</v>
      </c>
      <c r="H668" s="1"/>
      <c r="I668" s="1"/>
      <c r="J668" s="1"/>
      <c r="K668" s="1"/>
      <c r="L668" s="1" t="str">
        <f>Annex!C402</f>
        <v xml:space="preserve">NCID </v>
      </c>
      <c r="M668" s="5" t="s">
        <v>1284</v>
      </c>
    </row>
    <row r="669" spans="1:13" ht="13.8" customHeight="1" x14ac:dyDescent="0.3">
      <c r="A669" s="1">
        <f>Annex!A403</f>
        <v>668</v>
      </c>
      <c r="B669" s="1" t="str">
        <f>IF(LEFT(Annex!H403,5)="Local","Local Transmission",Annex!H403)</f>
        <v>Local Transmission</v>
      </c>
      <c r="C669" s="1" t="str">
        <f>Annex!J403</f>
        <v>Female</v>
      </c>
      <c r="D669" s="1">
        <f>Annex!D403</f>
        <v>31</v>
      </c>
      <c r="E669" s="1" t="str">
        <f>Annex!K403</f>
        <v>India</v>
      </c>
      <c r="F669" s="1" t="str">
        <f>Annex!L403</f>
        <v>Case 668 is a Local linked  case, 31 years old female India (Singapore Work Pass holder)  and has been to India . She is currently admitted at NCID . Contact of Case 600</v>
      </c>
      <c r="G669" s="2">
        <v>43916</v>
      </c>
      <c r="H669" s="1"/>
      <c r="I669" s="1"/>
      <c r="J669" s="1"/>
      <c r="K669" s="1"/>
      <c r="L669" s="1" t="str">
        <f>Annex!C403</f>
        <v xml:space="preserve">NCID </v>
      </c>
      <c r="M669" s="5" t="s">
        <v>1284</v>
      </c>
    </row>
    <row r="670" spans="1:13" ht="13.8" customHeight="1" x14ac:dyDescent="0.3">
      <c r="A670" s="1">
        <f>Annex!A404</f>
        <v>669</v>
      </c>
      <c r="B670" s="1" t="str">
        <f>IF(LEFT(Annex!H404,5)="Local","Local Transmission",Annex!H404)</f>
        <v>Imported</v>
      </c>
      <c r="C670" s="1" t="str">
        <f>Annex!J404</f>
        <v>Male</v>
      </c>
      <c r="D670" s="1">
        <f>Annex!D404</f>
        <v>54</v>
      </c>
      <c r="E670" s="1" t="str">
        <f>Annex!K404</f>
        <v>UK</v>
      </c>
      <c r="F670" s="1" t="str">
        <f>Annex!L404</f>
        <v xml:space="preserve">Case 669 is a Imported case, 54 years old male UK (Singapore Work Pass holder)  and has been to France . He is currently admitted at NCID . </v>
      </c>
      <c r="G670" s="2">
        <v>43916</v>
      </c>
      <c r="H670" s="1"/>
      <c r="I670" s="1"/>
      <c r="J670" s="1"/>
      <c r="K670" s="1"/>
      <c r="L670" s="1" t="str">
        <f>Annex!C404</f>
        <v xml:space="preserve">NCID </v>
      </c>
      <c r="M670" s="5" t="s">
        <v>1284</v>
      </c>
    </row>
    <row r="671" spans="1:13" ht="13.8" customHeight="1" x14ac:dyDescent="0.3">
      <c r="A671" s="1">
        <f>Annex!A405</f>
        <v>670</v>
      </c>
      <c r="B671" s="1" t="str">
        <f>IF(LEFT(Annex!H405,5)="Local","Local Transmission",Annex!H405)</f>
        <v>Local Transmission</v>
      </c>
      <c r="C671" s="1" t="str">
        <f>Annex!J405</f>
        <v>Male</v>
      </c>
      <c r="D671" s="1">
        <f>Annex!D405</f>
        <v>34</v>
      </c>
      <c r="E671" s="1" t="str">
        <f>Annex!K405</f>
        <v>Australia</v>
      </c>
      <c r="F671" s="1" t="str">
        <f>Annex!L405</f>
        <v xml:space="preserve">Case 670 is a Local unlinked case, 34 years old male Australia (Singapore Work Pass holder)  and has not been overseas. He is currently admitted at NCID . </v>
      </c>
      <c r="G671" s="2">
        <v>43916</v>
      </c>
      <c r="H671" s="1"/>
      <c r="I671" s="1"/>
      <c r="J671" s="1"/>
      <c r="K671" s="1"/>
      <c r="L671" s="1" t="str">
        <f>Annex!C405</f>
        <v xml:space="preserve">NCID </v>
      </c>
      <c r="M671" s="5" t="s">
        <v>1284</v>
      </c>
    </row>
    <row r="672" spans="1:13" ht="13.8" customHeight="1" x14ac:dyDescent="0.3">
      <c r="A672" s="1">
        <f>Annex!A406</f>
        <v>671</v>
      </c>
      <c r="B672" s="1" t="str">
        <f>IF(LEFT(Annex!H406,5)="Local","Local Transmission",Annex!H406)</f>
        <v>Imported</v>
      </c>
      <c r="C672" s="1" t="str">
        <f>Annex!J406</f>
        <v>Female</v>
      </c>
      <c r="D672" s="1">
        <f>Annex!D406</f>
        <v>29</v>
      </c>
      <c r="E672" s="1" t="str">
        <f>Annex!K406</f>
        <v>Singaporean</v>
      </c>
      <c r="F672" s="1" t="str">
        <f>Annex!L406</f>
        <v xml:space="preserve">Case 671 is a Imported case, 29 years old female Singapore Citizen  and has been to US . She is currently admitted at NCID . </v>
      </c>
      <c r="G672" s="2">
        <v>43916</v>
      </c>
      <c r="H672" s="1"/>
      <c r="I672" s="1"/>
      <c r="J672" s="1"/>
      <c r="K672" s="1"/>
      <c r="L672" s="1" t="str">
        <f>Annex!C406</f>
        <v xml:space="preserve">NCID </v>
      </c>
      <c r="M672" s="5" t="s">
        <v>1284</v>
      </c>
    </row>
    <row r="673" spans="1:13" ht="13.8" customHeight="1" x14ac:dyDescent="0.3">
      <c r="A673" s="1">
        <f>Annex!A407</f>
        <v>672</v>
      </c>
      <c r="B673" s="1" t="str">
        <f>IF(LEFT(Annex!H407,5)="Local","Local Transmission",Annex!H407)</f>
        <v>Imported</v>
      </c>
      <c r="C673" s="1" t="str">
        <f>Annex!J407</f>
        <v>Female</v>
      </c>
      <c r="D673" s="1">
        <f>Annex!D407</f>
        <v>24</v>
      </c>
      <c r="E673" s="1" t="str">
        <f>Annex!K407</f>
        <v>Singaporean</v>
      </c>
      <c r="F673" s="1" t="str">
        <f>Annex!L407</f>
        <v xml:space="preserve">Case 672 is a Imported case, 24 years old female Singapore Citizen  and has been to US . She is currently admitted at NCID . </v>
      </c>
      <c r="G673" s="2">
        <v>43916</v>
      </c>
      <c r="H673" s="1"/>
      <c r="I673" s="1"/>
      <c r="J673" s="1"/>
      <c r="K673" s="1"/>
      <c r="L673" s="1" t="str">
        <f>Annex!C407</f>
        <v xml:space="preserve">NCID </v>
      </c>
      <c r="M673" s="5" t="s">
        <v>1284</v>
      </c>
    </row>
    <row r="674" spans="1:13" ht="13.8" customHeight="1" x14ac:dyDescent="0.3">
      <c r="A674" s="1">
        <f>Annex!A408</f>
        <v>673</v>
      </c>
      <c r="B674" s="1" t="str">
        <f>IF(LEFT(Annex!H408,5)="Local","Local Transmission",Annex!H408)</f>
        <v>Imported</v>
      </c>
      <c r="C674" s="1" t="str">
        <f>Annex!J408</f>
        <v>Male</v>
      </c>
      <c r="D674" s="1">
        <f>Annex!D408</f>
        <v>27</v>
      </c>
      <c r="E674" s="1" t="str">
        <f>Annex!K408</f>
        <v>Singaporean</v>
      </c>
      <c r="F674" s="1" t="str">
        <f>Annex!L408</f>
        <v xml:space="preserve">Case 673 is a Imported case, 27 years old male Singapore Citizen  and has been to US . He is currently admitted at NCID . </v>
      </c>
      <c r="G674" s="2">
        <v>43916</v>
      </c>
      <c r="H674" s="1"/>
      <c r="I674" s="1"/>
      <c r="J674" s="1"/>
      <c r="K674" s="1"/>
      <c r="L674" s="1" t="str">
        <f>Annex!C408</f>
        <v xml:space="preserve">NCID </v>
      </c>
      <c r="M674" s="5" t="s">
        <v>1284</v>
      </c>
    </row>
    <row r="675" spans="1:13" ht="13.8" customHeight="1" x14ac:dyDescent="0.3">
      <c r="A675" s="1">
        <f>Annex!A409</f>
        <v>674</v>
      </c>
      <c r="B675" s="1" t="str">
        <f>IF(LEFT(Annex!H409,5)="Local","Local Transmission",Annex!H409)</f>
        <v>Imported</v>
      </c>
      <c r="C675" s="1" t="str">
        <f>Annex!J409</f>
        <v>Male</v>
      </c>
      <c r="D675" s="1">
        <f>Annex!D409</f>
        <v>59</v>
      </c>
      <c r="E675" s="1" t="str">
        <f>Annex!K409</f>
        <v>Singaporean</v>
      </c>
      <c r="F675" s="1" t="str">
        <f>Annex!L409</f>
        <v xml:space="preserve">Case 674 is a Imported case, 59 years old male Singapore Citizen  and has been to UK . He is currently admitted at NCID . </v>
      </c>
      <c r="G675" s="2">
        <v>43916</v>
      </c>
      <c r="H675" s="1"/>
      <c r="I675" s="1"/>
      <c r="J675" s="1"/>
      <c r="K675" s="1"/>
      <c r="L675" s="1" t="str">
        <f>Annex!C409</f>
        <v xml:space="preserve">NCID </v>
      </c>
      <c r="M675" s="5" t="s">
        <v>1284</v>
      </c>
    </row>
    <row r="676" spans="1:13" ht="13.8" customHeight="1" x14ac:dyDescent="0.3">
      <c r="A676" s="1">
        <f>Annex!A410</f>
        <v>675</v>
      </c>
      <c r="B676" s="1" t="str">
        <f>IF(LEFT(Annex!H410,5)="Local","Local Transmission",Annex!H410)</f>
        <v>Local Transmission</v>
      </c>
      <c r="C676" s="1" t="str">
        <f>Annex!J410</f>
        <v>Female</v>
      </c>
      <c r="D676" s="1">
        <f>Annex!D410</f>
        <v>51</v>
      </c>
      <c r="E676" s="1" t="str">
        <f>Annex!K410</f>
        <v>Singaporean</v>
      </c>
      <c r="F676" s="1" t="str">
        <f>Annex!L410</f>
        <v>Case 675 is a Local linked  case, 51 years old female Singapore Citizen  and has not been overseas. She is currently admitted at NCID . Family member of Case 528, 645 and 676</v>
      </c>
      <c r="G676" s="2">
        <v>43916</v>
      </c>
      <c r="H676" s="1"/>
      <c r="I676" s="1"/>
      <c r="J676" s="1"/>
      <c r="K676" s="1"/>
      <c r="L676" s="1" t="str">
        <f>Annex!C410</f>
        <v xml:space="preserve">NCID </v>
      </c>
      <c r="M676" s="5" t="s">
        <v>1284</v>
      </c>
    </row>
    <row r="677" spans="1:13" ht="13.8" customHeight="1" x14ac:dyDescent="0.3">
      <c r="A677" s="1">
        <f>Annex!A411</f>
        <v>676</v>
      </c>
      <c r="B677" s="1" t="str">
        <f>IF(LEFT(Annex!H411,5)="Local","Local Transmission",Annex!H411)</f>
        <v>Local Transmission</v>
      </c>
      <c r="C677" s="1" t="str">
        <f>Annex!J411</f>
        <v>Male</v>
      </c>
      <c r="D677" s="1">
        <f>Annex!D411</f>
        <v>29</v>
      </c>
      <c r="E677" s="1" t="str">
        <f>Annex!K411</f>
        <v>Singaporean</v>
      </c>
      <c r="F677" s="1" t="str">
        <f>Annex!L411</f>
        <v>Case 676 is a Local linked  case, 29 years old male Singapore Citizen  and has been to Thailand . He is currently admitted at NCID . Family member of Case 528, 645 and 675</v>
      </c>
      <c r="G677" s="2">
        <v>43916</v>
      </c>
      <c r="H677" s="1"/>
      <c r="I677" s="1"/>
      <c r="J677" s="1"/>
      <c r="K677" s="1"/>
      <c r="L677" s="1" t="str">
        <f>Annex!C411</f>
        <v xml:space="preserve">NCID </v>
      </c>
      <c r="M677" s="5" t="s">
        <v>1284</v>
      </c>
    </row>
    <row r="678" spans="1:13" ht="13.8" customHeight="1" x14ac:dyDescent="0.3">
      <c r="A678" s="1">
        <f>Annex!A412</f>
        <v>677</v>
      </c>
      <c r="B678" s="1" t="str">
        <f>IF(LEFT(Annex!H412,5)="Local","Local Transmission",Annex!H412)</f>
        <v>Local Transmission</v>
      </c>
      <c r="C678" s="1" t="str">
        <f>Annex!J412</f>
        <v>Female</v>
      </c>
      <c r="D678" s="1">
        <f>Annex!D412</f>
        <v>40</v>
      </c>
      <c r="E678" s="1" t="str">
        <f>Annex!K412</f>
        <v>Singaporean</v>
      </c>
      <c r="F678" s="1" t="str">
        <f>Annex!L412</f>
        <v xml:space="preserve">Case 677 is a Local unlinked case, 40 years old female Singapore Citizen  and has not been overseas. She is currently admitted at NCID . </v>
      </c>
      <c r="G678" s="2">
        <v>43916</v>
      </c>
      <c r="H678" s="1"/>
      <c r="I678" s="1"/>
      <c r="J678" s="1"/>
      <c r="K678" s="1"/>
      <c r="L678" s="1" t="str">
        <f>Annex!C412</f>
        <v xml:space="preserve">NCID </v>
      </c>
      <c r="M678" s="5" t="s">
        <v>1284</v>
      </c>
    </row>
    <row r="679" spans="1:13" ht="13.8" customHeight="1" x14ac:dyDescent="0.3">
      <c r="A679" s="1">
        <f>Annex!A413</f>
        <v>678</v>
      </c>
      <c r="B679" s="1" t="str">
        <f>IF(LEFT(Annex!H413,5)="Local","Local Transmission",Annex!H413)</f>
        <v>Local Transmission</v>
      </c>
      <c r="C679" s="1" t="str">
        <f>Annex!J413</f>
        <v>Male</v>
      </c>
      <c r="D679" s="1">
        <f>Annex!D413</f>
        <v>71</v>
      </c>
      <c r="E679" s="1" t="str">
        <f>Annex!K413</f>
        <v>Singaporean</v>
      </c>
      <c r="F679" s="1" t="str">
        <f>Annex!L413</f>
        <v xml:space="preserve">Case 678 is a Local unlinked case, 71 years old male Singapore Permanent Resident  and has not been overseas. He is currently admitted at NCID . </v>
      </c>
      <c r="G679" s="2">
        <v>43916</v>
      </c>
      <c r="H679" s="1"/>
      <c r="I679" s="1"/>
      <c r="J679" s="1"/>
      <c r="K679" s="1"/>
      <c r="L679" s="1" t="str">
        <f>Annex!C413</f>
        <v xml:space="preserve">NCID </v>
      </c>
      <c r="M679" s="5" t="s">
        <v>1284</v>
      </c>
    </row>
    <row r="680" spans="1:13" ht="13.8" customHeight="1" x14ac:dyDescent="0.3">
      <c r="A680" s="1">
        <f>Annex!A414</f>
        <v>679</v>
      </c>
      <c r="B680" s="1" t="str">
        <f>IF(LEFT(Annex!H414,5)="Local","Local Transmission",Annex!H414)</f>
        <v>Local Transmission</v>
      </c>
      <c r="C680" s="1" t="str">
        <f>Annex!J414</f>
        <v>Male</v>
      </c>
      <c r="D680" s="1">
        <f>Annex!D414</f>
        <v>45</v>
      </c>
      <c r="E680" s="1" t="str">
        <f>Annex!K414</f>
        <v>US</v>
      </c>
      <c r="F680" s="1" t="str">
        <f>Annex!L414</f>
        <v xml:space="preserve">Case 679 is a Local unlinked case, 45 years old male US (Singapore Work Pass holder)  and has not been overseas. He is currently admitted at NCID . </v>
      </c>
      <c r="G680" s="2">
        <v>43916</v>
      </c>
      <c r="H680" s="1"/>
      <c r="I680" s="1"/>
      <c r="J680" s="1"/>
      <c r="K680" s="1"/>
      <c r="L680" s="1" t="str">
        <f>Annex!C414</f>
        <v xml:space="preserve">NCID </v>
      </c>
      <c r="M680" s="5" t="s">
        <v>1284</v>
      </c>
    </row>
    <row r="681" spans="1:13" ht="13.8" customHeight="1" x14ac:dyDescent="0.3">
      <c r="A681" s="1">
        <f>Annex!A415</f>
        <v>680</v>
      </c>
      <c r="B681" s="1" t="str">
        <f>IF(LEFT(Annex!H415,5)="Local","Local Transmission",Annex!H415)</f>
        <v>Imported</v>
      </c>
      <c r="C681" s="1" t="str">
        <f>Annex!J415</f>
        <v>Male</v>
      </c>
      <c r="D681" s="1">
        <f>Annex!D415</f>
        <v>19</v>
      </c>
      <c r="E681" s="1" t="str">
        <f>Annex!K415</f>
        <v xml:space="preserve">UK </v>
      </c>
      <c r="F681" s="1" t="str">
        <f>Annex!L415</f>
        <v xml:space="preserve">Case 680 is a Imported case, 19 years old male UK  and has been to Pending . He is currently admitted at NCID . </v>
      </c>
      <c r="G681" s="2">
        <v>43916</v>
      </c>
      <c r="H681" s="1"/>
      <c r="I681" s="1"/>
      <c r="J681" s="1"/>
      <c r="K681" s="1"/>
      <c r="L681" s="1" t="str">
        <f>Annex!C415</f>
        <v xml:space="preserve">NCID </v>
      </c>
      <c r="M681" s="5" t="s">
        <v>1284</v>
      </c>
    </row>
    <row r="682" spans="1:13" ht="13.8" customHeight="1" x14ac:dyDescent="0.3">
      <c r="A682" s="1">
        <f>Annex!A416</f>
        <v>681</v>
      </c>
      <c r="B682" s="1" t="str">
        <f>IF(LEFT(Annex!H416,5)="Local","Local Transmission",Annex!H416)</f>
        <v>Local Transmission</v>
      </c>
      <c r="C682" s="1" t="str">
        <f>Annex!J416</f>
        <v>Male</v>
      </c>
      <c r="D682" s="1">
        <f>Annex!D416</f>
        <v>42</v>
      </c>
      <c r="E682" s="1" t="str">
        <f>Annex!K416</f>
        <v>New Zealand</v>
      </c>
      <c r="F682" s="1" t="str">
        <f>Annex!L416</f>
        <v>Case 681 is a Local linked  case, 42 years old male New Zealand (Singapore Work Pass holder)  and has been to Indonesia . He is currently admitted at NCID . Contact of Case 477</v>
      </c>
      <c r="G682" s="2">
        <v>43916</v>
      </c>
      <c r="H682" s="1"/>
      <c r="I682" s="1"/>
      <c r="J682" s="1"/>
      <c r="K682" s="1"/>
      <c r="L682" s="1" t="str">
        <f>Annex!C416</f>
        <v xml:space="preserve">NCID </v>
      </c>
      <c r="M682" s="5" t="s">
        <v>1284</v>
      </c>
    </row>
    <row r="683" spans="1:13" ht="13.8" customHeight="1" x14ac:dyDescent="0.3">
      <c r="A683" s="1">
        <f>Annex!A417</f>
        <v>682</v>
      </c>
      <c r="B683" s="1" t="str">
        <f>IF(LEFT(Annex!H417,5)="Local","Local Transmission",Annex!H417)</f>
        <v>Local Transmission</v>
      </c>
      <c r="C683" s="1" t="str">
        <f>Annex!J417</f>
        <v>Male</v>
      </c>
      <c r="D683" s="1">
        <f>Annex!D417</f>
        <v>22</v>
      </c>
      <c r="E683" s="1" t="str">
        <f>Annex!K417</f>
        <v>Singaporean</v>
      </c>
      <c r="F683" s="1" t="str">
        <f>Annex!L417</f>
        <v xml:space="preserve">Case 682 is a Local unlinked case, 22 years old male Singapore Citizen  and has not been overseas. He is currently admitted at NCID . </v>
      </c>
      <c r="G683" s="2">
        <v>43916</v>
      </c>
      <c r="H683" s="1"/>
      <c r="I683" s="1"/>
      <c r="J683" s="1"/>
      <c r="K683" s="1"/>
      <c r="L683" s="1" t="str">
        <f>Annex!C417</f>
        <v xml:space="preserve">NCID </v>
      </c>
      <c r="M683" s="5" t="s">
        <v>1284</v>
      </c>
    </row>
    <row r="684" spans="1:13" ht="13.8" customHeight="1" x14ac:dyDescent="0.3">
      <c r="A684" s="1">
        <f>Annex!A418</f>
        <v>683</v>
      </c>
      <c r="B684" s="1" t="str">
        <f>IF(LEFT(Annex!H418,5)="Local","Local Transmission",Annex!H418)</f>
        <v>Imported</v>
      </c>
      <c r="C684" s="1" t="str">
        <f>Annex!J418</f>
        <v>Female</v>
      </c>
      <c r="D684" s="1">
        <f>Annex!D418</f>
        <v>40</v>
      </c>
      <c r="E684" s="1" t="str">
        <f>Annex!K418</f>
        <v>Singaporean</v>
      </c>
      <c r="F684" s="1" t="str">
        <f>Annex!L418</f>
        <v xml:space="preserve">Case 683 is a Imported case, 40 years old female Singapore Citizen  and has been to Pending . She is currently admitted at NCID . </v>
      </c>
      <c r="G684" s="2">
        <v>43916</v>
      </c>
      <c r="H684" s="1"/>
      <c r="I684" s="1"/>
      <c r="J684" s="1"/>
      <c r="K684" s="1"/>
      <c r="L684" s="1" t="str">
        <f>Annex!C418</f>
        <v xml:space="preserve">NCID </v>
      </c>
      <c r="M684" s="5" t="s">
        <v>1284</v>
      </c>
    </row>
    <row r="685" spans="1:13" ht="13.8" customHeight="1" x14ac:dyDescent="0.3">
      <c r="A685" s="34">
        <f>Annex!A419</f>
        <v>684</v>
      </c>
      <c r="B685" s="34" t="str">
        <f>IF(LEFT(Annex!H419,5)="Local","Local Transmission",Annex!H419)</f>
        <v>Imported</v>
      </c>
      <c r="C685" s="34" t="str">
        <f>Annex!J419</f>
        <v>Male</v>
      </c>
      <c r="D685" s="34">
        <f>Annex!D419</f>
        <v>21</v>
      </c>
      <c r="E685" s="34" t="str">
        <f>Annex!K419</f>
        <v>Singaporean</v>
      </c>
      <c r="F685" s="34" t="str">
        <f>Annex!L419</f>
        <v xml:space="preserve">Case 684 is a Imported case, 21 years old male Singapore Permanent Resident  and has been to UK . He is currently admitted at NCID . </v>
      </c>
      <c r="G685" s="35">
        <v>43917</v>
      </c>
      <c r="H685" s="68">
        <v>43924</v>
      </c>
      <c r="I685" s="34"/>
      <c r="J685" s="34"/>
      <c r="K685" s="34"/>
      <c r="L685" s="34" t="str">
        <f>Annex!C419</f>
        <v xml:space="preserve">NCID </v>
      </c>
      <c r="M685" s="36" t="s">
        <v>1301</v>
      </c>
    </row>
    <row r="686" spans="1:13" ht="13.8" customHeight="1" x14ac:dyDescent="0.3">
      <c r="A686" s="34">
        <f>Annex!A420</f>
        <v>685</v>
      </c>
      <c r="B686" s="34" t="str">
        <f>IF(LEFT(Annex!H420,5)="Local","Local Transmission",Annex!H420)</f>
        <v>Local Transmission</v>
      </c>
      <c r="C686" s="34" t="str">
        <f>Annex!J420</f>
        <v>Male</v>
      </c>
      <c r="D686" s="34">
        <f>Annex!D420</f>
        <v>59</v>
      </c>
      <c r="E686" s="34" t="str">
        <f>Annex!K420</f>
        <v>New Zealand</v>
      </c>
      <c r="F686" s="34" t="str">
        <f>Annex!L420</f>
        <v>Case 685 is a Local linked  case, 59 years old male New Zealand (Long Term Pass holder)  and has not been overseas. He is currently admitted at NCID . Contact of Case 588</v>
      </c>
      <c r="G686" s="35">
        <v>43917</v>
      </c>
      <c r="H686" s="34"/>
      <c r="I686" s="34"/>
      <c r="J686" s="34"/>
      <c r="K686" s="34"/>
      <c r="L686" s="34" t="str">
        <f>Annex!C420</f>
        <v xml:space="preserve">NCID </v>
      </c>
      <c r="M686" s="36" t="s">
        <v>1301</v>
      </c>
    </row>
    <row r="687" spans="1:13" ht="13.8" customHeight="1" x14ac:dyDescent="0.3">
      <c r="A687" s="34">
        <f>Annex!A421</f>
        <v>686</v>
      </c>
      <c r="B687" s="34" t="str">
        <f>IF(LEFT(Annex!H421,5)="Local","Local Transmission",Annex!H421)</f>
        <v>Local Transmission</v>
      </c>
      <c r="C687" s="34" t="str">
        <f>Annex!J421</f>
        <v>Male</v>
      </c>
      <c r="D687" s="34">
        <f>Annex!D421</f>
        <v>37</v>
      </c>
      <c r="E687" s="34" t="str">
        <f>Annex!K421</f>
        <v>UK</v>
      </c>
      <c r="F687" s="34" t="str">
        <f>Annex!L421</f>
        <v>Case 686 is a Local linked  case, 37 years old male UK (Singapore Work Pass holder)  and has not been overseas. He is currently admitted at SGH . Dover Court International School</v>
      </c>
      <c r="G687" s="35">
        <v>43917</v>
      </c>
      <c r="H687" s="34"/>
      <c r="I687" s="34"/>
      <c r="J687" s="34"/>
      <c r="K687" s="34"/>
      <c r="L687" s="34" t="str">
        <f>Annex!C421</f>
        <v xml:space="preserve">SGH </v>
      </c>
      <c r="M687" s="36" t="s">
        <v>1301</v>
      </c>
    </row>
    <row r="688" spans="1:13" ht="13.8" customHeight="1" x14ac:dyDescent="0.3">
      <c r="A688" s="34">
        <f>Annex!A422</f>
        <v>687</v>
      </c>
      <c r="B688" s="34" t="str">
        <f>IF(LEFT(Annex!H422,5)="Local","Local Transmission",Annex!H422)</f>
        <v>Local Transmission</v>
      </c>
      <c r="C688" s="34" t="str">
        <f>Annex!J422</f>
        <v>Male</v>
      </c>
      <c r="D688" s="34">
        <f>Annex!D422</f>
        <v>77</v>
      </c>
      <c r="E688" s="34" t="str">
        <f>Annex!K422</f>
        <v>Singaporean</v>
      </c>
      <c r="F688" s="34" t="str">
        <f>Annex!L422</f>
        <v>Case 687 is a Local linked  case, 77 years old male Singapore Citizen  and has not been overseas. He is currently admitted at NCID . Family member of Case 196</v>
      </c>
      <c r="G688" s="35">
        <v>43917</v>
      </c>
      <c r="H688" s="34"/>
      <c r="I688" s="34"/>
      <c r="J688" s="34"/>
      <c r="K688" s="34"/>
      <c r="L688" s="34" t="str">
        <f>Annex!C422</f>
        <v xml:space="preserve">NCID </v>
      </c>
      <c r="M688" s="36" t="s">
        <v>1301</v>
      </c>
    </row>
    <row r="689" spans="1:13" ht="13.8" customHeight="1" x14ac:dyDescent="0.3">
      <c r="A689" s="34">
        <f>Annex!A423</f>
        <v>688</v>
      </c>
      <c r="B689" s="34" t="str">
        <f>IF(LEFT(Annex!H423,5)="Local","Local Transmission",Annex!H423)</f>
        <v>Local Transmission</v>
      </c>
      <c r="C689" s="34" t="str">
        <f>Annex!J423</f>
        <v>Female</v>
      </c>
      <c r="D689" s="34">
        <f>Annex!D423</f>
        <v>76</v>
      </c>
      <c r="E689" s="34" t="str">
        <f>Annex!K423</f>
        <v>Singaporean</v>
      </c>
      <c r="F689" s="34" t="str">
        <f>Annex!L423</f>
        <v xml:space="preserve">Case 688 is a Local unlinked case, 76 years old female Singapore Citizen  and has not been overseas. She is currently admitted at CGH . </v>
      </c>
      <c r="G689" s="35">
        <v>43917</v>
      </c>
      <c r="H689" s="34"/>
      <c r="I689" s="34"/>
      <c r="J689" s="34"/>
      <c r="K689" s="34"/>
      <c r="L689" s="34" t="str">
        <f>Annex!C423</f>
        <v xml:space="preserve">CGH </v>
      </c>
      <c r="M689" s="36" t="s">
        <v>1301</v>
      </c>
    </row>
    <row r="690" spans="1:13" ht="13.8" customHeight="1" x14ac:dyDescent="0.3">
      <c r="A690" s="34">
        <f>Annex!A424</f>
        <v>689</v>
      </c>
      <c r="B690" s="34" t="str">
        <f>IF(LEFT(Annex!H424,5)="Local","Local Transmission",Annex!H424)</f>
        <v>Local Transmission</v>
      </c>
      <c r="C690" s="34" t="str">
        <f>Annex!J424</f>
        <v>Female</v>
      </c>
      <c r="D690" s="34">
        <f>Annex!D424</f>
        <v>76</v>
      </c>
      <c r="E690" s="34" t="str">
        <f>Annex!K424</f>
        <v>Singaporean</v>
      </c>
      <c r="F690" s="34" t="str">
        <f>Annex!L424</f>
        <v>Case 689 is a Local linked  case, 76 years old female Singapore Citizen  and has been to Malaysia . She is currently admitted at CGH . SingPost Centre</v>
      </c>
      <c r="G690" s="35">
        <v>43917</v>
      </c>
      <c r="H690" s="34"/>
      <c r="I690" s="34"/>
      <c r="J690" s="34"/>
      <c r="K690" s="34"/>
      <c r="L690" s="34" t="str">
        <f>Annex!C424</f>
        <v xml:space="preserve">CGH </v>
      </c>
      <c r="M690" s="36" t="s">
        <v>1301</v>
      </c>
    </row>
    <row r="691" spans="1:13" ht="13.8" customHeight="1" x14ac:dyDescent="0.3">
      <c r="A691" s="34">
        <f>Annex!A425</f>
        <v>690</v>
      </c>
      <c r="B691" s="34" t="str">
        <f>IF(LEFT(Annex!H425,5)="Local","Local Transmission",Annex!H425)</f>
        <v>Imported</v>
      </c>
      <c r="C691" s="34" t="str">
        <f>Annex!J425</f>
        <v>Female</v>
      </c>
      <c r="D691" s="34">
        <f>Annex!D425</f>
        <v>31</v>
      </c>
      <c r="E691" s="34" t="str">
        <f>Annex!K425</f>
        <v>Singaporean</v>
      </c>
      <c r="F691" s="34" t="str">
        <f>Annex!L425</f>
        <v xml:space="preserve">Case 690 is a Imported case, 31 years old female Singapore Permanent Resident  and has been to Thailand, Malaysia . She is currently admitted at CGH . </v>
      </c>
      <c r="G691" s="35">
        <v>43917</v>
      </c>
      <c r="H691" s="34"/>
      <c r="I691" s="34"/>
      <c r="J691" s="34"/>
      <c r="K691" s="34"/>
      <c r="L691" s="34" t="str">
        <f>Annex!C425</f>
        <v xml:space="preserve">CGH </v>
      </c>
      <c r="M691" s="36" t="s">
        <v>1301</v>
      </c>
    </row>
    <row r="692" spans="1:13" ht="13.8" customHeight="1" x14ac:dyDescent="0.3">
      <c r="A692" s="34">
        <f>Annex!A426</f>
        <v>691</v>
      </c>
      <c r="B692" s="34" t="str">
        <f>IF(LEFT(Annex!H426,5)="Local","Local Transmission",Annex!H426)</f>
        <v>Local Transmission</v>
      </c>
      <c r="C692" s="34" t="str">
        <f>Annex!J426</f>
        <v>Female</v>
      </c>
      <c r="D692" s="34">
        <f>Annex!D426</f>
        <v>39</v>
      </c>
      <c r="E692" s="34" t="str">
        <f>Annex!K426</f>
        <v>UK</v>
      </c>
      <c r="F692" s="34" t="str">
        <f>Annex!L426</f>
        <v xml:space="preserve">Case 691 is a Local unlinked case, 39 years old female UK (Singapore Work Pass holder)  and has not been overseas. She is currently admitted at SGH . </v>
      </c>
      <c r="G692" s="35">
        <v>43917</v>
      </c>
      <c r="H692" s="34"/>
      <c r="I692" s="34"/>
      <c r="J692" s="34"/>
      <c r="K692" s="34"/>
      <c r="L692" s="34" t="str">
        <f>Annex!C426</f>
        <v xml:space="preserve">SGH </v>
      </c>
      <c r="M692" s="36" t="s">
        <v>1301</v>
      </c>
    </row>
    <row r="693" spans="1:13" ht="13.8" customHeight="1" x14ac:dyDescent="0.3">
      <c r="A693" s="34">
        <f>Annex!A427</f>
        <v>692</v>
      </c>
      <c r="B693" s="34" t="str">
        <f>IF(LEFT(Annex!H427,5)="Local","Local Transmission",Annex!H427)</f>
        <v>Imported</v>
      </c>
      <c r="C693" s="34" t="str">
        <f>Annex!J427</f>
        <v>Female</v>
      </c>
      <c r="D693" s="34">
        <f>Annex!D427</f>
        <v>67</v>
      </c>
      <c r="E693" s="34" t="str">
        <f>Annex!K427</f>
        <v>Singaporean</v>
      </c>
      <c r="F693" s="34" t="str">
        <f>Annex!L427</f>
        <v xml:space="preserve">Case 692 is a Imported case, 67 years old female Singapore Citizen  and has been to Malaysia . She is currently admitted at NCID . </v>
      </c>
      <c r="G693" s="35">
        <v>43917</v>
      </c>
      <c r="H693" s="34"/>
      <c r="I693" s="34"/>
      <c r="J693" s="34"/>
      <c r="K693" s="34"/>
      <c r="L693" s="34" t="str">
        <f>Annex!C427</f>
        <v xml:space="preserve">NCID </v>
      </c>
      <c r="M693" s="36" t="s">
        <v>1301</v>
      </c>
    </row>
    <row r="694" spans="1:13" ht="13.8" customHeight="1" x14ac:dyDescent="0.3">
      <c r="A694" s="34">
        <f>Annex!A428</f>
        <v>693</v>
      </c>
      <c r="B694" s="34" t="str">
        <f>IF(LEFT(Annex!H428,5)="Local","Local Transmission",Annex!H428)</f>
        <v>Imported</v>
      </c>
      <c r="C694" s="34" t="str">
        <f>Annex!J428</f>
        <v>Female</v>
      </c>
      <c r="D694" s="34">
        <f>Annex!D428</f>
        <v>30</v>
      </c>
      <c r="E694" s="34" t="str">
        <f>Annex!K428</f>
        <v>Singaporean</v>
      </c>
      <c r="F694" s="34" t="str">
        <f>Annex!L428</f>
        <v xml:space="preserve">Case 693 is a Imported case, 30 years old female Singapore Citizen  and has been to Pending . She is currently admitted at NCID . </v>
      </c>
      <c r="G694" s="35">
        <v>43917</v>
      </c>
      <c r="H694" s="34"/>
      <c r="I694" s="34"/>
      <c r="J694" s="34"/>
      <c r="K694" s="34"/>
      <c r="L694" s="34" t="str">
        <f>Annex!C428</f>
        <v xml:space="preserve">NCID </v>
      </c>
      <c r="M694" s="36" t="s">
        <v>1301</v>
      </c>
    </row>
    <row r="695" spans="1:13" ht="13.8" customHeight="1" x14ac:dyDescent="0.3">
      <c r="A695" s="34">
        <f>Annex!A429</f>
        <v>694</v>
      </c>
      <c r="B695" s="34" t="str">
        <f>IF(LEFT(Annex!H429,5)="Local","Local Transmission",Annex!H429)</f>
        <v>Imported</v>
      </c>
      <c r="C695" s="34" t="str">
        <f>Annex!J429</f>
        <v>Male</v>
      </c>
      <c r="D695" s="34">
        <f>Annex!D429</f>
        <v>41</v>
      </c>
      <c r="E695" s="34" t="str">
        <f>Annex!K429</f>
        <v>Singaporean</v>
      </c>
      <c r="F695" s="34" t="str">
        <f>Annex!L429</f>
        <v xml:space="preserve">Case 694 is a Imported case, 41 years old male Singapore Citizen  and has been to Pending . He is currently admitted at NCID . </v>
      </c>
      <c r="G695" s="35">
        <v>43917</v>
      </c>
      <c r="H695" s="34"/>
      <c r="I695" s="34"/>
      <c r="J695" s="34"/>
      <c r="K695" s="34"/>
      <c r="L695" s="34" t="str">
        <f>Annex!C429</f>
        <v xml:space="preserve">NCID </v>
      </c>
      <c r="M695" s="36" t="s">
        <v>1301</v>
      </c>
    </row>
    <row r="696" spans="1:13" ht="13.8" customHeight="1" x14ac:dyDescent="0.3">
      <c r="A696" s="34">
        <f>Annex!A430</f>
        <v>695</v>
      </c>
      <c r="B696" s="34" t="str">
        <f>IF(LEFT(Annex!H430,5)="Local","Local Transmission",Annex!H430)</f>
        <v>Imported</v>
      </c>
      <c r="C696" s="34" t="str">
        <f>Annex!J430</f>
        <v>Female</v>
      </c>
      <c r="D696" s="34">
        <f>Annex!D430</f>
        <v>1</v>
      </c>
      <c r="E696" s="34" t="str">
        <f>Annex!K430</f>
        <v xml:space="preserve">India </v>
      </c>
      <c r="F696" s="34" t="str">
        <f>Annex!L430</f>
        <v xml:space="preserve">Case 695 is a Imported case, 1 years old female India  and has been to Pending . She is currently admitted at KKH . </v>
      </c>
      <c r="G696" s="35">
        <v>43917</v>
      </c>
      <c r="H696" s="34"/>
      <c r="I696" s="34"/>
      <c r="J696" s="34"/>
      <c r="K696" s="34"/>
      <c r="L696" s="34" t="str">
        <f>Annex!C430</f>
        <v xml:space="preserve">KKH </v>
      </c>
      <c r="M696" s="36" t="s">
        <v>1301</v>
      </c>
    </row>
    <row r="697" spans="1:13" ht="13.8" customHeight="1" x14ac:dyDescent="0.3">
      <c r="A697" s="34">
        <f>Annex!A431</f>
        <v>696</v>
      </c>
      <c r="B697" s="34" t="str">
        <f>IF(LEFT(Annex!H431,5)="Local","Local Transmission",Annex!H431)</f>
        <v>Local Transmission</v>
      </c>
      <c r="C697" s="34" t="str">
        <f>Annex!J431</f>
        <v>Male</v>
      </c>
      <c r="D697" s="34">
        <f>Annex!D431</f>
        <v>54</v>
      </c>
      <c r="E697" s="34" t="str">
        <f>Annex!K431</f>
        <v>Singaporean</v>
      </c>
      <c r="F697" s="34" t="str">
        <f>Annex!L431</f>
        <v xml:space="preserve">Case 696 is a Local unlinked case, 54 years old male Singapore Permanent Resident  and has not been overseas. He is currently admitted at SGH . </v>
      </c>
      <c r="G697" s="35">
        <v>43917</v>
      </c>
      <c r="H697" s="34"/>
      <c r="I697" s="34"/>
      <c r="J697" s="34"/>
      <c r="K697" s="34"/>
      <c r="L697" s="34" t="str">
        <f>Annex!C431</f>
        <v xml:space="preserve">SGH </v>
      </c>
      <c r="M697" s="36" t="s">
        <v>1301</v>
      </c>
    </row>
    <row r="698" spans="1:13" ht="13.8" customHeight="1" x14ac:dyDescent="0.3">
      <c r="A698" s="34">
        <f>Annex!A432</f>
        <v>697</v>
      </c>
      <c r="B698" s="34" t="str">
        <f>IF(LEFT(Annex!H432,5)="Local","Local Transmission",Annex!H432)</f>
        <v>Local Transmission</v>
      </c>
      <c r="C698" s="34" t="str">
        <f>Annex!J432</f>
        <v>Female</v>
      </c>
      <c r="D698" s="34">
        <f>Annex!D432</f>
        <v>57</v>
      </c>
      <c r="E698" s="34" t="str">
        <f>Annex!K432</f>
        <v>Singaporean</v>
      </c>
      <c r="F698" s="34" t="str">
        <f>Annex!L432</f>
        <v>Case 697 is a Local linked  case, 57 years old female Singapore Permanent Resident  and has not been overseas. She is currently admitted at MEH . Family member of Case 698</v>
      </c>
      <c r="G698" s="35">
        <v>43917</v>
      </c>
      <c r="H698" s="34"/>
      <c r="I698" s="34"/>
      <c r="J698" s="34"/>
      <c r="K698" s="34"/>
      <c r="L698" s="34" t="str">
        <f>Annex!C432</f>
        <v xml:space="preserve">MEH </v>
      </c>
      <c r="M698" s="36" t="s">
        <v>1301</v>
      </c>
    </row>
    <row r="699" spans="1:13" ht="13.8" customHeight="1" x14ac:dyDescent="0.3">
      <c r="A699" s="34">
        <f>Annex!A433</f>
        <v>698</v>
      </c>
      <c r="B699" s="34" t="str">
        <f>IF(LEFT(Annex!H433,5)="Local","Local Transmission",Annex!H433)</f>
        <v>Local Transmission</v>
      </c>
      <c r="C699" s="34" t="str">
        <f>Annex!J433</f>
        <v>Male</v>
      </c>
      <c r="D699" s="34">
        <f>Annex!D433</f>
        <v>60</v>
      </c>
      <c r="E699" s="34" t="str">
        <f>Annex!K433</f>
        <v>Singaporean</v>
      </c>
      <c r="F699" s="34" t="str">
        <f>Annex!L433</f>
        <v>Case 698 is a Local linked  case, 60 years old male Singapore Citizen  and has not been overseas. He is currently admitted at MEH . Family member of Case 697</v>
      </c>
      <c r="G699" s="35">
        <v>43917</v>
      </c>
      <c r="H699" s="34"/>
      <c r="I699" s="34"/>
      <c r="J699" s="34"/>
      <c r="K699" s="34"/>
      <c r="L699" s="34" t="str">
        <f>Annex!C433</f>
        <v xml:space="preserve">MEH </v>
      </c>
      <c r="M699" s="36" t="s">
        <v>1301</v>
      </c>
    </row>
    <row r="700" spans="1:13" ht="13.8" customHeight="1" x14ac:dyDescent="0.3">
      <c r="A700" s="34">
        <f>Annex!A434</f>
        <v>699</v>
      </c>
      <c r="B700" s="34" t="str">
        <f>IF(LEFT(Annex!H434,5)="Local","Local Transmission",Annex!H434)</f>
        <v>Imported</v>
      </c>
      <c r="C700" s="34" t="str">
        <f>Annex!J434</f>
        <v>Male</v>
      </c>
      <c r="D700" s="34">
        <f>Annex!D434</f>
        <v>53</v>
      </c>
      <c r="E700" s="34" t="str">
        <f>Annex!K434</f>
        <v>Singaporean</v>
      </c>
      <c r="F700" s="34" t="str">
        <f>Annex!L434</f>
        <v xml:space="preserve">Case 699 is a Imported case, 53 years old male Singapore Permanent Resident  and has been to Pending . He is currently admitted at AH . </v>
      </c>
      <c r="G700" s="35">
        <v>43917</v>
      </c>
      <c r="H700" s="34"/>
      <c r="I700" s="34"/>
      <c r="J700" s="34"/>
      <c r="K700" s="34"/>
      <c r="L700" s="34" t="str">
        <f>Annex!C434</f>
        <v xml:space="preserve">AH </v>
      </c>
      <c r="M700" s="36" t="s">
        <v>1301</v>
      </c>
    </row>
    <row r="701" spans="1:13" ht="13.8" customHeight="1" x14ac:dyDescent="0.3">
      <c r="A701" s="34">
        <f>Annex!A435</f>
        <v>700</v>
      </c>
      <c r="B701" s="34" t="str">
        <f>IF(LEFT(Annex!H435,5)="Local","Local Transmission",Annex!H435)</f>
        <v>Imported</v>
      </c>
      <c r="C701" s="34" t="str">
        <f>Annex!J435</f>
        <v>Female</v>
      </c>
      <c r="D701" s="34">
        <f>Annex!D435</f>
        <v>55</v>
      </c>
      <c r="E701" s="34" t="str">
        <f>Annex!K435</f>
        <v>Singaporean</v>
      </c>
      <c r="F701" s="34" t="str">
        <f>Annex!L435</f>
        <v xml:space="preserve">Case 700 is a Imported case, 55 years old female Singapore Citizen  and has been to Europe . She is currently admitted at NUH . </v>
      </c>
      <c r="G701" s="35">
        <v>43917</v>
      </c>
      <c r="H701" s="34"/>
      <c r="I701" s="34"/>
      <c r="J701" s="34"/>
      <c r="K701" s="34"/>
      <c r="L701" s="34" t="str">
        <f>Annex!C435</f>
        <v xml:space="preserve">NUH </v>
      </c>
      <c r="M701" s="36" t="s">
        <v>1301</v>
      </c>
    </row>
    <row r="702" spans="1:13" ht="13.8" customHeight="1" x14ac:dyDescent="0.3">
      <c r="A702" s="34">
        <f>Annex!A436</f>
        <v>701</v>
      </c>
      <c r="B702" s="34" t="str">
        <f>IF(LEFT(Annex!H436,5)="Local","Local Transmission",Annex!H436)</f>
        <v>Imported</v>
      </c>
      <c r="C702" s="34" t="str">
        <f>Annex!J436</f>
        <v>Male</v>
      </c>
      <c r="D702" s="34">
        <f>Annex!D436</f>
        <v>50</v>
      </c>
      <c r="E702" s="34" t="str">
        <f>Annex!K436</f>
        <v>Singaporean</v>
      </c>
      <c r="F702" s="34" t="str">
        <f>Annex!L436</f>
        <v xml:space="preserve">Case 701 is a Imported case, 50 years old male Singapore Citizen  and has been to US . He is currently admitted at NUH . </v>
      </c>
      <c r="G702" s="35">
        <v>43917</v>
      </c>
      <c r="H702" s="34"/>
      <c r="I702" s="34"/>
      <c r="J702" s="34"/>
      <c r="K702" s="34"/>
      <c r="L702" s="34" t="str">
        <f>Annex!C436</f>
        <v xml:space="preserve">NUH </v>
      </c>
      <c r="M702" s="36" t="s">
        <v>1301</v>
      </c>
    </row>
    <row r="703" spans="1:13" ht="13.8" customHeight="1" x14ac:dyDescent="0.3">
      <c r="A703" s="34">
        <f>Annex!A437</f>
        <v>702</v>
      </c>
      <c r="B703" s="34" t="str">
        <f>IF(LEFT(Annex!H437,5)="Local","Local Transmission",Annex!H437)</f>
        <v xml:space="preserve">Imported </v>
      </c>
      <c r="C703" s="34" t="str">
        <f>Annex!J437</f>
        <v>Male</v>
      </c>
      <c r="D703" s="34">
        <f>Annex!D437</f>
        <v>61</v>
      </c>
      <c r="E703" s="34" t="str">
        <f>Annex!K437</f>
        <v>Singaporean</v>
      </c>
      <c r="F703" s="34" t="str">
        <f>Annex!L437</f>
        <v>Case 702 is a Imported  case, 61 years old male Singapore Citizen  and has been to Europe . He is currently admitted at NTFGH . Family member of Cases 682 and 703</v>
      </c>
      <c r="G703" s="35">
        <v>43917</v>
      </c>
      <c r="H703" s="34"/>
      <c r="I703" s="34"/>
      <c r="J703" s="34"/>
      <c r="K703" s="34"/>
      <c r="L703" s="34" t="str">
        <f>Annex!C437</f>
        <v xml:space="preserve">NTFGH </v>
      </c>
      <c r="M703" s="36" t="s">
        <v>1301</v>
      </c>
    </row>
    <row r="704" spans="1:13" ht="13.8" customHeight="1" x14ac:dyDescent="0.3">
      <c r="A704" s="34">
        <f>Annex!A438</f>
        <v>703</v>
      </c>
      <c r="B704" s="34" t="str">
        <f>IF(LEFT(Annex!H438,5)="Local","Local Transmission",Annex!H438)</f>
        <v xml:space="preserve">Imported </v>
      </c>
      <c r="C704" s="34" t="str">
        <f>Annex!J438</f>
        <v>Female</v>
      </c>
      <c r="D704" s="34">
        <f>Annex!D438</f>
        <v>58</v>
      </c>
      <c r="E704" s="34" t="str">
        <f>Annex!K438</f>
        <v>Singaporean</v>
      </c>
      <c r="F704" s="34" t="str">
        <f>Annex!L438</f>
        <v>Case 703 is a Imported  case, 58 years old female Singapore Citizen  and has been to Europe . She is currently admitted at NTFGH . Family member of Cases 682 and 702</v>
      </c>
      <c r="G704" s="35">
        <v>43917</v>
      </c>
      <c r="H704" s="34"/>
      <c r="I704" s="34"/>
      <c r="J704" s="34"/>
      <c r="K704" s="34"/>
      <c r="L704" s="34" t="str">
        <f>Annex!C438</f>
        <v xml:space="preserve">NTFGH </v>
      </c>
      <c r="M704" s="36" t="s">
        <v>1301</v>
      </c>
    </row>
    <row r="705" spans="1:13" ht="13.8" customHeight="1" x14ac:dyDescent="0.3">
      <c r="A705" s="34">
        <f>Annex!A439</f>
        <v>704</v>
      </c>
      <c r="B705" s="34" t="str">
        <f>IF(LEFT(Annex!H439,5)="Local","Local Transmission",Annex!H439)</f>
        <v>Imported</v>
      </c>
      <c r="C705" s="34" t="str">
        <f>Annex!J439</f>
        <v>Male</v>
      </c>
      <c r="D705" s="34">
        <f>Annex!D439</f>
        <v>19</v>
      </c>
      <c r="E705" s="34" t="str">
        <f>Annex!K439</f>
        <v>Singaporean</v>
      </c>
      <c r="F705" s="34" t="str">
        <f>Annex!L439</f>
        <v xml:space="preserve">Case 704 is a Imported case, 19 years old male Singapore Citizen  and has been to Europe . He is currently admitted at SKH . </v>
      </c>
      <c r="G705" s="35">
        <v>43917</v>
      </c>
      <c r="H705" s="34"/>
      <c r="I705" s="34"/>
      <c r="J705" s="34"/>
      <c r="K705" s="34"/>
      <c r="L705" s="34" t="str">
        <f>Annex!C439</f>
        <v xml:space="preserve">SKH </v>
      </c>
      <c r="M705" s="36" t="s">
        <v>1301</v>
      </c>
    </row>
    <row r="706" spans="1:13" ht="13.8" customHeight="1" x14ac:dyDescent="0.3">
      <c r="A706" s="34">
        <f>Annex!A440</f>
        <v>705</v>
      </c>
      <c r="B706" s="34" t="str">
        <f>IF(LEFT(Annex!H440,5)="Local","Local Transmission",Annex!H440)</f>
        <v>Local Transmission</v>
      </c>
      <c r="C706" s="34" t="str">
        <f>Annex!J440</f>
        <v>Female</v>
      </c>
      <c r="D706" s="34">
        <f>Annex!D440</f>
        <v>2</v>
      </c>
      <c r="E706" s="34" t="str">
        <f>Annex!K440</f>
        <v>Singaporean</v>
      </c>
      <c r="F706" s="34" t="str">
        <f>Annex!L440</f>
        <v>Case 705 is a Local linked  case, 2 years old female Singapore Citizen  and has not been overseas. She is currently admitted at KKH . PCF Fengshan</v>
      </c>
      <c r="G706" s="35">
        <v>43917</v>
      </c>
      <c r="H706" s="34"/>
      <c r="I706" s="34"/>
      <c r="J706" s="34"/>
      <c r="K706" s="34"/>
      <c r="L706" s="34" t="str">
        <f>Annex!C440</f>
        <v xml:space="preserve">KKH </v>
      </c>
      <c r="M706" s="36" t="s">
        <v>1301</v>
      </c>
    </row>
    <row r="707" spans="1:13" ht="13.8" customHeight="1" x14ac:dyDescent="0.3">
      <c r="A707" s="34">
        <f>Annex!A441</f>
        <v>706</v>
      </c>
      <c r="B707" s="34" t="str">
        <f>IF(LEFT(Annex!H441,5)="Local","Local Transmission",Annex!H441)</f>
        <v>Local Transmission</v>
      </c>
      <c r="C707" s="34" t="str">
        <f>Annex!J441</f>
        <v>Female</v>
      </c>
      <c r="D707" s="34">
        <f>Annex!D441</f>
        <v>6</v>
      </c>
      <c r="E707" s="34" t="str">
        <f>Annex!K441</f>
        <v>Singaporean</v>
      </c>
      <c r="F707" s="34" t="str">
        <f>Annex!L441</f>
        <v>Case 706 is a Local linked  case, 6 years old female Singapore Citizen  and has not been overseas. She is currently admitted at KKH . PCF Fengshan</v>
      </c>
      <c r="G707" s="35">
        <v>43917</v>
      </c>
      <c r="H707" s="34"/>
      <c r="I707" s="34"/>
      <c r="J707" s="34"/>
      <c r="K707" s="34"/>
      <c r="L707" s="34" t="str">
        <f>Annex!C441</f>
        <v xml:space="preserve">KKH </v>
      </c>
      <c r="M707" s="36" t="s">
        <v>1301</v>
      </c>
    </row>
    <row r="708" spans="1:13" ht="13.8" customHeight="1" x14ac:dyDescent="0.3">
      <c r="A708" s="34">
        <f>Annex!A442</f>
        <v>707</v>
      </c>
      <c r="B708" s="34" t="str">
        <f>IF(LEFT(Annex!H442,5)="Local","Local Transmission",Annex!H442)</f>
        <v>Local Transmission</v>
      </c>
      <c r="C708" s="34" t="str">
        <f>Annex!J442</f>
        <v>Male</v>
      </c>
      <c r="D708" s="34">
        <f>Annex!D442</f>
        <v>11</v>
      </c>
      <c r="E708" s="34" t="str">
        <f>Annex!K442</f>
        <v>Singaporean</v>
      </c>
      <c r="F708" s="34" t="str">
        <f>Annex!L442</f>
        <v>Case 707 is a Local linked  case, 11 years old male Singapore Citizen  and has not been overseas. He is currently admitted at KKH . PCF Fengshan</v>
      </c>
      <c r="G708" s="35">
        <v>43917</v>
      </c>
      <c r="H708" s="34"/>
      <c r="I708" s="34"/>
      <c r="J708" s="34"/>
      <c r="K708" s="34"/>
      <c r="L708" s="34" t="str">
        <f>Annex!C442</f>
        <v xml:space="preserve">KKH </v>
      </c>
      <c r="M708" s="36" t="s">
        <v>1301</v>
      </c>
    </row>
    <row r="709" spans="1:13" ht="13.8" customHeight="1" x14ac:dyDescent="0.3">
      <c r="A709" s="34">
        <f>Annex!A443</f>
        <v>708</v>
      </c>
      <c r="B709" s="34" t="str">
        <f>IF(LEFT(Annex!H443,5)="Local","Local Transmission",Annex!H443)</f>
        <v>Local Transmission</v>
      </c>
      <c r="C709" s="34" t="str">
        <f>Annex!J443</f>
        <v>Female</v>
      </c>
      <c r="D709" s="34">
        <f>Annex!D443</f>
        <v>13</v>
      </c>
      <c r="E709" s="34" t="str">
        <f>Annex!K443</f>
        <v>Singaporean</v>
      </c>
      <c r="F709" s="34" t="str">
        <f>Annex!L443</f>
        <v>Case 708 is a Local linked  case, 13 years old female Singapore Citizen  and has not been overseas. She is currently admitted at KKH . PCF Fengshan</v>
      </c>
      <c r="G709" s="35">
        <v>43917</v>
      </c>
      <c r="H709" s="34"/>
      <c r="I709" s="34"/>
      <c r="J709" s="34"/>
      <c r="K709" s="34"/>
      <c r="L709" s="34" t="str">
        <f>Annex!C443</f>
        <v xml:space="preserve">KKH </v>
      </c>
      <c r="M709" s="36" t="s">
        <v>1301</v>
      </c>
    </row>
    <row r="710" spans="1:13" ht="13.8" customHeight="1" x14ac:dyDescent="0.3">
      <c r="A710" s="34">
        <f>Annex!A444</f>
        <v>709</v>
      </c>
      <c r="B710" s="34" t="str">
        <f>IF(LEFT(Annex!H444,5)="Local","Local Transmission",Annex!H444)</f>
        <v>Local Transmission</v>
      </c>
      <c r="C710" s="34" t="str">
        <f>Annex!J444</f>
        <v>Male</v>
      </c>
      <c r="D710" s="34">
        <f>Annex!D444</f>
        <v>26</v>
      </c>
      <c r="E710" s="34" t="str">
        <f>Annex!K444</f>
        <v>Singaporean</v>
      </c>
      <c r="F710" s="34" t="str">
        <f>Annex!L444</f>
        <v xml:space="preserve">Case 709 is a Local unlinked case, 26 years old male Singapore Citizen  and has not been overseas. He is currently admitted at NCID . </v>
      </c>
      <c r="G710" s="35">
        <v>43917</v>
      </c>
      <c r="H710" s="53">
        <v>43922</v>
      </c>
      <c r="I710" s="34"/>
      <c r="J710" s="34"/>
      <c r="K710" s="34"/>
      <c r="L710" s="34" t="str">
        <f>Annex!C444</f>
        <v xml:space="preserve">NCID </v>
      </c>
      <c r="M710" s="36" t="s">
        <v>1301</v>
      </c>
    </row>
    <row r="711" spans="1:13" ht="13.8" customHeight="1" x14ac:dyDescent="0.3">
      <c r="A711" s="34">
        <f>Annex!A445</f>
        <v>710</v>
      </c>
      <c r="B711" s="34" t="str">
        <f>IF(LEFT(Annex!H445,5)="Local","Local Transmission",Annex!H445)</f>
        <v>Local Transmission</v>
      </c>
      <c r="C711" s="34" t="str">
        <f>Annex!J445</f>
        <v>Male</v>
      </c>
      <c r="D711" s="34">
        <f>Annex!D445</f>
        <v>28</v>
      </c>
      <c r="E711" s="34" t="str">
        <f>Annex!K445</f>
        <v>Bangladesh</v>
      </c>
      <c r="F711" s="34" t="str">
        <f>Annex!L445</f>
        <v>Case 710 is a Local linked  case, 28 years old male Bangladesh (Long Term Pass holder)  and has not been overseas. He is currently admitted at NCID . Contact of Cases 404 and 456</v>
      </c>
      <c r="G711" s="35">
        <v>43917</v>
      </c>
      <c r="H711" s="34"/>
      <c r="I711" s="34"/>
      <c r="J711" s="34"/>
      <c r="K711" s="34"/>
      <c r="L711" s="34" t="str">
        <f>Annex!C445</f>
        <v xml:space="preserve">NCID </v>
      </c>
      <c r="M711" s="36" t="s">
        <v>1301</v>
      </c>
    </row>
    <row r="712" spans="1:13" ht="13.8" customHeight="1" x14ac:dyDescent="0.3">
      <c r="A712" s="34">
        <f>Annex!A446</f>
        <v>711</v>
      </c>
      <c r="B712" s="34" t="str">
        <f>IF(LEFT(Annex!H446,5)="Local","Local Transmission",Annex!H446)</f>
        <v>Imported</v>
      </c>
      <c r="C712" s="34" t="str">
        <f>Annex!J446</f>
        <v>Female</v>
      </c>
      <c r="D712" s="34">
        <f>Annex!D446</f>
        <v>21</v>
      </c>
      <c r="E712" s="34" t="str">
        <f>Annex!K446</f>
        <v>Singaporean</v>
      </c>
      <c r="F712" s="34" t="str">
        <f>Annex!L446</f>
        <v xml:space="preserve">Case 711 is a Imported case, 21 years old female Singapore Permanent Resident  and has been to Europe . She is currently admitted at NCID . </v>
      </c>
      <c r="G712" s="35">
        <v>43917</v>
      </c>
      <c r="H712" s="34"/>
      <c r="I712" s="34"/>
      <c r="J712" s="34"/>
      <c r="K712" s="34"/>
      <c r="L712" s="34" t="str">
        <f>Annex!C446</f>
        <v xml:space="preserve">NCID </v>
      </c>
      <c r="M712" s="36" t="s">
        <v>1301</v>
      </c>
    </row>
    <row r="713" spans="1:13" ht="13.8" customHeight="1" x14ac:dyDescent="0.3">
      <c r="A713" s="34">
        <f>Annex!A447</f>
        <v>712</v>
      </c>
      <c r="B713" s="34" t="str">
        <f>IF(LEFT(Annex!H447,5)="Local","Local Transmission",Annex!H447)</f>
        <v>Imported</v>
      </c>
      <c r="C713" s="34" t="str">
        <f>Annex!J447</f>
        <v>Female</v>
      </c>
      <c r="D713" s="34">
        <f>Annex!D447</f>
        <v>38</v>
      </c>
      <c r="E713" s="34" t="str">
        <f>Annex!K447</f>
        <v>Singaporean</v>
      </c>
      <c r="F713" s="34" t="str">
        <f>Annex!L447</f>
        <v xml:space="preserve">Case 712 is a Imported case, 38 years old female Singapore Citizen  and has been to Europe . She is currently admitted at NCID . </v>
      </c>
      <c r="G713" s="35">
        <v>43917</v>
      </c>
      <c r="H713" s="34"/>
      <c r="I713" s="34"/>
      <c r="J713" s="34"/>
      <c r="K713" s="34"/>
      <c r="L713" s="34" t="str">
        <f>Annex!C447</f>
        <v xml:space="preserve">NCID </v>
      </c>
      <c r="M713" s="36" t="s">
        <v>1301</v>
      </c>
    </row>
    <row r="714" spans="1:13" ht="13.8" customHeight="1" x14ac:dyDescent="0.3">
      <c r="A714" s="34">
        <f>Annex!A448</f>
        <v>713</v>
      </c>
      <c r="B714" s="34" t="str">
        <f>IF(LEFT(Annex!H448,5)="Local","Local Transmission",Annex!H448)</f>
        <v>Local Transmission</v>
      </c>
      <c r="C714" s="34" t="str">
        <f>Annex!J448</f>
        <v>Female</v>
      </c>
      <c r="D714" s="34">
        <f>Annex!D448</f>
        <v>59</v>
      </c>
      <c r="E714" s="34" t="str">
        <f>Annex!K448</f>
        <v>UK</v>
      </c>
      <c r="F714" s="34" t="str">
        <f>Annex!L448</f>
        <v>Case 713 is a Local linked  case, 59 years old female UK (Long Term Pass holder)  and has not been overseas. She is currently admitted at NCID . Dover Court International School</v>
      </c>
      <c r="G714" s="35">
        <v>43917</v>
      </c>
      <c r="H714" s="34"/>
      <c r="I714" s="34"/>
      <c r="J714" s="34"/>
      <c r="K714" s="34"/>
      <c r="L714" s="34" t="str">
        <f>Annex!C448</f>
        <v xml:space="preserve">NCID </v>
      </c>
      <c r="M714" s="36" t="s">
        <v>1301</v>
      </c>
    </row>
    <row r="715" spans="1:13" ht="13.8" customHeight="1" x14ac:dyDescent="0.3">
      <c r="A715" s="34">
        <f>Annex!A449</f>
        <v>714</v>
      </c>
      <c r="B715" s="34" t="str">
        <f>IF(LEFT(Annex!H449,5)="Local","Local Transmission",Annex!H449)</f>
        <v>Local Transmission</v>
      </c>
      <c r="C715" s="34" t="str">
        <f>Annex!J449</f>
        <v>Female</v>
      </c>
      <c r="D715" s="34">
        <f>Annex!D449</f>
        <v>27</v>
      </c>
      <c r="E715" s="34" t="str">
        <f>Annex!K449</f>
        <v>South Korea</v>
      </c>
      <c r="F715" s="34" t="str">
        <f>Annex!L449</f>
        <v>Case 714 is a Local linked  case, 27 years old female South Korea (Singapore Work Pass holder)  and has not been overseas. She is currently admitted at NCID . Contact of Case 670</v>
      </c>
      <c r="G715" s="35">
        <v>43917</v>
      </c>
      <c r="H715" s="34"/>
      <c r="I715" s="34"/>
      <c r="J715" s="34"/>
      <c r="K715" s="34"/>
      <c r="L715" s="34" t="str">
        <f>Annex!C449</f>
        <v xml:space="preserve">NCID </v>
      </c>
      <c r="M715" s="36" t="s">
        <v>1301</v>
      </c>
    </row>
    <row r="716" spans="1:13" ht="13.8" customHeight="1" x14ac:dyDescent="0.3">
      <c r="A716" s="34">
        <f>Annex!A450</f>
        <v>715</v>
      </c>
      <c r="B716" s="34" t="str">
        <f>IF(LEFT(Annex!H450,5)="Local","Local Transmission",Annex!H450)</f>
        <v>Imported</v>
      </c>
      <c r="C716" s="34" t="str">
        <f>Annex!J450</f>
        <v>Male</v>
      </c>
      <c r="D716" s="34">
        <f>Annex!D450</f>
        <v>71</v>
      </c>
      <c r="E716" s="34" t="str">
        <f>Annex!K450</f>
        <v>Singaporean</v>
      </c>
      <c r="F716" s="34" t="str">
        <f>Annex!L450</f>
        <v xml:space="preserve">Case 715 is a Imported case, 71 years old male Singapore Citizen  and has been to Malaysia . He is currently admitted at NCID . </v>
      </c>
      <c r="G716" s="35">
        <v>43917</v>
      </c>
      <c r="H716" s="34"/>
      <c r="I716" s="34"/>
      <c r="J716" s="34"/>
      <c r="K716" s="34"/>
      <c r="L716" s="34" t="str">
        <f>Annex!C450</f>
        <v xml:space="preserve">NCID </v>
      </c>
      <c r="M716" s="36" t="s">
        <v>1301</v>
      </c>
    </row>
    <row r="717" spans="1:13" ht="13.8" customHeight="1" x14ac:dyDescent="0.3">
      <c r="A717" s="34">
        <f>Annex!A451</f>
        <v>716</v>
      </c>
      <c r="B717" s="34" t="str">
        <f>IF(LEFT(Annex!H451,5)="Local","Local Transmission",Annex!H451)</f>
        <v>Local Transmission</v>
      </c>
      <c r="C717" s="34" t="str">
        <f>Annex!J451</f>
        <v>Female</v>
      </c>
      <c r="D717" s="34">
        <f>Annex!D451</f>
        <v>67</v>
      </c>
      <c r="E717" s="34" t="str">
        <f>Annex!K451</f>
        <v>Singaporean</v>
      </c>
      <c r="F717" s="34" t="str">
        <f>Annex!L451</f>
        <v>Case 716 is a Local linked  case, 67 years old female Singapore Citizen  and has not been overseas. She is currently admitted at NCID . PCF Fengshan</v>
      </c>
      <c r="G717" s="35">
        <v>43917</v>
      </c>
      <c r="H717" s="34"/>
      <c r="I717" s="34"/>
      <c r="J717" s="34"/>
      <c r="K717" s="34"/>
      <c r="L717" s="34" t="str">
        <f>Annex!C451</f>
        <v xml:space="preserve">NCID </v>
      </c>
      <c r="M717" s="36" t="s">
        <v>1301</v>
      </c>
    </row>
    <row r="718" spans="1:13" ht="13.8" customHeight="1" x14ac:dyDescent="0.3">
      <c r="A718" s="34">
        <f>Annex!A452</f>
        <v>717</v>
      </c>
      <c r="B718" s="34" t="str">
        <f>IF(LEFT(Annex!H452,5)="Local","Local Transmission",Annex!H452)</f>
        <v xml:space="preserve">Imported </v>
      </c>
      <c r="C718" s="34" t="str">
        <f>Annex!J452</f>
        <v>Female</v>
      </c>
      <c r="D718" s="34">
        <f>Annex!D452</f>
        <v>19</v>
      </c>
      <c r="E718" s="34" t="str">
        <f>Annex!K452</f>
        <v>Indi</v>
      </c>
      <c r="F718" s="34" t="str">
        <f>Annex!L452</f>
        <v xml:space="preserve">Case 717 is a Imported  case, 19 years old female India(Long Term Pass holder)  and has been to Pending . She is currently admitted at NCID . </v>
      </c>
      <c r="G718" s="35">
        <v>43917</v>
      </c>
      <c r="H718" s="34"/>
      <c r="I718" s="34"/>
      <c r="J718" s="34"/>
      <c r="K718" s="34"/>
      <c r="L718" s="34" t="str">
        <f>Annex!C452</f>
        <v xml:space="preserve">NCID </v>
      </c>
      <c r="M718" s="36" t="s">
        <v>1301</v>
      </c>
    </row>
    <row r="719" spans="1:13" ht="13.8" customHeight="1" x14ac:dyDescent="0.3">
      <c r="A719" s="34">
        <f>Annex!A453</f>
        <v>718</v>
      </c>
      <c r="B719" s="34" t="str">
        <f>IF(LEFT(Annex!H453,5)="Local","Local Transmission",Annex!H453)</f>
        <v>Local Transmission</v>
      </c>
      <c r="C719" s="34" t="str">
        <f>Annex!J453</f>
        <v>Male</v>
      </c>
      <c r="D719" s="34">
        <f>Annex!D453</f>
        <v>33</v>
      </c>
      <c r="E719" s="34" t="str">
        <f>Annex!K453</f>
        <v>Bangladesh</v>
      </c>
      <c r="F719" s="34" t="str">
        <f>Annex!L453</f>
        <v>Case 718 is a Local linked  case, 33 years old male Bangladesh (Long Term Pass holder)  and has not been overseas. He is currently admitted at NCID . Contact of Case 658</v>
      </c>
      <c r="G719" s="35">
        <v>43917</v>
      </c>
      <c r="H719" s="34"/>
      <c r="I719" s="34"/>
      <c r="J719" s="34"/>
      <c r="K719" s="34"/>
      <c r="L719" s="34" t="str">
        <f>Annex!C453</f>
        <v xml:space="preserve">NCID </v>
      </c>
      <c r="M719" s="36" t="s">
        <v>1301</v>
      </c>
    </row>
    <row r="720" spans="1:13" ht="13.8" customHeight="1" x14ac:dyDescent="0.3">
      <c r="A720" s="34">
        <f>Annex!A454</f>
        <v>719</v>
      </c>
      <c r="B720" s="34" t="str">
        <f>IF(LEFT(Annex!H454,5)="Local","Local Transmission",Annex!H454)</f>
        <v>Imported</v>
      </c>
      <c r="C720" s="34" t="str">
        <f>Annex!J454</f>
        <v>Male</v>
      </c>
      <c r="D720" s="34">
        <f>Annex!D454</f>
        <v>29</v>
      </c>
      <c r="E720" s="34" t="str">
        <f>Annex!K454</f>
        <v>Singaporean</v>
      </c>
      <c r="F720" s="34" t="str">
        <f>Annex!L454</f>
        <v xml:space="preserve">Case 719 is a Imported case, 29 years old male Singapore Citizen  and has been to UK . He is currently admitted at NCID . </v>
      </c>
      <c r="G720" s="35">
        <v>43917</v>
      </c>
      <c r="H720" s="34"/>
      <c r="I720" s="34"/>
      <c r="J720" s="34"/>
      <c r="K720" s="34"/>
      <c r="L720" s="34" t="str">
        <f>Annex!C454</f>
        <v xml:space="preserve">NCID </v>
      </c>
      <c r="M720" s="36" t="s">
        <v>1301</v>
      </c>
    </row>
    <row r="721" spans="1:13" ht="13.8" customHeight="1" x14ac:dyDescent="0.3">
      <c r="A721" s="34">
        <f>Annex!A455</f>
        <v>720</v>
      </c>
      <c r="B721" s="34" t="str">
        <f>IF(LEFT(Annex!H455,5)="Local","Local Transmission",Annex!H455)</f>
        <v>Imported</v>
      </c>
      <c r="C721" s="34" t="str">
        <f>Annex!J455</f>
        <v>Male</v>
      </c>
      <c r="D721" s="34">
        <f>Annex!D455</f>
        <v>20</v>
      </c>
      <c r="E721" s="34" t="str">
        <f>Annex!K455</f>
        <v xml:space="preserve">Indonesia </v>
      </c>
      <c r="F721" s="34" t="str">
        <f>Annex!L455</f>
        <v xml:space="preserve">Case 720 is a Imported case, 20 years old male Indonesia  and has been to US . He is currently admitted at NCID . </v>
      </c>
      <c r="G721" s="35">
        <v>43917</v>
      </c>
      <c r="H721" s="34"/>
      <c r="I721" s="34"/>
      <c r="J721" s="34"/>
      <c r="K721" s="34"/>
      <c r="L721" s="34" t="str">
        <f>Annex!C455</f>
        <v xml:space="preserve">NCID </v>
      </c>
      <c r="M721" s="36" t="s">
        <v>1301</v>
      </c>
    </row>
    <row r="722" spans="1:13" ht="13.8" customHeight="1" x14ac:dyDescent="0.3">
      <c r="A722" s="34">
        <f>Annex!A456</f>
        <v>721</v>
      </c>
      <c r="B722" s="34" t="str">
        <f>IF(LEFT(Annex!H456,5)="Local","Local Transmission",Annex!H456)</f>
        <v>Local Transmission</v>
      </c>
      <c r="C722" s="34" t="str">
        <f>Annex!J456</f>
        <v>Female</v>
      </c>
      <c r="D722" s="34">
        <f>Annex!D456</f>
        <v>68</v>
      </c>
      <c r="E722" s="34" t="str">
        <f>Annex!K456</f>
        <v>Singaporean</v>
      </c>
      <c r="F722" s="34" t="str">
        <f>Annex!L456</f>
        <v xml:space="preserve">Case 721 is a Local unlinked case, 68 years old female Singapore Citizen  and has not been overseas. She is currently admitted at NCID . </v>
      </c>
      <c r="G722" s="35">
        <v>43917</v>
      </c>
      <c r="H722" s="34"/>
      <c r="I722" s="34"/>
      <c r="J722" s="34"/>
      <c r="K722" s="34"/>
      <c r="L722" s="34" t="str">
        <f>Annex!C456</f>
        <v xml:space="preserve">NCID </v>
      </c>
      <c r="M722" s="36" t="s">
        <v>1301</v>
      </c>
    </row>
    <row r="723" spans="1:13" ht="13.8" customHeight="1" x14ac:dyDescent="0.3">
      <c r="A723" s="34">
        <f>Annex!A457</f>
        <v>722</v>
      </c>
      <c r="B723" s="34" t="str">
        <f>IF(LEFT(Annex!H457,5)="Local","Local Transmission",Annex!H457)</f>
        <v>Local Transmission</v>
      </c>
      <c r="C723" s="34" t="str">
        <f>Annex!J457</f>
        <v>Male</v>
      </c>
      <c r="D723" s="34">
        <f>Annex!D457</f>
        <v>56</v>
      </c>
      <c r="E723" s="34" t="str">
        <f>Annex!K457</f>
        <v>Singaporean</v>
      </c>
      <c r="F723" s="34" t="str">
        <f>Annex!L457</f>
        <v xml:space="preserve">Case 722 is a Local unlinked case, 56 years old male Singapore Citizen  and has not been overseas. He is currently admitted at NCID . </v>
      </c>
      <c r="G723" s="35">
        <v>43917</v>
      </c>
      <c r="H723" s="34"/>
      <c r="I723" s="34"/>
      <c r="J723" s="34"/>
      <c r="K723" s="34"/>
      <c r="L723" s="34" t="str">
        <f>Annex!C457</f>
        <v xml:space="preserve">NCID </v>
      </c>
      <c r="M723" s="36" t="s">
        <v>1301</v>
      </c>
    </row>
    <row r="724" spans="1:13" ht="13.8" customHeight="1" x14ac:dyDescent="0.3">
      <c r="A724" s="34">
        <f>Annex!A458</f>
        <v>723</v>
      </c>
      <c r="B724" s="34" t="str">
        <f>IF(LEFT(Annex!H458,5)="Local","Local Transmission",Annex!H458)</f>
        <v>Imported</v>
      </c>
      <c r="C724" s="34" t="str">
        <f>Annex!J458</f>
        <v>Female</v>
      </c>
      <c r="D724" s="34">
        <f>Annex!D458</f>
        <v>27</v>
      </c>
      <c r="E724" s="34" t="str">
        <f>Annex!K458</f>
        <v>Singaporean</v>
      </c>
      <c r="F724" s="34" t="str">
        <f>Annex!L458</f>
        <v xml:space="preserve">Case 723 is a Imported case, 27 years old female Singapore Citizen  and has been to UK . She is currently admitted at NCID . </v>
      </c>
      <c r="G724" s="35">
        <v>43917</v>
      </c>
      <c r="H724" s="68">
        <v>43924</v>
      </c>
      <c r="I724" s="34"/>
      <c r="J724" s="34"/>
      <c r="K724" s="34"/>
      <c r="L724" s="34" t="str">
        <f>Annex!C458</f>
        <v xml:space="preserve">NCID </v>
      </c>
      <c r="M724" s="36" t="s">
        <v>1301</v>
      </c>
    </row>
    <row r="725" spans="1:13" ht="13.8" customHeight="1" x14ac:dyDescent="0.3">
      <c r="A725" s="34">
        <f>Annex!A459</f>
        <v>724</v>
      </c>
      <c r="B725" s="34" t="str">
        <f>IF(LEFT(Annex!H459,5)="Local","Local Transmission",Annex!H459)</f>
        <v>Local Transmission</v>
      </c>
      <c r="C725" s="34" t="str">
        <f>Annex!J459</f>
        <v>Male</v>
      </c>
      <c r="D725" s="34">
        <f>Annex!D459</f>
        <v>29</v>
      </c>
      <c r="E725" s="34" t="str">
        <f>Annex!K459</f>
        <v>Malaysia</v>
      </c>
      <c r="F725" s="34" t="str">
        <f>Annex!L459</f>
        <v>Case 724 is a Local linked  case, 29 years old male Malaysia (Singapore Work Pass holder)  and has not been overseas. He is currently admitted at NCID . SingPost Centre</v>
      </c>
      <c r="G725" s="35">
        <v>43917</v>
      </c>
      <c r="H725" s="69">
        <v>43925</v>
      </c>
      <c r="I725" s="34"/>
      <c r="J725" s="34"/>
      <c r="K725" s="34"/>
      <c r="L725" s="34" t="str">
        <f>Annex!C459</f>
        <v xml:space="preserve">NCID </v>
      </c>
      <c r="M725" s="36" t="s">
        <v>1301</v>
      </c>
    </row>
    <row r="726" spans="1:13" ht="13.8" customHeight="1" x14ac:dyDescent="0.3">
      <c r="A726" s="34">
        <f>Annex!A460</f>
        <v>725</v>
      </c>
      <c r="B726" s="34" t="str">
        <f>IF(LEFT(Annex!H460,5)="Local","Local Transmission",Annex!H460)</f>
        <v>Imported</v>
      </c>
      <c r="C726" s="34" t="str">
        <f>Annex!J460</f>
        <v>Male</v>
      </c>
      <c r="D726" s="34">
        <f>Annex!D460</f>
        <v>23</v>
      </c>
      <c r="E726" s="34" t="str">
        <f>Annex!K460</f>
        <v>Singaporean</v>
      </c>
      <c r="F726" s="34" t="str">
        <f>Annex!L460</f>
        <v xml:space="preserve">Case 725 is a Imported case, 23 years old male Singapore Citizen  and has been to UK . He is currently admitted at NTFGH . </v>
      </c>
      <c r="G726" s="35">
        <v>43917</v>
      </c>
      <c r="H726" s="34"/>
      <c r="I726" s="34"/>
      <c r="J726" s="34"/>
      <c r="K726" s="34"/>
      <c r="L726" s="34" t="str">
        <f>Annex!C460</f>
        <v xml:space="preserve">NTFGH </v>
      </c>
      <c r="M726" s="36" t="s">
        <v>1301</v>
      </c>
    </row>
    <row r="727" spans="1:13" ht="13.8" customHeight="1" x14ac:dyDescent="0.3">
      <c r="A727" s="34">
        <f>Annex!A461</f>
        <v>726</v>
      </c>
      <c r="B727" s="34" t="str">
        <f>IF(LEFT(Annex!H461,5)="Local","Local Transmission",Annex!H461)</f>
        <v>Local Transmission</v>
      </c>
      <c r="C727" s="34" t="str">
        <f>Annex!J461</f>
        <v>Male</v>
      </c>
      <c r="D727" s="34">
        <f>Annex!D461</f>
        <v>59</v>
      </c>
      <c r="E727" s="34" t="str">
        <f>Annex!K461</f>
        <v>Singaporean</v>
      </c>
      <c r="F727" s="34" t="str">
        <f>Annex!L461</f>
        <v>Case 726 is a Local linked  case, 59 years old male Singapore Citizen  and has not been overseas. He is currently admitted at NCID . Contact of Cases 557 and 629</v>
      </c>
      <c r="G727" s="35">
        <v>43917</v>
      </c>
      <c r="H727" s="34"/>
      <c r="I727" s="34"/>
      <c r="J727" s="34"/>
      <c r="K727" s="34"/>
      <c r="L727" s="34" t="str">
        <f>Annex!C461</f>
        <v xml:space="preserve">NCID </v>
      </c>
      <c r="M727" s="36" t="s">
        <v>1301</v>
      </c>
    </row>
    <row r="728" spans="1:13" ht="13.8" customHeight="1" x14ac:dyDescent="0.3">
      <c r="A728" s="34">
        <f>Annex!A462</f>
        <v>727</v>
      </c>
      <c r="B728" s="34" t="str">
        <f>IF(LEFT(Annex!H462,5)="Local","Local Transmission",Annex!H462)</f>
        <v>Imported</v>
      </c>
      <c r="C728" s="34" t="str">
        <f>Annex!J462</f>
        <v>Male</v>
      </c>
      <c r="D728" s="34">
        <f>Annex!D462</f>
        <v>59</v>
      </c>
      <c r="E728" s="34" t="str">
        <f>Annex!K462</f>
        <v>Singaporean</v>
      </c>
      <c r="F728" s="34" t="str">
        <f>Annex!L462</f>
        <v xml:space="preserve">Case 727 is a Imported case, 59 years old male Singapore Citizen  and has been to UK . He is currently admitted at NCID . </v>
      </c>
      <c r="G728" s="35">
        <v>43917</v>
      </c>
      <c r="H728" s="74">
        <v>43926</v>
      </c>
      <c r="I728" s="34"/>
      <c r="J728" s="34"/>
      <c r="K728" s="34"/>
      <c r="L728" s="34" t="str">
        <f>Annex!C462</f>
        <v xml:space="preserve">NCID </v>
      </c>
      <c r="M728" s="36" t="s">
        <v>1301</v>
      </c>
    </row>
    <row r="729" spans="1:13" ht="13.8" customHeight="1" x14ac:dyDescent="0.3">
      <c r="A729" s="34">
        <f>Annex!A463</f>
        <v>728</v>
      </c>
      <c r="B729" s="34" t="str">
        <f>IF(LEFT(Annex!H463,5)="Local","Local Transmission",Annex!H463)</f>
        <v>Local Transmission</v>
      </c>
      <c r="C729" s="34" t="str">
        <f>Annex!J463</f>
        <v>Male</v>
      </c>
      <c r="D729" s="34">
        <f>Annex!D463</f>
        <v>22</v>
      </c>
      <c r="E729" s="34" t="str">
        <f>Annex!K463</f>
        <v>Singaporean</v>
      </c>
      <c r="F729" s="34" t="str">
        <f>Annex!L463</f>
        <v xml:space="preserve">Case 728 is a Local unlinked case, 22 years old male Singapore Citizen  and has not been overseas. He is currently admitted at CGH . </v>
      </c>
      <c r="G729" s="35">
        <v>43917</v>
      </c>
      <c r="H729" s="34"/>
      <c r="I729" s="34"/>
      <c r="J729" s="34"/>
      <c r="K729" s="34"/>
      <c r="L729" s="34" t="str">
        <f>Annex!C463</f>
        <v xml:space="preserve">CGH </v>
      </c>
      <c r="M729" s="36" t="s">
        <v>1301</v>
      </c>
    </row>
    <row r="730" spans="1:13" ht="13.8" customHeight="1" x14ac:dyDescent="0.3">
      <c r="A730" s="34">
        <f>Annex!A464</f>
        <v>729</v>
      </c>
      <c r="B730" s="34" t="str">
        <f>IF(LEFT(Annex!H464,5)="Local","Local Transmission",Annex!H464)</f>
        <v>Local Transmission</v>
      </c>
      <c r="C730" s="34" t="str">
        <f>Annex!J464</f>
        <v>Male</v>
      </c>
      <c r="D730" s="34">
        <f>Annex!D464</f>
        <v>53</v>
      </c>
      <c r="E730" s="34" t="str">
        <f>Annex!K464</f>
        <v>Singaporean</v>
      </c>
      <c r="F730" s="34" t="str">
        <f>Annex!L464</f>
        <v>Case 729 is a Local linked  case, 53 years old male Singapore Permanent Resident  and has not been overseas. He is currently admitted at SGH . Dover Court International School</v>
      </c>
      <c r="G730" s="35">
        <v>43917</v>
      </c>
      <c r="H730" s="34"/>
      <c r="I730" s="34"/>
      <c r="J730" s="34"/>
      <c r="K730" s="34"/>
      <c r="L730" s="34" t="str">
        <f>Annex!C464</f>
        <v xml:space="preserve">SGH </v>
      </c>
      <c r="M730" s="36" t="s">
        <v>1301</v>
      </c>
    </row>
    <row r="731" spans="1:13" ht="13.8" customHeight="1" x14ac:dyDescent="0.3">
      <c r="A731" s="34">
        <f>Annex!A465</f>
        <v>730</v>
      </c>
      <c r="B731" s="34" t="str">
        <f>IF(LEFT(Annex!H465,5)="Local","Local Transmission",Annex!H465)</f>
        <v>Local Transmission</v>
      </c>
      <c r="C731" s="34" t="str">
        <f>Annex!J465</f>
        <v>Male</v>
      </c>
      <c r="D731" s="34">
        <f>Annex!D465</f>
        <v>26</v>
      </c>
      <c r="E731" s="34" t="str">
        <f>Annex!K465</f>
        <v>Singaporean</v>
      </c>
      <c r="F731" s="34" t="str">
        <f>Annex!L465</f>
        <v xml:space="preserve">Case 730 is a Local unlinked case, 26 years old male Singapore Permanent Resident  and has not been overseas. He is currently admitted at NCID . </v>
      </c>
      <c r="G731" s="35">
        <v>43917</v>
      </c>
      <c r="H731" s="34"/>
      <c r="I731" s="34"/>
      <c r="J731" s="34"/>
      <c r="K731" s="34"/>
      <c r="L731" s="34" t="str">
        <f>Annex!C465</f>
        <v xml:space="preserve">NCID </v>
      </c>
      <c r="M731" s="36" t="s">
        <v>1301</v>
      </c>
    </row>
    <row r="732" spans="1:13" ht="13.8" customHeight="1" x14ac:dyDescent="0.3">
      <c r="A732" s="34">
        <f>Annex!A466</f>
        <v>731</v>
      </c>
      <c r="B732" s="34" t="str">
        <f>IF(LEFT(Annex!H466,5)="Local","Local Transmission",Annex!H466)</f>
        <v>Local Transmission</v>
      </c>
      <c r="C732" s="34" t="str">
        <f>Annex!J466</f>
        <v>Male</v>
      </c>
      <c r="D732" s="34">
        <f>Annex!D466</f>
        <v>32</v>
      </c>
      <c r="E732" s="34" t="str">
        <f>Annex!K466</f>
        <v>Singaporean</v>
      </c>
      <c r="F732" s="34" t="str">
        <f>Annex!L466</f>
        <v xml:space="preserve">Case 731 is a Local unlinked case, 32 years old male Singapore Citizen  and has not been overseas. He is currently admitted at CGH . </v>
      </c>
      <c r="G732" s="35">
        <v>43917</v>
      </c>
      <c r="H732" s="34"/>
      <c r="I732" s="34"/>
      <c r="J732" s="34"/>
      <c r="K732" s="34"/>
      <c r="L732" s="34" t="str">
        <f>Annex!C466</f>
        <v xml:space="preserve">CGH </v>
      </c>
      <c r="M732" s="36" t="s">
        <v>1301</v>
      </c>
    </row>
    <row r="733" spans="1:13" ht="13.8" customHeight="1" x14ac:dyDescent="0.3">
      <c r="A733" s="34">
        <f>Annex!A467</f>
        <v>732</v>
      </c>
      <c r="B733" s="34" t="str">
        <f>IF(LEFT(Annex!H467,5)="Local","Local Transmission",Annex!H467)</f>
        <v>Imported</v>
      </c>
      <c r="C733" s="34" t="str">
        <f>Annex!J467</f>
        <v>Female</v>
      </c>
      <c r="D733" s="34">
        <f>Annex!D467</f>
        <v>23</v>
      </c>
      <c r="E733" s="34" t="str">
        <f>Annex!K467</f>
        <v>Singaporean</v>
      </c>
      <c r="F733" s="34" t="str">
        <f>Annex!L467</f>
        <v xml:space="preserve">Case 732 is a Imported case, 23 years old female Singapore Citizen  and has been to UK . She is currently admitted at CGH . </v>
      </c>
      <c r="G733" s="35">
        <v>43917</v>
      </c>
      <c r="H733" s="34"/>
      <c r="I733" s="34"/>
      <c r="J733" s="34"/>
      <c r="K733" s="34"/>
      <c r="L733" s="34" t="str">
        <f>Annex!C467</f>
        <v xml:space="preserve">CGH </v>
      </c>
      <c r="M733" s="36" t="s">
        <v>1301</v>
      </c>
    </row>
    <row r="734" spans="1:13" ht="13.8" customHeight="1" x14ac:dyDescent="0.3">
      <c r="A734" s="41">
        <f>Annex!A468</f>
        <v>733</v>
      </c>
      <c r="B734" s="41" t="str">
        <f>IF(LEFT(Annex!H468,5)="Local","Local Transmission",Annex!H468)</f>
        <v>Imported</v>
      </c>
      <c r="C734" s="41" t="str">
        <f>Annex!J468</f>
        <v>Male</v>
      </c>
      <c r="D734" s="41">
        <f>Annex!D468</f>
        <v>52</v>
      </c>
      <c r="E734" s="41" t="str">
        <f>Annex!K468</f>
        <v xml:space="preserve">Australia </v>
      </c>
      <c r="F734" s="41" t="str">
        <f>Annex!L468</f>
        <v xml:space="preserve">Case 733 is a Imported case, 52 years old male Australia  and has been to US, UK . He is currently admitted at NCID . </v>
      </c>
      <c r="G734" s="38">
        <v>43918</v>
      </c>
      <c r="H734" s="41"/>
      <c r="I734" s="41"/>
      <c r="J734" s="41"/>
      <c r="K734" s="41"/>
      <c r="L734" s="41" t="str">
        <f>Annex!C468</f>
        <v xml:space="preserve">NCID </v>
      </c>
      <c r="M734" s="42" t="s">
        <v>1302</v>
      </c>
    </row>
    <row r="735" spans="1:13" ht="13.8" customHeight="1" x14ac:dyDescent="0.3">
      <c r="A735" s="41">
        <f>Annex!A469</f>
        <v>734</v>
      </c>
      <c r="B735" s="41" t="str">
        <f>IF(LEFT(Annex!H469,5)="Local","Local Transmission",Annex!H469)</f>
        <v>Local Transmission</v>
      </c>
      <c r="C735" s="41" t="str">
        <f>Annex!J469</f>
        <v>Female</v>
      </c>
      <c r="D735" s="41">
        <f>Annex!D469</f>
        <v>31</v>
      </c>
      <c r="E735" s="41" t="str">
        <f>Annex!K469</f>
        <v>Singaporean</v>
      </c>
      <c r="F735" s="41" t="str">
        <f>Annex!L469</f>
        <v>Case 734 is a Local linked  case, 31 years old female Singapore Citizen  and has not been overseas. She is currently admitted at NCID . Contact of Cases 533 and 659</v>
      </c>
      <c r="G735" s="38">
        <v>43918</v>
      </c>
      <c r="H735" s="41"/>
      <c r="I735" s="41"/>
      <c r="J735" s="41"/>
      <c r="K735" s="41"/>
      <c r="L735" s="41" t="str">
        <f>Annex!C469</f>
        <v xml:space="preserve">NCID </v>
      </c>
      <c r="M735" s="42" t="s">
        <v>1302</v>
      </c>
    </row>
    <row r="736" spans="1:13" ht="13.8" customHeight="1" x14ac:dyDescent="0.3">
      <c r="A736" s="41">
        <f>Annex!A470</f>
        <v>735</v>
      </c>
      <c r="B736" s="41" t="str">
        <f>IF(LEFT(Annex!H470,5)="Local","Local Transmission",Annex!H470)</f>
        <v>Imported</v>
      </c>
      <c r="C736" s="41" t="str">
        <f>Annex!J470</f>
        <v>Female</v>
      </c>
      <c r="D736" s="41">
        <f>Annex!D470</f>
        <v>29</v>
      </c>
      <c r="E736" s="41" t="str">
        <f>Annex!K470</f>
        <v>Ireland</v>
      </c>
      <c r="F736" s="41" t="str">
        <f>Annex!L470</f>
        <v xml:space="preserve">Case 735 is a Imported case, 29 years old female Ireland (Singapore Work Pass holder)  and has been to Vietnam . She is currently admitted at SGH . </v>
      </c>
      <c r="G736" s="38">
        <v>43918</v>
      </c>
      <c r="H736" s="41"/>
      <c r="I736" s="41"/>
      <c r="J736" s="41"/>
      <c r="K736" s="41"/>
      <c r="L736" s="41" t="str">
        <f>Annex!C470</f>
        <v xml:space="preserve">SGH </v>
      </c>
      <c r="M736" s="42" t="s">
        <v>1302</v>
      </c>
    </row>
    <row r="737" spans="1:13" ht="13.8" customHeight="1" x14ac:dyDescent="0.3">
      <c r="A737" s="41">
        <f>Annex!A471</f>
        <v>736</v>
      </c>
      <c r="B737" s="41" t="str">
        <f>IF(LEFT(Annex!H471,5)="Local","Local Transmission",Annex!H471)</f>
        <v>Imported</v>
      </c>
      <c r="C737" s="41" t="str">
        <f>Annex!J471</f>
        <v>Male</v>
      </c>
      <c r="D737" s="41">
        <f>Annex!D471</f>
        <v>43</v>
      </c>
      <c r="E737" s="41" t="str">
        <f>Annex!K471</f>
        <v>France</v>
      </c>
      <c r="F737" s="41" t="str">
        <f>Annex!L471</f>
        <v xml:space="preserve">Case 736 is a Imported case, 43 years old male France (Long Term Pass holder)  and has been to Indonesia . He is currently admitted at NCID . </v>
      </c>
      <c r="G737" s="38">
        <v>43918</v>
      </c>
      <c r="H737" s="41"/>
      <c r="I737" s="41"/>
      <c r="J737" s="41"/>
      <c r="K737" s="41"/>
      <c r="L737" s="41" t="str">
        <f>Annex!C471</f>
        <v xml:space="preserve">NCID </v>
      </c>
      <c r="M737" s="42" t="s">
        <v>1302</v>
      </c>
    </row>
    <row r="738" spans="1:13" ht="13.8" customHeight="1" x14ac:dyDescent="0.3">
      <c r="A738" s="41">
        <f>Annex!A472</f>
        <v>737</v>
      </c>
      <c r="B738" s="41" t="str">
        <f>IF(LEFT(Annex!H472,5)="Local","Local Transmission",Annex!H472)</f>
        <v>Imported</v>
      </c>
      <c r="C738" s="41" t="str">
        <f>Annex!J472</f>
        <v>Male</v>
      </c>
      <c r="D738" s="41">
        <f>Annex!D472</f>
        <v>28</v>
      </c>
      <c r="E738" s="41" t="str">
        <f>Annex!K472</f>
        <v>Malaysia</v>
      </c>
      <c r="F738" s="41" t="str">
        <f>Annex!L472</f>
        <v xml:space="preserve">Case 737 is a Imported case, 28 years old male Malaysia (Singapore Work Pass holder)  and has been to Malaysia . He is currently admitted at NTFGH . </v>
      </c>
      <c r="G738" s="38">
        <v>43918</v>
      </c>
      <c r="H738" s="41"/>
      <c r="I738" s="41"/>
      <c r="J738" s="41"/>
      <c r="K738" s="41"/>
      <c r="L738" s="41" t="str">
        <f>Annex!C472</f>
        <v xml:space="preserve">NTFGH </v>
      </c>
      <c r="M738" s="42" t="s">
        <v>1302</v>
      </c>
    </row>
    <row r="739" spans="1:13" ht="13.8" customHeight="1" x14ac:dyDescent="0.3">
      <c r="A739" s="41">
        <f>Annex!A473</f>
        <v>738</v>
      </c>
      <c r="B739" s="41" t="str">
        <f>IF(LEFT(Annex!H473,5)="Local","Local Transmission",Annex!H473)</f>
        <v>Imported</v>
      </c>
      <c r="C739" s="41" t="str">
        <f>Annex!J473</f>
        <v>Female</v>
      </c>
      <c r="D739" s="41">
        <f>Annex!D473</f>
        <v>57</v>
      </c>
      <c r="E739" s="41" t="str">
        <f>Annex!K473</f>
        <v>Singaporean</v>
      </c>
      <c r="F739" s="41" t="str">
        <f>Annex!L473</f>
        <v xml:space="preserve">Case 738 is a Imported case, 57 years old female Singapore Citizen  and has been to UK . She is currently admitted at NTFGH . </v>
      </c>
      <c r="G739" s="38">
        <v>43918</v>
      </c>
      <c r="H739" s="41"/>
      <c r="I739" s="41"/>
      <c r="J739" s="41"/>
      <c r="K739" s="41"/>
      <c r="L739" s="41" t="str">
        <f>Annex!C473</f>
        <v xml:space="preserve">NTFGH </v>
      </c>
      <c r="M739" s="42" t="s">
        <v>1302</v>
      </c>
    </row>
    <row r="740" spans="1:13" ht="13.8" customHeight="1" x14ac:dyDescent="0.3">
      <c r="A740" s="41">
        <f>Annex!A474</f>
        <v>739</v>
      </c>
      <c r="B740" s="41" t="str">
        <f>IF(LEFT(Annex!H474,5)="Local","Local Transmission",Annex!H474)</f>
        <v>Imported</v>
      </c>
      <c r="C740" s="41" t="str">
        <f>Annex!J474</f>
        <v>Female</v>
      </c>
      <c r="D740" s="41">
        <f>Annex!D474</f>
        <v>30</v>
      </c>
      <c r="E740" s="41" t="str">
        <f>Annex!K474</f>
        <v>Singaporean</v>
      </c>
      <c r="F740" s="41" t="str">
        <f>Annex!L474</f>
        <v xml:space="preserve">Case 739 is a Imported case, 30 years old female Singapore Citizen  and has been to UK . She is currently admitted at NUH . </v>
      </c>
      <c r="G740" s="38">
        <v>43918</v>
      </c>
      <c r="H740" s="41"/>
      <c r="I740" s="41"/>
      <c r="J740" s="41"/>
      <c r="K740" s="41"/>
      <c r="L740" s="41" t="str">
        <f>Annex!C474</f>
        <v xml:space="preserve">NUH </v>
      </c>
      <c r="M740" s="42" t="s">
        <v>1302</v>
      </c>
    </row>
    <row r="741" spans="1:13" ht="13.8" customHeight="1" x14ac:dyDescent="0.3">
      <c r="A741" s="41">
        <f>Annex!A475</f>
        <v>740</v>
      </c>
      <c r="B741" s="41" t="str">
        <f>IF(LEFT(Annex!H475,5)="Local","Local Transmission",Annex!H475)</f>
        <v>Local Transmission</v>
      </c>
      <c r="C741" s="41" t="str">
        <f>Annex!J475</f>
        <v>Male</v>
      </c>
      <c r="D741" s="41">
        <f>Annex!D475</f>
        <v>25</v>
      </c>
      <c r="E741" s="41" t="str">
        <f>Annex!K475</f>
        <v>China</v>
      </c>
      <c r="F741" s="41" t="str">
        <f>Annex!L475</f>
        <v>Case 740 is a Local linked  case, 25 years old male China (Singapore Work Pass holder)  and has not been overseas. He is currently admitted at CGH . SingPost Centre</v>
      </c>
      <c r="G741" s="38">
        <v>43918</v>
      </c>
      <c r="H741" s="41"/>
      <c r="I741" s="41"/>
      <c r="J741" s="41"/>
      <c r="K741" s="41"/>
      <c r="L741" s="41" t="str">
        <f>Annex!C475</f>
        <v xml:space="preserve">CGH </v>
      </c>
      <c r="M741" s="42" t="s">
        <v>1302</v>
      </c>
    </row>
    <row r="742" spans="1:13" ht="13.8" customHeight="1" x14ac:dyDescent="0.3">
      <c r="A742" s="41">
        <f>Annex!A476</f>
        <v>741</v>
      </c>
      <c r="B742" s="41" t="str">
        <f>IF(LEFT(Annex!H476,5)="Local","Local Transmission",Annex!H476)</f>
        <v>Local Transmission</v>
      </c>
      <c r="C742" s="41" t="str">
        <f>Annex!J476</f>
        <v>Female</v>
      </c>
      <c r="D742" s="41">
        <f>Annex!D476</f>
        <v>42</v>
      </c>
      <c r="E742" s="41" t="str">
        <f>Annex!K476</f>
        <v>Singaporean</v>
      </c>
      <c r="F742" s="41" t="str">
        <f>Annex!L476</f>
        <v xml:space="preserve">Case 741 is a Local unlinked case, 42 years old female Singapore Permanent Resident  and has not been overseas. She is currently admitted at SKH . </v>
      </c>
      <c r="G742" s="38">
        <v>43918</v>
      </c>
      <c r="H742" s="41"/>
      <c r="I742" s="41"/>
      <c r="J742" s="41"/>
      <c r="K742" s="41"/>
      <c r="L742" s="41" t="str">
        <f>Annex!C476</f>
        <v xml:space="preserve">SKH </v>
      </c>
      <c r="M742" s="42" t="s">
        <v>1302</v>
      </c>
    </row>
    <row r="743" spans="1:13" ht="13.8" customHeight="1" x14ac:dyDescent="0.3">
      <c r="A743" s="41">
        <f>Annex!A477</f>
        <v>742</v>
      </c>
      <c r="B743" s="41" t="str">
        <f>IF(LEFT(Annex!H477,5)="Local","Local Transmission",Annex!H477)</f>
        <v>Local Transmission</v>
      </c>
      <c r="C743" s="41" t="str">
        <f>Annex!J477</f>
        <v>Male</v>
      </c>
      <c r="D743" s="41">
        <f>Annex!D477</f>
        <v>39</v>
      </c>
      <c r="E743" s="41" t="str">
        <f>Annex!K477</f>
        <v>Singaporean</v>
      </c>
      <c r="F743" s="41" t="str">
        <f>Annex!L477</f>
        <v xml:space="preserve">Case 742 is a Local unlinked case, 39 years old male Singapore Citizen  and has not been overseas. He is currently admitted at SKH . </v>
      </c>
      <c r="G743" s="38">
        <v>43918</v>
      </c>
      <c r="H743" s="41"/>
      <c r="I743" s="41"/>
      <c r="J743" s="41"/>
      <c r="K743" s="41"/>
      <c r="L743" s="41" t="str">
        <f>Annex!C477</f>
        <v xml:space="preserve">SKH </v>
      </c>
      <c r="M743" s="42" t="s">
        <v>1302</v>
      </c>
    </row>
    <row r="744" spans="1:13" ht="13.8" customHeight="1" x14ac:dyDescent="0.3">
      <c r="A744" s="41">
        <f>Annex!A478</f>
        <v>743</v>
      </c>
      <c r="B744" s="41" t="str">
        <f>IF(LEFT(Annex!H478,5)="Local","Local Transmission",Annex!H478)</f>
        <v>Imported</v>
      </c>
      <c r="C744" s="41" t="str">
        <f>Annex!J478</f>
        <v>Male</v>
      </c>
      <c r="D744" s="41">
        <f>Annex!D478</f>
        <v>69</v>
      </c>
      <c r="E744" s="41" t="str">
        <f>Annex!K478</f>
        <v>Singaporean</v>
      </c>
      <c r="F744" s="41" t="str">
        <f>Annex!L478</f>
        <v xml:space="preserve">Case 743 is a Imported case, 69 years old male Singapore Citizen  and has been to Malaysia . He is currently admitted at NCID . </v>
      </c>
      <c r="G744" s="38">
        <v>43918</v>
      </c>
      <c r="H744" s="41"/>
      <c r="I744" s="41"/>
      <c r="J744" s="41"/>
      <c r="K744" s="41"/>
      <c r="L744" s="41" t="str">
        <f>Annex!C478</f>
        <v xml:space="preserve">NCID </v>
      </c>
      <c r="M744" s="42" t="s">
        <v>1302</v>
      </c>
    </row>
    <row r="745" spans="1:13" ht="13.8" customHeight="1" x14ac:dyDescent="0.3">
      <c r="A745" s="41">
        <f>Annex!A479</f>
        <v>744</v>
      </c>
      <c r="B745" s="41" t="str">
        <f>IF(LEFT(Annex!H479,5)="Local","Local Transmission",Annex!H479)</f>
        <v>Imported</v>
      </c>
      <c r="C745" s="41" t="str">
        <f>Annex!J479</f>
        <v>Female</v>
      </c>
      <c r="D745" s="41">
        <f>Annex!D479</f>
        <v>40</v>
      </c>
      <c r="E745" s="41" t="str">
        <f>Annex!K479</f>
        <v>Singaporean</v>
      </c>
      <c r="F745" s="41" t="str">
        <f>Annex!L479</f>
        <v xml:space="preserve">Case 744 is a Imported case, 40 years old female Singapore Permanent Resident  and has been to UK . She is currently admitted at CGH . </v>
      </c>
      <c r="G745" s="38">
        <v>43918</v>
      </c>
      <c r="H745" s="41"/>
      <c r="I745" s="41"/>
      <c r="J745" s="41"/>
      <c r="K745" s="41"/>
      <c r="L745" s="41" t="str">
        <f>Annex!C479</f>
        <v xml:space="preserve">CGH </v>
      </c>
      <c r="M745" s="42" t="s">
        <v>1302</v>
      </c>
    </row>
    <row r="746" spans="1:13" ht="13.8" customHeight="1" x14ac:dyDescent="0.3">
      <c r="A746" s="41">
        <f>Annex!A480</f>
        <v>745</v>
      </c>
      <c r="B746" s="41" t="str">
        <f>IF(LEFT(Annex!H480,5)="Local","Local Transmission",Annex!H480)</f>
        <v>Local Transmission</v>
      </c>
      <c r="C746" s="41" t="str">
        <f>Annex!J480</f>
        <v>Female</v>
      </c>
      <c r="D746" s="41">
        <f>Annex!D480</f>
        <v>36</v>
      </c>
      <c r="E746" s="41" t="str">
        <f>Annex!K480</f>
        <v>Singaporean</v>
      </c>
      <c r="F746" s="41" t="str">
        <f>Annex!L480</f>
        <v xml:space="preserve">Case 745 is a Local unlinked case, 36 years old female Singapore Citizen  and has not been overseas. She is currently admitted at KTPH . </v>
      </c>
      <c r="G746" s="38">
        <v>43918</v>
      </c>
      <c r="H746" s="74">
        <v>43926</v>
      </c>
      <c r="I746" s="41"/>
      <c r="J746" s="41"/>
      <c r="K746" s="41"/>
      <c r="L746" s="41" t="str">
        <f>Annex!C480</f>
        <v xml:space="preserve">KTPH </v>
      </c>
      <c r="M746" s="42" t="s">
        <v>1302</v>
      </c>
    </row>
    <row r="747" spans="1:13" ht="13.8" customHeight="1" x14ac:dyDescent="0.3">
      <c r="A747" s="41">
        <f>Annex!A481</f>
        <v>746</v>
      </c>
      <c r="B747" s="41" t="str">
        <f>IF(LEFT(Annex!H481,5)="Local","Local Transmission",Annex!H481)</f>
        <v>Local Transmission</v>
      </c>
      <c r="C747" s="41" t="str">
        <f>Annex!J481</f>
        <v>Male</v>
      </c>
      <c r="D747" s="41">
        <f>Annex!D481</f>
        <v>38</v>
      </c>
      <c r="E747" s="41" t="str">
        <f>Annex!K481</f>
        <v>Singaporean</v>
      </c>
      <c r="F747" s="41" t="str">
        <f>Annex!L481</f>
        <v>Case 746 is a Local linked  case, 38 years old male Singapore Citizen  and has been to Malaysia . He is currently admitted at KKH . PCF Fengshan</v>
      </c>
      <c r="G747" s="38">
        <v>43918</v>
      </c>
      <c r="H747" s="41"/>
      <c r="I747" s="41"/>
      <c r="J747" s="41"/>
      <c r="K747" s="41"/>
      <c r="L747" s="41" t="str">
        <f>Annex!C481</f>
        <v xml:space="preserve">KKH </v>
      </c>
      <c r="M747" s="42" t="s">
        <v>1302</v>
      </c>
    </row>
    <row r="748" spans="1:13" ht="13.8" customHeight="1" x14ac:dyDescent="0.3">
      <c r="A748" s="41">
        <f>Annex!A482</f>
        <v>747</v>
      </c>
      <c r="B748" s="41" t="str">
        <f>IF(LEFT(Annex!H482,5)="Local","Local Transmission",Annex!H482)</f>
        <v>Local Transmission</v>
      </c>
      <c r="C748" s="41" t="str">
        <f>Annex!J482</f>
        <v>Male</v>
      </c>
      <c r="D748" s="41">
        <f>Annex!D482</f>
        <v>51</v>
      </c>
      <c r="E748" s="41" t="str">
        <f>Annex!K482</f>
        <v>Singaporean</v>
      </c>
      <c r="F748" s="41" t="str">
        <f>Annex!L482</f>
        <v xml:space="preserve">Case 747 is a Local unlinked case, 51 years old male Singapore Citizen  and has not been overseas. He is currently admitted at NCID . </v>
      </c>
      <c r="G748" s="38">
        <v>43918</v>
      </c>
      <c r="H748" s="41"/>
      <c r="I748" s="41"/>
      <c r="J748" s="41"/>
      <c r="K748" s="41"/>
      <c r="L748" s="41" t="str">
        <f>Annex!C482</f>
        <v xml:space="preserve">NCID </v>
      </c>
      <c r="M748" s="42" t="s">
        <v>1302</v>
      </c>
    </row>
    <row r="749" spans="1:13" ht="13.8" customHeight="1" x14ac:dyDescent="0.3">
      <c r="A749" s="41">
        <f>Annex!A483</f>
        <v>748</v>
      </c>
      <c r="B749" s="41" t="str">
        <f>IF(LEFT(Annex!H483,5)="Local","Local Transmission",Annex!H483)</f>
        <v>Local Transmission</v>
      </c>
      <c r="C749" s="41" t="str">
        <f>Annex!J483</f>
        <v>Female</v>
      </c>
      <c r="D749" s="41">
        <f>Annex!D483</f>
        <v>36</v>
      </c>
      <c r="E749" s="41" t="str">
        <f>Annex!K483</f>
        <v>Malaysia</v>
      </c>
      <c r="F749" s="41" t="str">
        <f>Annex!L483</f>
        <v xml:space="preserve">Case 748 is a Local unlinked case, 36 years old female Malaysia (Singapore Work Pass holder)  and has not been overseas. She is currently admitted at KTPH . </v>
      </c>
      <c r="G749" s="38">
        <v>43918</v>
      </c>
      <c r="H749" s="74">
        <v>43926</v>
      </c>
      <c r="I749" s="41"/>
      <c r="J749" s="41"/>
      <c r="K749" s="41"/>
      <c r="L749" s="41" t="str">
        <f>Annex!C483</f>
        <v xml:space="preserve">KTPH </v>
      </c>
      <c r="M749" s="42" t="s">
        <v>1302</v>
      </c>
    </row>
    <row r="750" spans="1:13" ht="13.8" customHeight="1" x14ac:dyDescent="0.3">
      <c r="A750" s="41">
        <f>Annex!A484</f>
        <v>749</v>
      </c>
      <c r="B750" s="41" t="str">
        <f>IF(LEFT(Annex!H484,5)="Local","Local Transmission",Annex!H484)</f>
        <v>Imported</v>
      </c>
      <c r="C750" s="41" t="str">
        <f>Annex!J484</f>
        <v>Female</v>
      </c>
      <c r="D750" s="41">
        <f>Annex!D484</f>
        <v>24</v>
      </c>
      <c r="E750" s="41" t="str">
        <f>Annex!K484</f>
        <v>Singaporean</v>
      </c>
      <c r="F750" s="41" t="str">
        <f>Annex!L484</f>
        <v xml:space="preserve">Case 749 is a Imported case, 24 years old female Singapore Citizen  and has been to UK . She is currently admitted at KTPH . </v>
      </c>
      <c r="G750" s="38">
        <v>43918</v>
      </c>
      <c r="H750" s="64">
        <v>43923</v>
      </c>
      <c r="I750" s="41"/>
      <c r="J750" s="41"/>
      <c r="K750" s="41"/>
      <c r="L750" s="41" t="str">
        <f>Annex!C484</f>
        <v xml:space="preserve">KTPH </v>
      </c>
      <c r="M750" s="42" t="s">
        <v>1302</v>
      </c>
    </row>
    <row r="751" spans="1:13" ht="13.8" customHeight="1" x14ac:dyDescent="0.3">
      <c r="A751" s="41">
        <f>Annex!A485</f>
        <v>750</v>
      </c>
      <c r="B751" s="41" t="str">
        <f>IF(LEFT(Annex!H485,5)="Local","Local Transmission",Annex!H485)</f>
        <v>Imported</v>
      </c>
      <c r="C751" s="41" t="str">
        <f>Annex!J485</f>
        <v>Female</v>
      </c>
      <c r="D751" s="41">
        <f>Annex!D485</f>
        <v>22</v>
      </c>
      <c r="E751" s="41" t="str">
        <f>Annex!K485</f>
        <v>Singaporean</v>
      </c>
      <c r="F751" s="41" t="str">
        <f>Annex!L485</f>
        <v xml:space="preserve">Case 750 is a Imported case, 22 years old female Singapore Citizen  and has been to Pending . She is currently admitted at NCID . </v>
      </c>
      <c r="G751" s="38">
        <v>43918</v>
      </c>
      <c r="H751" s="41"/>
      <c r="I751" s="41"/>
      <c r="J751" s="41"/>
      <c r="K751" s="41"/>
      <c r="L751" s="41" t="str">
        <f>Annex!C485</f>
        <v xml:space="preserve">NCID </v>
      </c>
      <c r="M751" s="42" t="s">
        <v>1302</v>
      </c>
    </row>
    <row r="752" spans="1:13" ht="13.8" customHeight="1" x14ac:dyDescent="0.3">
      <c r="A752" s="41">
        <f>Annex!A486</f>
        <v>751</v>
      </c>
      <c r="B752" s="41" t="str">
        <f>IF(LEFT(Annex!H486,5)="Local","Local Transmission",Annex!H486)</f>
        <v>Imported</v>
      </c>
      <c r="C752" s="41" t="str">
        <f>Annex!J486</f>
        <v>Male</v>
      </c>
      <c r="D752" s="41">
        <f>Annex!D486</f>
        <v>71</v>
      </c>
      <c r="E752" s="41" t="str">
        <f>Annex!K486</f>
        <v>Singaporean</v>
      </c>
      <c r="F752" s="41" t="str">
        <f>Annex!L486</f>
        <v xml:space="preserve">Case 751 is a Imported case, 71 years old male Singapore Citizen  and has been to Pending . He is currently admitted at SKH . </v>
      </c>
      <c r="G752" s="38">
        <v>43918</v>
      </c>
      <c r="H752" s="41"/>
      <c r="I752" s="41"/>
      <c r="J752" s="41"/>
      <c r="K752" s="41"/>
      <c r="L752" s="41" t="str">
        <f>Annex!C486</f>
        <v xml:space="preserve">SKH </v>
      </c>
      <c r="M752" s="42" t="s">
        <v>1302</v>
      </c>
    </row>
    <row r="753" spans="1:13" ht="13.8" customHeight="1" x14ac:dyDescent="0.3">
      <c r="A753" s="41">
        <f>Annex!A487</f>
        <v>752</v>
      </c>
      <c r="B753" s="41" t="str">
        <f>IF(LEFT(Annex!H487,5)="Local","Local Transmission",Annex!H487)</f>
        <v>Imported</v>
      </c>
      <c r="C753" s="41" t="str">
        <f>Annex!J487</f>
        <v>Female</v>
      </c>
      <c r="D753" s="41">
        <f>Annex!D487</f>
        <v>70</v>
      </c>
      <c r="E753" s="41" t="str">
        <f>Annex!K487</f>
        <v>Singaporean</v>
      </c>
      <c r="F753" s="41" t="str">
        <f>Annex!L487</f>
        <v xml:space="preserve">Case 752 is a Imported case, 70 years old female Singapore Citizen  and has been to Pending . She is currently admitted at SKH . </v>
      </c>
      <c r="G753" s="38">
        <v>43918</v>
      </c>
      <c r="H753" s="74">
        <v>43926</v>
      </c>
      <c r="I753" s="41"/>
      <c r="J753" s="41"/>
      <c r="K753" s="41"/>
      <c r="L753" s="41" t="str">
        <f>Annex!C487</f>
        <v xml:space="preserve">SKH </v>
      </c>
      <c r="M753" s="42" t="s">
        <v>1302</v>
      </c>
    </row>
    <row r="754" spans="1:13" ht="13.8" customHeight="1" x14ac:dyDescent="0.3">
      <c r="A754" s="41">
        <f>Annex!A488</f>
        <v>753</v>
      </c>
      <c r="B754" s="41" t="str">
        <f>IF(LEFT(Annex!H488,5)="Local","Local Transmission",Annex!H488)</f>
        <v>Imported</v>
      </c>
      <c r="C754" s="41" t="str">
        <f>Annex!J488</f>
        <v>Male</v>
      </c>
      <c r="D754" s="41">
        <f>Annex!D488</f>
        <v>24</v>
      </c>
      <c r="E754" s="41" t="str">
        <f>Annex!K488</f>
        <v>Singaporean</v>
      </c>
      <c r="F754" s="41" t="str">
        <f>Annex!L488</f>
        <v xml:space="preserve">Case 753 is a Imported case, 24 years old male Singapore Citizen  and has been to Canada . He is currently admitted at SKH . </v>
      </c>
      <c r="G754" s="38">
        <v>43918</v>
      </c>
      <c r="H754" s="41"/>
      <c r="I754" s="41"/>
      <c r="J754" s="41"/>
      <c r="K754" s="41"/>
      <c r="L754" s="41" t="str">
        <f>Annex!C488</f>
        <v xml:space="preserve">SKH </v>
      </c>
      <c r="M754" s="42" t="s">
        <v>1302</v>
      </c>
    </row>
    <row r="755" spans="1:13" ht="13.8" customHeight="1" x14ac:dyDescent="0.3">
      <c r="A755" s="41">
        <f>Annex!A489</f>
        <v>754</v>
      </c>
      <c r="B755" s="41" t="str">
        <f>IF(LEFT(Annex!H489,5)="Local","Local Transmission",Annex!H489)</f>
        <v>Imported</v>
      </c>
      <c r="C755" s="41" t="str">
        <f>Annex!J489</f>
        <v>Male</v>
      </c>
      <c r="D755" s="41">
        <f>Annex!D489</f>
        <v>22</v>
      </c>
      <c r="E755" s="41" t="str">
        <f>Annex!K489</f>
        <v>Singaporean</v>
      </c>
      <c r="F755" s="41" t="str">
        <f>Annex!L489</f>
        <v xml:space="preserve">Case 754 is a Imported case, 22 years old male Singapore Citizen  and has been to UK . He is currently admitted at NCID . </v>
      </c>
      <c r="G755" s="38">
        <v>43918</v>
      </c>
      <c r="H755" s="41"/>
      <c r="I755" s="41"/>
      <c r="J755" s="41"/>
      <c r="K755" s="41"/>
      <c r="L755" s="41" t="str">
        <f>Annex!C489</f>
        <v xml:space="preserve">NCID </v>
      </c>
      <c r="M755" s="42" t="s">
        <v>1302</v>
      </c>
    </row>
    <row r="756" spans="1:13" ht="13.8" customHeight="1" x14ac:dyDescent="0.3">
      <c r="A756" s="41">
        <f>Annex!A490</f>
        <v>755</v>
      </c>
      <c r="B756" s="41" t="str">
        <f>IF(LEFT(Annex!H490,5)="Local","Local Transmission",Annex!H490)</f>
        <v>Imported</v>
      </c>
      <c r="C756" s="41" t="str">
        <f>Annex!J490</f>
        <v>Male</v>
      </c>
      <c r="D756" s="41">
        <f>Annex!D490</f>
        <v>25</v>
      </c>
      <c r="E756" s="41" t="str">
        <f>Annex!K490</f>
        <v>Singaporean</v>
      </c>
      <c r="F756" s="41" t="str">
        <f>Annex!L490</f>
        <v xml:space="preserve">Case 755 is a Imported case, 25 years old male Singapore Citizen  and has been to Laos . He is currently admitted at NCID . </v>
      </c>
      <c r="G756" s="38">
        <v>43918</v>
      </c>
      <c r="H756" s="41"/>
      <c r="I756" s="41"/>
      <c r="J756" s="41"/>
      <c r="K756" s="41"/>
      <c r="L756" s="41" t="str">
        <f>Annex!C490</f>
        <v xml:space="preserve">NCID </v>
      </c>
      <c r="M756" s="42" t="s">
        <v>1302</v>
      </c>
    </row>
    <row r="757" spans="1:13" ht="13.8" customHeight="1" x14ac:dyDescent="0.3">
      <c r="A757" s="41">
        <f>Annex!A491</f>
        <v>756</v>
      </c>
      <c r="B757" s="41" t="str">
        <f>IF(LEFT(Annex!H491,5)="Local","Local Transmission",Annex!H491)</f>
        <v>Local Transmission</v>
      </c>
      <c r="C757" s="41" t="str">
        <f>Annex!J491</f>
        <v>Male</v>
      </c>
      <c r="D757" s="41">
        <f>Annex!D491</f>
        <v>42</v>
      </c>
      <c r="E757" s="41" t="str">
        <f>Annex!K491</f>
        <v>Singaporean</v>
      </c>
      <c r="F757" s="41" t="str">
        <f>Annex!L491</f>
        <v xml:space="preserve">Case 756 is a Local unlinked case, 42 years old male Singapore Citizen  and has not been overseas. He is currently admitted at NCID . </v>
      </c>
      <c r="G757" s="38">
        <v>43918</v>
      </c>
      <c r="H757" s="41"/>
      <c r="I757" s="41"/>
      <c r="J757" s="41"/>
      <c r="K757" s="41"/>
      <c r="L757" s="41" t="str">
        <f>Annex!C491</f>
        <v xml:space="preserve">NCID </v>
      </c>
      <c r="M757" s="42" t="s">
        <v>1302</v>
      </c>
    </row>
    <row r="758" spans="1:13" ht="13.8" customHeight="1" x14ac:dyDescent="0.3">
      <c r="A758" s="41">
        <f>Annex!A492</f>
        <v>757</v>
      </c>
      <c r="B758" s="41" t="str">
        <f>IF(LEFT(Annex!H492,5)="Local","Local Transmission",Annex!H492)</f>
        <v>Local Transmission</v>
      </c>
      <c r="C758" s="41" t="str">
        <f>Annex!J492</f>
        <v>Female</v>
      </c>
      <c r="D758" s="41">
        <f>Annex!D492</f>
        <v>22</v>
      </c>
      <c r="E758" s="41" t="str">
        <f>Annex!K492</f>
        <v>Singaporean</v>
      </c>
      <c r="F758" s="41" t="str">
        <f>Annex!L492</f>
        <v xml:space="preserve">Case 757 is a Local unlinked case, 22 years old female Singapore Citizen  and has not been overseas. She is currently admitted at CGH . </v>
      </c>
      <c r="G758" s="38">
        <v>43918</v>
      </c>
      <c r="H758" s="41"/>
      <c r="I758" s="41"/>
      <c r="J758" s="41"/>
      <c r="K758" s="41"/>
      <c r="L758" s="41" t="str">
        <f>Annex!C492</f>
        <v xml:space="preserve">CGH </v>
      </c>
      <c r="M758" s="42" t="s">
        <v>1302</v>
      </c>
    </row>
    <row r="759" spans="1:13" ht="13.8" customHeight="1" x14ac:dyDescent="0.3">
      <c r="A759" s="41">
        <f>Annex!A493</f>
        <v>758</v>
      </c>
      <c r="B759" s="41" t="str">
        <f>IF(LEFT(Annex!H493,5)="Local","Local Transmission",Annex!H493)</f>
        <v>Imported</v>
      </c>
      <c r="C759" s="41" t="str">
        <f>Annex!J493</f>
        <v>Male</v>
      </c>
      <c r="D759" s="41">
        <f>Annex!D493</f>
        <v>23</v>
      </c>
      <c r="E759" s="41" t="str">
        <f>Annex!K493</f>
        <v>Singaporean</v>
      </c>
      <c r="F759" s="41" t="str">
        <f>Annex!L493</f>
        <v xml:space="preserve">Case 758 is a Imported case, 23 years old male Singapore Citizen  and has been to US . He is currently admitted at NTFGH . </v>
      </c>
      <c r="G759" s="38">
        <v>43918</v>
      </c>
      <c r="H759" s="41"/>
      <c r="I759" s="41"/>
      <c r="J759" s="41"/>
      <c r="K759" s="41"/>
      <c r="L759" s="41" t="str">
        <f>Annex!C493</f>
        <v xml:space="preserve">NTFGH </v>
      </c>
      <c r="M759" s="42" t="s">
        <v>1302</v>
      </c>
    </row>
    <row r="760" spans="1:13" ht="13.8" customHeight="1" x14ac:dyDescent="0.3">
      <c r="A760" s="41">
        <f>Annex!A494</f>
        <v>759</v>
      </c>
      <c r="B760" s="41" t="str">
        <f>IF(LEFT(Annex!H494,5)="Local","Local Transmission",Annex!H494)</f>
        <v>Imported</v>
      </c>
      <c r="C760" s="41" t="str">
        <f>Annex!J494</f>
        <v>Female</v>
      </c>
      <c r="D760" s="41">
        <f>Annex!D494</f>
        <v>1</v>
      </c>
      <c r="E760" s="41" t="str">
        <f>Annex!K494</f>
        <v>Singaporean</v>
      </c>
      <c r="F760" s="41" t="str">
        <f>Annex!L494</f>
        <v xml:space="preserve">Case 759 is a Imported case, 1 years old female Singapore Citizen  and has been to UK, France . She is currently admitted at NUH . </v>
      </c>
      <c r="G760" s="38">
        <v>43918</v>
      </c>
      <c r="H760" s="41"/>
      <c r="I760" s="41"/>
      <c r="J760" s="41"/>
      <c r="K760" s="41"/>
      <c r="L760" s="41" t="str">
        <f>Annex!C494</f>
        <v xml:space="preserve">NUH </v>
      </c>
      <c r="M760" s="42" t="s">
        <v>1302</v>
      </c>
    </row>
    <row r="761" spans="1:13" ht="13.8" customHeight="1" x14ac:dyDescent="0.3">
      <c r="A761" s="41">
        <f>Annex!A495</f>
        <v>760</v>
      </c>
      <c r="B761" s="41" t="str">
        <f>IF(LEFT(Annex!H495,5)="Local","Local Transmission",Annex!H495)</f>
        <v xml:space="preserve">Imported </v>
      </c>
      <c r="C761" s="41" t="str">
        <f>Annex!J495</f>
        <v>Male</v>
      </c>
      <c r="D761" s="41">
        <f>Annex!D495</f>
        <v>64</v>
      </c>
      <c r="E761" s="41" t="str">
        <f>Annex!K495</f>
        <v>Singaporean</v>
      </c>
      <c r="F761" s="41" t="str">
        <f>Annex!L495</f>
        <v>Case 760 is a Imported  case, 64 years old male Singapore Citizen  and has been to Turkey . He is currently admitted at KTPH . Contact of Case 683, 700, 702, 703 and 798</v>
      </c>
      <c r="G761" s="38">
        <v>43918</v>
      </c>
      <c r="H761" s="41"/>
      <c r="I761" s="41"/>
      <c r="J761" s="41"/>
      <c r="K761" s="41"/>
      <c r="L761" s="41" t="str">
        <f>Annex!C495</f>
        <v xml:space="preserve">KTPH </v>
      </c>
      <c r="M761" s="42" t="s">
        <v>1302</v>
      </c>
    </row>
    <row r="762" spans="1:13" ht="13.8" customHeight="1" x14ac:dyDescent="0.3">
      <c r="A762" s="41">
        <f>Annex!A496</f>
        <v>761</v>
      </c>
      <c r="B762" s="41" t="str">
        <f>IF(LEFT(Annex!H496,5)="Local","Local Transmission",Annex!H496)</f>
        <v>Local Transmission</v>
      </c>
      <c r="C762" s="41" t="str">
        <f>Annex!J496</f>
        <v>Female</v>
      </c>
      <c r="D762" s="41">
        <f>Annex!D496</f>
        <v>36</v>
      </c>
      <c r="E762" s="41" t="str">
        <f>Annex!K496</f>
        <v>South Africa</v>
      </c>
      <c r="F762" s="41" t="str">
        <f>Annex!L496</f>
        <v>Case 761 is a Local linked  case, 36 years old female South Africa (Singapore Work Pass holder)  and has not been overseas. She is currently admitted at NUH . Dover Court International School</v>
      </c>
      <c r="G762" s="38">
        <v>43918</v>
      </c>
      <c r="H762" s="41"/>
      <c r="I762" s="41"/>
      <c r="J762" s="41"/>
      <c r="K762" s="41"/>
      <c r="L762" s="41" t="str">
        <f>Annex!C496</f>
        <v xml:space="preserve">NUH </v>
      </c>
      <c r="M762" s="42" t="s">
        <v>1302</v>
      </c>
    </row>
    <row r="763" spans="1:13" ht="13.8" customHeight="1" x14ac:dyDescent="0.3">
      <c r="A763" s="41">
        <f>Annex!A497</f>
        <v>762</v>
      </c>
      <c r="B763" s="41" t="str">
        <f>IF(LEFT(Annex!H497,5)="Local","Local Transmission",Annex!H497)</f>
        <v>Imported</v>
      </c>
      <c r="C763" s="41" t="str">
        <f>Annex!J497</f>
        <v>Male</v>
      </c>
      <c r="D763" s="41">
        <f>Annex!D497</f>
        <v>21</v>
      </c>
      <c r="E763" s="41" t="str">
        <f>Annex!K497</f>
        <v xml:space="preserve">India </v>
      </c>
      <c r="F763" s="41" t="str">
        <f>Annex!L497</f>
        <v xml:space="preserve">Case 762 is a Imported case, 21 years old male India  and has been to US . He is currently admitted at NUH . </v>
      </c>
      <c r="G763" s="38">
        <v>43918</v>
      </c>
      <c r="H763" s="41"/>
      <c r="I763" s="41"/>
      <c r="J763" s="41"/>
      <c r="K763" s="41"/>
      <c r="L763" s="41" t="str">
        <f>Annex!C497</f>
        <v xml:space="preserve">NUH </v>
      </c>
      <c r="M763" s="42" t="s">
        <v>1302</v>
      </c>
    </row>
    <row r="764" spans="1:13" ht="13.8" customHeight="1" x14ac:dyDescent="0.3">
      <c r="A764" s="41">
        <f>Annex!A498</f>
        <v>763</v>
      </c>
      <c r="B764" s="41" t="str">
        <f>IF(LEFT(Annex!H498,5)="Local","Local Transmission",Annex!H498)</f>
        <v>Imported</v>
      </c>
      <c r="C764" s="41" t="str">
        <f>Annex!J498</f>
        <v>Female</v>
      </c>
      <c r="D764" s="41">
        <f>Annex!D498</f>
        <v>21</v>
      </c>
      <c r="E764" s="41" t="str">
        <f>Annex!K498</f>
        <v>Singaporean</v>
      </c>
      <c r="F764" s="41" t="str">
        <f>Annex!L498</f>
        <v xml:space="preserve">Case 763 is a Imported case, 21 years old female Singapore Citizen  and has been to US . She is currently admitted at NUH . </v>
      </c>
      <c r="G764" s="38">
        <v>43918</v>
      </c>
      <c r="H764" s="41"/>
      <c r="I764" s="41"/>
      <c r="J764" s="41"/>
      <c r="K764" s="41"/>
      <c r="L764" s="41" t="str">
        <f>Annex!C498</f>
        <v xml:space="preserve">NUH </v>
      </c>
      <c r="M764" s="42" t="s">
        <v>1302</v>
      </c>
    </row>
    <row r="765" spans="1:13" ht="13.8" customHeight="1" x14ac:dyDescent="0.3">
      <c r="A765" s="41">
        <f>Annex!A499</f>
        <v>764</v>
      </c>
      <c r="B765" s="41" t="str">
        <f>IF(LEFT(Annex!H499,5)="Local","Local Transmission",Annex!H499)</f>
        <v>Local Transmission</v>
      </c>
      <c r="C765" s="41" t="str">
        <f>Annex!J499</f>
        <v>Male</v>
      </c>
      <c r="D765" s="41">
        <f>Annex!D499</f>
        <v>51</v>
      </c>
      <c r="E765" s="41" t="str">
        <f>Annex!K499</f>
        <v>Spain</v>
      </c>
      <c r="F765" s="41" t="str">
        <f>Annex!L499</f>
        <v xml:space="preserve">Case 764 is a Local unlinked case, 51 years old male Spain (Singapore Work Pass holder)  and has not been overseas. He is currently admitted at NCID . </v>
      </c>
      <c r="G765" s="38">
        <v>43918</v>
      </c>
      <c r="H765" s="41"/>
      <c r="I765" s="41"/>
      <c r="J765" s="41"/>
      <c r="K765" s="41"/>
      <c r="L765" s="41" t="str">
        <f>Annex!C499</f>
        <v xml:space="preserve">NCID </v>
      </c>
      <c r="M765" s="42" t="s">
        <v>1302</v>
      </c>
    </row>
    <row r="766" spans="1:13" ht="13.8" customHeight="1" x14ac:dyDescent="0.3">
      <c r="A766" s="41">
        <f>Annex!A500</f>
        <v>765</v>
      </c>
      <c r="B766" s="41" t="str">
        <f>IF(LEFT(Annex!H500,5)="Local","Local Transmission",Annex!H500)</f>
        <v>Local Transmission</v>
      </c>
      <c r="C766" s="41" t="str">
        <f>Annex!J500</f>
        <v>Male</v>
      </c>
      <c r="D766" s="41">
        <f>Annex!D500</f>
        <v>31</v>
      </c>
      <c r="E766" s="41" t="str">
        <f>Annex!K500</f>
        <v>Singaporean</v>
      </c>
      <c r="F766" s="41" t="str">
        <f>Annex!L500</f>
        <v xml:space="preserve">Case 765 is a Local unlinked case, 31 years old male Singapore Citizen  and has not been overseas. He is currently admitted at NCID . </v>
      </c>
      <c r="G766" s="38">
        <v>43918</v>
      </c>
      <c r="H766" s="64">
        <v>43923</v>
      </c>
      <c r="I766" s="41"/>
      <c r="J766" s="41"/>
      <c r="K766" s="41"/>
      <c r="L766" s="41" t="str">
        <f>Annex!C500</f>
        <v xml:space="preserve">NCID </v>
      </c>
      <c r="M766" s="42" t="s">
        <v>1302</v>
      </c>
    </row>
    <row r="767" spans="1:13" ht="13.8" customHeight="1" x14ac:dyDescent="0.3">
      <c r="A767" s="41">
        <f>Annex!A501</f>
        <v>766</v>
      </c>
      <c r="B767" s="41" t="str">
        <f>IF(LEFT(Annex!H501,5)="Local","Local Transmission",Annex!H501)</f>
        <v>Imported</v>
      </c>
      <c r="C767" s="41" t="str">
        <f>Annex!J501</f>
        <v>Male</v>
      </c>
      <c r="D767" s="41">
        <f>Annex!D501</f>
        <v>50</v>
      </c>
      <c r="E767" s="41" t="str">
        <f>Annex!K501</f>
        <v>Singaporean</v>
      </c>
      <c r="F767" s="41" t="str">
        <f>Annex!L501</f>
        <v xml:space="preserve">Case 766 is a Imported case, 50 years old male Singapore Citizen  and has been to Pending . He is currently admitted at NCID . </v>
      </c>
      <c r="G767" s="38">
        <v>43918</v>
      </c>
      <c r="H767" s="56">
        <v>43921</v>
      </c>
      <c r="I767" s="41"/>
      <c r="J767" s="41"/>
      <c r="K767" s="41"/>
      <c r="L767" s="41" t="str">
        <f>Annex!C501</f>
        <v xml:space="preserve">NCID </v>
      </c>
      <c r="M767" s="42" t="s">
        <v>1302</v>
      </c>
    </row>
    <row r="768" spans="1:13" ht="13.8" customHeight="1" x14ac:dyDescent="0.3">
      <c r="A768" s="41">
        <f>Annex!A502</f>
        <v>767</v>
      </c>
      <c r="B768" s="41" t="str">
        <f>IF(LEFT(Annex!H502,5)="Local","Local Transmission",Annex!H502)</f>
        <v>Local Transmission</v>
      </c>
      <c r="C768" s="41" t="str">
        <f>Annex!J502</f>
        <v>Male</v>
      </c>
      <c r="D768" s="41">
        <f>Annex!D502</f>
        <v>28</v>
      </c>
      <c r="E768" s="41" t="str">
        <f>Annex!K502</f>
        <v>Singaporean</v>
      </c>
      <c r="F768" s="41" t="str">
        <f>Annex!L502</f>
        <v xml:space="preserve">Case 767 is a Local unlinked case, 28 years old male Singapore Citizen  and has not been overseas. He is currently admitted at NCID . </v>
      </c>
      <c r="G768" s="38">
        <v>43918</v>
      </c>
      <c r="H768" s="41"/>
      <c r="I768" s="41"/>
      <c r="J768" s="41"/>
      <c r="K768" s="41"/>
      <c r="L768" s="41" t="str">
        <f>Annex!C502</f>
        <v xml:space="preserve">NCID </v>
      </c>
      <c r="M768" s="42" t="s">
        <v>1302</v>
      </c>
    </row>
    <row r="769" spans="1:13" ht="13.8" customHeight="1" x14ac:dyDescent="0.3">
      <c r="A769" s="41">
        <f>Annex!A503</f>
        <v>768</v>
      </c>
      <c r="B769" s="41" t="str">
        <f>IF(LEFT(Annex!H503,5)="Local","Local Transmission",Annex!H503)</f>
        <v>Local Transmission</v>
      </c>
      <c r="C769" s="41" t="str">
        <f>Annex!J503</f>
        <v>Male</v>
      </c>
      <c r="D769" s="41">
        <f>Annex!D503</f>
        <v>42</v>
      </c>
      <c r="E769" s="41" t="str">
        <f>Annex!K503</f>
        <v>Banglades</v>
      </c>
      <c r="F769" s="41" t="str">
        <f>Annex!L503</f>
        <v xml:space="preserve">Case 768 is a Local unlinked case, 42 years old male Bangladesh(Singapore Work Pass holder)  and has not been overseas. He is currently admitted at SGH . </v>
      </c>
      <c r="G769" s="38">
        <v>43918</v>
      </c>
      <c r="H769" s="41"/>
      <c r="I769" s="41"/>
      <c r="J769" s="41"/>
      <c r="K769" s="41"/>
      <c r="L769" s="41" t="str">
        <f>Annex!C503</f>
        <v xml:space="preserve">SGH </v>
      </c>
      <c r="M769" s="42" t="s">
        <v>1302</v>
      </c>
    </row>
    <row r="770" spans="1:13" ht="13.8" customHeight="1" x14ac:dyDescent="0.3">
      <c r="A770" s="41">
        <f>Annex!A504</f>
        <v>769</v>
      </c>
      <c r="B770" s="41" t="str">
        <f>IF(LEFT(Annex!H504,5)="Local","Local Transmission",Annex!H504)</f>
        <v xml:space="preserve">Imported </v>
      </c>
      <c r="C770" s="41" t="str">
        <f>Annex!J504</f>
        <v>Male</v>
      </c>
      <c r="D770" s="41">
        <f>Annex!D504</f>
        <v>44</v>
      </c>
      <c r="E770" s="41" t="str">
        <f>Annex!K504</f>
        <v>Singaporean</v>
      </c>
      <c r="F770" s="41" t="str">
        <f>Annex!L504</f>
        <v>Case 769 is a Imported  case, 44 years old male Singapore Citizen  and has been to Pakistan . He is currently admitted at NTFGH . Contact of Cases 577, 629 and 726</v>
      </c>
      <c r="G770" s="38">
        <v>43918</v>
      </c>
      <c r="H770" s="41"/>
      <c r="I770" s="41"/>
      <c r="J770" s="41"/>
      <c r="K770" s="41"/>
      <c r="L770" s="41" t="str">
        <f>Annex!C504</f>
        <v xml:space="preserve">NTFGH </v>
      </c>
      <c r="M770" s="42" t="s">
        <v>1302</v>
      </c>
    </row>
    <row r="771" spans="1:13" ht="13.8" customHeight="1" x14ac:dyDescent="0.3">
      <c r="A771" s="41">
        <f>Annex!A505</f>
        <v>770</v>
      </c>
      <c r="B771" s="41" t="str">
        <f>IF(LEFT(Annex!H505,5)="Local","Local Transmission",Annex!H505)</f>
        <v>Imported</v>
      </c>
      <c r="C771" s="41" t="str">
        <f>Annex!J505</f>
        <v>Male</v>
      </c>
      <c r="D771" s="41">
        <f>Annex!D505</f>
        <v>47</v>
      </c>
      <c r="E771" s="41" t="str">
        <f>Annex!K505</f>
        <v>Malaysia</v>
      </c>
      <c r="F771" s="41" t="str">
        <f>Annex!L505</f>
        <v xml:space="preserve">Case 770 is a Imported case, 47 years old male Malaysia (Singapore Work Pass holder)  and has been to Malaysia . He is currently admitted at NCID . </v>
      </c>
      <c r="G771" s="38">
        <v>43918</v>
      </c>
      <c r="H771" s="41"/>
      <c r="I771" s="41"/>
      <c r="J771" s="41"/>
      <c r="K771" s="41"/>
      <c r="L771" s="41" t="str">
        <f>Annex!C505</f>
        <v xml:space="preserve">NCID </v>
      </c>
      <c r="M771" s="42" t="s">
        <v>1302</v>
      </c>
    </row>
    <row r="772" spans="1:13" ht="13.8" customHeight="1" x14ac:dyDescent="0.3">
      <c r="A772" s="41">
        <f>Annex!A506</f>
        <v>771</v>
      </c>
      <c r="B772" s="41" t="str">
        <f>IF(LEFT(Annex!H506,5)="Local","Local Transmission",Annex!H506)</f>
        <v>Imported</v>
      </c>
      <c r="C772" s="41" t="str">
        <f>Annex!J506</f>
        <v>Male</v>
      </c>
      <c r="D772" s="41">
        <f>Annex!D506</f>
        <v>30</v>
      </c>
      <c r="E772" s="41" t="str">
        <f>Annex!K506</f>
        <v>Singaporean</v>
      </c>
      <c r="F772" s="41" t="str">
        <f>Annex!L506</f>
        <v xml:space="preserve">Case 771 is a Imported case, 30 years old male Singapore Citizen  and has been to UK, Portugal . He is currently admitted at NCID . </v>
      </c>
      <c r="G772" s="38">
        <v>43918</v>
      </c>
      <c r="H772" s="41"/>
      <c r="I772" s="41"/>
      <c r="J772" s="41"/>
      <c r="K772" s="41"/>
      <c r="L772" s="41" t="str">
        <f>Annex!C506</f>
        <v xml:space="preserve">NCID </v>
      </c>
      <c r="M772" s="42" t="s">
        <v>1302</v>
      </c>
    </row>
    <row r="773" spans="1:13" ht="13.8" customHeight="1" x14ac:dyDescent="0.3">
      <c r="A773" s="41">
        <f>Annex!A507</f>
        <v>772</v>
      </c>
      <c r="B773" s="41" t="str">
        <f>IF(LEFT(Annex!H507,5)="Local","Local Transmission",Annex!H507)</f>
        <v xml:space="preserve">Imported </v>
      </c>
      <c r="C773" s="41" t="str">
        <f>Annex!J507</f>
        <v>Male</v>
      </c>
      <c r="D773" s="41">
        <f>Annex!D507</f>
        <v>43</v>
      </c>
      <c r="E773" s="41" t="str">
        <f>Annex!K507</f>
        <v>Singaporean</v>
      </c>
      <c r="F773" s="41" t="str">
        <f>Annex!L507</f>
        <v>Case 772 is a Imported  case, 43 years old male Singapore Citizen  and has been to USA . He is currently admitted at NCID . Family member of Case 667</v>
      </c>
      <c r="G773" s="38">
        <v>43918</v>
      </c>
      <c r="H773" s="41"/>
      <c r="I773" s="41"/>
      <c r="J773" s="41"/>
      <c r="K773" s="41"/>
      <c r="L773" s="41" t="str">
        <f>Annex!C507</f>
        <v xml:space="preserve">NCID </v>
      </c>
      <c r="M773" s="42" t="s">
        <v>1302</v>
      </c>
    </row>
    <row r="774" spans="1:13" ht="13.8" customHeight="1" x14ac:dyDescent="0.3">
      <c r="A774" s="41">
        <f>Annex!A508</f>
        <v>773</v>
      </c>
      <c r="B774" s="41" t="str">
        <f>IF(LEFT(Annex!H508,5)="Local","Local Transmission",Annex!H508)</f>
        <v>Local Transmission</v>
      </c>
      <c r="C774" s="41" t="str">
        <f>Annex!J508</f>
        <v>Female</v>
      </c>
      <c r="D774" s="41">
        <f>Annex!D508</f>
        <v>55</v>
      </c>
      <c r="E774" s="41" t="str">
        <f>Annex!K508</f>
        <v>India</v>
      </c>
      <c r="F774" s="41" t="str">
        <f>Annex!L508</f>
        <v xml:space="preserve">Case 773 is a Local Unlinked case, 55 years old female India (Long Term Pass holder)  and has not been overseas. She is currently admitted at NCID . </v>
      </c>
      <c r="G774" s="38">
        <v>43918</v>
      </c>
      <c r="H774" s="41"/>
      <c r="I774" s="41"/>
      <c r="J774" s="41"/>
      <c r="K774" s="41"/>
      <c r="L774" s="41" t="str">
        <f>Annex!C508</f>
        <v xml:space="preserve">NCID </v>
      </c>
      <c r="M774" s="42" t="s">
        <v>1302</v>
      </c>
    </row>
    <row r="775" spans="1:13" ht="13.8" customHeight="1" x14ac:dyDescent="0.3">
      <c r="A775" s="41">
        <f>Annex!A509</f>
        <v>774</v>
      </c>
      <c r="B775" s="41" t="str">
        <f>IF(LEFT(Annex!H509,5)="Local","Local Transmission",Annex!H509)</f>
        <v xml:space="preserve">Imported </v>
      </c>
      <c r="C775" s="41" t="str">
        <f>Annex!J509</f>
        <v>Female</v>
      </c>
      <c r="D775" s="41">
        <f>Annex!D509</f>
        <v>24</v>
      </c>
      <c r="E775" s="41" t="str">
        <f>Annex!K509</f>
        <v>Singaporean</v>
      </c>
      <c r="F775" s="41" t="str">
        <f>Annex!L509</f>
        <v>Case 774 is a Imported  case, 24 years old female Singapore Citizen  and has been to US . She is currently admitted at SKH . Contact of Case 596</v>
      </c>
      <c r="G775" s="38">
        <v>43918</v>
      </c>
      <c r="H775" s="41"/>
      <c r="I775" s="41"/>
      <c r="J775" s="41"/>
      <c r="K775" s="41"/>
      <c r="L775" s="41" t="str">
        <f>Annex!C509</f>
        <v xml:space="preserve">SKH </v>
      </c>
      <c r="M775" s="42" t="s">
        <v>1302</v>
      </c>
    </row>
    <row r="776" spans="1:13" ht="13.8" customHeight="1" x14ac:dyDescent="0.3">
      <c r="A776" s="41">
        <f>Annex!A510</f>
        <v>775</v>
      </c>
      <c r="B776" s="41" t="str">
        <f>IF(LEFT(Annex!H510,5)="Local","Local Transmission",Annex!H510)</f>
        <v>imported</v>
      </c>
      <c r="C776" s="41" t="str">
        <f>Annex!J510</f>
        <v>Male</v>
      </c>
      <c r="D776" s="41">
        <f>Annex!D510</f>
        <v>29</v>
      </c>
      <c r="E776" s="41" t="str">
        <f>Annex!K510</f>
        <v>Singaporean</v>
      </c>
      <c r="F776" s="41" t="str">
        <f>Annex!L510</f>
        <v xml:space="preserve">Case 775 is a imported case, 29 years old male Singapore Citizen  and has been to Pending . He is currently admitted at SKH . </v>
      </c>
      <c r="G776" s="38">
        <v>43918</v>
      </c>
      <c r="H776" s="41"/>
      <c r="I776" s="41"/>
      <c r="J776" s="41"/>
      <c r="K776" s="41"/>
      <c r="L776" s="41" t="str">
        <f>Annex!C510</f>
        <v xml:space="preserve">SKH </v>
      </c>
      <c r="M776" s="42" t="s">
        <v>1302</v>
      </c>
    </row>
    <row r="777" spans="1:13" ht="13.8" customHeight="1" x14ac:dyDescent="0.3">
      <c r="A777" s="41">
        <f>Annex!A511</f>
        <v>776</v>
      </c>
      <c r="B777" s="41" t="str">
        <f>IF(LEFT(Annex!H511,5)="Local","Local Transmission",Annex!H511)</f>
        <v>Imported</v>
      </c>
      <c r="C777" s="41" t="str">
        <f>Annex!J511</f>
        <v>Male</v>
      </c>
      <c r="D777" s="41">
        <f>Annex!D511</f>
        <v>35</v>
      </c>
      <c r="E777" s="41" t="str">
        <f>Annex!K511</f>
        <v>Singaporean</v>
      </c>
      <c r="F777" s="41" t="str">
        <f>Annex!L511</f>
        <v xml:space="preserve">Case 776 is a Imported case, 35 years old male Singapore Citizen  and has been to Pending . He is currently admitted at SKH . </v>
      </c>
      <c r="G777" s="38">
        <v>43918</v>
      </c>
      <c r="H777" s="56">
        <v>43921</v>
      </c>
      <c r="I777" s="41"/>
      <c r="J777" s="41"/>
      <c r="K777" s="41"/>
      <c r="L777" s="41" t="str">
        <f>Annex!C511</f>
        <v xml:space="preserve">SKH </v>
      </c>
      <c r="M777" s="42" t="s">
        <v>1302</v>
      </c>
    </row>
    <row r="778" spans="1:13" ht="13.8" customHeight="1" x14ac:dyDescent="0.3">
      <c r="A778" s="41">
        <f>Annex!A512</f>
        <v>777</v>
      </c>
      <c r="B778" s="41" t="str">
        <f>IF(LEFT(Annex!H512,5)="Local","Local Transmission",Annex!H512)</f>
        <v>Imported</v>
      </c>
      <c r="C778" s="41" t="str">
        <f>Annex!J512</f>
        <v>Male</v>
      </c>
      <c r="D778" s="41">
        <f>Annex!D512</f>
        <v>29</v>
      </c>
      <c r="E778" s="41" t="str">
        <f>Annex!K512</f>
        <v>Singaporean</v>
      </c>
      <c r="F778" s="41" t="str">
        <f>Annex!L512</f>
        <v xml:space="preserve">Case 777 is a Imported case, 29 years old male Singapore Citizen  and has been to France . He is currently admitted at NCID . </v>
      </c>
      <c r="G778" s="38">
        <v>43918</v>
      </c>
      <c r="H778" s="41"/>
      <c r="I778" s="41"/>
      <c r="J778" s="41"/>
      <c r="K778" s="41"/>
      <c r="L778" s="41" t="str">
        <f>Annex!C512</f>
        <v xml:space="preserve">NCID </v>
      </c>
      <c r="M778" s="42" t="s">
        <v>1302</v>
      </c>
    </row>
    <row r="779" spans="1:13" ht="13.8" customHeight="1" x14ac:dyDescent="0.3">
      <c r="A779" s="41">
        <f>Annex!A513</f>
        <v>778</v>
      </c>
      <c r="B779" s="41" t="str">
        <f>IF(LEFT(Annex!H513,5)="Local","Local Transmission",Annex!H513)</f>
        <v>Imported</v>
      </c>
      <c r="C779" s="41" t="str">
        <f>Annex!J513</f>
        <v>Female</v>
      </c>
      <c r="D779" s="41">
        <f>Annex!D513</f>
        <v>21</v>
      </c>
      <c r="E779" s="41" t="str">
        <f>Annex!K513</f>
        <v>Singaporean</v>
      </c>
      <c r="F779" s="41" t="str">
        <f>Annex!L513</f>
        <v xml:space="preserve">Case 778 is a Imported case, 21 years old female Singapore Citizen  and has been to UK . She is currently admitted at NCID . </v>
      </c>
      <c r="G779" s="38">
        <v>43918</v>
      </c>
      <c r="H779" s="41"/>
      <c r="I779" s="41"/>
      <c r="J779" s="41"/>
      <c r="K779" s="41"/>
      <c r="L779" s="41" t="str">
        <f>Annex!C513</f>
        <v xml:space="preserve">NCID </v>
      </c>
      <c r="M779" s="42" t="s">
        <v>1302</v>
      </c>
    </row>
    <row r="780" spans="1:13" ht="13.8" customHeight="1" x14ac:dyDescent="0.3">
      <c r="A780" s="41">
        <f>Annex!A514</f>
        <v>779</v>
      </c>
      <c r="B780" s="41" t="str">
        <f>IF(LEFT(Annex!H514,5)="Local","Local Transmission",Annex!H514)</f>
        <v>Local Transmission</v>
      </c>
      <c r="C780" s="41" t="str">
        <f>Annex!J514</f>
        <v>Female</v>
      </c>
      <c r="D780" s="41">
        <f>Annex!D514</f>
        <v>55</v>
      </c>
      <c r="E780" s="41" t="str">
        <f>Annex!K514</f>
        <v>Singaporean</v>
      </c>
      <c r="F780" s="41" t="str">
        <f>Annex!L514</f>
        <v>Case 779 is a Local linked  case, 55 years old female Singapore Citizen  and has not been overseas. She is currently admitted at NCID . Family member of Case 653</v>
      </c>
      <c r="G780" s="38">
        <v>43918</v>
      </c>
      <c r="H780" s="41"/>
      <c r="I780" s="41"/>
      <c r="J780" s="41"/>
      <c r="K780" s="41"/>
      <c r="L780" s="41" t="str">
        <f>Annex!C514</f>
        <v xml:space="preserve">NCID </v>
      </c>
      <c r="M780" s="42" t="s">
        <v>1302</v>
      </c>
    </row>
    <row r="781" spans="1:13" ht="13.8" customHeight="1" x14ac:dyDescent="0.3">
      <c r="A781" s="41">
        <f>Annex!A515</f>
        <v>780</v>
      </c>
      <c r="B781" s="41" t="str">
        <f>IF(LEFT(Annex!H515,5)="Local","Local Transmission",Annex!H515)</f>
        <v>Local Transmission</v>
      </c>
      <c r="C781" s="41" t="str">
        <f>Annex!J515</f>
        <v>Female</v>
      </c>
      <c r="D781" s="41">
        <f>Annex!D515</f>
        <v>50</v>
      </c>
      <c r="E781" s="41" t="str">
        <f>Annex!K515</f>
        <v>Philippines</v>
      </c>
      <c r="F781" s="41" t="str">
        <f>Annex!L515</f>
        <v>Case 780 is a Local linked  case, 50 years old female Philippines (Singapore Work Pass holder)  and has not been overseas. She is currently admitted at NCID . Contact of Case 652</v>
      </c>
      <c r="G781" s="38">
        <v>43918</v>
      </c>
      <c r="H781" s="41"/>
      <c r="I781" s="41"/>
      <c r="J781" s="41"/>
      <c r="K781" s="41"/>
      <c r="L781" s="41" t="str">
        <f>Annex!C515</f>
        <v xml:space="preserve">NCID </v>
      </c>
      <c r="M781" s="42" t="s">
        <v>1302</v>
      </c>
    </row>
    <row r="782" spans="1:13" ht="13.8" customHeight="1" x14ac:dyDescent="0.3">
      <c r="A782" s="41">
        <f>Annex!A516</f>
        <v>781</v>
      </c>
      <c r="B782" s="41" t="str">
        <f>IF(LEFT(Annex!H516,5)="Local","Local Transmission",Annex!H516)</f>
        <v>Imported</v>
      </c>
      <c r="C782" s="41" t="str">
        <f>Annex!J516</f>
        <v>Female</v>
      </c>
      <c r="D782" s="41">
        <f>Annex!D516</f>
        <v>43</v>
      </c>
      <c r="E782" s="41" t="str">
        <f>Annex!K516</f>
        <v>Singaporean</v>
      </c>
      <c r="F782" s="41" t="str">
        <f>Annex!L516</f>
        <v xml:space="preserve">Case 781 is a Imported case, 43 years old female Singapore Permanent Resident  and has been to Philippines . She is currently admitted at KTPH . </v>
      </c>
      <c r="G782" s="38">
        <v>43918</v>
      </c>
      <c r="H782" s="41"/>
      <c r="I782" s="41"/>
      <c r="J782" s="41"/>
      <c r="K782" s="41"/>
      <c r="L782" s="41" t="str">
        <f>Annex!C516</f>
        <v xml:space="preserve">KTPH </v>
      </c>
      <c r="M782" s="42" t="s">
        <v>1302</v>
      </c>
    </row>
    <row r="783" spans="1:13" ht="13.8" customHeight="1" x14ac:dyDescent="0.3">
      <c r="A783" s="41">
        <f>Annex!A517</f>
        <v>782</v>
      </c>
      <c r="B783" s="41" t="str">
        <f>IF(LEFT(Annex!H517,5)="Local","Local Transmission",Annex!H517)</f>
        <v>Imported</v>
      </c>
      <c r="C783" s="41" t="str">
        <f>Annex!J517</f>
        <v>Female</v>
      </c>
      <c r="D783" s="41">
        <f>Annex!D517</f>
        <v>21</v>
      </c>
      <c r="E783" s="41" t="str">
        <f>Annex!K517</f>
        <v>Singaporean</v>
      </c>
      <c r="F783" s="41" t="str">
        <f>Annex!L517</f>
        <v xml:space="preserve">Case 782 is a Imported case, 21 years old female Singapore Citizen  and has been to UK . She is currently admitted at NCID . </v>
      </c>
      <c r="G783" s="38">
        <v>43918</v>
      </c>
      <c r="H783" s="41"/>
      <c r="I783" s="41"/>
      <c r="J783" s="41"/>
      <c r="K783" s="41"/>
      <c r="L783" s="41" t="str">
        <f>Annex!C517</f>
        <v xml:space="preserve">NCID </v>
      </c>
      <c r="M783" s="42" t="s">
        <v>1302</v>
      </c>
    </row>
    <row r="784" spans="1:13" ht="13.8" customHeight="1" x14ac:dyDescent="0.3">
      <c r="A784" s="41">
        <f>Annex!A518</f>
        <v>783</v>
      </c>
      <c r="B784" s="41" t="str">
        <f>IF(LEFT(Annex!H518,5)="Local","Local Transmission",Annex!H518)</f>
        <v>Imported</v>
      </c>
      <c r="C784" s="41" t="str">
        <f>Annex!J518</f>
        <v>Female</v>
      </c>
      <c r="D784" s="41">
        <f>Annex!D518</f>
        <v>19</v>
      </c>
      <c r="E784" s="41" t="str">
        <f>Annex!K518</f>
        <v>Singaporean</v>
      </c>
      <c r="F784" s="41" t="str">
        <f>Annex!L518</f>
        <v xml:space="preserve">Case 783 is a Imported case, 19 years old female Singapore Permanent Resident  and has been to UK . She is currently admitted at NCID . </v>
      </c>
      <c r="G784" s="38">
        <v>43918</v>
      </c>
      <c r="H784" s="74">
        <v>43926</v>
      </c>
      <c r="I784" s="41"/>
      <c r="J784" s="41"/>
      <c r="K784" s="41"/>
      <c r="L784" s="41" t="str">
        <f>Annex!C518</f>
        <v xml:space="preserve">NCID </v>
      </c>
      <c r="M784" s="42" t="s">
        <v>1302</v>
      </c>
    </row>
    <row r="785" spans="1:13" ht="13.8" customHeight="1" x14ac:dyDescent="0.3">
      <c r="A785" s="41">
        <f>Annex!A519</f>
        <v>784</v>
      </c>
      <c r="B785" s="41" t="str">
        <f>IF(LEFT(Annex!H519,5)="Local","Local Transmission",Annex!H519)</f>
        <v>Imported</v>
      </c>
      <c r="C785" s="41" t="str">
        <f>Annex!J519</f>
        <v>Female</v>
      </c>
      <c r="D785" s="41">
        <f>Annex!D519</f>
        <v>23</v>
      </c>
      <c r="E785" s="41" t="str">
        <f>Annex!K519</f>
        <v>Singaporean</v>
      </c>
      <c r="F785" s="41" t="str">
        <f>Annex!L519</f>
        <v xml:space="preserve">Case 784 is a Imported case, 23 years old female Singapore Citizen  and has been to UK . She is currently admitted at NCID . </v>
      </c>
      <c r="G785" s="38">
        <v>43918</v>
      </c>
      <c r="H785" s="41"/>
      <c r="I785" s="41"/>
      <c r="J785" s="41"/>
      <c r="K785" s="41"/>
      <c r="L785" s="41" t="str">
        <f>Annex!C519</f>
        <v xml:space="preserve">NCID </v>
      </c>
      <c r="M785" s="42" t="s">
        <v>1302</v>
      </c>
    </row>
    <row r="786" spans="1:13" ht="13.8" customHeight="1" x14ac:dyDescent="0.3">
      <c r="A786" s="41">
        <f>Annex!A520</f>
        <v>785</v>
      </c>
      <c r="B786" s="41" t="str">
        <f>IF(LEFT(Annex!H520,5)="Local","Local Transmission",Annex!H520)</f>
        <v>Imported</v>
      </c>
      <c r="C786" s="41" t="str">
        <f>Annex!J520</f>
        <v>Male</v>
      </c>
      <c r="D786" s="41">
        <f>Annex!D520</f>
        <v>31</v>
      </c>
      <c r="E786" s="41" t="str">
        <f>Annex!K520</f>
        <v>Singaporean</v>
      </c>
      <c r="F786" s="41" t="str">
        <f>Annex!L520</f>
        <v xml:space="preserve">Case 785 is a Imported case, 31 years old male Singapore Citizen  and has been to Pending . He is currently admitted at NCID . </v>
      </c>
      <c r="G786" s="38">
        <v>43918</v>
      </c>
      <c r="H786" s="41"/>
      <c r="I786" s="41"/>
      <c r="J786" s="41"/>
      <c r="K786" s="41"/>
      <c r="L786" s="41" t="str">
        <f>Annex!C520</f>
        <v xml:space="preserve">NCID </v>
      </c>
      <c r="M786" s="42" t="s">
        <v>1302</v>
      </c>
    </row>
    <row r="787" spans="1:13" ht="13.8" customHeight="1" x14ac:dyDescent="0.3">
      <c r="A787" s="41">
        <f>Annex!A521</f>
        <v>786</v>
      </c>
      <c r="B787" s="41" t="str">
        <f>IF(LEFT(Annex!H521,5)="Local","Local Transmission",Annex!H521)</f>
        <v>Imported</v>
      </c>
      <c r="C787" s="41" t="str">
        <f>Annex!J521</f>
        <v>Male</v>
      </c>
      <c r="D787" s="41">
        <f>Annex!D521</f>
        <v>51</v>
      </c>
      <c r="E787" s="41" t="str">
        <f>Annex!K521</f>
        <v>Singaporean</v>
      </c>
      <c r="F787" s="41" t="str">
        <f>Annex!L521</f>
        <v xml:space="preserve">Case 786 is a Imported case, 51 years old male Singapore Citizen  and has been to Pending . He is currently admitted at NCID . </v>
      </c>
      <c r="G787" s="38">
        <v>43918</v>
      </c>
      <c r="H787" s="41"/>
      <c r="I787" s="41"/>
      <c r="J787" s="41"/>
      <c r="K787" s="41"/>
      <c r="L787" s="41" t="str">
        <f>Annex!C521</f>
        <v xml:space="preserve">NCID </v>
      </c>
      <c r="M787" s="42" t="s">
        <v>1302</v>
      </c>
    </row>
    <row r="788" spans="1:13" ht="13.8" customHeight="1" x14ac:dyDescent="0.3">
      <c r="A788" s="41">
        <f>Annex!A522</f>
        <v>787</v>
      </c>
      <c r="B788" s="41" t="str">
        <f>IF(LEFT(Annex!H522,5)="Local","Local Transmission",Annex!H522)</f>
        <v>Imported</v>
      </c>
      <c r="C788" s="41" t="str">
        <f>Annex!J522</f>
        <v>Male</v>
      </c>
      <c r="D788" s="41">
        <f>Annex!D522</f>
        <v>40</v>
      </c>
      <c r="E788" s="41" t="str">
        <f>Annex!K522</f>
        <v>Singaporean</v>
      </c>
      <c r="F788" s="41" t="str">
        <f>Annex!L522</f>
        <v xml:space="preserve">Case 787 is a Imported case, 40 years old male Singapore Citizen  and has been to UK . He is currently admitted at NCID . </v>
      </c>
      <c r="G788" s="38">
        <v>43918</v>
      </c>
      <c r="H788" s="41"/>
      <c r="I788" s="41"/>
      <c r="J788" s="41"/>
      <c r="K788" s="41"/>
      <c r="L788" s="41" t="str">
        <f>Annex!C522</f>
        <v xml:space="preserve">NCID </v>
      </c>
      <c r="M788" s="42" t="s">
        <v>1302</v>
      </c>
    </row>
    <row r="789" spans="1:13" ht="13.8" customHeight="1" x14ac:dyDescent="0.3">
      <c r="A789" s="41">
        <f>Annex!A523</f>
        <v>788</v>
      </c>
      <c r="B789" s="41" t="str">
        <f>IF(LEFT(Annex!H523,5)="Local","Local Transmission",Annex!H523)</f>
        <v>Local Transmission</v>
      </c>
      <c r="C789" s="41" t="str">
        <f>Annex!J523</f>
        <v>Female</v>
      </c>
      <c r="D789" s="41">
        <f>Annex!D523</f>
        <v>57</v>
      </c>
      <c r="E789" s="41" t="str">
        <f>Annex!K523</f>
        <v>Singaporean</v>
      </c>
      <c r="F789" s="41" t="str">
        <f>Annex!L523</f>
        <v xml:space="preserve">Case 788 is a Local unlinked case, 57 years old female Singapore Citizen  and has not been overseas. She is currently admitted at NCID . </v>
      </c>
      <c r="G789" s="38">
        <v>43918</v>
      </c>
      <c r="H789" s="41"/>
      <c r="I789" s="41"/>
      <c r="J789" s="41"/>
      <c r="K789" s="41"/>
      <c r="L789" s="41" t="str">
        <f>Annex!C523</f>
        <v xml:space="preserve">NCID </v>
      </c>
      <c r="M789" s="42" t="s">
        <v>1302</v>
      </c>
    </row>
    <row r="790" spans="1:13" ht="13.8" customHeight="1" x14ac:dyDescent="0.3">
      <c r="A790" s="41">
        <f>Annex!A524</f>
        <v>789</v>
      </c>
      <c r="B790" s="41" t="str">
        <f>IF(LEFT(Annex!H524,5)="Local","Local Transmission",Annex!H524)</f>
        <v>Local Transmission</v>
      </c>
      <c r="C790" s="41" t="str">
        <f>Annex!J524</f>
        <v>Female</v>
      </c>
      <c r="D790" s="41">
        <f>Annex!D524</f>
        <v>50</v>
      </c>
      <c r="E790" s="41" t="str">
        <f>Annex!K524</f>
        <v>Singaporean</v>
      </c>
      <c r="F790" s="41" t="str">
        <f>Annex!L524</f>
        <v>Case 789 is a Local linked  case, 50 years old female Singapore Citizen  and has not been overseas. She is currently admitted at NCID . Contact of Case 722</v>
      </c>
      <c r="G790" s="38">
        <v>43918</v>
      </c>
      <c r="H790" s="41"/>
      <c r="I790" s="41"/>
      <c r="J790" s="41"/>
      <c r="K790" s="41"/>
      <c r="L790" s="41" t="str">
        <f>Annex!C524</f>
        <v xml:space="preserve">NCID </v>
      </c>
      <c r="M790" s="42" t="s">
        <v>1302</v>
      </c>
    </row>
    <row r="791" spans="1:13" ht="13.8" customHeight="1" x14ac:dyDescent="0.3">
      <c r="A791" s="41">
        <f>Annex!A525</f>
        <v>790</v>
      </c>
      <c r="B791" s="41" t="str">
        <f>IF(LEFT(Annex!H525,5)="Local","Local Transmission",Annex!H525)</f>
        <v>Imported</v>
      </c>
      <c r="C791" s="41" t="str">
        <f>Annex!J525</f>
        <v>Male</v>
      </c>
      <c r="D791" s="41">
        <f>Annex!D525</f>
        <v>60</v>
      </c>
      <c r="E791" s="41" t="str">
        <f>Annex!K525</f>
        <v>Singaporean</v>
      </c>
      <c r="F791" s="41" t="str">
        <f>Annex!L525</f>
        <v xml:space="preserve">Case 790 is a Imported case, 60 years old male Singapore Permanent Resident  and has been to Pending . He is currently admitted at NCID . </v>
      </c>
      <c r="G791" s="38">
        <v>43918</v>
      </c>
      <c r="H791" s="41"/>
      <c r="I791" s="41"/>
      <c r="J791" s="41"/>
      <c r="K791" s="41"/>
      <c r="L791" s="41" t="str">
        <f>Annex!C525</f>
        <v xml:space="preserve">NCID </v>
      </c>
      <c r="M791" s="42" t="s">
        <v>1302</v>
      </c>
    </row>
    <row r="792" spans="1:13" ht="13.8" customHeight="1" x14ac:dyDescent="0.3">
      <c r="A792" s="41">
        <f>Annex!A526</f>
        <v>791</v>
      </c>
      <c r="B792" s="41" t="str">
        <f>IF(LEFT(Annex!H526,5)="Local","Local Transmission",Annex!H526)</f>
        <v>Local Transmission</v>
      </c>
      <c r="C792" s="41" t="str">
        <f>Annex!J526</f>
        <v>Female</v>
      </c>
      <c r="D792" s="41">
        <f>Annex!D526</f>
        <v>40</v>
      </c>
      <c r="E792" s="41" t="str">
        <f>Annex!K526</f>
        <v>Indonesia</v>
      </c>
      <c r="F792" s="41" t="str">
        <f>Annex!L526</f>
        <v>Case 791 is a Local linked  case, 40 years old female Indonesia (Long Term Pass holder)  and has not been overseas. She is currently admitted at NCID . Contact of Cases 418 and 512</v>
      </c>
      <c r="G792" s="38">
        <v>43918</v>
      </c>
      <c r="H792" s="41"/>
      <c r="I792" s="41"/>
      <c r="J792" s="41"/>
      <c r="K792" s="41"/>
      <c r="L792" s="41" t="str">
        <f>Annex!C526</f>
        <v xml:space="preserve">NCID </v>
      </c>
      <c r="M792" s="42" t="s">
        <v>1302</v>
      </c>
    </row>
    <row r="793" spans="1:13" ht="13.8" customHeight="1" x14ac:dyDescent="0.3">
      <c r="A793" s="41">
        <f>Annex!A527</f>
        <v>792</v>
      </c>
      <c r="B793" s="41" t="str">
        <f>IF(LEFT(Annex!H527,5)="Local","Local Transmission",Annex!H527)</f>
        <v>Local Transmission</v>
      </c>
      <c r="C793" s="41" t="str">
        <f>Annex!J527</f>
        <v>Female</v>
      </c>
      <c r="D793" s="41">
        <f>Annex!D527</f>
        <v>50</v>
      </c>
      <c r="E793" s="41" t="str">
        <f>Annex!K527</f>
        <v>Singaporean</v>
      </c>
      <c r="F793" s="41" t="str">
        <f>Annex!L527</f>
        <v>Case 792 is a Local linked  case, 50 years old female Singapore Permanent Resident  and has not been overseas. She is currently admitted at NCID . Family member of Case 728</v>
      </c>
      <c r="G793" s="38">
        <v>43918</v>
      </c>
      <c r="H793" s="41"/>
      <c r="I793" s="41"/>
      <c r="J793" s="41"/>
      <c r="K793" s="41"/>
      <c r="L793" s="41" t="str">
        <f>Annex!C527</f>
        <v xml:space="preserve">NCID </v>
      </c>
      <c r="M793" s="42" t="s">
        <v>1302</v>
      </c>
    </row>
    <row r="794" spans="1:13" ht="13.8" customHeight="1" x14ac:dyDescent="0.3">
      <c r="A794" s="41">
        <f>Annex!A528</f>
        <v>793</v>
      </c>
      <c r="B794" s="41" t="str">
        <f>IF(LEFT(Annex!H528,5)="Local","Local Transmission",Annex!H528)</f>
        <v>Local Transmission</v>
      </c>
      <c r="C794" s="41" t="str">
        <f>Annex!J528</f>
        <v>Female</v>
      </c>
      <c r="D794" s="41">
        <f>Annex!D528</f>
        <v>23</v>
      </c>
      <c r="E794" s="41" t="str">
        <f>Annex!K528</f>
        <v>Singaporean</v>
      </c>
      <c r="F794" s="41" t="str">
        <f>Annex!L528</f>
        <v>Case 793 is a Local linked  case, 23 years old female Singapore Citizen  and has not been overseas. She is currently admitted at NCID . Contact of Case 678</v>
      </c>
      <c r="G794" s="38">
        <v>43918</v>
      </c>
      <c r="H794" s="41"/>
      <c r="I794" s="41"/>
      <c r="J794" s="41"/>
      <c r="K794" s="41"/>
      <c r="L794" s="41" t="str">
        <f>Annex!C528</f>
        <v xml:space="preserve">NCID </v>
      </c>
      <c r="M794" s="42" t="s">
        <v>1302</v>
      </c>
    </row>
    <row r="795" spans="1:13" ht="13.8" customHeight="1" x14ac:dyDescent="0.3">
      <c r="A795" s="41">
        <f>Annex!A529</f>
        <v>794</v>
      </c>
      <c r="B795" s="41" t="str">
        <f>IF(LEFT(Annex!H529,5)="Local","Local Transmission",Annex!H529)</f>
        <v>Imported</v>
      </c>
      <c r="C795" s="41" t="str">
        <f>Annex!J529</f>
        <v>Female</v>
      </c>
      <c r="D795" s="41">
        <f>Annex!D529</f>
        <v>22</v>
      </c>
      <c r="E795" s="41" t="str">
        <f>Annex!K529</f>
        <v xml:space="preserve">Pending </v>
      </c>
      <c r="F795" s="41" t="str">
        <f>Annex!L529</f>
        <v xml:space="preserve">Case 794 is a Imported case, 22 years old female Pending  and has been to Pending . She is currently admitted at NCID . </v>
      </c>
      <c r="G795" s="38">
        <v>43918</v>
      </c>
      <c r="H795" s="41"/>
      <c r="I795" s="41"/>
      <c r="J795" s="41"/>
      <c r="K795" s="41"/>
      <c r="L795" s="41" t="str">
        <f>Annex!C529</f>
        <v xml:space="preserve">NCID </v>
      </c>
      <c r="M795" s="42" t="s">
        <v>1302</v>
      </c>
    </row>
    <row r="796" spans="1:13" ht="13.8" customHeight="1" x14ac:dyDescent="0.3">
      <c r="A796" s="41">
        <f>Annex!A530</f>
        <v>795</v>
      </c>
      <c r="B796" s="41" t="str">
        <f>IF(LEFT(Annex!H530,5)="Local","Local Transmission",Annex!H530)</f>
        <v>Local Transmission</v>
      </c>
      <c r="C796" s="41" t="str">
        <f>Annex!J530</f>
        <v>Male</v>
      </c>
      <c r="D796" s="41">
        <f>Annex!D530</f>
        <v>18</v>
      </c>
      <c r="E796" s="41" t="str">
        <f>Annex!K530</f>
        <v>Singaporean</v>
      </c>
      <c r="F796" s="41" t="str">
        <f>Annex!L530</f>
        <v>Case 795 is a Local linked  case, 18 years old male Singapore Citizen  and has not been overseas. He is currently admitted at NCID . Contact of Cases 533, 659, 734 and 797</v>
      </c>
      <c r="G796" s="38">
        <v>43918</v>
      </c>
      <c r="H796" s="41"/>
      <c r="I796" s="41"/>
      <c r="J796" s="41"/>
      <c r="K796" s="41"/>
      <c r="L796" s="41" t="str">
        <f>Annex!C530</f>
        <v xml:space="preserve">NCID </v>
      </c>
      <c r="M796" s="42" t="s">
        <v>1302</v>
      </c>
    </row>
    <row r="797" spans="1:13" ht="13.8" customHeight="1" x14ac:dyDescent="0.3">
      <c r="A797" s="41">
        <f>Annex!A531</f>
        <v>796</v>
      </c>
      <c r="B797" s="41" t="str">
        <f>IF(LEFT(Annex!H531,5)="Local","Local Transmission",Annex!H531)</f>
        <v>Local Transmission</v>
      </c>
      <c r="C797" s="41" t="str">
        <f>Annex!J531</f>
        <v>Male</v>
      </c>
      <c r="D797" s="41">
        <f>Annex!D531</f>
        <v>26</v>
      </c>
      <c r="E797" s="41" t="str">
        <f>Annex!K531</f>
        <v>Malaysia</v>
      </c>
      <c r="F797" s="41" t="str">
        <f>Annex!L531</f>
        <v>Case 796 is a Local linked  case, 26 years old male Malaysia (Singapore Work Pass holder)  and has been to Malaysia . He is currently admitted at NCID . SingPost Centre</v>
      </c>
      <c r="G797" s="38">
        <v>43918</v>
      </c>
      <c r="H797" s="41"/>
      <c r="I797" s="41"/>
      <c r="J797" s="41"/>
      <c r="K797" s="41"/>
      <c r="L797" s="41" t="str">
        <f>Annex!C531</f>
        <v xml:space="preserve">NCID </v>
      </c>
      <c r="M797" s="42" t="s">
        <v>1302</v>
      </c>
    </row>
    <row r="798" spans="1:13" ht="13.8" customHeight="1" x14ac:dyDescent="0.3">
      <c r="A798" s="41">
        <f>Annex!A532</f>
        <v>797</v>
      </c>
      <c r="B798" s="41" t="str">
        <f>IF(LEFT(Annex!H532,5)="Local","Local Transmission",Annex!H532)</f>
        <v>Local Transmission</v>
      </c>
      <c r="C798" s="41" t="str">
        <f>Annex!J532</f>
        <v>Female</v>
      </c>
      <c r="D798" s="41">
        <f>Annex!D532</f>
        <v>35</v>
      </c>
      <c r="E798" s="41" t="str">
        <f>Annex!K532</f>
        <v>Indonesia</v>
      </c>
      <c r="F798" s="41" t="str">
        <f>Annex!L532</f>
        <v>Case 797 is a Local linked  case, 35 years old female Indonesia (Long Term Pass holder)  and has not been overseas. She is currently admitted at NCID . Contact of Cases 533, 659, 734 and 795</v>
      </c>
      <c r="G798" s="38">
        <v>43918</v>
      </c>
      <c r="H798" s="41"/>
      <c r="I798" s="41"/>
      <c r="J798" s="41"/>
      <c r="K798" s="41"/>
      <c r="L798" s="41" t="str">
        <f>Annex!C532</f>
        <v xml:space="preserve">NCID </v>
      </c>
      <c r="M798" s="42" t="s">
        <v>1302</v>
      </c>
    </row>
    <row r="799" spans="1:13" ht="13.8" customHeight="1" x14ac:dyDescent="0.3">
      <c r="A799" s="41">
        <f>Annex!A533</f>
        <v>798</v>
      </c>
      <c r="B799" s="41" t="str">
        <f>IF(LEFT(Annex!H533,5)="Local","Local Transmission",Annex!H533)</f>
        <v xml:space="preserve">Imported </v>
      </c>
      <c r="C799" s="41" t="str">
        <f>Annex!J533</f>
        <v>Female</v>
      </c>
      <c r="D799" s="41">
        <f>Annex!D533</f>
        <v>29</v>
      </c>
      <c r="E799" s="41" t="str">
        <f>Annex!K533</f>
        <v>Singaporean</v>
      </c>
      <c r="F799" s="41" t="str">
        <f>Annex!L533</f>
        <v>Case 798 is a Imported  case, 29 years old female Singapore Citizen  and has been to Turkey . She is currently admitted at NCID . Contact of Cases 683, 700, 702, 703 and 760</v>
      </c>
      <c r="G799" s="38">
        <v>43918</v>
      </c>
      <c r="H799" s="41"/>
      <c r="I799" s="41"/>
      <c r="J799" s="41"/>
      <c r="K799" s="41"/>
      <c r="L799" s="41" t="str">
        <f>Annex!C533</f>
        <v xml:space="preserve">NCID </v>
      </c>
      <c r="M799" s="42" t="s">
        <v>1302</v>
      </c>
    </row>
    <row r="800" spans="1:13" ht="13.8" customHeight="1" x14ac:dyDescent="0.3">
      <c r="A800" s="41">
        <f>Annex!A534</f>
        <v>799</v>
      </c>
      <c r="B800" s="41" t="str">
        <f>IF(LEFT(Annex!H534,5)="Local","Local Transmission",Annex!H534)</f>
        <v>Local Transmission</v>
      </c>
      <c r="C800" s="41" t="str">
        <f>Annex!J534</f>
        <v>Male</v>
      </c>
      <c r="D800" s="41">
        <f>Annex!D534</f>
        <v>39</v>
      </c>
      <c r="E800" s="41" t="str">
        <f>Annex!K534</f>
        <v>Singaporean</v>
      </c>
      <c r="F800" s="41" t="str">
        <f>Annex!L534</f>
        <v>Case 799 is a Local linked  case, 39 years old male Singapore Citizen  and has not been overseas. He is currently admitted at KTPH . Contact of Case 683</v>
      </c>
      <c r="G800" s="38">
        <v>43918</v>
      </c>
      <c r="H800" s="41"/>
      <c r="I800" s="41"/>
      <c r="J800" s="41"/>
      <c r="K800" s="41"/>
      <c r="L800" s="41" t="str">
        <f>Annex!C534</f>
        <v xml:space="preserve">KTPH </v>
      </c>
      <c r="M800" s="42" t="s">
        <v>1302</v>
      </c>
    </row>
    <row r="801" spans="1:13" ht="13.8" customHeight="1" x14ac:dyDescent="0.3">
      <c r="A801" s="41">
        <f>Annex!A535</f>
        <v>800</v>
      </c>
      <c r="B801" s="41" t="str">
        <f>IF(LEFT(Annex!H535,5)="Local","Local Transmission",Annex!H535)</f>
        <v xml:space="preserve">Imported </v>
      </c>
      <c r="C801" s="41" t="str">
        <f>Annex!J535</f>
        <v>Male</v>
      </c>
      <c r="D801" s="41">
        <f>Annex!D535</f>
        <v>22</v>
      </c>
      <c r="E801" s="41" t="str">
        <f>Annex!K535</f>
        <v>Singaporean</v>
      </c>
      <c r="F801" s="41" t="str">
        <f>Annex!L535</f>
        <v xml:space="preserve">Case 800 is a Imported  case, 22 years old male Singapore Citizen  and has been to UK . He is currently admitted at CGH . </v>
      </c>
      <c r="G801" s="38">
        <v>43918</v>
      </c>
      <c r="H801" s="41"/>
      <c r="I801" s="41"/>
      <c r="J801" s="41"/>
      <c r="K801" s="41"/>
      <c r="L801" s="41" t="str">
        <f>Annex!C535</f>
        <v xml:space="preserve">CGH </v>
      </c>
      <c r="M801" s="42" t="s">
        <v>1302</v>
      </c>
    </row>
    <row r="802" spans="1:13" ht="13.8" customHeight="1" x14ac:dyDescent="0.3">
      <c r="A802" s="41">
        <f>Annex!A536</f>
        <v>801</v>
      </c>
      <c r="B802" s="41" t="str">
        <f>IF(LEFT(Annex!H536,5)="Local","Local Transmission",Annex!H536)</f>
        <v>Local Transmission</v>
      </c>
      <c r="C802" s="41" t="str">
        <f>Annex!J536</f>
        <v>Male</v>
      </c>
      <c r="D802" s="41">
        <f>Annex!D536</f>
        <v>39</v>
      </c>
      <c r="E802" s="41" t="str">
        <f>Annex!K536</f>
        <v>Myanmar</v>
      </c>
      <c r="F802" s="41" t="str">
        <f>Annex!L536</f>
        <v xml:space="preserve">Case 801 is a Local linked case, 39 years old male Myanmar (Singapore Work Pass holder)  and has not been overseas. He is currently admitted at CGH . </v>
      </c>
      <c r="G802" s="38">
        <v>43918</v>
      </c>
      <c r="H802" s="41"/>
      <c r="I802" s="41"/>
      <c r="J802" s="41"/>
      <c r="K802" s="41"/>
      <c r="L802" s="41" t="str">
        <f>Annex!C536</f>
        <v xml:space="preserve">CGH </v>
      </c>
      <c r="M802" s="42" t="s">
        <v>1302</v>
      </c>
    </row>
    <row r="803" spans="1:13" ht="13.8" customHeight="1" x14ac:dyDescent="0.3">
      <c r="A803" s="41">
        <f>Annex!A537</f>
        <v>802</v>
      </c>
      <c r="B803" s="41" t="str">
        <f>IF(LEFT(Annex!H537,5)="Local","Local Transmission",Annex!H537)</f>
        <v>Local Transmission</v>
      </c>
      <c r="C803" s="41" t="str">
        <f>Annex!J537</f>
        <v>Female</v>
      </c>
      <c r="D803" s="41">
        <f>Annex!D537</f>
        <v>28</v>
      </c>
      <c r="E803" s="41" t="str">
        <f>Annex!K537</f>
        <v>Singaporean</v>
      </c>
      <c r="F803" s="41" t="str">
        <f>Annex!L537</f>
        <v xml:space="preserve">Case 802 is a Local unlinked case, 28 years old female Singapore Citizen  and has not been overseas. She is currently admitted at NTFGH . </v>
      </c>
      <c r="G803" s="38">
        <v>43918</v>
      </c>
      <c r="H803" s="41"/>
      <c r="I803" s="41"/>
      <c r="J803" s="41"/>
      <c r="K803" s="41"/>
      <c r="L803" s="41" t="str">
        <f>Annex!C537</f>
        <v xml:space="preserve">NTFGH </v>
      </c>
      <c r="M803" s="42" t="s">
        <v>1302</v>
      </c>
    </row>
    <row r="804" spans="1:13" ht="13.8" customHeight="1" x14ac:dyDescent="0.3">
      <c r="A804" s="46">
        <f>Annex!A538</f>
        <v>803</v>
      </c>
      <c r="B804" s="46" t="str">
        <f>IF(LEFT(Annex!H538,5)="Local","Local Transmission",Annex!H538)</f>
        <v>Imported</v>
      </c>
      <c r="C804" s="46" t="str">
        <f>Annex!J538</f>
        <v>Male</v>
      </c>
      <c r="D804" s="46">
        <f>Annex!D538</f>
        <v>23</v>
      </c>
      <c r="E804" s="46" t="str">
        <f>Annex!K538</f>
        <v>Singaporean</v>
      </c>
      <c r="F804" s="46" t="str">
        <f>Annex!L538</f>
        <v xml:space="preserve">Case 803 is a Imported case, 23 years old male Singapore Citizen  and has been to US . He is currently admitted at KTPH . </v>
      </c>
      <c r="G804" s="43">
        <v>43919</v>
      </c>
      <c r="H804" s="46"/>
      <c r="I804" s="46"/>
      <c r="J804" s="46"/>
      <c r="K804" s="46"/>
      <c r="L804" s="46" t="str">
        <f>Annex!C538</f>
        <v xml:space="preserve">KTPH </v>
      </c>
      <c r="M804" s="47" t="s">
        <v>1345</v>
      </c>
    </row>
    <row r="805" spans="1:13" ht="13.8" customHeight="1" x14ac:dyDescent="0.3">
      <c r="A805" s="46">
        <f>Annex!A539</f>
        <v>804</v>
      </c>
      <c r="B805" s="46" t="str">
        <f>IF(LEFT(Annex!H539,5)="Local","Local Transmission",Annex!H539)</f>
        <v>Imported</v>
      </c>
      <c r="C805" s="46" t="str">
        <f>Annex!J539</f>
        <v>Female</v>
      </c>
      <c r="D805" s="46">
        <f>Annex!D539</f>
        <v>21</v>
      </c>
      <c r="E805" s="46" t="str">
        <f>Annex!K539</f>
        <v>Singaporean</v>
      </c>
      <c r="F805" s="46" t="str">
        <f>Annex!L539</f>
        <v xml:space="preserve">Case 804 is a Imported case, 21 years old female Singapore Permanent Resident  and has been to Pending . She is currently admitted at NCID . </v>
      </c>
      <c r="G805" s="43">
        <v>43919</v>
      </c>
      <c r="H805" s="46"/>
      <c r="I805" s="46"/>
      <c r="J805" s="46"/>
      <c r="K805" s="46"/>
      <c r="L805" s="46" t="str">
        <f>Annex!C539</f>
        <v xml:space="preserve">NCID </v>
      </c>
      <c r="M805" s="47" t="s">
        <v>1345</v>
      </c>
    </row>
    <row r="806" spans="1:13" ht="13.8" customHeight="1" x14ac:dyDescent="0.3">
      <c r="A806" s="46">
        <f>Annex!A540</f>
        <v>805</v>
      </c>
      <c r="B806" s="46" t="str">
        <f>IF(LEFT(Annex!H540,5)="Local","Local Transmission",Annex!H540)</f>
        <v>Imported</v>
      </c>
      <c r="C806" s="46" t="str">
        <f>Annex!J540</f>
        <v>Male</v>
      </c>
      <c r="D806" s="46">
        <f>Annex!D540</f>
        <v>32</v>
      </c>
      <c r="E806" s="46" t="str">
        <f>Annex!K540</f>
        <v>Singaporean</v>
      </c>
      <c r="F806" s="46" t="str">
        <f>Annex!L540</f>
        <v xml:space="preserve">Case 805 is a Imported case, 32 years old male Singapore Citizen  and has been to Pending . He is currently admitted at NCID . </v>
      </c>
      <c r="G806" s="43">
        <v>43919</v>
      </c>
      <c r="H806" s="46"/>
      <c r="I806" s="46"/>
      <c r="J806" s="46"/>
      <c r="K806" s="46"/>
      <c r="L806" s="46" t="str">
        <f>Annex!C540</f>
        <v xml:space="preserve">NCID </v>
      </c>
      <c r="M806" s="47" t="s">
        <v>1345</v>
      </c>
    </row>
    <row r="807" spans="1:13" ht="13.8" customHeight="1" x14ac:dyDescent="0.3">
      <c r="A807" s="46">
        <f>Annex!A541</f>
        <v>806</v>
      </c>
      <c r="B807" s="46" t="str">
        <f>IF(LEFT(Annex!H541,5)="Local","Local Transmission",Annex!H541)</f>
        <v>Imported</v>
      </c>
      <c r="C807" s="46" t="str">
        <f>Annex!J541</f>
        <v>Male</v>
      </c>
      <c r="D807" s="46">
        <f>Annex!D541</f>
        <v>25</v>
      </c>
      <c r="E807" s="46" t="str">
        <f>Annex!K541</f>
        <v>Singaporean</v>
      </c>
      <c r="F807" s="46" t="str">
        <f>Annex!L541</f>
        <v xml:space="preserve">Case 806 is a Imported case, 25 years old male Singapore Citizen  and has been to Pending . He is currently admitted at NCID . </v>
      </c>
      <c r="G807" s="43">
        <v>43919</v>
      </c>
      <c r="H807" s="46"/>
      <c r="I807" s="46"/>
      <c r="J807" s="46"/>
      <c r="K807" s="46"/>
      <c r="L807" s="46" t="str">
        <f>Annex!C541</f>
        <v xml:space="preserve">NCID </v>
      </c>
      <c r="M807" s="47" t="s">
        <v>1345</v>
      </c>
    </row>
    <row r="808" spans="1:13" ht="13.8" customHeight="1" x14ac:dyDescent="0.3">
      <c r="A808" s="46">
        <f>Annex!A542</f>
        <v>807</v>
      </c>
      <c r="B808" s="46" t="str">
        <f>IF(LEFT(Annex!H542,5)="Local","Local Transmission",Annex!H542)</f>
        <v>Local Transmission</v>
      </c>
      <c r="C808" s="46" t="str">
        <f>Annex!J542</f>
        <v>Male</v>
      </c>
      <c r="D808" s="46">
        <f>Annex!D542</f>
        <v>21</v>
      </c>
      <c r="E808" s="46" t="str">
        <f>Annex!K542</f>
        <v>Singaporean</v>
      </c>
      <c r="F808" s="46" t="str">
        <f>Annex!L542</f>
        <v xml:space="preserve">Case 807 is a Local unlinked case, 21 years old male Singapore Citizen  and has not been overseas. He is currently admitted at CGH . </v>
      </c>
      <c r="G808" s="43">
        <v>43919</v>
      </c>
      <c r="H808" s="46"/>
      <c r="I808" s="46"/>
      <c r="J808" s="46"/>
      <c r="K808" s="46"/>
      <c r="L808" s="46" t="str">
        <f>Annex!C542</f>
        <v xml:space="preserve">CGH </v>
      </c>
      <c r="M808" s="47" t="s">
        <v>1345</v>
      </c>
    </row>
    <row r="809" spans="1:13" ht="13.8" customHeight="1" x14ac:dyDescent="0.3">
      <c r="A809" s="46">
        <f>Annex!A543</f>
        <v>808</v>
      </c>
      <c r="B809" s="46" t="str">
        <f>IF(LEFT(Annex!H543,5)="Local","Local Transmission",Annex!H543)</f>
        <v>Local Transmission</v>
      </c>
      <c r="C809" s="46" t="str">
        <f>Annex!J543</f>
        <v>Male</v>
      </c>
      <c r="D809" s="46">
        <f>Annex!D543</f>
        <v>44</v>
      </c>
      <c r="E809" s="46" t="str">
        <f>Annex!K543</f>
        <v>Singaporean</v>
      </c>
      <c r="F809" s="46" t="str">
        <f>Annex!L543</f>
        <v xml:space="preserve">Case 808 is a Local unlinked case, 44 years old male Singapore Permanent Resident  and has not been overseas. He is currently admitted at NTFGH . </v>
      </c>
      <c r="G809" s="43">
        <v>43919</v>
      </c>
      <c r="H809" s="46"/>
      <c r="I809" s="46"/>
      <c r="J809" s="46"/>
      <c r="K809" s="46"/>
      <c r="L809" s="46" t="str">
        <f>Annex!C543</f>
        <v xml:space="preserve">NTFGH </v>
      </c>
      <c r="M809" s="47" t="s">
        <v>1345</v>
      </c>
    </row>
    <row r="810" spans="1:13" ht="13.8" customHeight="1" x14ac:dyDescent="0.3">
      <c r="A810" s="46">
        <f>Annex!A544</f>
        <v>809</v>
      </c>
      <c r="B810" s="46" t="str">
        <f>IF(LEFT(Annex!H544,5)="Local","Local Transmission",Annex!H544)</f>
        <v>Local Transmission</v>
      </c>
      <c r="C810" s="46" t="str">
        <f>Annex!J544</f>
        <v>Male</v>
      </c>
      <c r="D810" s="46">
        <f>Annex!D544</f>
        <v>37</v>
      </c>
      <c r="E810" s="46" t="str">
        <f>Annex!K544</f>
        <v>Singaporean</v>
      </c>
      <c r="F810" s="46" t="str">
        <f>Annex!L544</f>
        <v>Case 809 is a Local linked  case, 37 years old male Singapore Citizen  and has been to Malaysia . He is currently admitted at SKH . Family member of Case 742</v>
      </c>
      <c r="G810" s="43">
        <v>43919</v>
      </c>
      <c r="H810" s="46"/>
      <c r="I810" s="46"/>
      <c r="J810" s="46"/>
      <c r="K810" s="46"/>
      <c r="L810" s="46" t="str">
        <f>Annex!C544</f>
        <v xml:space="preserve">SKH </v>
      </c>
      <c r="M810" s="47" t="s">
        <v>1345</v>
      </c>
    </row>
    <row r="811" spans="1:13" ht="13.8" customHeight="1" x14ac:dyDescent="0.3">
      <c r="A811" s="46">
        <f>Annex!A545</f>
        <v>810</v>
      </c>
      <c r="B811" s="46" t="str">
        <f>IF(LEFT(Annex!H545,5)="Local","Local Transmission",Annex!H545)</f>
        <v>Local Transmission</v>
      </c>
      <c r="C811" s="46" t="str">
        <f>Annex!J545</f>
        <v>Female</v>
      </c>
      <c r="D811" s="46">
        <f>Annex!D545</f>
        <v>22</v>
      </c>
      <c r="E811" s="46" t="str">
        <f>Annex!K545</f>
        <v>Singaporean</v>
      </c>
      <c r="F811" s="46" t="str">
        <f>Annex!L545</f>
        <v>Case 810 is a Local linked  case, 22 years old female Singapore Citizen  and has not been overseas. She is currently admitted at CGH . Contact of Cases 745 and 802 The Wedding Brocade</v>
      </c>
      <c r="G811" s="43">
        <v>43919</v>
      </c>
      <c r="H811" s="46"/>
      <c r="I811" s="46"/>
      <c r="J811" s="46"/>
      <c r="K811" s="46"/>
      <c r="L811" s="46" t="str">
        <f>Annex!C545</f>
        <v xml:space="preserve">CGH </v>
      </c>
      <c r="M811" s="47" t="s">
        <v>1345</v>
      </c>
    </row>
    <row r="812" spans="1:13" ht="13.8" customHeight="1" x14ac:dyDescent="0.3">
      <c r="A812" s="46">
        <f>Annex!A546</f>
        <v>811</v>
      </c>
      <c r="B812" s="46" t="str">
        <f>IF(LEFT(Annex!H546,5)="Local","Local Transmission",Annex!H546)</f>
        <v>Local Transmission</v>
      </c>
      <c r="C812" s="46" t="str">
        <f>Annex!J546</f>
        <v>Female</v>
      </c>
      <c r="D812" s="46">
        <f>Annex!D546</f>
        <v>12</v>
      </c>
      <c r="E812" s="46" t="str">
        <f>Annex!K546</f>
        <v>Australia</v>
      </c>
      <c r="F812" s="46" t="str">
        <f>Annex!L546</f>
        <v>Case 811 is a Local linked  case, 12 years old female Australia (Long Term Pass holder)  and has not been overseas. She is currently admitted at NUH . Family member of Case 506</v>
      </c>
      <c r="G812" s="43">
        <v>43919</v>
      </c>
      <c r="H812" s="46"/>
      <c r="I812" s="46"/>
      <c r="J812" s="46"/>
      <c r="K812" s="46"/>
      <c r="L812" s="46" t="str">
        <f>Annex!C546</f>
        <v xml:space="preserve">NUH </v>
      </c>
      <c r="M812" s="47" t="s">
        <v>1345</v>
      </c>
    </row>
    <row r="813" spans="1:13" ht="13.8" customHeight="1" x14ac:dyDescent="0.3">
      <c r="A813" s="46">
        <f>Annex!A547</f>
        <v>812</v>
      </c>
      <c r="B813" s="46" t="str">
        <f>IF(LEFT(Annex!H547,5)="Local","Local Transmission",Annex!H547)</f>
        <v>Local Transmission</v>
      </c>
      <c r="C813" s="46" t="str">
        <f>Annex!J547</f>
        <v>Female</v>
      </c>
      <c r="D813" s="46">
        <f>Annex!D547</f>
        <v>25</v>
      </c>
      <c r="E813" s="46" t="str">
        <f>Annex!K547</f>
        <v>Singaporean</v>
      </c>
      <c r="F813" s="46" t="str">
        <f>Annex!L547</f>
        <v xml:space="preserve">Case 812 is a Local unlinked  case, 25 years old female Singapore Citizen  and has not been overseas. She is currently admitted at NCID . </v>
      </c>
      <c r="G813" s="43">
        <v>43919</v>
      </c>
      <c r="H813" s="46"/>
      <c r="I813" s="46"/>
      <c r="J813" s="46"/>
      <c r="K813" s="46"/>
      <c r="L813" s="46" t="str">
        <f>Annex!C547</f>
        <v xml:space="preserve">NCID </v>
      </c>
      <c r="M813" s="47" t="s">
        <v>1345</v>
      </c>
    </row>
    <row r="814" spans="1:13" ht="13.8" customHeight="1" x14ac:dyDescent="0.3">
      <c r="A814" s="46">
        <f>Annex!A548</f>
        <v>813</v>
      </c>
      <c r="B814" s="46" t="str">
        <f>IF(LEFT(Annex!H548,5)="Local","Local Transmission",Annex!H548)</f>
        <v>Local Transmission</v>
      </c>
      <c r="C814" s="46" t="str">
        <f>Annex!J548</f>
        <v>Female</v>
      </c>
      <c r="D814" s="46">
        <f>Annex!D548</f>
        <v>29</v>
      </c>
      <c r="E814" s="46" t="str">
        <f>Annex!K548</f>
        <v>UK</v>
      </c>
      <c r="F814" s="46" t="str">
        <f>Annex!L548</f>
        <v xml:space="preserve">Case 813 is a Local unlinked case, 29 years old female UK (Singapore Work Pass holder)  and has not been overseas. She is currently admitted at SGH . </v>
      </c>
      <c r="G814" s="43">
        <v>43919</v>
      </c>
      <c r="H814" s="46"/>
      <c r="I814" s="46"/>
      <c r="J814" s="46"/>
      <c r="K814" s="46"/>
      <c r="L814" s="46" t="str">
        <f>Annex!C548</f>
        <v xml:space="preserve">SGH </v>
      </c>
      <c r="M814" s="47" t="s">
        <v>1345</v>
      </c>
    </row>
    <row r="815" spans="1:13" ht="13.8" customHeight="1" x14ac:dyDescent="0.3">
      <c r="A815" s="46">
        <f>Annex!A549</f>
        <v>814</v>
      </c>
      <c r="B815" s="46" t="str">
        <f>IF(LEFT(Annex!H549,5)="Local","Local Transmission",Annex!H549)</f>
        <v>Imported</v>
      </c>
      <c r="C815" s="46" t="str">
        <f>Annex!J549</f>
        <v>Male</v>
      </c>
      <c r="D815" s="46">
        <f>Annex!D549</f>
        <v>61</v>
      </c>
      <c r="E815" s="46" t="str">
        <f>Annex!K549</f>
        <v>Singaporean</v>
      </c>
      <c r="F815" s="46" t="str">
        <f>Annex!L549</f>
        <v xml:space="preserve">Case 814 is a Imported case, 61 years old male Singapore Citizen  and has been to Malaysia . He is currently admitted at KTPH . </v>
      </c>
      <c r="G815" s="43">
        <v>43919</v>
      </c>
      <c r="H815" s="46"/>
      <c r="I815" s="46"/>
      <c r="J815" s="46"/>
      <c r="K815" s="46"/>
      <c r="L815" s="46" t="str">
        <f>Annex!C549</f>
        <v xml:space="preserve">KTPH </v>
      </c>
      <c r="M815" s="47" t="s">
        <v>1345</v>
      </c>
    </row>
    <row r="816" spans="1:13" ht="13.8" customHeight="1" x14ac:dyDescent="0.3">
      <c r="A816" s="46">
        <f>Annex!A550</f>
        <v>815</v>
      </c>
      <c r="B816" s="46" t="str">
        <f>IF(LEFT(Annex!H550,5)="Local","Local Transmission",Annex!H550)</f>
        <v>Imported</v>
      </c>
      <c r="C816" s="46" t="str">
        <f>Annex!J550</f>
        <v>Female</v>
      </c>
      <c r="D816" s="46">
        <f>Annex!D550</f>
        <v>21</v>
      </c>
      <c r="E816" s="46" t="str">
        <f>Annex!K550</f>
        <v>Singaporean</v>
      </c>
      <c r="F816" s="46" t="str">
        <f>Annex!L550</f>
        <v xml:space="preserve">Case 815 is a Imported case, 21 years old female Singapore Citizen  and has been to US . She is currently admitted at NCID . </v>
      </c>
      <c r="G816" s="43">
        <v>43919</v>
      </c>
      <c r="H816" s="46"/>
      <c r="I816" s="46"/>
      <c r="J816" s="46"/>
      <c r="K816" s="46"/>
      <c r="L816" s="46" t="str">
        <f>Annex!C550</f>
        <v xml:space="preserve">NCID </v>
      </c>
      <c r="M816" s="47" t="s">
        <v>1345</v>
      </c>
    </row>
    <row r="817" spans="1:13" ht="13.8" customHeight="1" x14ac:dyDescent="0.3">
      <c r="A817" s="46">
        <f>Annex!A551</f>
        <v>816</v>
      </c>
      <c r="B817" s="46" t="str">
        <f>IF(LEFT(Annex!H551,5)="Local","Local Transmission",Annex!H551)</f>
        <v>Local Transmission</v>
      </c>
      <c r="C817" s="46" t="str">
        <f>Annex!J551</f>
        <v>Female</v>
      </c>
      <c r="D817" s="46">
        <f>Annex!D551</f>
        <v>36</v>
      </c>
      <c r="E817" s="46" t="str">
        <f>Annex!K551</f>
        <v>Singaporean</v>
      </c>
      <c r="F817" s="46" t="str">
        <f>Annex!L551</f>
        <v>Case 816 is a Local linked  case, 36 years old female Singapore Citizen  and has been to Malaysia . She is currently admitted at NCID . Family member of Case 787</v>
      </c>
      <c r="G817" s="43">
        <v>43919</v>
      </c>
      <c r="H817" s="46"/>
      <c r="I817" s="46"/>
      <c r="J817" s="46"/>
      <c r="K817" s="46"/>
      <c r="L817" s="46" t="str">
        <f>Annex!C551</f>
        <v xml:space="preserve">NCID </v>
      </c>
      <c r="M817" s="47" t="s">
        <v>1345</v>
      </c>
    </row>
    <row r="818" spans="1:13" ht="13.8" customHeight="1" x14ac:dyDescent="0.3">
      <c r="A818" s="46">
        <f>Annex!A552</f>
        <v>817</v>
      </c>
      <c r="B818" s="46" t="str">
        <f>IF(LEFT(Annex!H552,5)="Local","Local Transmission",Annex!H552)</f>
        <v>Imported</v>
      </c>
      <c r="C818" s="46" t="str">
        <f>Annex!J552</f>
        <v>Male</v>
      </c>
      <c r="D818" s="46">
        <f>Annex!D552</f>
        <v>43</v>
      </c>
      <c r="E818" s="46" t="str">
        <f>Annex!K552</f>
        <v>Singaporean</v>
      </c>
      <c r="F818" s="46" t="str">
        <f>Annex!L552</f>
        <v xml:space="preserve">Case 817 is a Imported case, 43 years old male Singapore Permanent Resident  and has been to India . He is currently admitted at NTFGH . </v>
      </c>
      <c r="G818" s="43">
        <v>43919</v>
      </c>
      <c r="H818" s="46"/>
      <c r="I818" s="46"/>
      <c r="J818" s="46"/>
      <c r="K818" s="46"/>
      <c r="L818" s="46" t="str">
        <f>Annex!C552</f>
        <v xml:space="preserve">NTFGH </v>
      </c>
      <c r="M818" s="47" t="s">
        <v>1345</v>
      </c>
    </row>
    <row r="819" spans="1:13" ht="13.8" customHeight="1" x14ac:dyDescent="0.3">
      <c r="A819" s="46">
        <f>Annex!A553</f>
        <v>818</v>
      </c>
      <c r="B819" s="46" t="str">
        <f>IF(LEFT(Annex!H553,5)="Local","Local Transmission",Annex!H553)</f>
        <v>Local Transmission</v>
      </c>
      <c r="C819" s="46" t="str">
        <f>Annex!J553</f>
        <v>Female</v>
      </c>
      <c r="D819" s="46">
        <f>Annex!D553</f>
        <v>22</v>
      </c>
      <c r="E819" s="46" t="str">
        <f>Annex!K553</f>
        <v>Japan</v>
      </c>
      <c r="F819" s="46" t="str">
        <f>Annex!L553</f>
        <v xml:space="preserve">Case 818 is a Local unlinked case, 22 years old female Japan (Singapore Work Pass holder)  and has not been overseas. She is currently admitted at NCID . </v>
      </c>
      <c r="G819" s="43">
        <v>43919</v>
      </c>
      <c r="H819" s="46"/>
      <c r="I819" s="46"/>
      <c r="J819" s="46"/>
      <c r="K819" s="46"/>
      <c r="L819" s="46" t="str">
        <f>Annex!C553</f>
        <v xml:space="preserve">NCID </v>
      </c>
      <c r="M819" s="47" t="s">
        <v>1345</v>
      </c>
    </row>
    <row r="820" spans="1:13" ht="13.8" customHeight="1" x14ac:dyDescent="0.3">
      <c r="A820" s="46">
        <f>Annex!A554</f>
        <v>819</v>
      </c>
      <c r="B820" s="46" t="str">
        <f>IF(LEFT(Annex!H554,5)="Local","Local Transmission",Annex!H554)</f>
        <v xml:space="preserve">Imported </v>
      </c>
      <c r="C820" s="46" t="str">
        <f>Annex!J554</f>
        <v>Female</v>
      </c>
      <c r="D820" s="46">
        <f>Annex!D554</f>
        <v>35</v>
      </c>
      <c r="E820" s="46" t="str">
        <f>Annex!K554</f>
        <v>India</v>
      </c>
      <c r="F820" s="46" t="str">
        <f>Annex!L554</f>
        <v>Case 819 is a Imported  case, 35 years old female India (Long Term Pass holder)  and has been to India . She is currently admitted at KKH . Family member of Cases 695 and 834</v>
      </c>
      <c r="G820" s="43">
        <v>43919</v>
      </c>
      <c r="H820" s="46"/>
      <c r="I820" s="46"/>
      <c r="J820" s="46"/>
      <c r="K820" s="46"/>
      <c r="L820" s="46" t="str">
        <f>Annex!C554</f>
        <v xml:space="preserve">KKH </v>
      </c>
      <c r="M820" s="47" t="s">
        <v>1345</v>
      </c>
    </row>
    <row r="821" spans="1:13" ht="13.8" customHeight="1" x14ac:dyDescent="0.3">
      <c r="A821" s="46">
        <f>Annex!A555</f>
        <v>820</v>
      </c>
      <c r="B821" s="46" t="str">
        <f>IF(LEFT(Annex!H555,5)="Local","Local Transmission",Annex!H555)</f>
        <v>Local Transmission</v>
      </c>
      <c r="C821" s="46" t="str">
        <f>Annex!J555</f>
        <v>Female</v>
      </c>
      <c r="D821" s="46">
        <f>Annex!D555</f>
        <v>55</v>
      </c>
      <c r="E821" s="46" t="str">
        <f>Annex!K555</f>
        <v>Singaporean</v>
      </c>
      <c r="F821" s="46" t="str">
        <f>Annex!L555</f>
        <v xml:space="preserve">Case 820 is a Local unlinked case, 55 years old female Singapore Citizen  and has not been overseas. She is currently admitted at NCID . </v>
      </c>
      <c r="G821" s="43">
        <v>43919</v>
      </c>
      <c r="H821" s="46"/>
      <c r="I821" s="46"/>
      <c r="J821" s="46"/>
      <c r="K821" s="46"/>
      <c r="L821" s="46" t="str">
        <f>Annex!C555</f>
        <v xml:space="preserve">NCID </v>
      </c>
      <c r="M821" s="47" t="s">
        <v>1345</v>
      </c>
    </row>
    <row r="822" spans="1:13" ht="13.8" customHeight="1" x14ac:dyDescent="0.3">
      <c r="A822" s="46">
        <f>Annex!A556</f>
        <v>821</v>
      </c>
      <c r="B822" s="46" t="str">
        <f>IF(LEFT(Annex!H556,5)="Local","Local Transmission",Annex!H556)</f>
        <v>Local Transmission</v>
      </c>
      <c r="C822" s="46" t="str">
        <f>Annex!J556</f>
        <v>Male</v>
      </c>
      <c r="D822" s="46">
        <f>Annex!D556</f>
        <v>35</v>
      </c>
      <c r="E822" s="46" t="str">
        <f>Annex!K556</f>
        <v>Bangladeshi</v>
      </c>
      <c r="F822" s="46" t="str">
        <f>Annex!L556</f>
        <v xml:space="preserve">Case 821 is a Local unlinked case, 35 years old male Bangladeshi (Long Term Pass holder)  and has not been overseas. He is currently admitted at NCID . </v>
      </c>
      <c r="G822" s="43">
        <v>43919</v>
      </c>
      <c r="H822" s="64">
        <v>43923</v>
      </c>
      <c r="I822" s="46"/>
      <c r="J822" s="46"/>
      <c r="K822" s="46"/>
      <c r="L822" s="46" t="str">
        <f>Annex!C556</f>
        <v xml:space="preserve">NCID </v>
      </c>
      <c r="M822" s="47" t="s">
        <v>1345</v>
      </c>
    </row>
    <row r="823" spans="1:13" ht="13.8" customHeight="1" x14ac:dyDescent="0.3">
      <c r="A823" s="46">
        <f>Annex!A557</f>
        <v>822</v>
      </c>
      <c r="B823" s="46" t="str">
        <f>IF(LEFT(Annex!H557,5)="Local","Local Transmission",Annex!H557)</f>
        <v>Imported</v>
      </c>
      <c r="C823" s="46" t="str">
        <f>Annex!J557</f>
        <v>Male</v>
      </c>
      <c r="D823" s="46">
        <f>Annex!D557</f>
        <v>22</v>
      </c>
      <c r="E823" s="46" t="str">
        <f>Annex!K557</f>
        <v>Singaporean</v>
      </c>
      <c r="F823" s="46" t="str">
        <f>Annex!L557</f>
        <v xml:space="preserve">Case 822 is a Imported case, 22 years old male Singapore Citizen  and has been to US . He is currently admitted at SGH . </v>
      </c>
      <c r="G823" s="43">
        <v>43919</v>
      </c>
      <c r="H823" s="46"/>
      <c r="I823" s="46"/>
      <c r="J823" s="46"/>
      <c r="K823" s="46"/>
      <c r="L823" s="46" t="str">
        <f>Annex!C557</f>
        <v xml:space="preserve">SGH </v>
      </c>
      <c r="M823" s="47" t="s">
        <v>1345</v>
      </c>
    </row>
    <row r="824" spans="1:13" ht="13.8" customHeight="1" x14ac:dyDescent="0.3">
      <c r="A824" s="46">
        <f>Annex!A558</f>
        <v>823</v>
      </c>
      <c r="B824" s="46" t="str">
        <f>IF(LEFT(Annex!H558,5)="Local","Local Transmission",Annex!H558)</f>
        <v>Local Transmission</v>
      </c>
      <c r="C824" s="46" t="str">
        <f>Annex!J558</f>
        <v>Male</v>
      </c>
      <c r="D824" s="46">
        <f>Annex!D558</f>
        <v>43</v>
      </c>
      <c r="E824" s="46" t="str">
        <f>Annex!K558</f>
        <v>Singaporean</v>
      </c>
      <c r="F824" s="46" t="str">
        <f>Annex!L558</f>
        <v xml:space="preserve">Case 823 is a Local unlinked case, 43 years old male Singapore Citizen  and has not been overseas. He is currently admitted at NCID . </v>
      </c>
      <c r="G824" s="43">
        <v>43919</v>
      </c>
      <c r="H824" s="46"/>
      <c r="I824" s="46"/>
      <c r="J824" s="46"/>
      <c r="K824" s="46"/>
      <c r="L824" s="46" t="str">
        <f>Annex!C558</f>
        <v xml:space="preserve">NCID </v>
      </c>
      <c r="M824" s="47" t="s">
        <v>1345</v>
      </c>
    </row>
    <row r="825" spans="1:13" ht="13.8" customHeight="1" x14ac:dyDescent="0.3">
      <c r="A825" s="46">
        <f>Annex!A559</f>
        <v>824</v>
      </c>
      <c r="B825" s="46" t="str">
        <f>IF(LEFT(Annex!H559,5)="Local","Local Transmission",Annex!H559)</f>
        <v>Local Transmission</v>
      </c>
      <c r="C825" s="46" t="str">
        <f>Annex!J559</f>
        <v>Female</v>
      </c>
      <c r="D825" s="46">
        <f>Annex!D559</f>
        <v>33</v>
      </c>
      <c r="E825" s="46" t="str">
        <f>Annex!K559</f>
        <v>Singaporean</v>
      </c>
      <c r="F825" s="46" t="str">
        <f>Annex!L559</f>
        <v xml:space="preserve">Case 824 is a Local unlinked case, 33 years old female Singapore Citizen  and has not been overseas. She is currently admitted at NCID . </v>
      </c>
      <c r="G825" s="43">
        <v>43919</v>
      </c>
      <c r="H825" s="46"/>
      <c r="I825" s="46"/>
      <c r="J825" s="46"/>
      <c r="K825" s="46"/>
      <c r="L825" s="46" t="str">
        <f>Annex!C559</f>
        <v xml:space="preserve">NCID </v>
      </c>
      <c r="M825" s="47" t="s">
        <v>1345</v>
      </c>
    </row>
    <row r="826" spans="1:13" ht="13.8" customHeight="1" x14ac:dyDescent="0.3">
      <c r="A826" s="46">
        <f>Annex!A560</f>
        <v>825</v>
      </c>
      <c r="B826" s="46" t="str">
        <f>IF(LEFT(Annex!H560,5)="Local","Local Transmission",Annex!H560)</f>
        <v xml:space="preserve">Imported </v>
      </c>
      <c r="C826" s="46" t="str">
        <f>Annex!J560</f>
        <v>Male</v>
      </c>
      <c r="D826" s="46">
        <f>Annex!D560</f>
        <v>36</v>
      </c>
      <c r="E826" s="46" t="str">
        <f>Annex!K560</f>
        <v>Philippines</v>
      </c>
      <c r="F826" s="46" t="str">
        <f>Annex!L560</f>
        <v xml:space="preserve">Case 825 is a Imported  case, 36 years old male Philippines (Singapore Work Pass holder)  and has been to Philippines . He is currently admitted at NTFGH . </v>
      </c>
      <c r="G826" s="43">
        <v>43919</v>
      </c>
      <c r="H826" s="46"/>
      <c r="I826" s="46"/>
      <c r="J826" s="46"/>
      <c r="K826" s="46"/>
      <c r="L826" s="46" t="str">
        <f>Annex!C560</f>
        <v xml:space="preserve">NTFGH </v>
      </c>
      <c r="M826" s="47" t="s">
        <v>1345</v>
      </c>
    </row>
    <row r="827" spans="1:13" ht="13.8" customHeight="1" x14ac:dyDescent="0.3">
      <c r="A827" s="46">
        <f>Annex!A561</f>
        <v>826</v>
      </c>
      <c r="B827" s="46" t="str">
        <f>IF(LEFT(Annex!H561,5)="Local","Local Transmission",Annex!H561)</f>
        <v>Local Transmission</v>
      </c>
      <c r="C827" s="46" t="str">
        <f>Annex!J561</f>
        <v>Male</v>
      </c>
      <c r="D827" s="46">
        <f>Annex!D561</f>
        <v>48</v>
      </c>
      <c r="E827" s="46" t="str">
        <f>Annex!K561</f>
        <v>Bangladesh</v>
      </c>
      <c r="F827" s="46" t="str">
        <f>Annex!L561</f>
        <v>Case 826 is a Local linked  case, 48 years old male Bangladesh (Long Term Pass holder)  and has not been overseas. He is currently admitted at SKH . Contact of Case 829</v>
      </c>
      <c r="G827" s="43">
        <v>43919</v>
      </c>
      <c r="H827" s="46"/>
      <c r="I827" s="46"/>
      <c r="J827" s="46"/>
      <c r="K827" s="46"/>
      <c r="L827" s="46" t="str">
        <f>Annex!C561</f>
        <v xml:space="preserve">SKH </v>
      </c>
      <c r="M827" s="47" t="s">
        <v>1345</v>
      </c>
    </row>
    <row r="828" spans="1:13" ht="13.8" customHeight="1" x14ac:dyDescent="0.3">
      <c r="A828" s="46">
        <f>Annex!A562</f>
        <v>827</v>
      </c>
      <c r="B828" s="46" t="str">
        <f>IF(LEFT(Annex!H562,5)="Local","Local Transmission",Annex!H562)</f>
        <v>Imported</v>
      </c>
      <c r="C828" s="46" t="str">
        <f>Annex!J562</f>
        <v>Female</v>
      </c>
      <c r="D828" s="46">
        <f>Annex!D562</f>
        <v>27</v>
      </c>
      <c r="E828" s="46" t="str">
        <f>Annex!K562</f>
        <v>Singaporean</v>
      </c>
      <c r="F828" s="46" t="str">
        <f>Annex!L562</f>
        <v xml:space="preserve">Case 827 is a Imported case, 27 years old female Singapore Citizen  and has been to US . She is currently admitted at NUH . </v>
      </c>
      <c r="G828" s="43">
        <v>43919</v>
      </c>
      <c r="H828" s="53">
        <v>43922</v>
      </c>
      <c r="I828" s="46"/>
      <c r="J828" s="46"/>
      <c r="K828" s="46"/>
      <c r="L828" s="46" t="str">
        <f>Annex!C562</f>
        <v xml:space="preserve">NUH </v>
      </c>
      <c r="M828" s="47" t="s">
        <v>1345</v>
      </c>
    </row>
    <row r="829" spans="1:13" ht="13.8" customHeight="1" x14ac:dyDescent="0.3">
      <c r="A829" s="46">
        <f>Annex!A563</f>
        <v>828</v>
      </c>
      <c r="B829" s="46" t="str">
        <f>IF(LEFT(Annex!H563,5)="Local","Local Transmission",Annex!H563)</f>
        <v>Imported</v>
      </c>
      <c r="C829" s="46" t="str">
        <f>Annex!J563</f>
        <v>Male</v>
      </c>
      <c r="D829" s="46">
        <f>Annex!D563</f>
        <v>47</v>
      </c>
      <c r="E829" s="46" t="str">
        <f>Annex!K563</f>
        <v>Singaporean</v>
      </c>
      <c r="F829" s="46" t="str">
        <f>Annex!L563</f>
        <v xml:space="preserve">Case 828 is a Imported case, 47 years old male Singapore Permanent Resident  and has been to Pending . He is currently admitted at NUH . </v>
      </c>
      <c r="G829" s="43">
        <v>43919</v>
      </c>
      <c r="H829" s="46"/>
      <c r="I829" s="46"/>
      <c r="J829" s="46"/>
      <c r="K829" s="46"/>
      <c r="L829" s="46" t="str">
        <f>Annex!C563</f>
        <v xml:space="preserve">NUH </v>
      </c>
      <c r="M829" s="47" t="s">
        <v>1345</v>
      </c>
    </row>
    <row r="830" spans="1:13" ht="13.8" customHeight="1" x14ac:dyDescent="0.3">
      <c r="A830" s="46">
        <f>Annex!A564</f>
        <v>829</v>
      </c>
      <c r="B830" s="46" t="str">
        <f>IF(LEFT(Annex!H564,5)="Local","Local Transmission",Annex!H564)</f>
        <v>Local Transmission</v>
      </c>
      <c r="C830" s="46" t="str">
        <f>Annex!J564</f>
        <v>Male</v>
      </c>
      <c r="D830" s="46">
        <f>Annex!D564</f>
        <v>34</v>
      </c>
      <c r="E830" s="46" t="str">
        <f>Annex!K564</f>
        <v>India</v>
      </c>
      <c r="F830" s="46" t="str">
        <f>Annex!L564</f>
        <v>Case 829 is a Local linked  case, 34 years old male India (Singapore Work Pass holder)  and has not been overseas. He is currently admitted at KTPH . Contact of Case 826</v>
      </c>
      <c r="G830" s="43">
        <v>43919</v>
      </c>
      <c r="H830" s="46"/>
      <c r="I830" s="46"/>
      <c r="J830" s="46"/>
      <c r="K830" s="46"/>
      <c r="L830" s="46" t="str">
        <f>Annex!C564</f>
        <v xml:space="preserve">KTPH </v>
      </c>
      <c r="M830" s="47" t="s">
        <v>1345</v>
      </c>
    </row>
    <row r="831" spans="1:13" ht="13.8" customHeight="1" x14ac:dyDescent="0.3">
      <c r="A831" s="46">
        <f>Annex!A565</f>
        <v>830</v>
      </c>
      <c r="B831" s="46" t="str">
        <f>IF(LEFT(Annex!H565,5)="Local","Local Transmission",Annex!H565)</f>
        <v xml:space="preserve">Imported </v>
      </c>
      <c r="C831" s="46" t="str">
        <f>Annex!J565</f>
        <v>Female</v>
      </c>
      <c r="D831" s="46">
        <f>Annex!D565</f>
        <v>61</v>
      </c>
      <c r="E831" s="46" t="str">
        <f>Annex!K565</f>
        <v>Singaporean</v>
      </c>
      <c r="F831" s="46" t="str">
        <f>Annex!L565</f>
        <v>Case 830 is a Imported  case, 61 years old female Singapore Citizen  and has been to Turkey . She is currently admitted at NCID . Family member of Case 760</v>
      </c>
      <c r="G831" s="43">
        <v>43919</v>
      </c>
      <c r="H831" s="46"/>
      <c r="I831" s="46"/>
      <c r="J831" s="46"/>
      <c r="K831" s="46"/>
      <c r="L831" s="46" t="str">
        <f>Annex!C565</f>
        <v xml:space="preserve">NCID </v>
      </c>
      <c r="M831" s="47" t="s">
        <v>1345</v>
      </c>
    </row>
    <row r="832" spans="1:13" ht="13.8" customHeight="1" x14ac:dyDescent="0.3">
      <c r="A832" s="46">
        <f>Annex!A566</f>
        <v>831</v>
      </c>
      <c r="B832" s="46" t="str">
        <f>IF(LEFT(Annex!H566,5)="Local","Local Transmission",Annex!H566)</f>
        <v>Imported</v>
      </c>
      <c r="C832" s="46" t="str">
        <f>Annex!J566</f>
        <v>Male</v>
      </c>
      <c r="D832" s="46">
        <f>Annex!D566</f>
        <v>22</v>
      </c>
      <c r="E832" s="46" t="str">
        <f>Annex!K566</f>
        <v>Singaporean</v>
      </c>
      <c r="F832" s="46" t="str">
        <f>Annex!L566</f>
        <v xml:space="preserve">Case 831 is a Imported case, 22 years old male Singapore Permanent Resident  and has been to US . He is currently admitted at NCID . </v>
      </c>
      <c r="G832" s="43">
        <v>43919</v>
      </c>
      <c r="H832" s="46"/>
      <c r="I832" s="46"/>
      <c r="J832" s="46"/>
      <c r="K832" s="46"/>
      <c r="L832" s="46" t="str">
        <f>Annex!C566</f>
        <v xml:space="preserve">NCID </v>
      </c>
      <c r="M832" s="47" t="s">
        <v>1345</v>
      </c>
    </row>
    <row r="833" spans="1:13" ht="13.8" customHeight="1" x14ac:dyDescent="0.3">
      <c r="A833" s="46">
        <f>Annex!A567</f>
        <v>832</v>
      </c>
      <c r="B833" s="46" t="str">
        <f>IF(LEFT(Annex!H567,5)="Local","Local Transmission",Annex!H567)</f>
        <v>Imported</v>
      </c>
      <c r="C833" s="46" t="str">
        <f>Annex!J567</f>
        <v>Male</v>
      </c>
      <c r="D833" s="46">
        <f>Annex!D567</f>
        <v>52</v>
      </c>
      <c r="E833" s="46" t="str">
        <f>Annex!K567</f>
        <v>Singaporean</v>
      </c>
      <c r="F833" s="46" t="str">
        <f>Annex!L567</f>
        <v xml:space="preserve">Case 832 is a Imported case, 52 years old male Singapore Citizen  and has been to UAE . He is currently admitted at KTPH . </v>
      </c>
      <c r="G833" s="43">
        <v>43919</v>
      </c>
      <c r="H833" s="74">
        <v>43926</v>
      </c>
      <c r="I833" s="46"/>
      <c r="J833" s="46"/>
      <c r="K833" s="46"/>
      <c r="L833" s="46" t="str">
        <f>Annex!C567</f>
        <v xml:space="preserve">KTPH </v>
      </c>
      <c r="M833" s="47" t="s">
        <v>1345</v>
      </c>
    </row>
    <row r="834" spans="1:13" ht="13.8" customHeight="1" x14ac:dyDescent="0.3">
      <c r="A834" s="46">
        <f>Annex!A568</f>
        <v>833</v>
      </c>
      <c r="B834" s="46" t="str">
        <f>IF(LEFT(Annex!H568,5)="Local","Local Transmission",Annex!H568)</f>
        <v>Imported</v>
      </c>
      <c r="C834" s="46" t="str">
        <f>Annex!J568</f>
        <v>Male</v>
      </c>
      <c r="D834" s="46">
        <f>Annex!D568</f>
        <v>69</v>
      </c>
      <c r="E834" s="46" t="str">
        <f>Annex!K568</f>
        <v>Malaysia</v>
      </c>
      <c r="F834" s="46" t="str">
        <f>Annex!L568</f>
        <v xml:space="preserve">Case 833 is a Imported case, 69 years old male Malaysia (Long Term Pass holder)  and has been to UK . He is currently admitted at NCID . </v>
      </c>
      <c r="G834" s="43">
        <v>43919</v>
      </c>
      <c r="H834" s="46"/>
      <c r="I834" s="46"/>
      <c r="J834" s="46"/>
      <c r="K834" s="46"/>
      <c r="L834" s="46" t="str">
        <f>Annex!C568</f>
        <v xml:space="preserve">NCID </v>
      </c>
      <c r="M834" s="47" t="s">
        <v>1345</v>
      </c>
    </row>
    <row r="835" spans="1:13" ht="13.8" customHeight="1" x14ac:dyDescent="0.3">
      <c r="A835" s="46">
        <f>Annex!A569</f>
        <v>834</v>
      </c>
      <c r="B835" s="46" t="str">
        <f>IF(LEFT(Annex!H569,5)="Local","Local Transmission",Annex!H569)</f>
        <v xml:space="preserve">Imported </v>
      </c>
      <c r="C835" s="46" t="str">
        <f>Annex!J569</f>
        <v>Male</v>
      </c>
      <c r="D835" s="46">
        <f>Annex!D569</f>
        <v>34</v>
      </c>
      <c r="E835" s="46" t="str">
        <f>Annex!K569</f>
        <v>India</v>
      </c>
      <c r="F835" s="46" t="str">
        <f>Annex!L569</f>
        <v>Case 834 is a Imported  case, 34 years old male India (Singapore Work Pass holder)  and has been to India . He is currently admitted at NCID . Family member of Cases 695 and 819</v>
      </c>
      <c r="G835" s="43">
        <v>43919</v>
      </c>
      <c r="H835" s="46"/>
      <c r="I835" s="46"/>
      <c r="J835" s="46"/>
      <c r="K835" s="46"/>
      <c r="L835" s="46" t="str">
        <f>Annex!C569</f>
        <v xml:space="preserve">NCID </v>
      </c>
      <c r="M835" s="47" t="s">
        <v>1345</v>
      </c>
    </row>
    <row r="836" spans="1:13" ht="13.8" customHeight="1" x14ac:dyDescent="0.3">
      <c r="A836" s="46">
        <f>Annex!A570</f>
        <v>835</v>
      </c>
      <c r="B836" s="46" t="str">
        <f>IF(LEFT(Annex!H570,5)="Local","Local Transmission",Annex!H570)</f>
        <v>Imported</v>
      </c>
      <c r="C836" s="46" t="str">
        <f>Annex!J570</f>
        <v>Female</v>
      </c>
      <c r="D836" s="46">
        <f>Annex!D570</f>
        <v>68</v>
      </c>
      <c r="E836" s="46" t="str">
        <f>Annex!K570</f>
        <v>Singaporean</v>
      </c>
      <c r="F836" s="46" t="str">
        <f>Annex!L570</f>
        <v xml:space="preserve">Case 835 is a Imported case, 68 years old female Singapore Citizen  and has been to Turkey . She is currently admitted at NCID . </v>
      </c>
      <c r="G836" s="43">
        <v>43919</v>
      </c>
      <c r="H836" s="46"/>
      <c r="I836" s="46"/>
      <c r="J836" s="46"/>
      <c r="K836" s="46"/>
      <c r="L836" s="46" t="str">
        <f>Annex!C570</f>
        <v xml:space="preserve">NCID </v>
      </c>
      <c r="M836" s="47" t="s">
        <v>1345</v>
      </c>
    </row>
    <row r="837" spans="1:13" ht="13.8" customHeight="1" x14ac:dyDescent="0.3">
      <c r="A837" s="46">
        <f>Annex!A571</f>
        <v>836</v>
      </c>
      <c r="B837" s="46" t="str">
        <f>IF(LEFT(Annex!H571,5)="Local","Local Transmission",Annex!H571)</f>
        <v>Local Transmission</v>
      </c>
      <c r="C837" s="46" t="str">
        <f>Annex!J571</f>
        <v>Male</v>
      </c>
      <c r="D837" s="46">
        <f>Annex!D571</f>
        <v>43</v>
      </c>
      <c r="E837" s="46" t="str">
        <f>Annex!K571</f>
        <v>Singaporean</v>
      </c>
      <c r="F837" s="46" t="str">
        <f>Annex!L571</f>
        <v>Case 836 is a Local linked  case, 43 years old male Singapore Citizen  and has not been overseas. He is currently admitted at NCID . Contact of Case 747</v>
      </c>
      <c r="G837" s="43">
        <v>43919</v>
      </c>
      <c r="H837" s="46"/>
      <c r="I837" s="46"/>
      <c r="J837" s="46"/>
      <c r="K837" s="46"/>
      <c r="L837" s="46" t="str">
        <f>Annex!C571</f>
        <v xml:space="preserve">NCID </v>
      </c>
      <c r="M837" s="47" t="s">
        <v>1345</v>
      </c>
    </row>
    <row r="838" spans="1:13" ht="13.8" customHeight="1" x14ac:dyDescent="0.3">
      <c r="A838" s="46">
        <f>Annex!A572</f>
        <v>837</v>
      </c>
      <c r="B838" s="46" t="str">
        <f>IF(LEFT(Annex!H572,5)="Local","Local Transmission",Annex!H572)</f>
        <v>Imported</v>
      </c>
      <c r="C838" s="46" t="str">
        <f>Annex!J572</f>
        <v>Female</v>
      </c>
      <c r="D838" s="46">
        <f>Annex!D572</f>
        <v>68</v>
      </c>
      <c r="E838" s="46" t="str">
        <f>Annex!K572</f>
        <v>Singaporean</v>
      </c>
      <c r="F838" s="46" t="str">
        <f>Annex!L572</f>
        <v xml:space="preserve">Case 837 is a Imported case, 68 years old female Singapore Citizen  and has been to Turkey . She is currently admitted at NCID . </v>
      </c>
      <c r="G838" s="43">
        <v>43919</v>
      </c>
      <c r="H838" s="46"/>
      <c r="I838" s="46"/>
      <c r="J838" s="46"/>
      <c r="K838" s="46"/>
      <c r="L838" s="46" t="str">
        <f>Annex!C572</f>
        <v xml:space="preserve">NCID </v>
      </c>
      <c r="M838" s="47" t="s">
        <v>1345</v>
      </c>
    </row>
    <row r="839" spans="1:13" ht="13.8" customHeight="1" x14ac:dyDescent="0.3">
      <c r="A839" s="46">
        <f>Annex!A573</f>
        <v>838</v>
      </c>
      <c r="B839" s="46" t="str">
        <f>IF(LEFT(Annex!H573,5)="Local","Local Transmission",Annex!H573)</f>
        <v xml:space="preserve">Imported </v>
      </c>
      <c r="C839" s="46" t="str">
        <f>Annex!J573</f>
        <v>Female</v>
      </c>
      <c r="D839" s="46">
        <f>Annex!D573</f>
        <v>42</v>
      </c>
      <c r="E839" s="46" t="str">
        <f>Annex!K573</f>
        <v>Singaporean</v>
      </c>
      <c r="F839" s="46" t="str">
        <f>Annex!L573</f>
        <v xml:space="preserve">Case 838 is a Imported  case, 42 years old female Singapore Permanent Resident  and has been to UK . She is currently admitted at NCID . </v>
      </c>
      <c r="G839" s="43">
        <v>43919</v>
      </c>
      <c r="H839" s="46"/>
      <c r="I839" s="46"/>
      <c r="J839" s="46"/>
      <c r="K839" s="46"/>
      <c r="L839" s="46" t="str">
        <f>Annex!C573</f>
        <v xml:space="preserve">NCID </v>
      </c>
      <c r="M839" s="47" t="s">
        <v>1345</v>
      </c>
    </row>
    <row r="840" spans="1:13" ht="13.8" customHeight="1" x14ac:dyDescent="0.3">
      <c r="A840" s="46">
        <f>Annex!A574</f>
        <v>839</v>
      </c>
      <c r="B840" s="46" t="str">
        <f>IF(LEFT(Annex!H574,5)="Local","Local Transmission",Annex!H574)</f>
        <v>Local Transmission</v>
      </c>
      <c r="C840" s="46" t="str">
        <f>Annex!J574</f>
        <v>Female</v>
      </c>
      <c r="D840" s="46">
        <f>Annex!D574</f>
        <v>57</v>
      </c>
      <c r="E840" s="46" t="str">
        <f>Annex!K574</f>
        <v>Singaporean</v>
      </c>
      <c r="F840" s="46" t="str">
        <f>Annex!L574</f>
        <v>Case 839 is a Local linked  case, 57 years old female Singapore Citizen  and has not been overseas. She is currently admitted at NCID . Family member of Case 533</v>
      </c>
      <c r="G840" s="43">
        <v>43919</v>
      </c>
      <c r="H840" s="46"/>
      <c r="I840" s="46"/>
      <c r="J840" s="46"/>
      <c r="K840" s="46"/>
      <c r="L840" s="46" t="str">
        <f>Annex!C574</f>
        <v xml:space="preserve">NCID </v>
      </c>
      <c r="M840" s="47" t="s">
        <v>1345</v>
      </c>
    </row>
    <row r="841" spans="1:13" ht="13.8" customHeight="1" x14ac:dyDescent="0.3">
      <c r="A841" s="46">
        <f>Annex!A575</f>
        <v>840</v>
      </c>
      <c r="B841" s="46" t="str">
        <f>IF(LEFT(Annex!H575,5)="Local","Local Transmission",Annex!H575)</f>
        <v>Imported</v>
      </c>
      <c r="C841" s="46" t="str">
        <f>Annex!J575</f>
        <v>Female</v>
      </c>
      <c r="D841" s="46">
        <f>Annex!D575</f>
        <v>52</v>
      </c>
      <c r="E841" s="46" t="str">
        <f>Annex!K575</f>
        <v>Singaporean</v>
      </c>
      <c r="F841" s="46" t="str">
        <f>Annex!L575</f>
        <v xml:space="preserve">Case 840 is a Imported case, 52 years old female Singapore Permanent Resident  and has been to Philippines . She is currently admitted at NCID . </v>
      </c>
      <c r="G841" s="43">
        <v>43919</v>
      </c>
      <c r="H841" s="46"/>
      <c r="I841" s="46"/>
      <c r="J841" s="46"/>
      <c r="K841" s="46"/>
      <c r="L841" s="46" t="str">
        <f>Annex!C575</f>
        <v xml:space="preserve">NCID </v>
      </c>
      <c r="M841" s="47" t="s">
        <v>1345</v>
      </c>
    </row>
    <row r="842" spans="1:13" ht="13.8" customHeight="1" x14ac:dyDescent="0.3">
      <c r="A842" s="46">
        <f>Annex!A576</f>
        <v>841</v>
      </c>
      <c r="B842" s="46" t="str">
        <f>IF(LEFT(Annex!H576,5)="Local","Local Transmission",Annex!H576)</f>
        <v>Imported</v>
      </c>
      <c r="C842" s="46" t="str">
        <f>Annex!J576</f>
        <v>Female</v>
      </c>
      <c r="D842" s="46">
        <f>Annex!D576</f>
        <v>21</v>
      </c>
      <c r="E842" s="46" t="str">
        <f>Annex!K576</f>
        <v>Singaporean</v>
      </c>
      <c r="F842" s="46" t="str">
        <f>Annex!L576</f>
        <v xml:space="preserve">Case 841 is a Imported case, 21 years old female Singapore Citizen  and has been to US . She is currently admitted at NCID . </v>
      </c>
      <c r="G842" s="43">
        <v>43919</v>
      </c>
      <c r="H842" s="46"/>
      <c r="I842" s="46"/>
      <c r="J842" s="46"/>
      <c r="K842" s="46"/>
      <c r="L842" s="46" t="str">
        <f>Annex!C576</f>
        <v xml:space="preserve">NCID </v>
      </c>
      <c r="M842" s="47" t="s">
        <v>1345</v>
      </c>
    </row>
    <row r="843" spans="1:13" ht="13.8" customHeight="1" x14ac:dyDescent="0.3">
      <c r="A843" s="46">
        <f>Annex!A577</f>
        <v>842</v>
      </c>
      <c r="B843" s="46" t="str">
        <f>IF(LEFT(Annex!H577,5)="Local","Local Transmission",Annex!H577)</f>
        <v>Imported</v>
      </c>
      <c r="C843" s="46" t="str">
        <f>Annex!J577</f>
        <v>Male</v>
      </c>
      <c r="D843" s="46">
        <f>Annex!D577</f>
        <v>30</v>
      </c>
      <c r="E843" s="46" t="str">
        <f>Annex!K577</f>
        <v>Singaporean</v>
      </c>
      <c r="F843" s="46" t="str">
        <f>Annex!L577</f>
        <v xml:space="preserve">Case 842 is a Imported case, 30 years old male Singapore Citizen  and has been to Pending . He is currently admitted at NCID . </v>
      </c>
      <c r="G843" s="43">
        <v>43919</v>
      </c>
      <c r="H843" s="46"/>
      <c r="I843" s="46"/>
      <c r="J843" s="46"/>
      <c r="K843" s="46"/>
      <c r="L843" s="46" t="str">
        <f>Annex!C577</f>
        <v xml:space="preserve">NCID </v>
      </c>
      <c r="M843" s="47" t="s">
        <v>1345</v>
      </c>
    </row>
    <row r="844" spans="1:13" ht="13.8" customHeight="1" x14ac:dyDescent="0.3">
      <c r="A844" s="46">
        <f>Annex!A578</f>
        <v>843</v>
      </c>
      <c r="B844" s="46" t="str">
        <f>IF(LEFT(Annex!H578,5)="Local","Local Transmission",Annex!H578)</f>
        <v>Imported</v>
      </c>
      <c r="C844" s="46" t="str">
        <f>Annex!J578</f>
        <v>Female</v>
      </c>
      <c r="D844" s="46">
        <f>Annex!D578</f>
        <v>68</v>
      </c>
      <c r="E844" s="46" t="str">
        <f>Annex!K578</f>
        <v xml:space="preserve">Malaysia </v>
      </c>
      <c r="F844" s="46" t="str">
        <f>Annex!L578</f>
        <v xml:space="preserve">Case 843 is a Imported case, 68 years old female Malaysia  and has been to UK . She is currently admitted at NCID . </v>
      </c>
      <c r="G844" s="43">
        <v>43919</v>
      </c>
      <c r="H844" s="46"/>
      <c r="I844" s="46"/>
      <c r="J844" s="46"/>
      <c r="K844" s="46"/>
      <c r="L844" s="46" t="str">
        <f>Annex!C578</f>
        <v xml:space="preserve">NCID </v>
      </c>
      <c r="M844" s="47" t="s">
        <v>1345</v>
      </c>
    </row>
    <row r="845" spans="1:13" ht="13.8" customHeight="1" x14ac:dyDescent="0.3">
      <c r="A845" s="46">
        <f>Annex!A579</f>
        <v>844</v>
      </c>
      <c r="B845" s="46" t="str">
        <f>IF(LEFT(Annex!H579,5)="Local","Local Transmission",Annex!H579)</f>
        <v>Local Transmission</v>
      </c>
      <c r="C845" s="46" t="str">
        <f>Annex!J579</f>
        <v>Female</v>
      </c>
      <c r="D845" s="46">
        <f>Annex!D579</f>
        <v>47</v>
      </c>
      <c r="E845" s="46" t="str">
        <f>Annex!K579</f>
        <v>Singaporean</v>
      </c>
      <c r="F845" s="46" t="str">
        <f>Annex!L579</f>
        <v xml:space="preserve">Case 844 is a Local unlinked  case, 47 years old female Singapore Citizen  and has not been overseas. She is currently admitted at CGH . </v>
      </c>
      <c r="G845" s="43">
        <v>43919</v>
      </c>
      <c r="H845" s="46"/>
      <c r="I845" s="46"/>
      <c r="J845" s="46"/>
      <c r="K845" s="46"/>
      <c r="L845" s="46" t="str">
        <f>Annex!C579</f>
        <v xml:space="preserve">CGH </v>
      </c>
      <c r="M845" s="47" t="s">
        <v>1345</v>
      </c>
    </row>
    <row r="846" spans="1:13" ht="13.8" customHeight="1" x14ac:dyDescent="0.3">
      <c r="A846" s="51">
        <f>Annex!A580</f>
        <v>845</v>
      </c>
      <c r="B846" s="51" t="str">
        <f>IF(LEFT(Annex!H580,5)="Local","Local Transmission",Annex!H580)</f>
        <v>Local Transmission</v>
      </c>
      <c r="C846" s="51" t="str">
        <f>Annex!J580</f>
        <v>Female</v>
      </c>
      <c r="D846" s="51">
        <f>Annex!D580</f>
        <v>38</v>
      </c>
      <c r="E846" s="51" t="str">
        <f>Annex!K580</f>
        <v>Singaporean</v>
      </c>
      <c r="F846" s="51" t="str">
        <f>Annex!L580</f>
        <v>Case 845 is a Local linked  case, 38 years old female Singapore Citizen  and has been to Malaysia . She is currently admitted at KKH. Family member of Cases 809 and 742</v>
      </c>
      <c r="G846" s="48">
        <v>43920</v>
      </c>
      <c r="H846" s="51"/>
      <c r="I846" s="51"/>
      <c r="J846" s="51"/>
      <c r="K846" s="51"/>
      <c r="L846" s="51" t="str">
        <f>Annex!C580</f>
        <v>KKH</v>
      </c>
      <c r="M846" s="52" t="s">
        <v>1368</v>
      </c>
    </row>
    <row r="847" spans="1:13" ht="13.8" customHeight="1" x14ac:dyDescent="0.3">
      <c r="A847" s="51">
        <f>Annex!A581</f>
        <v>846</v>
      </c>
      <c r="B847" s="51" t="str">
        <f>IF(LEFT(Annex!H581,5)="Local","Local Transmission",Annex!H581)</f>
        <v>Local Transmission</v>
      </c>
      <c r="C847" s="51" t="str">
        <f>Annex!J581</f>
        <v>Male</v>
      </c>
      <c r="D847" s="51">
        <f>Annex!D581</f>
        <v>68</v>
      </c>
      <c r="E847" s="51" t="str">
        <f>Annex!K581</f>
        <v>UAE</v>
      </c>
      <c r="F847" s="51" t="str">
        <f>Annex!L581</f>
        <v xml:space="preserve">Case 846 is a Local unlinked case, 68 years old male UAE (Long Term Pass holder)  and has not been overseas. He is currently admitted at NUH . </v>
      </c>
      <c r="G847" s="48">
        <v>43920</v>
      </c>
      <c r="H847" s="51"/>
      <c r="I847" s="51"/>
      <c r="J847" s="51"/>
      <c r="K847" s="51"/>
      <c r="L847" s="51" t="str">
        <f>Annex!C581</f>
        <v xml:space="preserve">NUH </v>
      </c>
      <c r="M847" s="52" t="s">
        <v>1368</v>
      </c>
    </row>
    <row r="848" spans="1:13" ht="13.8" customHeight="1" x14ac:dyDescent="0.3">
      <c r="A848" s="51">
        <f>Annex!A582</f>
        <v>847</v>
      </c>
      <c r="B848" s="51" t="str">
        <f>IF(LEFT(Annex!H582,5)="Local","Local Transmission",Annex!H582)</f>
        <v xml:space="preserve">Imported </v>
      </c>
      <c r="C848" s="51" t="str">
        <f>Annex!J582</f>
        <v>Male</v>
      </c>
      <c r="D848" s="51">
        <f>Annex!D582</f>
        <v>42</v>
      </c>
      <c r="E848" s="51" t="str">
        <f>Annex!K582</f>
        <v>Singaporean</v>
      </c>
      <c r="F848" s="51" t="str">
        <f>Annex!L582</f>
        <v>Case 847 is a Imported  case, 42 years old male Singapore Permanent Resident  and has been to Philippines . He is currently admitted at KTPH . Family member of Case 781</v>
      </c>
      <c r="G848" s="48">
        <v>43920</v>
      </c>
      <c r="H848" s="51"/>
      <c r="I848" s="51"/>
      <c r="J848" s="51"/>
      <c r="K848" s="51"/>
      <c r="L848" s="51" t="str">
        <f>Annex!C582</f>
        <v xml:space="preserve">KTPH </v>
      </c>
      <c r="M848" s="52" t="s">
        <v>1368</v>
      </c>
    </row>
    <row r="849" spans="1:13" ht="13.8" customHeight="1" x14ac:dyDescent="0.3">
      <c r="A849" s="51">
        <f>Annex!A583</f>
        <v>848</v>
      </c>
      <c r="B849" s="51" t="str">
        <f>IF(LEFT(Annex!H583,5)="Local","Local Transmission",Annex!H583)</f>
        <v>Local Transmission</v>
      </c>
      <c r="C849" s="51" t="str">
        <f>Annex!J583</f>
        <v>Female</v>
      </c>
      <c r="D849" s="51">
        <f>Annex!D583</f>
        <v>41</v>
      </c>
      <c r="E849" s="51" t="str">
        <f>Annex!K583</f>
        <v>Taiwan</v>
      </c>
      <c r="F849" s="51" t="str">
        <f>Annex!L583</f>
        <v>Case 848 is a Local linked  case, 41 years old female Taiwan (Long Term Pass holder)  and has not been overseas. She is currently admitted at NUH . Wilby Residences</v>
      </c>
      <c r="G849" s="48">
        <v>43920</v>
      </c>
      <c r="H849" s="51"/>
      <c r="I849" s="51"/>
      <c r="J849" s="51"/>
      <c r="K849" s="51"/>
      <c r="L849" s="51" t="str">
        <f>Annex!C583</f>
        <v xml:space="preserve">NUH </v>
      </c>
      <c r="M849" s="52" t="s">
        <v>1368</v>
      </c>
    </row>
    <row r="850" spans="1:13" ht="13.8" customHeight="1" x14ac:dyDescent="0.3">
      <c r="A850" s="51">
        <f>Annex!A584</f>
        <v>849</v>
      </c>
      <c r="B850" s="51" t="str">
        <f>IF(LEFT(Annex!H584,5)="Local","Local Transmission",Annex!H584)</f>
        <v>Local Transmission</v>
      </c>
      <c r="C850" s="51" t="str">
        <f>Annex!J584</f>
        <v>Female</v>
      </c>
      <c r="D850" s="51">
        <f>Annex!D584</f>
        <v>34</v>
      </c>
      <c r="E850" s="51" t="str">
        <f>Annex!K584</f>
        <v>Singaporean</v>
      </c>
      <c r="F850" s="51" t="str">
        <f>Annex!L584</f>
        <v>Case 849 is a Local linked  case, 34 years old female Singapore Citizen  and has been to Malaysia . She is currently admitted at NUH . Family member of Case 533</v>
      </c>
      <c r="G850" s="48">
        <v>43920</v>
      </c>
      <c r="H850" s="51"/>
      <c r="I850" s="51"/>
      <c r="J850" s="51"/>
      <c r="K850" s="51"/>
      <c r="L850" s="51" t="str">
        <f>Annex!C584</f>
        <v xml:space="preserve">NUH </v>
      </c>
      <c r="M850" s="52" t="s">
        <v>1368</v>
      </c>
    </row>
    <row r="851" spans="1:13" ht="13.8" customHeight="1" x14ac:dyDescent="0.3">
      <c r="A851" s="51">
        <f>Annex!A585</f>
        <v>850</v>
      </c>
      <c r="B851" s="51" t="str">
        <f>IF(LEFT(Annex!H585,5)="Local","Local Transmission",Annex!H585)</f>
        <v>Local Transmission</v>
      </c>
      <c r="C851" s="51" t="str">
        <f>Annex!J585</f>
        <v>Male</v>
      </c>
      <c r="D851" s="51">
        <f>Annex!D585</f>
        <v>37</v>
      </c>
      <c r="E851" s="51" t="str">
        <f>Annex!K585</f>
        <v>Singaporean</v>
      </c>
      <c r="F851" s="51" t="str">
        <f>Annex!L585</f>
        <v xml:space="preserve">Case 850 is a Local unlinked case, 37 years old male Singapore Citizen  and has not been overseas. He is currently admitted at CGH . </v>
      </c>
      <c r="G851" s="48">
        <v>43920</v>
      </c>
      <c r="H851" s="51"/>
      <c r="I851" s="51"/>
      <c r="J851" s="51"/>
      <c r="K851" s="51"/>
      <c r="L851" s="51" t="str">
        <f>Annex!C585</f>
        <v xml:space="preserve">CGH </v>
      </c>
      <c r="M851" s="52" t="s">
        <v>1368</v>
      </c>
    </row>
    <row r="852" spans="1:13" ht="13.8" customHeight="1" x14ac:dyDescent="0.3">
      <c r="A852" s="51">
        <f>Annex!A586</f>
        <v>851</v>
      </c>
      <c r="B852" s="51" t="str">
        <f>IF(LEFT(Annex!H586,5)="Local","Local Transmission",Annex!H586)</f>
        <v>Imported</v>
      </c>
      <c r="C852" s="51" t="str">
        <f>Annex!J586</f>
        <v>Female</v>
      </c>
      <c r="D852" s="51">
        <f>Annex!D586</f>
        <v>40</v>
      </c>
      <c r="E852" s="51" t="str">
        <f>Annex!K586</f>
        <v>Brazil</v>
      </c>
      <c r="F852" s="51" t="str">
        <f>Annex!L586</f>
        <v xml:space="preserve">Case 851 is a Imported case, 40 years old female Brazil (Long Term Pass holder)  and has been to Brazil . She is currently admitted at SGH . </v>
      </c>
      <c r="G852" s="48">
        <v>43920</v>
      </c>
      <c r="H852" s="51"/>
      <c r="I852" s="51"/>
      <c r="J852" s="51"/>
      <c r="K852" s="51"/>
      <c r="L852" s="51" t="str">
        <f>Annex!C586</f>
        <v xml:space="preserve">SGH </v>
      </c>
      <c r="M852" s="52" t="s">
        <v>1368</v>
      </c>
    </row>
    <row r="853" spans="1:13" ht="13.8" customHeight="1" x14ac:dyDescent="0.3">
      <c r="A853" s="51">
        <f>Annex!A587</f>
        <v>852</v>
      </c>
      <c r="B853" s="51" t="str">
        <f>IF(LEFT(Annex!H587,5)="Local","Local Transmission",Annex!H587)</f>
        <v>Local Transmission</v>
      </c>
      <c r="C853" s="51" t="str">
        <f>Annex!J587</f>
        <v>Male</v>
      </c>
      <c r="D853" s="51">
        <f>Annex!D587</f>
        <v>31</v>
      </c>
      <c r="E853" s="51" t="str">
        <f>Annex!K587</f>
        <v>India</v>
      </c>
      <c r="F853" s="51" t="str">
        <f>Annex!L587</f>
        <v>Case 852 is a Local linked  case, 31 years old male India (Long Term Pass holder)  and has not been overseas. He is currently admitted at SGH . S11 Dormitory</v>
      </c>
      <c r="G853" s="48">
        <v>43920</v>
      </c>
      <c r="H853" s="51"/>
      <c r="I853" s="51"/>
      <c r="J853" s="51"/>
      <c r="K853" s="51"/>
      <c r="L853" s="51" t="str">
        <f>Annex!C587</f>
        <v xml:space="preserve">SGH </v>
      </c>
      <c r="M853" s="52" t="s">
        <v>1368</v>
      </c>
    </row>
    <row r="854" spans="1:13" ht="13.8" customHeight="1" x14ac:dyDescent="0.3">
      <c r="A854" s="51">
        <f>Annex!A588</f>
        <v>853</v>
      </c>
      <c r="B854" s="51" t="str">
        <f>IF(LEFT(Annex!H588,5)="Local","Local Transmission",Annex!H588)</f>
        <v>Local Transmission</v>
      </c>
      <c r="C854" s="51" t="str">
        <f>Annex!J588</f>
        <v>Male</v>
      </c>
      <c r="D854" s="51">
        <f>Annex!D588</f>
        <v>20</v>
      </c>
      <c r="E854" s="51" t="str">
        <f>Annex!K588</f>
        <v>Malaysia</v>
      </c>
      <c r="F854" s="51" t="str">
        <f>Annex!L588</f>
        <v xml:space="preserve">Case 853 is a Local unlinked case, 20 years old male Malaysia (Singapore Work Pass holder)  and has not been overseas. He is currently admitted at NCID . </v>
      </c>
      <c r="G854" s="48">
        <v>43920</v>
      </c>
      <c r="H854" s="51"/>
      <c r="I854" s="51"/>
      <c r="J854" s="51"/>
      <c r="K854" s="51"/>
      <c r="L854" s="51" t="str">
        <f>Annex!C588</f>
        <v xml:space="preserve">NCID </v>
      </c>
      <c r="M854" s="52" t="s">
        <v>1368</v>
      </c>
    </row>
    <row r="855" spans="1:13" ht="13.8" customHeight="1" x14ac:dyDescent="0.3">
      <c r="A855" s="51">
        <f>Annex!A589</f>
        <v>854</v>
      </c>
      <c r="B855" s="51" t="str">
        <f>IF(LEFT(Annex!H589,5)="Local","Local Transmission",Annex!H589)</f>
        <v>Local Transmission</v>
      </c>
      <c r="C855" s="51" t="str">
        <f>Annex!J589</f>
        <v>Male</v>
      </c>
      <c r="D855" s="51">
        <f>Annex!D589</f>
        <v>43</v>
      </c>
      <c r="E855" s="51" t="str">
        <f>Annex!K589</f>
        <v>India</v>
      </c>
      <c r="F855" s="51" t="str">
        <f>Annex!L589</f>
        <v xml:space="preserve">Case 854 is a Local unlinked case, 43 years old male India (Singapore Work Pass holder)  and has not been overseas. He is currently admitted at KTPH . </v>
      </c>
      <c r="G855" s="48">
        <v>43920</v>
      </c>
      <c r="H855" s="51"/>
      <c r="I855" s="51"/>
      <c r="J855" s="51"/>
      <c r="K855" s="51"/>
      <c r="L855" s="51" t="str">
        <f>Annex!C589</f>
        <v xml:space="preserve">KTPH </v>
      </c>
      <c r="M855" s="52" t="s">
        <v>1368</v>
      </c>
    </row>
    <row r="856" spans="1:13" ht="13.8" customHeight="1" x14ac:dyDescent="0.3">
      <c r="A856" s="51">
        <f>Annex!A590</f>
        <v>855</v>
      </c>
      <c r="B856" s="51" t="str">
        <f>IF(LEFT(Annex!H590,5)="Local","Local Transmission",Annex!H590)</f>
        <v>Local Transmission</v>
      </c>
      <c r="C856" s="51" t="str">
        <f>Annex!J590</f>
        <v>Male</v>
      </c>
      <c r="D856" s="51">
        <f>Annex!D590</f>
        <v>88</v>
      </c>
      <c r="E856" s="51" t="str">
        <f>Annex!K590</f>
        <v>Singaporean</v>
      </c>
      <c r="F856" s="51" t="str">
        <f>Annex!L590</f>
        <v xml:space="preserve">Case 855 is a Local unlinked case, 88 years old male Singapore Permanent Resident  and has not been overseas. He is currently admitted at NCID . </v>
      </c>
      <c r="G856" s="48">
        <v>43920</v>
      </c>
      <c r="H856" s="51"/>
      <c r="I856" s="78">
        <v>43925</v>
      </c>
      <c r="J856" s="51"/>
      <c r="K856" s="51"/>
      <c r="L856" s="51" t="str">
        <f>Annex!C590</f>
        <v xml:space="preserve">NCID </v>
      </c>
      <c r="M856" s="52" t="s">
        <v>1368</v>
      </c>
    </row>
    <row r="857" spans="1:13" ht="13.8" customHeight="1" x14ac:dyDescent="0.3">
      <c r="A857" s="51">
        <f>Annex!A591</f>
        <v>856</v>
      </c>
      <c r="B857" s="51" t="str">
        <f>IF(LEFT(Annex!H591,5)="Local","Local Transmission",Annex!H591)</f>
        <v>Local Transmission</v>
      </c>
      <c r="C857" s="51" t="str">
        <f>Annex!J591</f>
        <v>Male</v>
      </c>
      <c r="D857" s="51">
        <f>Annex!D591</f>
        <v>32</v>
      </c>
      <c r="E857" s="51" t="str">
        <f>Annex!K591</f>
        <v>China</v>
      </c>
      <c r="F857" s="51" t="str">
        <f>Annex!L591</f>
        <v xml:space="preserve">Case 856 is a Local unlinked case, 32 years old male China (Singapore Work Pass holder)  and has not been overseas. He is currently admitted at CGH . </v>
      </c>
      <c r="G857" s="48">
        <v>43920</v>
      </c>
      <c r="H857" s="51"/>
      <c r="I857" s="51"/>
      <c r="J857" s="51"/>
      <c r="K857" s="51"/>
      <c r="L857" s="51" t="str">
        <f>Annex!C591</f>
        <v xml:space="preserve">CGH </v>
      </c>
      <c r="M857" s="52" t="s">
        <v>1368</v>
      </c>
    </row>
    <row r="858" spans="1:13" ht="13.8" customHeight="1" x14ac:dyDescent="0.3">
      <c r="A858" s="51">
        <f>Annex!A592</f>
        <v>857</v>
      </c>
      <c r="B858" s="51" t="str">
        <f>IF(LEFT(Annex!H592,5)="Local","Local Transmission",Annex!H592)</f>
        <v>Imported</v>
      </c>
      <c r="C858" s="51" t="str">
        <f>Annex!J592</f>
        <v>Male</v>
      </c>
      <c r="D858" s="51">
        <f>Annex!D592</f>
        <v>20</v>
      </c>
      <c r="E858" s="51" t="str">
        <f>Annex!K592</f>
        <v>Singaporean</v>
      </c>
      <c r="F858" s="51" t="str">
        <f>Annex!L592</f>
        <v xml:space="preserve">Case 857 is a Imported case, 20 years old male Singapore Citizen  and has been to Malaysia . He is currently admitted at SKH . </v>
      </c>
      <c r="G858" s="48">
        <v>43920</v>
      </c>
      <c r="H858" s="51"/>
      <c r="I858" s="51"/>
      <c r="J858" s="51"/>
      <c r="K858" s="51"/>
      <c r="L858" s="51" t="str">
        <f>Annex!C592</f>
        <v xml:space="preserve">SKH </v>
      </c>
      <c r="M858" s="52" t="s">
        <v>1368</v>
      </c>
    </row>
    <row r="859" spans="1:13" ht="13.8" customHeight="1" x14ac:dyDescent="0.3">
      <c r="A859" s="51">
        <f>Annex!A593</f>
        <v>858</v>
      </c>
      <c r="B859" s="51" t="str">
        <f>IF(LEFT(Annex!H593,5)="Local","Local Transmission",Annex!H593)</f>
        <v>Imported</v>
      </c>
      <c r="C859" s="51" t="str">
        <f>Annex!J593</f>
        <v>Female</v>
      </c>
      <c r="D859" s="51">
        <f>Annex!D593</f>
        <v>35</v>
      </c>
      <c r="E859" s="51" t="str">
        <f>Annex!K593</f>
        <v>Singaporean</v>
      </c>
      <c r="F859" s="51" t="str">
        <f>Annex!L593</f>
        <v xml:space="preserve">Case 858 is a Imported case, 35 years old female Singapore Citizen  and has been to France . She is currently admitted at NCID . </v>
      </c>
      <c r="G859" s="48">
        <v>43920</v>
      </c>
      <c r="H859" s="51"/>
      <c r="I859" s="51"/>
      <c r="J859" s="51"/>
      <c r="K859" s="51"/>
      <c r="L859" s="51" t="str">
        <f>Annex!C593</f>
        <v xml:space="preserve">NCID </v>
      </c>
      <c r="M859" s="52" t="s">
        <v>1368</v>
      </c>
    </row>
    <row r="860" spans="1:13" ht="13.8" customHeight="1" x14ac:dyDescent="0.3">
      <c r="A860" s="51">
        <f>Annex!A594</f>
        <v>859</v>
      </c>
      <c r="B860" s="51" t="str">
        <f>IF(LEFT(Annex!H594,5)="Local","Local Transmission",Annex!H594)</f>
        <v>Local Transmission</v>
      </c>
      <c r="C860" s="51" t="str">
        <f>Annex!J594</f>
        <v>Male</v>
      </c>
      <c r="D860" s="51">
        <f>Annex!D594</f>
        <v>41</v>
      </c>
      <c r="E860" s="51" t="str">
        <f>Annex!K594</f>
        <v>Bangladesh</v>
      </c>
      <c r="F860" s="51" t="str">
        <f>Annex!L594</f>
        <v xml:space="preserve">Case 859 is a Local unlinked case, 41 years old male Bangladesh (Singapore Work Pass holder)  and has not been overseas. He is currently admitted at NCID . </v>
      </c>
      <c r="G860" s="48">
        <v>43920</v>
      </c>
      <c r="H860" s="51"/>
      <c r="I860" s="51"/>
      <c r="J860" s="51"/>
      <c r="K860" s="51"/>
      <c r="L860" s="51" t="str">
        <f>Annex!C594</f>
        <v xml:space="preserve">NCID </v>
      </c>
      <c r="M860" s="52" t="s">
        <v>1368</v>
      </c>
    </row>
    <row r="861" spans="1:13" ht="13.8" customHeight="1" x14ac:dyDescent="0.3">
      <c r="A861" s="51">
        <f>Annex!A595</f>
        <v>860</v>
      </c>
      <c r="B861" s="51" t="str">
        <f>IF(LEFT(Annex!H595,5)="Local","Local Transmission",Annex!H595)</f>
        <v>Local Transmission</v>
      </c>
      <c r="C861" s="51" t="str">
        <f>Annex!J595</f>
        <v>Male</v>
      </c>
      <c r="D861" s="51">
        <f>Annex!D595</f>
        <v>22</v>
      </c>
      <c r="E861" s="51" t="str">
        <f>Annex!K595</f>
        <v>India</v>
      </c>
      <c r="F861" s="51" t="str">
        <f>Annex!L595</f>
        <v>Case 860 is a Local linked  case, 22 years old male India (Long Term Pass holder)  and has not been overseas. He is currently admitted at KTPH . S11 Dormitory</v>
      </c>
      <c r="G861" s="48">
        <v>43920</v>
      </c>
      <c r="H861" s="51"/>
      <c r="I861" s="51"/>
      <c r="J861" s="51"/>
      <c r="K861" s="51"/>
      <c r="L861" s="51" t="str">
        <f>Annex!C595</f>
        <v xml:space="preserve">KTPH </v>
      </c>
      <c r="M861" s="52" t="s">
        <v>1368</v>
      </c>
    </row>
    <row r="862" spans="1:13" ht="13.8" customHeight="1" x14ac:dyDescent="0.3">
      <c r="A862" s="51">
        <f>Annex!A596</f>
        <v>861</v>
      </c>
      <c r="B862" s="51" t="str">
        <f>IF(LEFT(Annex!H596,5)="Local","Local Transmission",Annex!H596)</f>
        <v>Local Transmission</v>
      </c>
      <c r="C862" s="51" t="str">
        <f>Annex!J596</f>
        <v>Female</v>
      </c>
      <c r="D862" s="51">
        <f>Annex!D596</f>
        <v>25</v>
      </c>
      <c r="E862" s="51" t="str">
        <f>Annex!K596</f>
        <v>Singaporean</v>
      </c>
      <c r="F862" s="51" t="str">
        <f>Annex!L596</f>
        <v>Case 861 is a Local linked  case, 25 years old female Singapore Citizen  and has not been overseas. She is currently admitted at NCID . Contact of Case 767</v>
      </c>
      <c r="G862" s="48">
        <v>43920</v>
      </c>
      <c r="H862" s="51"/>
      <c r="I862" s="51"/>
      <c r="J862" s="51"/>
      <c r="K862" s="51"/>
      <c r="L862" s="51" t="str">
        <f>Annex!C596</f>
        <v xml:space="preserve">NCID </v>
      </c>
      <c r="M862" s="52" t="s">
        <v>1368</v>
      </c>
    </row>
    <row r="863" spans="1:13" ht="13.8" customHeight="1" x14ac:dyDescent="0.3">
      <c r="A863" s="51">
        <f>Annex!A597</f>
        <v>862</v>
      </c>
      <c r="B863" s="51" t="str">
        <f>IF(LEFT(Annex!H597,5)="Local","Local Transmission",Annex!H597)</f>
        <v>Imported</v>
      </c>
      <c r="C863" s="51" t="str">
        <f>Annex!J597</f>
        <v>Male</v>
      </c>
      <c r="D863" s="51">
        <f>Annex!D597</f>
        <v>29</v>
      </c>
      <c r="E863" s="51" t="str">
        <f>Annex!K597</f>
        <v>Singaporean</v>
      </c>
      <c r="F863" s="51" t="str">
        <f>Annex!L597</f>
        <v xml:space="preserve">Case 862 is a Imported case, 29 years old male Singapore Citizen  and has been to UK . He is currently admitted at NCID . </v>
      </c>
      <c r="G863" s="48">
        <v>43920</v>
      </c>
      <c r="H863" s="51"/>
      <c r="I863" s="51"/>
      <c r="J863" s="51"/>
      <c r="K863" s="51"/>
      <c r="L863" s="51" t="str">
        <f>Annex!C597</f>
        <v xml:space="preserve">NCID </v>
      </c>
      <c r="M863" s="52" t="s">
        <v>1368</v>
      </c>
    </row>
    <row r="864" spans="1:13" ht="13.8" customHeight="1" x14ac:dyDescent="0.3">
      <c r="A864" s="51">
        <f>Annex!A598</f>
        <v>863</v>
      </c>
      <c r="B864" s="51" t="str">
        <f>IF(LEFT(Annex!H598,5)="Local","Local Transmission",Annex!H598)</f>
        <v>Local Transmission</v>
      </c>
      <c r="C864" s="51" t="str">
        <f>Annex!J598</f>
        <v>Male</v>
      </c>
      <c r="D864" s="51">
        <f>Annex!D598</f>
        <v>49</v>
      </c>
      <c r="E864" s="51" t="str">
        <f>Annex!K598</f>
        <v>Singaporean</v>
      </c>
      <c r="F864" s="51" t="str">
        <f>Annex!L598</f>
        <v>Case 863 is a Local linked  case, 49 years old male Singapore Citizen  and has not been overseas. He is currently admitted at NCID . Family member of Case 727</v>
      </c>
      <c r="G864" s="48">
        <v>43920</v>
      </c>
      <c r="H864" s="51"/>
      <c r="I864" s="51"/>
      <c r="J864" s="51"/>
      <c r="K864" s="51"/>
      <c r="L864" s="51" t="str">
        <f>Annex!C598</f>
        <v xml:space="preserve">NCID </v>
      </c>
      <c r="M864" s="52" t="s">
        <v>1368</v>
      </c>
    </row>
    <row r="865" spans="1:13" ht="13.8" customHeight="1" x14ac:dyDescent="0.3">
      <c r="A865" s="51">
        <f>Annex!A599</f>
        <v>864</v>
      </c>
      <c r="B865" s="51" t="str">
        <f>IF(LEFT(Annex!H599,5)="Local","Local Transmission",Annex!H599)</f>
        <v>Local Transmission</v>
      </c>
      <c r="C865" s="51" t="str">
        <f>Annex!J599</f>
        <v>Female</v>
      </c>
      <c r="D865" s="51">
        <f>Annex!D599</f>
        <v>27</v>
      </c>
      <c r="E865" s="51" t="str">
        <f>Annex!K599</f>
        <v>Singaporean</v>
      </c>
      <c r="F865" s="51" t="str">
        <f>Annex!L599</f>
        <v>Case 864 is a Local linked  case, 27 years old female Singapore Citizen  and has been to UK, US . She is currently admitted at NCID . Wilby Residences</v>
      </c>
      <c r="G865" s="48">
        <v>43920</v>
      </c>
      <c r="H865" s="51"/>
      <c r="I865" s="51"/>
      <c r="J865" s="51"/>
      <c r="K865" s="51"/>
      <c r="L865" s="51" t="str">
        <f>Annex!C599</f>
        <v xml:space="preserve">NCID </v>
      </c>
      <c r="M865" s="52" t="s">
        <v>1368</v>
      </c>
    </row>
    <row r="866" spans="1:13" ht="13.8" customHeight="1" x14ac:dyDescent="0.3">
      <c r="A866" s="51">
        <f>Annex!A600</f>
        <v>865</v>
      </c>
      <c r="B866" s="51" t="str">
        <f>IF(LEFT(Annex!H600,5)="Local","Local Transmission",Annex!H600)</f>
        <v>Local Transmission</v>
      </c>
      <c r="C866" s="51" t="str">
        <f>Annex!J600</f>
        <v>Male</v>
      </c>
      <c r="D866" s="51">
        <f>Annex!D600</f>
        <v>36</v>
      </c>
      <c r="E866" s="51" t="str">
        <f>Annex!K600</f>
        <v>Singaporean</v>
      </c>
      <c r="F866" s="51" t="str">
        <f>Annex!L600</f>
        <v>Case 865 is a Local linked  case, 36 years old male Singapore Citizen  and has not been overseas. He is currently admitted at NCID . Contact of Case 488</v>
      </c>
      <c r="G866" s="48">
        <v>43920</v>
      </c>
      <c r="H866" s="51"/>
      <c r="I866" s="51"/>
      <c r="J866" s="51"/>
      <c r="K866" s="51"/>
      <c r="L866" s="51" t="str">
        <f>Annex!C600</f>
        <v xml:space="preserve">NCID </v>
      </c>
      <c r="M866" s="52" t="s">
        <v>1368</v>
      </c>
    </row>
    <row r="867" spans="1:13" ht="13.8" customHeight="1" x14ac:dyDescent="0.3">
      <c r="A867" s="51">
        <f>Annex!A601</f>
        <v>866</v>
      </c>
      <c r="B867" s="51" t="str">
        <f>IF(LEFT(Annex!H601,5)="Local","Local Transmission",Annex!H601)</f>
        <v>Local Transmission</v>
      </c>
      <c r="C867" s="51" t="str">
        <f>Annex!J601</f>
        <v>Male</v>
      </c>
      <c r="D867" s="51">
        <f>Annex!D601</f>
        <v>52</v>
      </c>
      <c r="E867" s="51" t="str">
        <f>Annex!K601</f>
        <v>Singaporean</v>
      </c>
      <c r="F867" s="51" t="str">
        <f>Annex!L601</f>
        <v xml:space="preserve">Case 866 is a Local unlinked case, 52 years old male Singapore Citizen  and has not been overseas. He is currently admitted at SKH . </v>
      </c>
      <c r="G867" s="48">
        <v>43920</v>
      </c>
      <c r="H867" s="51"/>
      <c r="I867" s="51"/>
      <c r="J867" s="51"/>
      <c r="K867" s="51"/>
      <c r="L867" s="51" t="str">
        <f>Annex!C601</f>
        <v xml:space="preserve">SKH </v>
      </c>
      <c r="M867" s="52" t="s">
        <v>1368</v>
      </c>
    </row>
    <row r="868" spans="1:13" ht="13.8" customHeight="1" x14ac:dyDescent="0.3">
      <c r="A868" s="51">
        <f>Annex!A602</f>
        <v>867</v>
      </c>
      <c r="B868" s="51" t="str">
        <f>IF(LEFT(Annex!H602,5)="Local","Local Transmission",Annex!H602)</f>
        <v>Local Transmission</v>
      </c>
      <c r="C868" s="51" t="str">
        <f>Annex!J602</f>
        <v>Female</v>
      </c>
      <c r="D868" s="51">
        <f>Annex!D602</f>
        <v>36</v>
      </c>
      <c r="E868" s="51" t="str">
        <f>Annex!K602</f>
        <v>Singaporean</v>
      </c>
      <c r="F868" s="51" t="str">
        <f>Annex!L602</f>
        <v>Case 867 is a Local linked  case, 36 years old female Singapore Citizen  and has been to Malaysia . She is currently admitted at NCID . Family member of Case 434</v>
      </c>
      <c r="G868" s="48">
        <v>43920</v>
      </c>
      <c r="H868" s="51"/>
      <c r="I868" s="51"/>
      <c r="J868" s="51"/>
      <c r="K868" s="51"/>
      <c r="L868" s="51" t="str">
        <f>Annex!C602</f>
        <v xml:space="preserve">NCID </v>
      </c>
      <c r="M868" s="52" t="s">
        <v>1368</v>
      </c>
    </row>
    <row r="869" spans="1:13" ht="13.8" customHeight="1" x14ac:dyDescent="0.3">
      <c r="A869" s="51">
        <f>Annex!A603</f>
        <v>868</v>
      </c>
      <c r="B869" s="51" t="str">
        <f>IF(LEFT(Annex!H603,5)="Local","Local Transmission",Annex!H603)</f>
        <v>Local Transmission</v>
      </c>
      <c r="C869" s="51" t="str">
        <f>Annex!J603</f>
        <v>Male</v>
      </c>
      <c r="D869" s="51">
        <f>Annex!D603</f>
        <v>29</v>
      </c>
      <c r="E869" s="51" t="str">
        <f>Annex!K603</f>
        <v>Bangladesh</v>
      </c>
      <c r="F869" s="51" t="str">
        <f>Annex!L603</f>
        <v xml:space="preserve">Case 868 is a Local unlinked case, 29 years old male Bangladesh (Long Term Pass holder)  and has not been overseas. He is currently admitted at NTFGH . </v>
      </c>
      <c r="G869" s="48">
        <v>43920</v>
      </c>
      <c r="H869" s="51"/>
      <c r="I869" s="51"/>
      <c r="J869" s="51"/>
      <c r="K869" s="51"/>
      <c r="L869" s="51" t="str">
        <f>Annex!C603</f>
        <v xml:space="preserve">NTFGH </v>
      </c>
      <c r="M869" s="52" t="s">
        <v>1368</v>
      </c>
    </row>
    <row r="870" spans="1:13" ht="13.8" customHeight="1" x14ac:dyDescent="0.3">
      <c r="A870" s="51">
        <f>Annex!A604</f>
        <v>869</v>
      </c>
      <c r="B870" s="51" t="str">
        <f>IF(LEFT(Annex!H604,5)="Local","Local Transmission",Annex!H604)</f>
        <v>Local Transmission</v>
      </c>
      <c r="C870" s="51" t="str">
        <f>Annex!J604</f>
        <v>Male</v>
      </c>
      <c r="D870" s="51">
        <f>Annex!D604</f>
        <v>41</v>
      </c>
      <c r="E870" s="51" t="str">
        <f>Annex!K604</f>
        <v>Singaporean</v>
      </c>
      <c r="F870" s="51" t="str">
        <f>Annex!L604</f>
        <v xml:space="preserve">Case 869 is a Local unlinked case, 41 years old male Singapore Permanent Resident  and has not been overseas. He is currently admitted at KTPH . </v>
      </c>
      <c r="G870" s="48">
        <v>43920</v>
      </c>
      <c r="H870" s="79">
        <v>43924</v>
      </c>
      <c r="I870" s="51"/>
      <c r="J870" s="51"/>
      <c r="K870" s="51"/>
      <c r="L870" s="51" t="str">
        <f>Annex!C604</f>
        <v xml:space="preserve">KTPH </v>
      </c>
      <c r="M870" s="52" t="s">
        <v>1368</v>
      </c>
    </row>
    <row r="871" spans="1:13" ht="13.8" customHeight="1" x14ac:dyDescent="0.3">
      <c r="A871" s="51">
        <f>Annex!A605</f>
        <v>870</v>
      </c>
      <c r="B871" s="51" t="str">
        <f>IF(LEFT(Annex!H605,5)="Local","Local Transmission",Annex!H605)</f>
        <v>Local Transmission</v>
      </c>
      <c r="C871" s="51" t="str">
        <f>Annex!J605</f>
        <v>Male</v>
      </c>
      <c r="D871" s="51">
        <f>Annex!D605</f>
        <v>54</v>
      </c>
      <c r="E871" s="51" t="str">
        <f>Annex!K605</f>
        <v>Singaporean</v>
      </c>
      <c r="F871" s="51" t="str">
        <f>Annex!L605</f>
        <v>Case 870 is a Local linked  case, 54 years old male Singapore Citizen  and has not been overseas. He is currently admitted at NCID . Family member of Case 393</v>
      </c>
      <c r="G871" s="48">
        <v>43920</v>
      </c>
      <c r="H871" s="51"/>
      <c r="I871" s="51"/>
      <c r="J871" s="51"/>
      <c r="K871" s="51"/>
      <c r="L871" s="51" t="str">
        <f>Annex!C605</f>
        <v xml:space="preserve">NCID </v>
      </c>
      <c r="M871" s="52" t="s">
        <v>1368</v>
      </c>
    </row>
    <row r="872" spans="1:13" ht="13.8" customHeight="1" x14ac:dyDescent="0.3">
      <c r="A872" s="51">
        <f>Annex!A606</f>
        <v>871</v>
      </c>
      <c r="B872" s="51" t="str">
        <f>IF(LEFT(Annex!H606,5)="Local","Local Transmission",Annex!H606)</f>
        <v>Imported</v>
      </c>
      <c r="C872" s="51" t="str">
        <f>Annex!J606</f>
        <v>Female</v>
      </c>
      <c r="D872" s="51">
        <f>Annex!D606</f>
        <v>19</v>
      </c>
      <c r="E872" s="51" t="str">
        <f>Annex!K606</f>
        <v>Singaporean</v>
      </c>
      <c r="F872" s="51" t="str">
        <f>Annex!L606</f>
        <v xml:space="preserve">Case 871 is a Imported case, 19 years old female Singapore Citizen  and has been to UK . She is currently admitted at NCID . </v>
      </c>
      <c r="G872" s="48">
        <v>43920</v>
      </c>
      <c r="H872" s="51"/>
      <c r="I872" s="51"/>
      <c r="J872" s="51"/>
      <c r="K872" s="51"/>
      <c r="L872" s="51" t="str">
        <f>Annex!C606</f>
        <v xml:space="preserve">NCID </v>
      </c>
      <c r="M872" s="52" t="s">
        <v>1368</v>
      </c>
    </row>
    <row r="873" spans="1:13" ht="13.8" customHeight="1" x14ac:dyDescent="0.3">
      <c r="A873" s="51">
        <f>Annex!A607</f>
        <v>872</v>
      </c>
      <c r="B873" s="51" t="str">
        <f>IF(LEFT(Annex!H607,5)="Local","Local Transmission",Annex!H607)</f>
        <v xml:space="preserve">Imported </v>
      </c>
      <c r="C873" s="51" t="str">
        <f>Annex!J607</f>
        <v>Female</v>
      </c>
      <c r="D873" s="51">
        <f>Annex!D607</f>
        <v>39</v>
      </c>
      <c r="E873" s="51" t="str">
        <f>Annex!K607</f>
        <v>Singaporean</v>
      </c>
      <c r="F873" s="51" t="str">
        <f>Annex!L607</f>
        <v>Case 872 is a Imported  case, 39 years old female Singapore Citizen  and has been to UAE . She is currently admitted at NCID . Contact of Case 832</v>
      </c>
      <c r="G873" s="48">
        <v>43920</v>
      </c>
      <c r="H873" s="51"/>
      <c r="I873" s="51"/>
      <c r="J873" s="51"/>
      <c r="K873" s="51"/>
      <c r="L873" s="51" t="str">
        <f>Annex!C607</f>
        <v xml:space="preserve">NCID </v>
      </c>
      <c r="M873" s="52" t="s">
        <v>1368</v>
      </c>
    </row>
    <row r="874" spans="1:13" ht="13.8" customHeight="1" x14ac:dyDescent="0.3">
      <c r="A874" s="51">
        <f>Annex!A608</f>
        <v>873</v>
      </c>
      <c r="B874" s="51" t="str">
        <f>IF(LEFT(Annex!H608,5)="Local","Local Transmission",Annex!H608)</f>
        <v>Local Transmission</v>
      </c>
      <c r="C874" s="51" t="str">
        <f>Annex!J608</f>
        <v>Female</v>
      </c>
      <c r="D874" s="51">
        <f>Annex!D608</f>
        <v>47</v>
      </c>
      <c r="E874" s="51" t="str">
        <f>Annex!K608</f>
        <v>Singaporean</v>
      </c>
      <c r="F874" s="51" t="str">
        <f>Annex!L608</f>
        <v>Case 873 is a Local linked  case, 47 years old female Singapore Citizen  and has been to Vietnam . She is currently admitted at NCID . Wilby Residences</v>
      </c>
      <c r="G874" s="48">
        <v>43920</v>
      </c>
      <c r="H874" s="51"/>
      <c r="I874" s="51"/>
      <c r="J874" s="51"/>
      <c r="K874" s="51"/>
      <c r="L874" s="51" t="str">
        <f>Annex!C608</f>
        <v xml:space="preserve">NCID </v>
      </c>
      <c r="M874" s="52" t="s">
        <v>1368</v>
      </c>
    </row>
    <row r="875" spans="1:13" ht="13.8" customHeight="1" x14ac:dyDescent="0.3">
      <c r="A875" s="51">
        <f>Annex!A609</f>
        <v>874</v>
      </c>
      <c r="B875" s="51" t="str">
        <f>IF(LEFT(Annex!H609,5)="Local","Local Transmission",Annex!H609)</f>
        <v>Imported</v>
      </c>
      <c r="C875" s="51" t="str">
        <f>Annex!J609</f>
        <v>Male</v>
      </c>
      <c r="D875" s="51">
        <f>Annex!D609</f>
        <v>25</v>
      </c>
      <c r="E875" s="51" t="str">
        <f>Annex!K609</f>
        <v>Singaporean</v>
      </c>
      <c r="F875" s="51" t="str">
        <f>Annex!L609</f>
        <v xml:space="preserve">Case 874 is a Imported case, 25 years old male Singapore Citizen  and has been to UK . He is currently admitted at NCID . </v>
      </c>
      <c r="G875" s="48">
        <v>43920</v>
      </c>
      <c r="H875" s="51"/>
      <c r="I875" s="51"/>
      <c r="J875" s="51"/>
      <c r="K875" s="51"/>
      <c r="L875" s="51" t="str">
        <f>Annex!C609</f>
        <v xml:space="preserve">NCID </v>
      </c>
      <c r="M875" s="52" t="s">
        <v>1368</v>
      </c>
    </row>
    <row r="876" spans="1:13" ht="13.8" customHeight="1" x14ac:dyDescent="0.3">
      <c r="A876" s="51">
        <f>Annex!A610</f>
        <v>875</v>
      </c>
      <c r="B876" s="51" t="str">
        <f>IF(LEFT(Annex!H610,5)="Local","Local Transmission",Annex!H610)</f>
        <v>Local Transmission</v>
      </c>
      <c r="C876" s="51" t="str">
        <f>Annex!J610</f>
        <v>Male</v>
      </c>
      <c r="D876" s="51">
        <f>Annex!D610</f>
        <v>29</v>
      </c>
      <c r="E876" s="51" t="str">
        <f>Annex!K610</f>
        <v>Bangladesh</v>
      </c>
      <c r="F876" s="51" t="str">
        <f>Annex!L610</f>
        <v xml:space="preserve">Case 875 is a Local unlinked case, 29 years old male Bangladesh (Singapore Work Pass holder)  and has not been overseas. He is currently admitted at NTFGH . </v>
      </c>
      <c r="G876" s="48">
        <v>43920</v>
      </c>
      <c r="H876" s="51"/>
      <c r="I876" s="51"/>
      <c r="J876" s="51"/>
      <c r="K876" s="51"/>
      <c r="L876" s="51" t="str">
        <f>Annex!C610</f>
        <v xml:space="preserve">NTFGH </v>
      </c>
      <c r="M876" s="52" t="s">
        <v>1368</v>
      </c>
    </row>
    <row r="877" spans="1:13" ht="13.8" customHeight="1" x14ac:dyDescent="0.3">
      <c r="A877" s="51">
        <f>Annex!A611</f>
        <v>876</v>
      </c>
      <c r="B877" s="51" t="str">
        <f>IF(LEFT(Annex!H611,5)="Local","Local Transmission",Annex!H611)</f>
        <v>Local Transmission</v>
      </c>
      <c r="C877" s="51" t="str">
        <f>Annex!J611</f>
        <v>Female</v>
      </c>
      <c r="D877" s="51">
        <f>Annex!D611</f>
        <v>53</v>
      </c>
      <c r="E877" s="51" t="str">
        <f>Annex!K611</f>
        <v>Singaporean</v>
      </c>
      <c r="F877" s="51" t="str">
        <f>Annex!L611</f>
        <v xml:space="preserve">Case 876 is a Local unlinked case, 53 years old female Singapore Citizen  and has not been overseas. She is currently admitted at NTFGH . </v>
      </c>
      <c r="G877" s="48">
        <v>43920</v>
      </c>
      <c r="H877" s="51"/>
      <c r="I877" s="51"/>
      <c r="J877" s="51"/>
      <c r="K877" s="51"/>
      <c r="L877" s="51" t="str">
        <f>Annex!C611</f>
        <v xml:space="preserve">NTFGH </v>
      </c>
      <c r="M877" s="52" t="s">
        <v>1368</v>
      </c>
    </row>
    <row r="878" spans="1:13" ht="13.8" customHeight="1" x14ac:dyDescent="0.3">
      <c r="A878" s="51">
        <f>Annex!A612</f>
        <v>877</v>
      </c>
      <c r="B878" s="51" t="str">
        <f>IF(LEFT(Annex!H612,5)="Local","Local Transmission",Annex!H612)</f>
        <v>Imported</v>
      </c>
      <c r="C878" s="51" t="str">
        <f>Annex!J612</f>
        <v>Male</v>
      </c>
      <c r="D878" s="51">
        <f>Annex!D612</f>
        <v>41</v>
      </c>
      <c r="E878" s="51" t="str">
        <f>Annex!K612</f>
        <v>Malaysia</v>
      </c>
      <c r="F878" s="51" t="str">
        <f>Annex!L612</f>
        <v xml:space="preserve">Case 877 is a Imported case, 41 years old male Malaysia (Singapore Work Pass holder)  and has been to Malaysia . He is currently admitted at NTFGH . </v>
      </c>
      <c r="G878" s="48">
        <v>43920</v>
      </c>
      <c r="H878" s="51"/>
      <c r="I878" s="51"/>
      <c r="J878" s="51"/>
      <c r="K878" s="51"/>
      <c r="L878" s="51" t="str">
        <f>Annex!C612</f>
        <v xml:space="preserve">NTFGH </v>
      </c>
      <c r="M878" s="52" t="s">
        <v>1368</v>
      </c>
    </row>
    <row r="879" spans="1:13" ht="13.8" customHeight="1" x14ac:dyDescent="0.3">
      <c r="A879" s="51">
        <f>Annex!A613</f>
        <v>878</v>
      </c>
      <c r="B879" s="51" t="str">
        <f>IF(LEFT(Annex!H613,5)="Local","Local Transmission",Annex!H613)</f>
        <v>Local Transmission</v>
      </c>
      <c r="C879" s="51" t="str">
        <f>Annex!J613</f>
        <v>Male</v>
      </c>
      <c r="D879" s="51">
        <f>Annex!D613</f>
        <v>34</v>
      </c>
      <c r="E879" s="51" t="str">
        <f>Annex!K613</f>
        <v>Singaporean</v>
      </c>
      <c r="F879" s="51" t="str">
        <f>Annex!L613</f>
        <v xml:space="preserve">Case 878 is a Local unlinked case, 34 years old male Singapore Citizen  and has not been overseas. He is currently admitted at SKH . </v>
      </c>
      <c r="G879" s="48">
        <v>43920</v>
      </c>
      <c r="H879" s="51"/>
      <c r="I879" s="51"/>
      <c r="J879" s="51"/>
      <c r="K879" s="51"/>
      <c r="L879" s="51" t="str">
        <f>Annex!C613</f>
        <v xml:space="preserve">SKH </v>
      </c>
      <c r="M879" s="52" t="s">
        <v>1368</v>
      </c>
    </row>
    <row r="880" spans="1:13" ht="13.8" customHeight="1" x14ac:dyDescent="0.3">
      <c r="A880" s="51">
        <f>Annex!A614</f>
        <v>879</v>
      </c>
      <c r="B880" s="51" t="str">
        <f>IF(LEFT(Annex!H614,5)="Local","Local Transmission",Annex!H614)</f>
        <v>Local Transmission</v>
      </c>
      <c r="C880" s="51" t="str">
        <f>Annex!J614</f>
        <v>Male</v>
      </c>
      <c r="D880" s="51">
        <f>Annex!D614</f>
        <v>26</v>
      </c>
      <c r="E880" s="51" t="str">
        <f>Annex!K614</f>
        <v>Singaporean</v>
      </c>
      <c r="F880" s="51" t="str">
        <f>Annex!L614</f>
        <v xml:space="preserve">Case 879 is a Local unlinked case, 26 years old male Singapore Citizen  and has been to Malaysia . He is currently admitted at CGH . </v>
      </c>
      <c r="G880" s="48">
        <v>43920</v>
      </c>
      <c r="H880" s="51"/>
      <c r="I880" s="51"/>
      <c r="J880" s="51"/>
      <c r="K880" s="51"/>
      <c r="L880" s="51" t="str">
        <f>Annex!C614</f>
        <v xml:space="preserve">CGH </v>
      </c>
      <c r="M880" s="52" t="s">
        <v>1368</v>
      </c>
    </row>
    <row r="881" spans="1:13" ht="13.8" customHeight="1" x14ac:dyDescent="0.3">
      <c r="A881" s="61">
        <f>Annex!A615</f>
        <v>880</v>
      </c>
      <c r="B881" s="61" t="str">
        <f>IF(LEFT(Annex!H615,5)="Local","Local Transmission",Annex!H615)</f>
        <v>Local Transmission</v>
      </c>
      <c r="C881" s="61" t="str">
        <f>Annex!J615</f>
        <v>Male</v>
      </c>
      <c r="D881" s="61">
        <f>Annex!D615</f>
        <v>49</v>
      </c>
      <c r="E881" s="61" t="str">
        <f>Annex!K615</f>
        <v>Bangladesh</v>
      </c>
      <c r="F881" s="61" t="str">
        <f>Annex!L615</f>
        <v xml:space="preserve">Case 880 is a Local unlinked case, 49 years old male Bangladesh (Singapore Work Pass holder)  and has not been overseas. He is currently admitted at NTFGH . </v>
      </c>
      <c r="G881" s="80">
        <v>43921</v>
      </c>
      <c r="H881" s="61"/>
      <c r="I881" s="61"/>
      <c r="J881" s="61"/>
      <c r="K881" s="61"/>
      <c r="L881" s="61" t="str">
        <f>Annex!C615</f>
        <v xml:space="preserve">NTFGH </v>
      </c>
      <c r="M881" s="81" t="s">
        <v>1383</v>
      </c>
    </row>
    <row r="882" spans="1:13" ht="13.8" customHeight="1" x14ac:dyDescent="0.3">
      <c r="A882" s="61">
        <f>Annex!A616</f>
        <v>881</v>
      </c>
      <c r="B882" s="61" t="str">
        <f>IF(LEFT(Annex!H616,5)="Local","Local Transmission",Annex!H616)</f>
        <v>Local Transmission</v>
      </c>
      <c r="C882" s="61" t="str">
        <f>Annex!J616</f>
        <v>Male</v>
      </c>
      <c r="D882" s="61">
        <f>Annex!D616</f>
        <v>39</v>
      </c>
      <c r="E882" s="61" t="str">
        <f>Annex!K616</f>
        <v>Singaporean</v>
      </c>
      <c r="F882" s="61" t="str">
        <f>Annex!L616</f>
        <v>Case 881 is a Local linked  case, 39 years old male Singapore Permanent Resident  and has been to Malaysia . He is currently admitted at SGH . SingPost Centre</v>
      </c>
      <c r="G882" s="80">
        <v>43921</v>
      </c>
      <c r="H882" s="61"/>
      <c r="I882" s="61"/>
      <c r="J882" s="61"/>
      <c r="K882" s="61"/>
      <c r="L882" s="61" t="str">
        <f>Annex!C616</f>
        <v xml:space="preserve">SGH </v>
      </c>
      <c r="M882" s="81" t="s">
        <v>1383</v>
      </c>
    </row>
    <row r="883" spans="1:13" ht="13.8" customHeight="1" x14ac:dyDescent="0.3">
      <c r="A883" s="61">
        <f>Annex!A617</f>
        <v>882</v>
      </c>
      <c r="B883" s="61" t="str">
        <f>IF(LEFT(Annex!H617,5)="Local","Local Transmission",Annex!H617)</f>
        <v>Imported</v>
      </c>
      <c r="C883" s="61" t="str">
        <f>Annex!J617</f>
        <v>Female</v>
      </c>
      <c r="D883" s="61">
        <f>Annex!D617</f>
        <v>29</v>
      </c>
      <c r="E883" s="61" t="str">
        <f>Annex!K617</f>
        <v>Singaporean</v>
      </c>
      <c r="F883" s="61" t="str">
        <f>Annex!L617</f>
        <v xml:space="preserve">Case 882 is a Imported case, 29 years old female Singapore Citizen  and has been to UK . She is currently admitted at SGH . </v>
      </c>
      <c r="G883" s="80">
        <v>43921</v>
      </c>
      <c r="H883" s="61"/>
      <c r="I883" s="61"/>
      <c r="J883" s="61"/>
      <c r="K883" s="61"/>
      <c r="L883" s="61" t="str">
        <f>Annex!C617</f>
        <v xml:space="preserve">SGH </v>
      </c>
      <c r="M883" s="81" t="s">
        <v>1383</v>
      </c>
    </row>
    <row r="884" spans="1:13" ht="13.8" customHeight="1" x14ac:dyDescent="0.3">
      <c r="A884" s="61">
        <f>Annex!A618</f>
        <v>883</v>
      </c>
      <c r="B884" s="61" t="str">
        <f>IF(LEFT(Annex!H618,5)="Local","Local Transmission",Annex!H618)</f>
        <v>Imported</v>
      </c>
      <c r="C884" s="61" t="str">
        <f>Annex!J618</f>
        <v>Female</v>
      </c>
      <c r="D884" s="61">
        <f>Annex!D618</f>
        <v>21</v>
      </c>
      <c r="E884" s="61" t="str">
        <f>Annex!K618</f>
        <v>Singaporean</v>
      </c>
      <c r="F884" s="61" t="str">
        <f>Annex!L618</f>
        <v xml:space="preserve">Case 883 is a Imported case, 21 years old female Singapore Citizen  and has been to UK . She is currently admitted at SGH . </v>
      </c>
      <c r="G884" s="80">
        <v>43921</v>
      </c>
      <c r="H884" s="61"/>
      <c r="I884" s="61"/>
      <c r="J884" s="61"/>
      <c r="K884" s="61"/>
      <c r="L884" s="61" t="str">
        <f>Annex!C618</f>
        <v xml:space="preserve">SGH </v>
      </c>
      <c r="M884" s="81" t="s">
        <v>1383</v>
      </c>
    </row>
    <row r="885" spans="1:13" ht="13.8" customHeight="1" x14ac:dyDescent="0.3">
      <c r="A885" s="61">
        <f>Annex!A619</f>
        <v>884</v>
      </c>
      <c r="B885" s="61" t="str">
        <f>IF(LEFT(Annex!H619,5)="Local","Local Transmission",Annex!H619)</f>
        <v>Local Transmission</v>
      </c>
      <c r="C885" s="61" t="str">
        <f>Annex!J619</f>
        <v>Male</v>
      </c>
      <c r="D885" s="61">
        <f>Annex!D619</f>
        <v>40</v>
      </c>
      <c r="E885" s="61" t="str">
        <f>Annex!K619</f>
        <v>Singaporean</v>
      </c>
      <c r="F885" s="61" t="str">
        <f>Annex!L619</f>
        <v xml:space="preserve">Case 884 is a Local unlinked case, 40 years old male Singapore Permanent Resident  and has not been overseas. He is currently admitted at SGH . </v>
      </c>
      <c r="G885" s="80">
        <v>43921</v>
      </c>
      <c r="H885" s="61"/>
      <c r="I885" s="61"/>
      <c r="J885" s="61"/>
      <c r="K885" s="61"/>
      <c r="L885" s="61" t="str">
        <f>Annex!C619</f>
        <v xml:space="preserve">SGH </v>
      </c>
      <c r="M885" s="81" t="s">
        <v>1383</v>
      </c>
    </row>
    <row r="886" spans="1:13" ht="13.8" customHeight="1" x14ac:dyDescent="0.3">
      <c r="A886" s="61">
        <f>Annex!A620</f>
        <v>885</v>
      </c>
      <c r="B886" s="61" t="str">
        <f>IF(LEFT(Annex!H620,5)="Local","Local Transmission",Annex!H620)</f>
        <v>Imported</v>
      </c>
      <c r="C886" s="61" t="str">
        <f>Annex!J620</f>
        <v>Male</v>
      </c>
      <c r="D886" s="61">
        <f>Annex!D620</f>
        <v>26</v>
      </c>
      <c r="E886" s="61" t="str">
        <f>Annex!K620</f>
        <v>Singaporean</v>
      </c>
      <c r="F886" s="61" t="str">
        <f>Annex!L620</f>
        <v xml:space="preserve">Case 885 is a Imported case, 26 years old male Singapore Citizen  and has been to Denmark . He is currently admitted at NCID . </v>
      </c>
      <c r="G886" s="80">
        <v>43921</v>
      </c>
      <c r="H886" s="79">
        <v>43924</v>
      </c>
      <c r="I886" s="61"/>
      <c r="J886" s="61"/>
      <c r="K886" s="61"/>
      <c r="L886" s="61" t="str">
        <f>Annex!C620</f>
        <v xml:space="preserve">NCID </v>
      </c>
      <c r="M886" s="81" t="s">
        <v>1383</v>
      </c>
    </row>
    <row r="887" spans="1:13" ht="13.8" customHeight="1" x14ac:dyDescent="0.3">
      <c r="A887" s="61">
        <f>Annex!A621</f>
        <v>886</v>
      </c>
      <c r="B887" s="61" t="str">
        <f>IF(LEFT(Annex!H621,5)="Local","Local Transmission",Annex!H621)</f>
        <v>Local Transmission</v>
      </c>
      <c r="C887" s="61" t="str">
        <f>Annex!J621</f>
        <v>Male</v>
      </c>
      <c r="D887" s="61">
        <f>Annex!D621</f>
        <v>36</v>
      </c>
      <c r="E887" s="61" t="str">
        <f>Annex!K621</f>
        <v>Singaporean</v>
      </c>
      <c r="F887" s="61" t="str">
        <f>Annex!L621</f>
        <v xml:space="preserve">Case 886 is a Local unlinked case, 36 years old male Singapore Citizen  and has not been overseas. He is currently admitted at SKH . </v>
      </c>
      <c r="G887" s="80">
        <v>43921</v>
      </c>
      <c r="H887" s="61"/>
      <c r="I887" s="61"/>
      <c r="J887" s="61"/>
      <c r="K887" s="61"/>
      <c r="L887" s="61" t="str">
        <f>Annex!C621</f>
        <v xml:space="preserve">SKH </v>
      </c>
      <c r="M887" s="81" t="s">
        <v>1383</v>
      </c>
    </row>
    <row r="888" spans="1:13" ht="13.8" customHeight="1" x14ac:dyDescent="0.3">
      <c r="A888" s="61">
        <f>Annex!A622</f>
        <v>887</v>
      </c>
      <c r="B888" s="61" t="str">
        <f>IF(LEFT(Annex!H622,5)="Local","Local Transmission",Annex!H622)</f>
        <v>Local Transmission</v>
      </c>
      <c r="C888" s="61" t="str">
        <f>Annex!J622</f>
        <v>Male</v>
      </c>
      <c r="D888" s="61">
        <f>Annex!D622</f>
        <v>62</v>
      </c>
      <c r="E888" s="61" t="str">
        <f>Annex!K622</f>
        <v>Singaporean</v>
      </c>
      <c r="F888" s="61" t="str">
        <f>Annex!L622</f>
        <v>Case 887 is a Local linked  case, 62 years old male Singapore Citizen  and has not been overseas. He is currently admitted at SKH . Family member of Case 857</v>
      </c>
      <c r="G888" s="80">
        <v>43921</v>
      </c>
      <c r="H888" s="61"/>
      <c r="I888" s="61"/>
      <c r="J888" s="61"/>
      <c r="K888" s="61"/>
      <c r="L888" s="61" t="str">
        <f>Annex!C622</f>
        <v xml:space="preserve">SKH </v>
      </c>
      <c r="M888" s="81" t="s">
        <v>1383</v>
      </c>
    </row>
    <row r="889" spans="1:13" ht="13.8" customHeight="1" x14ac:dyDescent="0.3">
      <c r="A889" s="61">
        <f>Annex!A623</f>
        <v>888</v>
      </c>
      <c r="B889" s="61" t="str">
        <f>IF(LEFT(Annex!H623,5)="Local","Local Transmission",Annex!H623)</f>
        <v>Imported</v>
      </c>
      <c r="C889" s="61" t="str">
        <f>Annex!J623</f>
        <v>Male</v>
      </c>
      <c r="D889" s="61">
        <f>Annex!D623</f>
        <v>24</v>
      </c>
      <c r="E889" s="61" t="str">
        <f>Annex!K623</f>
        <v>Singaporean</v>
      </c>
      <c r="F889" s="61" t="str">
        <f>Annex!L623</f>
        <v xml:space="preserve">Case 888 is a Imported case, 24 years old male Singapore Citizen  and has been to UK . He is currently admitted at NUH . </v>
      </c>
      <c r="G889" s="80">
        <v>43921</v>
      </c>
      <c r="H889" s="61"/>
      <c r="I889" s="61"/>
      <c r="J889" s="61"/>
      <c r="K889" s="61"/>
      <c r="L889" s="61" t="str">
        <f>Annex!C623</f>
        <v xml:space="preserve">NUH </v>
      </c>
      <c r="M889" s="81" t="s">
        <v>1383</v>
      </c>
    </row>
    <row r="890" spans="1:13" ht="13.8" customHeight="1" x14ac:dyDescent="0.3">
      <c r="A890" s="61">
        <f>Annex!A624</f>
        <v>889</v>
      </c>
      <c r="B890" s="61" t="str">
        <f>IF(LEFT(Annex!H624,5)="Local","Local Transmission",Annex!H624)</f>
        <v>Local Transmission</v>
      </c>
      <c r="C890" s="61" t="str">
        <f>Annex!J624</f>
        <v>Male</v>
      </c>
      <c r="D890" s="61">
        <f>Annex!D624</f>
        <v>65</v>
      </c>
      <c r="E890" s="61" t="str">
        <f>Annex!K624</f>
        <v>Singaporean</v>
      </c>
      <c r="F890" s="61" t="str">
        <f>Annex!L624</f>
        <v>Case 889 is a Local linked  case, 65 years old male Singapore Citizen  and has not been overseas. He is currently admitted at NUH . Family member of Case 927</v>
      </c>
      <c r="G890" s="80">
        <v>43921</v>
      </c>
      <c r="H890" s="61"/>
      <c r="I890" s="61"/>
      <c r="J890" s="61"/>
      <c r="K890" s="61"/>
      <c r="L890" s="61" t="str">
        <f>Annex!C624</f>
        <v xml:space="preserve">NUH </v>
      </c>
      <c r="M890" s="81" t="s">
        <v>1383</v>
      </c>
    </row>
    <row r="891" spans="1:13" ht="13.8" customHeight="1" x14ac:dyDescent="0.3">
      <c r="A891" s="61">
        <f>Annex!A625</f>
        <v>890</v>
      </c>
      <c r="B891" s="61" t="str">
        <f>IF(LEFT(Annex!H625,5)="Local","Local Transmission",Annex!H625)</f>
        <v>Imported</v>
      </c>
      <c r="C891" s="61" t="str">
        <f>Annex!J625</f>
        <v>Female</v>
      </c>
      <c r="D891" s="61">
        <f>Annex!D625</f>
        <v>35</v>
      </c>
      <c r="E891" s="61" t="str">
        <f>Annex!K625</f>
        <v>Singaporean</v>
      </c>
      <c r="F891" s="61" t="str">
        <f>Annex!L625</f>
        <v xml:space="preserve">Case 890 is a Imported case, 35 years old female Singapore Citizen  and has been to UK . She is currently admitted at AH . </v>
      </c>
      <c r="G891" s="80">
        <v>43921</v>
      </c>
      <c r="H891" s="61"/>
      <c r="I891" s="61"/>
      <c r="J891" s="61"/>
      <c r="K891" s="61"/>
      <c r="L891" s="61" t="str">
        <f>Annex!C625</f>
        <v xml:space="preserve">AH </v>
      </c>
      <c r="M891" s="81" t="s">
        <v>1383</v>
      </c>
    </row>
    <row r="892" spans="1:13" ht="13.8" customHeight="1" x14ac:dyDescent="0.3">
      <c r="A892" s="61">
        <f>Annex!A626</f>
        <v>891</v>
      </c>
      <c r="B892" s="61" t="str">
        <f>IF(LEFT(Annex!H626,5)="Local","Local Transmission",Annex!H626)</f>
        <v>Local Transmission</v>
      </c>
      <c r="C892" s="61" t="str">
        <f>Annex!J626</f>
        <v>Male</v>
      </c>
      <c r="D892" s="61">
        <f>Annex!D626</f>
        <v>21</v>
      </c>
      <c r="E892" s="61" t="str">
        <f>Annex!K626</f>
        <v>India</v>
      </c>
      <c r="F892" s="61" t="str">
        <f>Annex!L626</f>
        <v>Case 891 is a Local linked  case, 21 years old male India (Long Term Pass holder)  and has not been overseas. He is currently admitted at CGH . Contact of Cases 897 and 921</v>
      </c>
      <c r="G892" s="80">
        <v>43921</v>
      </c>
      <c r="H892" s="61"/>
      <c r="I892" s="61"/>
      <c r="J892" s="61"/>
      <c r="K892" s="61"/>
      <c r="L892" s="61" t="str">
        <f>Annex!C626</f>
        <v xml:space="preserve">CGH </v>
      </c>
      <c r="M892" s="81" t="s">
        <v>1383</v>
      </c>
    </row>
    <row r="893" spans="1:13" ht="13.8" customHeight="1" x14ac:dyDescent="0.3">
      <c r="A893" s="61">
        <f>Annex!A627</f>
        <v>892</v>
      </c>
      <c r="B893" s="61" t="str">
        <f>IF(LEFT(Annex!H627,5)="Local","Local Transmission",Annex!H627)</f>
        <v>Imported</v>
      </c>
      <c r="C893" s="61" t="str">
        <f>Annex!J627</f>
        <v>Male</v>
      </c>
      <c r="D893" s="61">
        <f>Annex!D627</f>
        <v>24</v>
      </c>
      <c r="E893" s="61" t="str">
        <f>Annex!K627</f>
        <v>Singaporean</v>
      </c>
      <c r="F893" s="61" t="str">
        <f>Annex!L627</f>
        <v xml:space="preserve">Case 892 is a Imported case, 24 years old male Singapore Citizen  and has been to Canada . He is currently admitted at NCID . </v>
      </c>
      <c r="G893" s="80">
        <v>43921</v>
      </c>
      <c r="H893" s="61"/>
      <c r="I893" s="61"/>
      <c r="J893" s="61"/>
      <c r="K893" s="61"/>
      <c r="L893" s="61" t="str">
        <f>Annex!C627</f>
        <v xml:space="preserve">NCID </v>
      </c>
      <c r="M893" s="81" t="s">
        <v>1383</v>
      </c>
    </row>
    <row r="894" spans="1:13" ht="13.8" customHeight="1" x14ac:dyDescent="0.3">
      <c r="A894" s="61">
        <f>Annex!A628</f>
        <v>893</v>
      </c>
      <c r="B894" s="61" t="str">
        <f>IF(LEFT(Annex!H628,5)="Local","Local Transmission",Annex!H628)</f>
        <v>Local Transmission</v>
      </c>
      <c r="C894" s="61" t="str">
        <f>Annex!J628</f>
        <v>Female</v>
      </c>
      <c r="D894" s="61">
        <f>Annex!D628</f>
        <v>44</v>
      </c>
      <c r="E894" s="61" t="str">
        <f>Annex!K628</f>
        <v>Singaporean</v>
      </c>
      <c r="F894" s="61" t="str">
        <f>Annex!L628</f>
        <v xml:space="preserve">Case 893 is a Local unlinked case, 44 years old female Singapore Citizen  and has not been overseas. She is currently admitted at NTFGH . </v>
      </c>
      <c r="G894" s="80">
        <v>43921</v>
      </c>
      <c r="H894" s="61"/>
      <c r="I894" s="61"/>
      <c r="J894" s="61"/>
      <c r="K894" s="61"/>
      <c r="L894" s="61" t="str">
        <f>Annex!C628</f>
        <v xml:space="preserve">NTFGH </v>
      </c>
      <c r="M894" s="81" t="s">
        <v>1383</v>
      </c>
    </row>
    <row r="895" spans="1:13" ht="13.8" customHeight="1" x14ac:dyDescent="0.3">
      <c r="A895" s="61">
        <f>Annex!A629</f>
        <v>894</v>
      </c>
      <c r="B895" s="61" t="str">
        <f>IF(LEFT(Annex!H629,5)="Local","Local Transmission",Annex!H629)</f>
        <v>Local Transmission</v>
      </c>
      <c r="C895" s="61" t="str">
        <f>Annex!J629</f>
        <v>Male</v>
      </c>
      <c r="D895" s="61">
        <f>Annex!D629</f>
        <v>27</v>
      </c>
      <c r="E895" s="61" t="str">
        <f>Annex!K629</f>
        <v>Singaporean</v>
      </c>
      <c r="F895" s="61" t="str">
        <f>Annex!L629</f>
        <v xml:space="preserve">Case 894 is a Local unlinked case, 27 years old male Singapore Citizen  and has not been overseas. He is currently admitted at NCID . </v>
      </c>
      <c r="G895" s="80">
        <v>43921</v>
      </c>
      <c r="H895" s="61"/>
      <c r="I895" s="61"/>
      <c r="J895" s="61"/>
      <c r="K895" s="61"/>
      <c r="L895" s="61" t="str">
        <f>Annex!C629</f>
        <v xml:space="preserve">NCID </v>
      </c>
      <c r="M895" s="81" t="s">
        <v>1383</v>
      </c>
    </row>
    <row r="896" spans="1:13" ht="13.8" customHeight="1" x14ac:dyDescent="0.3">
      <c r="A896" s="61">
        <f>Annex!A630</f>
        <v>895</v>
      </c>
      <c r="B896" s="61" t="str">
        <f>IF(LEFT(Annex!H630,5)="Local","Local Transmission",Annex!H630)</f>
        <v>Imported</v>
      </c>
      <c r="C896" s="61" t="str">
        <f>Annex!J630</f>
        <v>Male</v>
      </c>
      <c r="D896" s="61">
        <f>Annex!D630</f>
        <v>43</v>
      </c>
      <c r="E896" s="61" t="str">
        <f>Annex!K630</f>
        <v>Singaporean</v>
      </c>
      <c r="F896" s="61" t="str">
        <f>Annex!L630</f>
        <v xml:space="preserve">Case 895 is a Imported case, 43 years old male Singapore Permanent Resident  and has been to Indonesia . He is currently admitted at NCID . </v>
      </c>
      <c r="G896" s="80">
        <v>43921</v>
      </c>
      <c r="H896" s="78">
        <v>43925</v>
      </c>
      <c r="I896" s="61"/>
      <c r="J896" s="61"/>
      <c r="K896" s="61"/>
      <c r="L896" s="61" t="str">
        <f>Annex!C630</f>
        <v xml:space="preserve">NCID </v>
      </c>
      <c r="M896" s="81" t="s">
        <v>1383</v>
      </c>
    </row>
    <row r="897" spans="1:13" ht="13.8" customHeight="1" x14ac:dyDescent="0.3">
      <c r="A897" s="61">
        <f>Annex!A631</f>
        <v>896</v>
      </c>
      <c r="B897" s="61" t="str">
        <f>IF(LEFT(Annex!H631,5)="Local","Local Transmission",Annex!H631)</f>
        <v>Local Transmission</v>
      </c>
      <c r="C897" s="61" t="str">
        <f>Annex!J631</f>
        <v>Female</v>
      </c>
      <c r="D897" s="61">
        <f>Annex!D631</f>
        <v>29</v>
      </c>
      <c r="E897" s="61" t="str">
        <f>Annex!K631</f>
        <v>Philippines</v>
      </c>
      <c r="F897" s="61" t="str">
        <f>Annex!L631</f>
        <v xml:space="preserve">Case 896 is a Local unlinked case, 29 years old female Philippines (Singapore Work Pass holder)  and has not been overseas. She is currently admitted at NCID . </v>
      </c>
      <c r="G897" s="80">
        <v>43921</v>
      </c>
      <c r="H897" s="61"/>
      <c r="I897" s="61"/>
      <c r="J897" s="61"/>
      <c r="K897" s="61"/>
      <c r="L897" s="61" t="str">
        <f>Annex!C631</f>
        <v xml:space="preserve">NCID </v>
      </c>
      <c r="M897" s="81" t="s">
        <v>1383</v>
      </c>
    </row>
    <row r="898" spans="1:13" ht="13.8" customHeight="1" x14ac:dyDescent="0.3">
      <c r="A898" s="61">
        <f>Annex!A632</f>
        <v>897</v>
      </c>
      <c r="B898" s="61" t="str">
        <f>IF(LEFT(Annex!H632,5)="Local","Local Transmission",Annex!H632)</f>
        <v>Local Transmission</v>
      </c>
      <c r="C898" s="61" t="str">
        <f>Annex!J632</f>
        <v>Male</v>
      </c>
      <c r="D898" s="61">
        <f>Annex!D632</f>
        <v>33</v>
      </c>
      <c r="E898" s="61" t="str">
        <f>Annex!K632</f>
        <v>Sri Lanka</v>
      </c>
      <c r="F898" s="61" t="str">
        <f>Annex!L632</f>
        <v>Case 897 is a Local linked  case, 33 years old male Sri Lanka (Singapore Work Pass holder)  and has not been overseas. He is currently admitted at NCID . Contact of Cases 891 and 921</v>
      </c>
      <c r="G898" s="80">
        <v>43921</v>
      </c>
      <c r="H898" s="61"/>
      <c r="I898" s="61"/>
      <c r="J898" s="61"/>
      <c r="K898" s="61"/>
      <c r="L898" s="61" t="str">
        <f>Annex!C632</f>
        <v xml:space="preserve">NCID </v>
      </c>
      <c r="M898" s="81" t="s">
        <v>1383</v>
      </c>
    </row>
    <row r="899" spans="1:13" ht="13.8" customHeight="1" x14ac:dyDescent="0.3">
      <c r="A899" s="61">
        <f>Annex!A633</f>
        <v>898</v>
      </c>
      <c r="B899" s="61" t="str">
        <f>IF(LEFT(Annex!H633,5)="Local","Local Transmission",Annex!H633)</f>
        <v>Local Transmission</v>
      </c>
      <c r="C899" s="61" t="str">
        <f>Annex!J633</f>
        <v>Male</v>
      </c>
      <c r="D899" s="61">
        <f>Annex!D633</f>
        <v>53</v>
      </c>
      <c r="E899" s="61" t="str">
        <f>Annex!K633</f>
        <v>Philippines</v>
      </c>
      <c r="F899" s="61" t="str">
        <f>Annex!L633</f>
        <v xml:space="preserve">Case 898 is a Local unlinked case, 53 years old male Philippines (Singapore Work Pass holder)  and has not been overseas. He is currently admitted at NTFGH . </v>
      </c>
      <c r="G899" s="80">
        <v>43921</v>
      </c>
      <c r="H899" s="61"/>
      <c r="I899" s="61"/>
      <c r="J899" s="61"/>
      <c r="K899" s="61"/>
      <c r="L899" s="61" t="str">
        <f>Annex!C633</f>
        <v xml:space="preserve">NTFGH </v>
      </c>
      <c r="M899" s="81" t="s">
        <v>1383</v>
      </c>
    </row>
    <row r="900" spans="1:13" ht="13.8" customHeight="1" x14ac:dyDescent="0.3">
      <c r="A900" s="61">
        <f>Annex!A634</f>
        <v>899</v>
      </c>
      <c r="B900" s="61" t="str">
        <f>IF(LEFT(Annex!H634,5)="Local","Local Transmission",Annex!H634)</f>
        <v>Imported</v>
      </c>
      <c r="C900" s="61" t="str">
        <f>Annex!J634</f>
        <v>Male</v>
      </c>
      <c r="D900" s="61">
        <f>Annex!D634</f>
        <v>33</v>
      </c>
      <c r="E900" s="61" t="str">
        <f>Annex!K634</f>
        <v>Malaysia</v>
      </c>
      <c r="F900" s="61" t="str">
        <f>Annex!L634</f>
        <v xml:space="preserve">Case 899 is a Imported case, 33 years old male Malaysia (Singapore Work Pass holder)  and has been to Malaysia . He is currently admitted at NCID . </v>
      </c>
      <c r="G900" s="80">
        <v>43921</v>
      </c>
      <c r="H900" s="61"/>
      <c r="I900" s="61"/>
      <c r="J900" s="61"/>
      <c r="K900" s="61"/>
      <c r="L900" s="61" t="str">
        <f>Annex!C634</f>
        <v xml:space="preserve">NCID </v>
      </c>
      <c r="M900" s="81" t="s">
        <v>1383</v>
      </c>
    </row>
    <row r="901" spans="1:13" ht="13.8" customHeight="1" x14ac:dyDescent="0.3">
      <c r="A901" s="61">
        <f>Annex!A635</f>
        <v>900</v>
      </c>
      <c r="B901" s="61" t="str">
        <f>IF(LEFT(Annex!H635,5)="Local","Local Transmission",Annex!H635)</f>
        <v>Local Transmission</v>
      </c>
      <c r="C901" s="61" t="str">
        <f>Annex!J635</f>
        <v>Male</v>
      </c>
      <c r="D901" s="61">
        <f>Annex!D635</f>
        <v>50</v>
      </c>
      <c r="E901" s="61" t="str">
        <f>Annex!K635</f>
        <v>Singaporean</v>
      </c>
      <c r="F901" s="61" t="str">
        <f>Annex!L635</f>
        <v xml:space="preserve">Case 900 is a Local unlinked case, 50 years old male Singapore Permanent Resident  and has not been overseas. He is currently admitted at NCID . </v>
      </c>
      <c r="G901" s="80">
        <v>43921</v>
      </c>
      <c r="H901" s="61"/>
      <c r="I901" s="61"/>
      <c r="J901" s="61"/>
      <c r="K901" s="61"/>
      <c r="L901" s="61" t="str">
        <f>Annex!C635</f>
        <v xml:space="preserve">NCID </v>
      </c>
      <c r="M901" s="81" t="s">
        <v>1383</v>
      </c>
    </row>
    <row r="902" spans="1:13" ht="13.8" customHeight="1" x14ac:dyDescent="0.3">
      <c r="A902" s="61">
        <f>Annex!A636</f>
        <v>901</v>
      </c>
      <c r="B902" s="61" t="str">
        <f>IF(LEFT(Annex!H636,5)="Local","Local Transmission",Annex!H636)</f>
        <v>Imported</v>
      </c>
      <c r="C902" s="61" t="str">
        <f>Annex!J636</f>
        <v>Female</v>
      </c>
      <c r="D902" s="61">
        <f>Annex!D636</f>
        <v>54</v>
      </c>
      <c r="E902" s="61" t="str">
        <f>Annex!K636</f>
        <v>Singaporean</v>
      </c>
      <c r="F902" s="61" t="str">
        <f>Annex!L636</f>
        <v xml:space="preserve">Case 901 is a Imported case, 54 years old female Singapore Citizen  and has been to Turkey . She is currently admitted at NCID . </v>
      </c>
      <c r="G902" s="80">
        <v>43921</v>
      </c>
      <c r="H902" s="61"/>
      <c r="I902" s="61"/>
      <c r="J902" s="61"/>
      <c r="K902" s="61"/>
      <c r="L902" s="61" t="str">
        <f>Annex!C636</f>
        <v xml:space="preserve">NCID </v>
      </c>
      <c r="M902" s="81" t="s">
        <v>1383</v>
      </c>
    </row>
    <row r="903" spans="1:13" ht="13.8" customHeight="1" x14ac:dyDescent="0.3">
      <c r="A903" s="61">
        <f>Annex!A637</f>
        <v>902</v>
      </c>
      <c r="B903" s="61" t="str">
        <f>IF(LEFT(Annex!H637,5)="Local","Local Transmission",Annex!H637)</f>
        <v>Imported</v>
      </c>
      <c r="C903" s="61" t="str">
        <f>Annex!J637</f>
        <v>Male</v>
      </c>
      <c r="D903" s="61">
        <f>Annex!D637</f>
        <v>37</v>
      </c>
      <c r="E903" s="61" t="str">
        <f>Annex!K637</f>
        <v>Sri Lanka</v>
      </c>
      <c r="F903" s="61" t="str">
        <f>Annex!L637</f>
        <v xml:space="preserve">Case 902 is a Imported case, 37 years old male Sri Lanka (Singapore Work Pass holder)  and has been to Pending . He is currently admitted at NCID . </v>
      </c>
      <c r="G903" s="80">
        <v>43921</v>
      </c>
      <c r="H903" s="61"/>
      <c r="I903" s="61"/>
      <c r="J903" s="61"/>
      <c r="K903" s="61"/>
      <c r="L903" s="61" t="str">
        <f>Annex!C637</f>
        <v xml:space="preserve">NCID </v>
      </c>
      <c r="M903" s="81" t="s">
        <v>1383</v>
      </c>
    </row>
    <row r="904" spans="1:13" ht="13.8" customHeight="1" x14ac:dyDescent="0.3">
      <c r="A904" s="61">
        <f>Annex!A638</f>
        <v>903</v>
      </c>
      <c r="B904" s="61" t="str">
        <f>IF(LEFT(Annex!H638,5)="Local","Local Transmission",Annex!H638)</f>
        <v>Local Transmission</v>
      </c>
      <c r="C904" s="61" t="str">
        <f>Annex!J638</f>
        <v>Female</v>
      </c>
      <c r="D904" s="61">
        <f>Annex!D638</f>
        <v>27</v>
      </c>
      <c r="E904" s="61" t="str">
        <f>Annex!K638</f>
        <v>Singaporean</v>
      </c>
      <c r="F904" s="61" t="str">
        <f>Annex!L638</f>
        <v xml:space="preserve">Case 903 is a Local unlinked case, 27 years old female Singapore Citizen  and has not been overseas. She is currently admitted at NCID . </v>
      </c>
      <c r="G904" s="80">
        <v>43921</v>
      </c>
      <c r="H904" s="61"/>
      <c r="I904" s="61"/>
      <c r="J904" s="61"/>
      <c r="K904" s="61"/>
      <c r="L904" s="61" t="str">
        <f>Annex!C638</f>
        <v xml:space="preserve">NCID </v>
      </c>
      <c r="M904" s="81" t="s">
        <v>1383</v>
      </c>
    </row>
    <row r="905" spans="1:13" ht="13.8" customHeight="1" x14ac:dyDescent="0.3">
      <c r="A905" s="61">
        <f>Annex!A639</f>
        <v>904</v>
      </c>
      <c r="B905" s="61" t="str">
        <f>IF(LEFT(Annex!H639,5)="Local","Local Transmission",Annex!H639)</f>
        <v>Local Transmission</v>
      </c>
      <c r="C905" s="61" t="str">
        <f>Annex!J639</f>
        <v>Male</v>
      </c>
      <c r="D905" s="61">
        <f>Annex!D639</f>
        <v>49</v>
      </c>
      <c r="E905" s="61" t="str">
        <f>Annex!K639</f>
        <v>Singaporean</v>
      </c>
      <c r="F905" s="61" t="str">
        <f>Annex!L639</f>
        <v xml:space="preserve">Case 904 is a Local unlinked case, 49 years old male Singapore Permanent Resident  and has not been overseas. He is currently admitted at NCID . </v>
      </c>
      <c r="G905" s="80">
        <v>43921</v>
      </c>
      <c r="H905" s="61"/>
      <c r="I905" s="61"/>
      <c r="J905" s="61"/>
      <c r="K905" s="61"/>
      <c r="L905" s="61" t="str">
        <f>Annex!C639</f>
        <v xml:space="preserve">NCID </v>
      </c>
      <c r="M905" s="81" t="s">
        <v>1383</v>
      </c>
    </row>
    <row r="906" spans="1:13" ht="13.8" customHeight="1" x14ac:dyDescent="0.3">
      <c r="A906" s="61">
        <f>Annex!A640</f>
        <v>905</v>
      </c>
      <c r="B906" s="61" t="str">
        <f>IF(LEFT(Annex!H640,5)="Local","Local Transmission",Annex!H640)</f>
        <v>Imported</v>
      </c>
      <c r="C906" s="61" t="str">
        <f>Annex!J640</f>
        <v>Female</v>
      </c>
      <c r="D906" s="61">
        <f>Annex!D640</f>
        <v>22</v>
      </c>
      <c r="E906" s="61" t="str">
        <f>Annex!K640</f>
        <v>Singaporean</v>
      </c>
      <c r="F906" s="61" t="str">
        <f>Annex!L640</f>
        <v xml:space="preserve">Case 905 is a Imported case, 22 years old female Singapore Citizen  and has been to UK . She is currently admitted at AH . </v>
      </c>
      <c r="G906" s="80">
        <v>43921</v>
      </c>
      <c r="H906" s="61"/>
      <c r="I906" s="61"/>
      <c r="J906" s="61"/>
      <c r="K906" s="61"/>
      <c r="L906" s="61" t="str">
        <f>Annex!C640</f>
        <v xml:space="preserve">AH </v>
      </c>
      <c r="M906" s="81" t="s">
        <v>1383</v>
      </c>
    </row>
    <row r="907" spans="1:13" ht="13.8" customHeight="1" x14ac:dyDescent="0.3">
      <c r="A907" s="61">
        <f>Annex!A641</f>
        <v>906</v>
      </c>
      <c r="B907" s="61" t="str">
        <f>IF(LEFT(Annex!H641,5)="Local","Local Transmission",Annex!H641)</f>
        <v>Imported</v>
      </c>
      <c r="C907" s="61" t="str">
        <f>Annex!J641</f>
        <v>Male</v>
      </c>
      <c r="D907" s="61">
        <f>Annex!D641</f>
        <v>44</v>
      </c>
      <c r="E907" s="61" t="str">
        <f>Annex!K641</f>
        <v xml:space="preserve">Italy </v>
      </c>
      <c r="F907" s="61" t="str">
        <f>Annex!L641</f>
        <v xml:space="preserve">Case 906 is a Imported case, 44 years old male Italy  and has been to Pending . He is currently admitted at NCID . </v>
      </c>
      <c r="G907" s="80">
        <v>43921</v>
      </c>
      <c r="H907" s="61"/>
      <c r="I907" s="61"/>
      <c r="J907" s="61"/>
      <c r="K907" s="61"/>
      <c r="L907" s="61" t="str">
        <f>Annex!C641</f>
        <v xml:space="preserve">NCID </v>
      </c>
      <c r="M907" s="81" t="s">
        <v>1383</v>
      </c>
    </row>
    <row r="908" spans="1:13" ht="13.8" customHeight="1" x14ac:dyDescent="0.3">
      <c r="A908" s="61">
        <f>Annex!A642</f>
        <v>907</v>
      </c>
      <c r="B908" s="61" t="str">
        <f>IF(LEFT(Annex!H642,5)="Local","Local Transmission",Annex!H642)</f>
        <v>Local Transmission</v>
      </c>
      <c r="C908" s="61" t="str">
        <f>Annex!J642</f>
        <v>Male</v>
      </c>
      <c r="D908" s="61">
        <f>Annex!D642</f>
        <v>50</v>
      </c>
      <c r="E908" s="61" t="str">
        <f>Annex!K642</f>
        <v>Netherlands</v>
      </c>
      <c r="F908" s="61" t="str">
        <f>Annex!L642</f>
        <v xml:space="preserve">Case 907 is a Local unlinked case, 50 years old male Netherlands (Singapore Work Pass holder)  and has not been overseas. He is currently admitted at NCID . </v>
      </c>
      <c r="G908" s="80">
        <v>43921</v>
      </c>
      <c r="H908" s="61"/>
      <c r="I908" s="61"/>
      <c r="J908" s="61"/>
      <c r="K908" s="61"/>
      <c r="L908" s="61" t="str">
        <f>Annex!C642</f>
        <v xml:space="preserve">NCID </v>
      </c>
      <c r="M908" s="81" t="s">
        <v>1383</v>
      </c>
    </row>
    <row r="909" spans="1:13" ht="13.8" customHeight="1" x14ac:dyDescent="0.3">
      <c r="A909" s="61">
        <f>Annex!A643</f>
        <v>908</v>
      </c>
      <c r="B909" s="61" t="str">
        <f>IF(LEFT(Annex!H643,5)="Local","Local Transmission",Annex!H643)</f>
        <v>Local Transmission</v>
      </c>
      <c r="C909" s="61" t="str">
        <f>Annex!J643</f>
        <v>Male</v>
      </c>
      <c r="D909" s="61">
        <f>Annex!D643</f>
        <v>36</v>
      </c>
      <c r="E909" s="61" t="str">
        <f>Annex!K643</f>
        <v>Bangladesh</v>
      </c>
      <c r="F909" s="61" t="str">
        <f>Annex!L643</f>
        <v>Case 908 is a Local linked  case, 36 years old male Bangladesh (Singapore Work Pass holder)  and has not been overseas. He is currently admitted at NCID . Contact of Case 788</v>
      </c>
      <c r="G909" s="80">
        <v>43921</v>
      </c>
      <c r="H909" s="61"/>
      <c r="I909" s="61"/>
      <c r="J909" s="61"/>
      <c r="K909" s="61"/>
      <c r="L909" s="61" t="str">
        <f>Annex!C643</f>
        <v xml:space="preserve">NCID </v>
      </c>
      <c r="M909" s="81" t="s">
        <v>1383</v>
      </c>
    </row>
    <row r="910" spans="1:13" ht="13.8" customHeight="1" x14ac:dyDescent="0.3">
      <c r="A910" s="61">
        <f>Annex!A644</f>
        <v>909</v>
      </c>
      <c r="B910" s="61" t="str">
        <f>IF(LEFT(Annex!H644,5)="Local","Local Transmission",Annex!H644)</f>
        <v>Local Transmission</v>
      </c>
      <c r="C910" s="61" t="str">
        <f>Annex!J644</f>
        <v>Male</v>
      </c>
      <c r="D910" s="61">
        <f>Annex!D644</f>
        <v>58</v>
      </c>
      <c r="E910" s="61" t="str">
        <f>Annex!K644</f>
        <v>Singaporean</v>
      </c>
      <c r="F910" s="61" t="str">
        <f>Annex!L644</f>
        <v xml:space="preserve">Case 909 is a Local unlinked case, 58 years old male Singapore Citizen  and has not been overseas. He is currently admitted at KTPH . </v>
      </c>
      <c r="G910" s="80">
        <v>43921</v>
      </c>
      <c r="H910" s="61"/>
      <c r="I910" s="61"/>
      <c r="J910" s="61"/>
      <c r="K910" s="61"/>
      <c r="L910" s="61" t="str">
        <f>Annex!C644</f>
        <v xml:space="preserve">KTPH </v>
      </c>
      <c r="M910" s="81" t="s">
        <v>1383</v>
      </c>
    </row>
    <row r="911" spans="1:13" ht="13.8" customHeight="1" x14ac:dyDescent="0.3">
      <c r="A911" s="61">
        <f>Annex!A645</f>
        <v>910</v>
      </c>
      <c r="B911" s="61" t="str">
        <f>IF(LEFT(Annex!H645,5)="Local","Local Transmission",Annex!H645)</f>
        <v>Local Transmission</v>
      </c>
      <c r="C911" s="61" t="str">
        <f>Annex!J645</f>
        <v>Male</v>
      </c>
      <c r="D911" s="61">
        <f>Annex!D645</f>
        <v>59</v>
      </c>
      <c r="E911" s="61" t="str">
        <f>Annex!K645</f>
        <v>Singaporean</v>
      </c>
      <c r="F911" s="61" t="str">
        <f>Annex!L645</f>
        <v xml:space="preserve">Case 910 is a Local unlinked case, 59 years old male Singapore Citizen  and has not been overseas. He is currently admitted at NCID . </v>
      </c>
      <c r="G911" s="80">
        <v>43921</v>
      </c>
      <c r="H911" s="61"/>
      <c r="I911" s="61"/>
      <c r="J911" s="61"/>
      <c r="K911" s="61"/>
      <c r="L911" s="61" t="str">
        <f>Annex!C645</f>
        <v xml:space="preserve">NCID </v>
      </c>
      <c r="M911" s="81" t="s">
        <v>1383</v>
      </c>
    </row>
    <row r="912" spans="1:13" ht="13.8" customHeight="1" x14ac:dyDescent="0.3">
      <c r="A912" s="61">
        <f>Annex!A646</f>
        <v>911</v>
      </c>
      <c r="B912" s="61" t="str">
        <f>IF(LEFT(Annex!H646,5)="Local","Local Transmission",Annex!H646)</f>
        <v>Local Transmission</v>
      </c>
      <c r="C912" s="61" t="str">
        <f>Annex!J646</f>
        <v>Male</v>
      </c>
      <c r="D912" s="61">
        <f>Annex!D646</f>
        <v>78</v>
      </c>
      <c r="E912" s="61" t="str">
        <f>Annex!K646</f>
        <v>Singaporean</v>
      </c>
      <c r="F912" s="61" t="str">
        <f>Annex!L646</f>
        <v xml:space="preserve">Case 911 is a Local unlinked case, 78 years old male Singapore Citizen  and has not been overseas. He is currently admitted at NCID . </v>
      </c>
      <c r="G912" s="80">
        <v>43921</v>
      </c>
      <c r="H912" s="61"/>
      <c r="I912" s="61"/>
      <c r="J912" s="61"/>
      <c r="K912" s="61"/>
      <c r="L912" s="61" t="str">
        <f>Annex!C646</f>
        <v xml:space="preserve">NCID </v>
      </c>
      <c r="M912" s="81" t="s">
        <v>1383</v>
      </c>
    </row>
    <row r="913" spans="1:13" ht="13.8" customHeight="1" x14ac:dyDescent="0.3">
      <c r="A913" s="61">
        <f>Annex!A647</f>
        <v>912</v>
      </c>
      <c r="B913" s="61" t="str">
        <f>IF(LEFT(Annex!H647,5)="Local","Local Transmission",Annex!H647)</f>
        <v>Local Transmission</v>
      </c>
      <c r="C913" s="61" t="str">
        <f>Annex!J647</f>
        <v>Male</v>
      </c>
      <c r="D913" s="61">
        <f>Annex!D647</f>
        <v>39</v>
      </c>
      <c r="E913" s="61" t="str">
        <f>Annex!K647</f>
        <v>Singaporean</v>
      </c>
      <c r="F913" s="61" t="str">
        <f>Annex!L647</f>
        <v xml:space="preserve">Case 912 is a Local unlinked case, 39 years old male Singapore Citizen  and has not been overseas. He is currently admitted at NCID . </v>
      </c>
      <c r="G913" s="80">
        <v>43921</v>
      </c>
      <c r="H913" s="61"/>
      <c r="I913" s="61"/>
      <c r="J913" s="61"/>
      <c r="K913" s="61"/>
      <c r="L913" s="61" t="str">
        <f>Annex!C647</f>
        <v xml:space="preserve">NCID </v>
      </c>
      <c r="M913" s="81" t="s">
        <v>1383</v>
      </c>
    </row>
    <row r="914" spans="1:13" ht="13.8" customHeight="1" x14ac:dyDescent="0.3">
      <c r="A914" s="61">
        <f>Annex!A648</f>
        <v>913</v>
      </c>
      <c r="B914" s="61" t="str">
        <f>IF(LEFT(Annex!H648,5)="Local","Local Transmission",Annex!H648)</f>
        <v>Imported</v>
      </c>
      <c r="C914" s="61" t="str">
        <f>Annex!J648</f>
        <v>Female</v>
      </c>
      <c r="D914" s="61">
        <f>Annex!D648</f>
        <v>66</v>
      </c>
      <c r="E914" s="61" t="str">
        <f>Annex!K648</f>
        <v>Singaporean</v>
      </c>
      <c r="F914" s="61" t="str">
        <f>Annex!L648</f>
        <v xml:space="preserve">Case 913 is a Imported case, 66 years old female Singapore Citizen  and has been to Australia . She is currently admitted at NCID . </v>
      </c>
      <c r="G914" s="80">
        <v>43921</v>
      </c>
      <c r="H914" s="61"/>
      <c r="I914" s="61"/>
      <c r="J914" s="61"/>
      <c r="K914" s="61"/>
      <c r="L914" s="61" t="str">
        <f>Annex!C648</f>
        <v xml:space="preserve">NCID </v>
      </c>
      <c r="M914" s="81" t="s">
        <v>1383</v>
      </c>
    </row>
    <row r="915" spans="1:13" ht="13.8" customHeight="1" x14ac:dyDescent="0.3">
      <c r="A915" s="61">
        <f>Annex!A649</f>
        <v>914</v>
      </c>
      <c r="B915" s="61" t="str">
        <f>IF(LEFT(Annex!H649,5)="Local","Local Transmission",Annex!H649)</f>
        <v>Local Transmission</v>
      </c>
      <c r="C915" s="61" t="str">
        <f>Annex!J649</f>
        <v>Male</v>
      </c>
      <c r="D915" s="61">
        <f>Annex!D649</f>
        <v>55</v>
      </c>
      <c r="E915" s="61" t="str">
        <f>Annex!K649</f>
        <v>Singaporean</v>
      </c>
      <c r="F915" s="61" t="str">
        <f>Annex!L649</f>
        <v>Case 914 is a Local linked  case, 55 years old male Singapore Citizen  and has not been overseas. He is currently admitted at NCID . Family member of Case 876</v>
      </c>
      <c r="G915" s="80">
        <v>43921</v>
      </c>
      <c r="H915" s="61"/>
      <c r="I915" s="61"/>
      <c r="J915" s="61"/>
      <c r="K915" s="61"/>
      <c r="L915" s="61" t="str">
        <f>Annex!C649</f>
        <v xml:space="preserve">NCID </v>
      </c>
      <c r="M915" s="81" t="s">
        <v>1383</v>
      </c>
    </row>
    <row r="916" spans="1:13" ht="13.8" customHeight="1" x14ac:dyDescent="0.3">
      <c r="A916" s="61">
        <f>Annex!A650</f>
        <v>915</v>
      </c>
      <c r="B916" s="61" t="str">
        <f>IF(LEFT(Annex!H650,5)="Local","Local Transmission",Annex!H650)</f>
        <v>Imported</v>
      </c>
      <c r="C916" s="61" t="str">
        <f>Annex!J650</f>
        <v>Male</v>
      </c>
      <c r="D916" s="61">
        <f>Annex!D650</f>
        <v>24</v>
      </c>
      <c r="E916" s="61" t="str">
        <f>Annex!K650</f>
        <v>Singaporean</v>
      </c>
      <c r="F916" s="61" t="str">
        <f>Annex!L650</f>
        <v xml:space="preserve">Case 915 is a Imported case, 24 years old male Singapore Citizen  and has been to UK . He is currently admitted at NCID . </v>
      </c>
      <c r="G916" s="80">
        <v>43921</v>
      </c>
      <c r="H916" s="61"/>
      <c r="I916" s="61"/>
      <c r="J916" s="61"/>
      <c r="K916" s="61"/>
      <c r="L916" s="61" t="str">
        <f>Annex!C650</f>
        <v xml:space="preserve">NCID </v>
      </c>
      <c r="M916" s="81" t="s">
        <v>1383</v>
      </c>
    </row>
    <row r="917" spans="1:13" ht="13.8" customHeight="1" x14ac:dyDescent="0.3">
      <c r="A917" s="61">
        <f>Annex!A651</f>
        <v>916</v>
      </c>
      <c r="B917" s="61" t="str">
        <f>IF(LEFT(Annex!H651,5)="Local","Local Transmission",Annex!H651)</f>
        <v>Local Transmission</v>
      </c>
      <c r="C917" s="61" t="str">
        <f>Annex!J651</f>
        <v>Female</v>
      </c>
      <c r="D917" s="61">
        <f>Annex!D651</f>
        <v>46</v>
      </c>
      <c r="E917" s="61" t="str">
        <f>Annex!K651</f>
        <v>Singaporean</v>
      </c>
      <c r="F917" s="61" t="str">
        <f>Annex!L651</f>
        <v>Case 916 is a Local Linked  case, 46 years old female Singapore Citizen  and has not been overseas. She is currently admitted at NCID . Contact of Case 488</v>
      </c>
      <c r="G917" s="80">
        <v>43921</v>
      </c>
      <c r="H917" s="61"/>
      <c r="I917" s="61"/>
      <c r="J917" s="61"/>
      <c r="K917" s="61"/>
      <c r="L917" s="61" t="str">
        <f>Annex!C651</f>
        <v xml:space="preserve">NCID </v>
      </c>
      <c r="M917" s="81" t="s">
        <v>1383</v>
      </c>
    </row>
    <row r="918" spans="1:13" ht="13.8" customHeight="1" x14ac:dyDescent="0.3">
      <c r="A918" s="61">
        <f>Annex!A652</f>
        <v>917</v>
      </c>
      <c r="B918" s="61" t="str">
        <f>IF(LEFT(Annex!H652,5)="Local","Local Transmission",Annex!H652)</f>
        <v>Imported</v>
      </c>
      <c r="C918" s="61" t="str">
        <f>Annex!J652</f>
        <v>Female</v>
      </c>
      <c r="D918" s="61">
        <f>Annex!D652</f>
        <v>23</v>
      </c>
      <c r="E918" s="61" t="str">
        <f>Annex!K652</f>
        <v>Singaporean</v>
      </c>
      <c r="F918" s="61" t="str">
        <f>Annex!L652</f>
        <v xml:space="preserve">Case 917 is a Imported case, 23 years old female Singapore Citizen  and has been to UK . She is currently admitted at NCID . </v>
      </c>
      <c r="G918" s="80">
        <v>43921</v>
      </c>
      <c r="H918" s="61"/>
      <c r="I918" s="61"/>
      <c r="J918" s="61"/>
      <c r="K918" s="61"/>
      <c r="L918" s="61" t="str">
        <f>Annex!C652</f>
        <v xml:space="preserve">NCID </v>
      </c>
      <c r="M918" s="81" t="s">
        <v>1383</v>
      </c>
    </row>
    <row r="919" spans="1:13" ht="13.8" customHeight="1" x14ac:dyDescent="0.3">
      <c r="A919" s="61">
        <f>Annex!A653</f>
        <v>918</v>
      </c>
      <c r="B919" s="61" t="str">
        <f>IF(LEFT(Annex!H653,5)="Local","Local Transmission",Annex!H653)</f>
        <v>Local Transmission</v>
      </c>
      <c r="C919" s="61" t="str">
        <f>Annex!J653</f>
        <v>Female</v>
      </c>
      <c r="D919" s="61">
        <f>Annex!D653</f>
        <v>86</v>
      </c>
      <c r="E919" s="61" t="str">
        <f>Annex!K653</f>
        <v>Singaporean</v>
      </c>
      <c r="F919" s="61" t="str">
        <f>Annex!L653</f>
        <v xml:space="preserve">Case 918 is a Local unlinked case, 86 years old female Singapore Citizen  and has not been overseas. She is currently admitted at NCID . </v>
      </c>
      <c r="G919" s="80">
        <v>43921</v>
      </c>
      <c r="H919" s="61"/>
      <c r="I919" s="79">
        <v>43924</v>
      </c>
      <c r="J919" s="61"/>
      <c r="K919" s="61"/>
      <c r="L919" s="61" t="str">
        <f>Annex!C653</f>
        <v xml:space="preserve">NCID </v>
      </c>
      <c r="M919" s="81" t="s">
        <v>1383</v>
      </c>
    </row>
    <row r="920" spans="1:13" ht="13.8" customHeight="1" x14ac:dyDescent="0.3">
      <c r="A920" s="61">
        <f>Annex!A654</f>
        <v>919</v>
      </c>
      <c r="B920" s="61" t="str">
        <f>IF(LEFT(Annex!H654,5)="Local","Local Transmission",Annex!H654)</f>
        <v>Local Transmission</v>
      </c>
      <c r="C920" s="61" t="str">
        <f>Annex!J654</f>
        <v>Male</v>
      </c>
      <c r="D920" s="61">
        <f>Annex!D654</f>
        <v>56</v>
      </c>
      <c r="E920" s="61" t="str">
        <f>Annex!K654</f>
        <v>Singaporean</v>
      </c>
      <c r="F920" s="61" t="str">
        <f>Annex!L654</f>
        <v xml:space="preserve">Case 919 is a Local unlinked case, 56 years old male Singapore Citizen  and has not been overseas. He is currently admitted at NCID . </v>
      </c>
      <c r="G920" s="80">
        <v>43921</v>
      </c>
      <c r="H920" s="61"/>
      <c r="I920" s="61"/>
      <c r="J920" s="61"/>
      <c r="K920" s="61"/>
      <c r="L920" s="61" t="str">
        <f>Annex!C654</f>
        <v xml:space="preserve">NCID </v>
      </c>
      <c r="M920" s="81" t="s">
        <v>1383</v>
      </c>
    </row>
    <row r="921" spans="1:13" ht="13.8" customHeight="1" x14ac:dyDescent="0.3">
      <c r="A921" s="61">
        <f>Annex!A655</f>
        <v>920</v>
      </c>
      <c r="B921" s="61" t="str">
        <f>IF(LEFT(Annex!H655,5)="Local","Local Transmission",Annex!H655)</f>
        <v>Local Transmission</v>
      </c>
      <c r="C921" s="61" t="str">
        <f>Annex!J655</f>
        <v>Female</v>
      </c>
      <c r="D921" s="61">
        <f>Annex!D655</f>
        <v>55</v>
      </c>
      <c r="E921" s="61" t="str">
        <f>Annex!K655</f>
        <v>Singaporean</v>
      </c>
      <c r="F921" s="61" t="str">
        <f>Annex!L655</f>
        <v xml:space="preserve">Case 920 is a Local unlinked case, 55 years old female Singapore Citizen  and has not been overseas. She is currently admitted at CGH . </v>
      </c>
      <c r="G921" s="80">
        <v>43921</v>
      </c>
      <c r="H921" s="61"/>
      <c r="I921" s="61"/>
      <c r="J921" s="61"/>
      <c r="K921" s="61"/>
      <c r="L921" s="61" t="str">
        <f>Annex!C655</f>
        <v xml:space="preserve">CGH </v>
      </c>
      <c r="M921" s="81" t="s">
        <v>1383</v>
      </c>
    </row>
    <row r="922" spans="1:13" ht="13.8" customHeight="1" x14ac:dyDescent="0.3">
      <c r="A922" s="61">
        <f>Annex!A656</f>
        <v>921</v>
      </c>
      <c r="B922" s="61" t="str">
        <f>IF(LEFT(Annex!H656,5)="Local","Local Transmission",Annex!H656)</f>
        <v>Local Transmission</v>
      </c>
      <c r="C922" s="61" t="str">
        <f>Annex!J656</f>
        <v>Male</v>
      </c>
      <c r="D922" s="61">
        <f>Annex!D656</f>
        <v>32</v>
      </c>
      <c r="E922" s="61" t="str">
        <f>Annex!K656</f>
        <v>India</v>
      </c>
      <c r="F922" s="61" t="str">
        <f>Annex!L656</f>
        <v>Case 921 is a Local linked  case, 32 years old male India (Singapore Work Pass holder)  and has been to India . He is currently admitted at NCID . Contact of Cases 891 and 921</v>
      </c>
      <c r="G922" s="80">
        <v>43921</v>
      </c>
      <c r="H922" s="61"/>
      <c r="I922" s="61"/>
      <c r="J922" s="61"/>
      <c r="K922" s="61"/>
      <c r="L922" s="61" t="str">
        <f>Annex!C656</f>
        <v xml:space="preserve">NCID </v>
      </c>
      <c r="M922" s="81" t="s">
        <v>1383</v>
      </c>
    </row>
    <row r="923" spans="1:13" ht="13.8" customHeight="1" x14ac:dyDescent="0.3">
      <c r="A923" s="61">
        <f>Annex!A657</f>
        <v>922</v>
      </c>
      <c r="B923" s="61" t="str">
        <f>IF(LEFT(Annex!H657,5)="Local","Local Transmission",Annex!H657)</f>
        <v>Local Transmission</v>
      </c>
      <c r="C923" s="61" t="str">
        <f>Annex!J657</f>
        <v>Male</v>
      </c>
      <c r="D923" s="61">
        <f>Annex!D657</f>
        <v>36</v>
      </c>
      <c r="E923" s="61" t="str">
        <f>Annex!K657</f>
        <v>Bangladesh</v>
      </c>
      <c r="F923" s="61" t="str">
        <f>Annex!L657</f>
        <v>Case 922 is a Local linked  case, 36 years old male Bangladesh (Singapore Work Pass holder)  and has not been overseas. He is currently admitted at NCID . Westlite Toh Guan</v>
      </c>
      <c r="G923" s="80">
        <v>43921</v>
      </c>
      <c r="H923" s="61"/>
      <c r="I923" s="61"/>
      <c r="J923" s="61"/>
      <c r="K923" s="61"/>
      <c r="L923" s="61" t="str">
        <f>Annex!C657</f>
        <v xml:space="preserve">NCID </v>
      </c>
      <c r="M923" s="81" t="s">
        <v>1383</v>
      </c>
    </row>
    <row r="924" spans="1:13" ht="13.8" customHeight="1" x14ac:dyDescent="0.3">
      <c r="A924" s="61">
        <f>Annex!A658</f>
        <v>923</v>
      </c>
      <c r="B924" s="61" t="str">
        <f>IF(LEFT(Annex!H658,5)="Local","Local Transmission",Annex!H658)</f>
        <v xml:space="preserve">Imported </v>
      </c>
      <c r="C924" s="61" t="str">
        <f>Annex!J658</f>
        <v>Male</v>
      </c>
      <c r="D924" s="61">
        <f>Annex!D658</f>
        <v>20</v>
      </c>
      <c r="E924" s="61" t="str">
        <f>Annex!K658</f>
        <v>Singaporean</v>
      </c>
      <c r="F924" s="61" t="str">
        <f>Annex!L658</f>
        <v xml:space="preserve">Case 923 is a Imported  case, 20 years old male Singapore Citizen  and has been to UK . He is currently admitted at NCID . </v>
      </c>
      <c r="G924" s="80">
        <v>43921</v>
      </c>
      <c r="H924" s="61"/>
      <c r="I924" s="61"/>
      <c r="J924" s="61"/>
      <c r="K924" s="61"/>
      <c r="L924" s="61" t="str">
        <f>Annex!C658</f>
        <v xml:space="preserve">NCID </v>
      </c>
      <c r="M924" s="81" t="s">
        <v>1383</v>
      </c>
    </row>
    <row r="925" spans="1:13" ht="13.8" customHeight="1" x14ac:dyDescent="0.3">
      <c r="A925" s="61">
        <f>Annex!A659</f>
        <v>924</v>
      </c>
      <c r="B925" s="61" t="str">
        <f>IF(LEFT(Annex!H659,5)="Local","Local Transmission",Annex!H659)</f>
        <v>Local Transmission</v>
      </c>
      <c r="C925" s="61" t="str">
        <f>Annex!J659</f>
        <v>Male</v>
      </c>
      <c r="D925" s="61">
        <f>Annex!D659</f>
        <v>34</v>
      </c>
      <c r="E925" s="61" t="str">
        <f>Annex!K659</f>
        <v>Bangladesh</v>
      </c>
      <c r="F925" s="61" t="str">
        <f>Annex!L659</f>
        <v>Case 924 is a Local linked  case, 34 years old male Bangladesh (Singapore Work Pass holder)  and has not been overseas. He is currently admitted at NCID . Westlite Toh Guan</v>
      </c>
      <c r="G925" s="80">
        <v>43921</v>
      </c>
      <c r="H925" s="61"/>
      <c r="I925" s="61"/>
      <c r="J925" s="61"/>
      <c r="K925" s="61"/>
      <c r="L925" s="61" t="str">
        <f>Annex!C659</f>
        <v xml:space="preserve">NCID </v>
      </c>
      <c r="M925" s="81" t="s">
        <v>1383</v>
      </c>
    </row>
    <row r="926" spans="1:13" ht="13.8" customHeight="1" x14ac:dyDescent="0.3">
      <c r="A926" s="61">
        <f>Annex!A660</f>
        <v>925</v>
      </c>
      <c r="B926" s="61" t="str">
        <f>IF(LEFT(Annex!H660,5)="Local","Local Transmission",Annex!H660)</f>
        <v>Local Transmission</v>
      </c>
      <c r="C926" s="61" t="str">
        <f>Annex!J660</f>
        <v>Male</v>
      </c>
      <c r="D926" s="61">
        <f>Annex!D660</f>
        <v>33</v>
      </c>
      <c r="E926" s="61" t="str">
        <f>Annex!K660</f>
        <v>Bangladesh</v>
      </c>
      <c r="F926" s="61" t="str">
        <f>Annex!L660</f>
        <v>Case 925 is a Local linked  case, 33 years old male Bangladesh (Singapore Work Pass holder)  and has not been overseas. He is currently admitted at NCID . Westlite Toh Guan</v>
      </c>
      <c r="G926" s="80">
        <v>43921</v>
      </c>
      <c r="H926" s="61"/>
      <c r="I926" s="61"/>
      <c r="J926" s="61"/>
      <c r="K926" s="61"/>
      <c r="L926" s="61" t="str">
        <f>Annex!C660</f>
        <v xml:space="preserve">NCID </v>
      </c>
      <c r="M926" s="81" t="s">
        <v>1383</v>
      </c>
    </row>
    <row r="927" spans="1:13" ht="13.8" customHeight="1" x14ac:dyDescent="0.3">
      <c r="A927" s="61">
        <f>Annex!A661</f>
        <v>926</v>
      </c>
      <c r="B927" s="61" t="str">
        <f>IF(LEFT(Annex!H661,5)="Local","Local Transmission",Annex!H661)</f>
        <v>Local Transmission</v>
      </c>
      <c r="C927" s="61" t="str">
        <f>Annex!J661</f>
        <v>Male</v>
      </c>
      <c r="D927" s="61">
        <f>Annex!D661</f>
        <v>33</v>
      </c>
      <c r="E927" s="61" t="str">
        <f>Annex!K661</f>
        <v>Bangladesh</v>
      </c>
      <c r="F927" s="61" t="str">
        <f>Annex!L661</f>
        <v>Case 926 is a Local linked  case, 33 years old male Bangladesh (Singapore Work Pass holder)  and has not been overseas. He is currently admitted at NCID . Westlite Toh Guan</v>
      </c>
      <c r="G927" s="80">
        <v>43921</v>
      </c>
      <c r="H927" s="61"/>
      <c r="I927" s="61"/>
      <c r="J927" s="61"/>
      <c r="K927" s="61"/>
      <c r="L927" s="61" t="str">
        <f>Annex!C661</f>
        <v xml:space="preserve">NCID </v>
      </c>
      <c r="M927" s="81" t="s">
        <v>1383</v>
      </c>
    </row>
    <row r="928" spans="1:13" ht="13.8" customHeight="1" x14ac:dyDescent="0.3">
      <c r="A928" s="55">
        <f>Annex!A662</f>
        <v>927</v>
      </c>
      <c r="B928" s="55" t="str">
        <f>IF(LEFT(Annex!H662,5)="Local","Local Transmission",Annex!H662)</f>
        <v>Local Transmission</v>
      </c>
      <c r="C928" s="55" t="str">
        <f>Annex!J662</f>
        <v>Female</v>
      </c>
      <c r="D928" s="55">
        <f>Annex!D662</f>
        <v>61</v>
      </c>
      <c r="E928" s="55" t="str">
        <f>Annex!K662</f>
        <v>Singaporean</v>
      </c>
      <c r="F928" s="55" t="str">
        <f>Annex!L662</f>
        <v>Case 927 is a Local linked  case, 61 years old female Singapore Citizen  and has not been overseas. She is currently admitted at NUH . Family member of Cases 889 and 942</v>
      </c>
      <c r="G928" s="82">
        <v>43922</v>
      </c>
      <c r="H928" s="55"/>
      <c r="I928" s="55"/>
      <c r="J928" s="55"/>
      <c r="K928" s="55"/>
      <c r="L928" s="55" t="str">
        <f>Annex!C662</f>
        <v xml:space="preserve">NUH </v>
      </c>
      <c r="M928" s="83" t="s">
        <v>1369</v>
      </c>
    </row>
    <row r="929" spans="1:13" ht="13.8" customHeight="1" x14ac:dyDescent="0.3">
      <c r="A929" s="55">
        <f>Annex!A663</f>
        <v>928</v>
      </c>
      <c r="B929" s="55" t="str">
        <f>IF(LEFT(Annex!H663,5)="Local","Local Transmission",Annex!H663)</f>
        <v>Imported</v>
      </c>
      <c r="C929" s="55" t="str">
        <f>Annex!J663</f>
        <v>Female</v>
      </c>
      <c r="D929" s="55">
        <f>Annex!D663</f>
        <v>72</v>
      </c>
      <c r="E929" s="55" t="str">
        <f>Annex!K663</f>
        <v>Indonesia</v>
      </c>
      <c r="F929" s="55" t="str">
        <f>Annex!L663</f>
        <v xml:space="preserve">Case 928 is a Imported case, 72 years old female Indonesia (Long Term Pass holder)  and has been to Indonesia . She is currently admitted at AH . </v>
      </c>
      <c r="G929" s="82">
        <v>43922</v>
      </c>
      <c r="H929" s="55"/>
      <c r="I929" s="55"/>
      <c r="J929" s="55"/>
      <c r="K929" s="55"/>
      <c r="L929" s="55" t="str">
        <f>Annex!C663</f>
        <v xml:space="preserve">AH </v>
      </c>
      <c r="M929" s="83" t="s">
        <v>1369</v>
      </c>
    </row>
    <row r="930" spans="1:13" ht="13.8" customHeight="1" x14ac:dyDescent="0.3">
      <c r="A930" s="55">
        <f>Annex!A664</f>
        <v>929</v>
      </c>
      <c r="B930" s="55" t="str">
        <f>IF(LEFT(Annex!H664,5)="Local","Local Transmission",Annex!H664)</f>
        <v>Local Transmission</v>
      </c>
      <c r="C930" s="55" t="str">
        <f>Annex!J664</f>
        <v>Female</v>
      </c>
      <c r="D930" s="55">
        <f>Annex!D664</f>
        <v>37</v>
      </c>
      <c r="E930" s="55" t="str">
        <f>Annex!K664</f>
        <v>Singaporean</v>
      </c>
      <c r="F930" s="55" t="str">
        <f>Annex!L664</f>
        <v xml:space="preserve">Case 929 is a Local unlinked case, 37 years old female Singapore Citizen  and has not been overseas. She is currently admitted at NCID . </v>
      </c>
      <c r="G930" s="82">
        <v>43922</v>
      </c>
      <c r="H930" s="55"/>
      <c r="I930" s="55"/>
      <c r="J930" s="55"/>
      <c r="K930" s="55"/>
      <c r="L930" s="55" t="str">
        <f>Annex!C664</f>
        <v xml:space="preserve">NCID </v>
      </c>
      <c r="M930" s="83" t="s">
        <v>1369</v>
      </c>
    </row>
    <row r="931" spans="1:13" ht="13.8" customHeight="1" x14ac:dyDescent="0.3">
      <c r="A931" s="55">
        <f>Annex!A665</f>
        <v>930</v>
      </c>
      <c r="B931" s="55" t="str">
        <f>IF(LEFT(Annex!H665,5)="Local","Local Transmission",Annex!H665)</f>
        <v>Local Transmission</v>
      </c>
      <c r="C931" s="55" t="str">
        <f>Annex!J665</f>
        <v>Female</v>
      </c>
      <c r="D931" s="55">
        <f>Annex!D665</f>
        <v>23</v>
      </c>
      <c r="E931" s="55" t="str">
        <f>Annex!K665</f>
        <v>Singaporean</v>
      </c>
      <c r="F931" s="55" t="str">
        <f>Annex!L665</f>
        <v xml:space="preserve">Case 930 is a Local unlinked case, 23 years old female Singapore Citizen  and has not been overseas. She is currently admitted at NCID . </v>
      </c>
      <c r="G931" s="82">
        <v>43922</v>
      </c>
      <c r="H931" s="55"/>
      <c r="I931" s="55"/>
      <c r="J931" s="55"/>
      <c r="K931" s="55"/>
      <c r="L931" s="55" t="str">
        <f>Annex!C665</f>
        <v xml:space="preserve">NCID </v>
      </c>
      <c r="M931" s="83" t="s">
        <v>1369</v>
      </c>
    </row>
    <row r="932" spans="1:13" ht="13.8" customHeight="1" x14ac:dyDescent="0.3">
      <c r="A932" s="55">
        <f>Annex!A666</f>
        <v>931</v>
      </c>
      <c r="B932" s="55" t="str">
        <f>IF(LEFT(Annex!H666,5)="Local","Local Transmission",Annex!H666)</f>
        <v>Local Transmission</v>
      </c>
      <c r="C932" s="55" t="str">
        <f>Annex!J666</f>
        <v>Male</v>
      </c>
      <c r="D932" s="55">
        <f>Annex!D666</f>
        <v>24</v>
      </c>
      <c r="E932" s="55" t="str">
        <f>Annex!K666</f>
        <v>Singaporean</v>
      </c>
      <c r="F932" s="55" t="str">
        <f>Annex!L666</f>
        <v xml:space="preserve">Case 931 is a Local unlinked case, 24 years old male Singapore Citizen  and has not been overseas. He is currently admitted at NCID . </v>
      </c>
      <c r="G932" s="82">
        <v>43922</v>
      </c>
      <c r="H932" s="55"/>
      <c r="I932" s="55"/>
      <c r="J932" s="55"/>
      <c r="K932" s="55"/>
      <c r="L932" s="55" t="str">
        <f>Annex!C666</f>
        <v xml:space="preserve">NCID </v>
      </c>
      <c r="M932" s="83" t="s">
        <v>1369</v>
      </c>
    </row>
    <row r="933" spans="1:13" ht="13.8" customHeight="1" x14ac:dyDescent="0.3">
      <c r="A933" s="55">
        <f>Annex!A667</f>
        <v>932</v>
      </c>
      <c r="B933" s="55" t="str">
        <f>IF(LEFT(Annex!H667,5)="Local","Local Transmission",Annex!H667)</f>
        <v>Imported</v>
      </c>
      <c r="C933" s="55" t="str">
        <f>Annex!J667</f>
        <v>Female</v>
      </c>
      <c r="D933" s="55">
        <f>Annex!D667</f>
        <v>34</v>
      </c>
      <c r="E933" s="55" t="str">
        <f>Annex!K667</f>
        <v>Singaporean</v>
      </c>
      <c r="F933" s="55" t="str">
        <f>Annex!L667</f>
        <v xml:space="preserve">Case 932 is a Imported case, 34 years old female Singapore Citizen  and has been to UK . She is currently admitted at NCID . </v>
      </c>
      <c r="G933" s="82">
        <v>43922</v>
      </c>
      <c r="H933" s="55"/>
      <c r="I933" s="55"/>
      <c r="J933" s="55"/>
      <c r="K933" s="55"/>
      <c r="L933" s="55" t="str">
        <f>Annex!C667</f>
        <v xml:space="preserve">NCID </v>
      </c>
      <c r="M933" s="83" t="s">
        <v>1369</v>
      </c>
    </row>
    <row r="934" spans="1:13" ht="13.8" customHeight="1" x14ac:dyDescent="0.3">
      <c r="A934" s="55">
        <f>Annex!A668</f>
        <v>933</v>
      </c>
      <c r="B934" s="55" t="str">
        <f>IF(LEFT(Annex!H668,5)="Local","Local Transmission",Annex!H668)</f>
        <v>Imported</v>
      </c>
      <c r="C934" s="55" t="str">
        <f>Annex!J668</f>
        <v>Male</v>
      </c>
      <c r="D934" s="55">
        <f>Annex!D668</f>
        <v>31</v>
      </c>
      <c r="E934" s="55" t="str">
        <f>Annex!K668</f>
        <v>Singaporean</v>
      </c>
      <c r="F934" s="55" t="str">
        <f>Annex!L668</f>
        <v xml:space="preserve">Case 933 is a Imported case, 31 years old male Singapore Citizen  and has been to Thailand . He is currently admitted at NCID . </v>
      </c>
      <c r="G934" s="82">
        <v>43922</v>
      </c>
      <c r="H934" s="55"/>
      <c r="I934" s="55"/>
      <c r="J934" s="55"/>
      <c r="K934" s="55"/>
      <c r="L934" s="55" t="str">
        <f>Annex!C668</f>
        <v xml:space="preserve">NCID </v>
      </c>
      <c r="M934" s="83" t="s">
        <v>1369</v>
      </c>
    </row>
    <row r="935" spans="1:13" ht="13.8" customHeight="1" x14ac:dyDescent="0.3">
      <c r="A935" s="55">
        <f>Annex!A669</f>
        <v>934</v>
      </c>
      <c r="B935" s="55" t="str">
        <f>IF(LEFT(Annex!H669,5)="Local","Local Transmission",Annex!H669)</f>
        <v>Local Transmission</v>
      </c>
      <c r="C935" s="55" t="str">
        <f>Annex!J669</f>
        <v>Male</v>
      </c>
      <c r="D935" s="55">
        <f>Annex!D669</f>
        <v>33</v>
      </c>
      <c r="E935" s="55" t="str">
        <f>Annex!K669</f>
        <v>Bangladesh</v>
      </c>
      <c r="F935" s="55" t="str">
        <f>Annex!L669</f>
        <v>Case 934 is a Local linked  case, 33 years old male Bangladesh (Singapore Work Pass holder)  and has not been overseas. He is currently admitted at NCID . Westlite Toh Guan</v>
      </c>
      <c r="G935" s="82">
        <v>43922</v>
      </c>
      <c r="H935" s="55"/>
      <c r="I935" s="55"/>
      <c r="J935" s="55"/>
      <c r="K935" s="55"/>
      <c r="L935" s="55" t="str">
        <f>Annex!C669</f>
        <v xml:space="preserve">NCID </v>
      </c>
      <c r="M935" s="83" t="s">
        <v>1369</v>
      </c>
    </row>
    <row r="936" spans="1:13" ht="13.8" customHeight="1" x14ac:dyDescent="0.3">
      <c r="A936" s="55">
        <f>Annex!A670</f>
        <v>935</v>
      </c>
      <c r="B936" s="55" t="str">
        <f>IF(LEFT(Annex!H670,5)="Local","Local Transmission",Annex!H670)</f>
        <v>Local Transmission</v>
      </c>
      <c r="C936" s="55" t="str">
        <f>Annex!J670</f>
        <v>Male</v>
      </c>
      <c r="D936" s="55">
        <f>Annex!D670</f>
        <v>80</v>
      </c>
      <c r="E936" s="55" t="str">
        <f>Annex!K670</f>
        <v>Singaporean</v>
      </c>
      <c r="F936" s="55" t="str">
        <f>Annex!L670</f>
        <v>Case 935 is a Local linked  case, 80 years old male Singapore Citizen  and has not been overseas. He is currently admitted at NCID . Family member of Cases 727 and 863</v>
      </c>
      <c r="G936" s="82">
        <v>43922</v>
      </c>
      <c r="H936" s="55"/>
      <c r="I936" s="55"/>
      <c r="J936" s="55"/>
      <c r="K936" s="55"/>
      <c r="L936" s="55" t="str">
        <f>Annex!C670</f>
        <v xml:space="preserve">NCID </v>
      </c>
      <c r="M936" s="83" t="s">
        <v>1369</v>
      </c>
    </row>
    <row r="937" spans="1:13" ht="13.8" customHeight="1" x14ac:dyDescent="0.3">
      <c r="A937" s="55">
        <f>Annex!A671</f>
        <v>936</v>
      </c>
      <c r="B937" s="55" t="str">
        <f>IF(LEFT(Annex!H671,5)="Local","Local Transmission",Annex!H671)</f>
        <v>Local Transmission</v>
      </c>
      <c r="C937" s="55" t="str">
        <f>Annex!J671</f>
        <v>Male</v>
      </c>
      <c r="D937" s="55">
        <f>Annex!D671</f>
        <v>63</v>
      </c>
      <c r="E937" s="55" t="str">
        <f>Annex!K671</f>
        <v>Singaporean</v>
      </c>
      <c r="F937" s="55" t="str">
        <f>Annex!L671</f>
        <v xml:space="preserve">Case 936 is a Local unlinked case, 63 years old male Singapore Citizen  and has not been overseas. He is currently admitted at CGH . </v>
      </c>
      <c r="G937" s="82">
        <v>43922</v>
      </c>
      <c r="H937" s="55"/>
      <c r="I937" s="55"/>
      <c r="J937" s="55"/>
      <c r="K937" s="55"/>
      <c r="L937" s="55" t="str">
        <f>Annex!C671</f>
        <v xml:space="preserve">CGH </v>
      </c>
      <c r="M937" s="83" t="s">
        <v>1369</v>
      </c>
    </row>
    <row r="938" spans="1:13" ht="13.8" customHeight="1" x14ac:dyDescent="0.3">
      <c r="A938" s="55">
        <f>Annex!A672</f>
        <v>937</v>
      </c>
      <c r="B938" s="55" t="str">
        <f>IF(LEFT(Annex!H672,5)="Local","Local Transmission",Annex!H672)</f>
        <v>Local Transmission</v>
      </c>
      <c r="C938" s="55" t="str">
        <f>Annex!J672</f>
        <v>Male</v>
      </c>
      <c r="D938" s="55">
        <f>Annex!D672</f>
        <v>42</v>
      </c>
      <c r="E938" s="55" t="str">
        <f>Annex!K672</f>
        <v>Singaporean</v>
      </c>
      <c r="F938" s="55" t="str">
        <f>Annex!L672</f>
        <v xml:space="preserve">Case 937 is a Local unlinked case, 42 years old male Singapore Citizen  and has not been overseas. He is currently admitted at CGH . </v>
      </c>
      <c r="G938" s="82">
        <v>43922</v>
      </c>
      <c r="H938" s="55"/>
      <c r="I938" s="55"/>
      <c r="J938" s="55"/>
      <c r="K938" s="55"/>
      <c r="L938" s="55" t="str">
        <f>Annex!C672</f>
        <v xml:space="preserve">CGH </v>
      </c>
      <c r="M938" s="83" t="s">
        <v>1369</v>
      </c>
    </row>
    <row r="939" spans="1:13" ht="13.8" customHeight="1" x14ac:dyDescent="0.3">
      <c r="A939" s="55">
        <f>Annex!A673</f>
        <v>938</v>
      </c>
      <c r="B939" s="55" t="str">
        <f>IF(LEFT(Annex!H673,5)="Local","Local Transmission",Annex!H673)</f>
        <v>Imported</v>
      </c>
      <c r="C939" s="55" t="str">
        <f>Annex!J673</f>
        <v>Male</v>
      </c>
      <c r="D939" s="55">
        <f>Annex!D673</f>
        <v>64</v>
      </c>
      <c r="E939" s="55" t="str">
        <f>Annex!K673</f>
        <v xml:space="preserve">India </v>
      </c>
      <c r="F939" s="55" t="str">
        <f>Annex!L673</f>
        <v xml:space="preserve">Case 938 is a Imported case, 64 years old male India  and has been to India . He is currently admitted at CGH . </v>
      </c>
      <c r="G939" s="82">
        <v>43922</v>
      </c>
      <c r="H939" s="55"/>
      <c r="I939" s="55"/>
      <c r="J939" s="55"/>
      <c r="K939" s="55"/>
      <c r="L939" s="55" t="str">
        <f>Annex!C673</f>
        <v xml:space="preserve">CGH </v>
      </c>
      <c r="M939" s="83" t="s">
        <v>1369</v>
      </c>
    </row>
    <row r="940" spans="1:13" ht="13.8" customHeight="1" x14ac:dyDescent="0.3">
      <c r="A940" s="55">
        <f>Annex!A674</f>
        <v>939</v>
      </c>
      <c r="B940" s="55" t="str">
        <f>IF(LEFT(Annex!H674,5)="Local","Local Transmission",Annex!H674)</f>
        <v>Local Transmission</v>
      </c>
      <c r="C940" s="55" t="str">
        <f>Annex!J674</f>
        <v>Male</v>
      </c>
      <c r="D940" s="55">
        <f>Annex!D674</f>
        <v>35</v>
      </c>
      <c r="E940" s="55" t="str">
        <f>Annex!K674</f>
        <v>China</v>
      </c>
      <c r="F940" s="55" t="str">
        <f>Annex!L674</f>
        <v xml:space="preserve">Case 939 is a Local unlinked case, 35 years old male China (Long Term Pass holder)  and has not been overseas. He is currently admitted at NCID . </v>
      </c>
      <c r="G940" s="82">
        <v>43922</v>
      </c>
      <c r="H940" s="55"/>
      <c r="I940" s="55"/>
      <c r="J940" s="55"/>
      <c r="K940" s="55"/>
      <c r="L940" s="55" t="str">
        <f>Annex!C674</f>
        <v xml:space="preserve">NCID </v>
      </c>
      <c r="M940" s="83" t="s">
        <v>1369</v>
      </c>
    </row>
    <row r="941" spans="1:13" ht="13.8" customHeight="1" x14ac:dyDescent="0.3">
      <c r="A941" s="55">
        <f>Annex!A675</f>
        <v>940</v>
      </c>
      <c r="B941" s="55" t="str">
        <f>IF(LEFT(Annex!H675,5)="Local","Local Transmission",Annex!H675)</f>
        <v>Local Transmission</v>
      </c>
      <c r="C941" s="55" t="str">
        <f>Annex!J675</f>
        <v>Male</v>
      </c>
      <c r="D941" s="55">
        <f>Annex!D675</f>
        <v>36</v>
      </c>
      <c r="E941" s="55" t="str">
        <f>Annex!K675</f>
        <v xml:space="preserve">Cameroon </v>
      </c>
      <c r="F941" s="55" t="str">
        <f>Annex!L675</f>
        <v>Case 940 is a Local linked  case, 36 years old male Cameroon  and has not been overseas. He is currently admitted at NUH . Hero’s</v>
      </c>
      <c r="G941" s="82">
        <v>43922</v>
      </c>
      <c r="H941" s="55"/>
      <c r="I941" s="55"/>
      <c r="J941" s="55"/>
      <c r="K941" s="55"/>
      <c r="L941" s="55" t="str">
        <f>Annex!C675</f>
        <v xml:space="preserve">NUH </v>
      </c>
      <c r="M941" s="83" t="s">
        <v>1369</v>
      </c>
    </row>
    <row r="942" spans="1:13" ht="13.8" customHeight="1" x14ac:dyDescent="0.3">
      <c r="A942" s="55">
        <f>Annex!A676</f>
        <v>941</v>
      </c>
      <c r="B942" s="55" t="str">
        <f>IF(LEFT(Annex!H676,5)="Local","Local Transmission",Annex!H676)</f>
        <v>Local Transmission</v>
      </c>
      <c r="C942" s="55" t="str">
        <f>Annex!J676</f>
        <v>Female</v>
      </c>
      <c r="D942" s="55">
        <f>Annex!D676</f>
        <v>52</v>
      </c>
      <c r="E942" s="55" t="str">
        <f>Annex!K676</f>
        <v>Singaporean</v>
      </c>
      <c r="F942" s="55" t="str">
        <f>Annex!L676</f>
        <v>Case 941 is a Local linked  case, 52 years old female Singapore Citizen  and has not been overseas. She is currently admitted at NUH . Family member of Case 888</v>
      </c>
      <c r="G942" s="82">
        <v>43922</v>
      </c>
      <c r="H942" s="55"/>
      <c r="I942" s="55"/>
      <c r="J942" s="55"/>
      <c r="K942" s="55"/>
      <c r="L942" s="55" t="str">
        <f>Annex!C676</f>
        <v xml:space="preserve">NUH </v>
      </c>
      <c r="M942" s="83" t="s">
        <v>1369</v>
      </c>
    </row>
    <row r="943" spans="1:13" ht="13.8" customHeight="1" x14ac:dyDescent="0.3">
      <c r="A943" s="55">
        <f>Annex!A677</f>
        <v>942</v>
      </c>
      <c r="B943" s="55" t="str">
        <f>IF(LEFT(Annex!H677,5)="Local","Local Transmission",Annex!H677)</f>
        <v>Local Transmission</v>
      </c>
      <c r="C943" s="55" t="str">
        <f>Annex!J677</f>
        <v>Male</v>
      </c>
      <c r="D943" s="55">
        <f>Annex!D677</f>
        <v>58</v>
      </c>
      <c r="E943" s="55" t="str">
        <f>Annex!K677</f>
        <v>Singaporean</v>
      </c>
      <c r="F943" s="55" t="str">
        <f>Annex!L677</f>
        <v>Case 942 is a Local linked  case, 58 years old male Singapore Citizen  and has not been overseas. He is currently admitted at NUH . Family member of Cases 889 and 927</v>
      </c>
      <c r="G943" s="82">
        <v>43922</v>
      </c>
      <c r="H943" s="55"/>
      <c r="I943" s="55"/>
      <c r="J943" s="55"/>
      <c r="K943" s="55"/>
      <c r="L943" s="55" t="str">
        <f>Annex!C677</f>
        <v xml:space="preserve">NUH </v>
      </c>
      <c r="M943" s="83" t="s">
        <v>1369</v>
      </c>
    </row>
    <row r="944" spans="1:13" ht="13.8" customHeight="1" x14ac:dyDescent="0.3">
      <c r="A944" s="55">
        <f>Annex!A678</f>
        <v>943</v>
      </c>
      <c r="B944" s="55" t="str">
        <f>IF(LEFT(Annex!H678,5)="Local","Local Transmission",Annex!H678)</f>
        <v>Imported</v>
      </c>
      <c r="C944" s="55" t="str">
        <f>Annex!J678</f>
        <v>Male</v>
      </c>
      <c r="D944" s="55">
        <f>Annex!D678</f>
        <v>31</v>
      </c>
      <c r="E944" s="55" t="str">
        <f>Annex!K678</f>
        <v>Switzerland</v>
      </c>
      <c r="F944" s="55" t="str">
        <f>Annex!L678</f>
        <v xml:space="preserve">Case 943 is a Imported case, 31 years old male Switzerland (Singapore Work Pass holder)  and has been to Switzerland . He is currently admitted at NCID . </v>
      </c>
      <c r="G944" s="82">
        <v>43922</v>
      </c>
      <c r="H944" s="55"/>
      <c r="I944" s="55"/>
      <c r="J944" s="55"/>
      <c r="K944" s="55"/>
      <c r="L944" s="55" t="str">
        <f>Annex!C678</f>
        <v xml:space="preserve">NCID </v>
      </c>
      <c r="M944" s="83" t="s">
        <v>1369</v>
      </c>
    </row>
    <row r="945" spans="1:13" ht="13.8" customHeight="1" x14ac:dyDescent="0.3">
      <c r="A945" s="55">
        <f>Annex!A679</f>
        <v>944</v>
      </c>
      <c r="B945" s="55" t="str">
        <f>IF(LEFT(Annex!H679,5)="Local","Local Transmission",Annex!H679)</f>
        <v>Imported</v>
      </c>
      <c r="C945" s="55" t="str">
        <f>Annex!J679</f>
        <v>Female</v>
      </c>
      <c r="D945" s="55">
        <f>Annex!D679</f>
        <v>35</v>
      </c>
      <c r="E945" s="55" t="str">
        <f>Annex!K679</f>
        <v>Singaporean</v>
      </c>
      <c r="F945" s="55" t="str">
        <f>Annex!L679</f>
        <v xml:space="preserve">Case 944 is a Imported case, 35 years old female Singapore Citizen  and has been to Indonesia, UK, US . She is currently admitted at KTPH . </v>
      </c>
      <c r="G945" s="82">
        <v>43922</v>
      </c>
      <c r="H945" s="55"/>
      <c r="I945" s="55"/>
      <c r="J945" s="55"/>
      <c r="K945" s="55"/>
      <c r="L945" s="55" t="str">
        <f>Annex!C679</f>
        <v xml:space="preserve">KTPH </v>
      </c>
      <c r="M945" s="83" t="s">
        <v>1369</v>
      </c>
    </row>
    <row r="946" spans="1:13" ht="13.8" customHeight="1" x14ac:dyDescent="0.3">
      <c r="A946" s="55">
        <f>Annex!A680</f>
        <v>945</v>
      </c>
      <c r="B946" s="55" t="str">
        <f>IF(LEFT(Annex!H680,5)="Local","Local Transmission",Annex!H680)</f>
        <v>Local Transmission</v>
      </c>
      <c r="C946" s="55" t="str">
        <f>Annex!J680</f>
        <v>Female</v>
      </c>
      <c r="D946" s="55">
        <f>Annex!D680</f>
        <v>54</v>
      </c>
      <c r="E946" s="55" t="str">
        <f>Annex!K680</f>
        <v>Singaporean</v>
      </c>
      <c r="F946" s="55" t="str">
        <f>Annex!L680</f>
        <v xml:space="preserve">Case 945 is a Local unlinked case, 54 years old female Singapore Citizen  and has not been overseas. She is currently admitted at KTPH . </v>
      </c>
      <c r="G946" s="82">
        <v>43922</v>
      </c>
      <c r="H946" s="55"/>
      <c r="I946" s="55"/>
      <c r="J946" s="55"/>
      <c r="K946" s="55"/>
      <c r="L946" s="55" t="str">
        <f>Annex!C680</f>
        <v xml:space="preserve">KTPH </v>
      </c>
      <c r="M946" s="83" t="s">
        <v>1369</v>
      </c>
    </row>
    <row r="947" spans="1:13" ht="13.8" customHeight="1" x14ac:dyDescent="0.3">
      <c r="A947" s="55">
        <f>Annex!A681</f>
        <v>946</v>
      </c>
      <c r="B947" s="55" t="str">
        <f>IF(LEFT(Annex!H681,5)="Local","Local Transmission",Annex!H681)</f>
        <v>Local Transmission</v>
      </c>
      <c r="C947" s="55" t="str">
        <f>Annex!J681</f>
        <v>Male</v>
      </c>
      <c r="D947" s="55">
        <f>Annex!D681</f>
        <v>30</v>
      </c>
      <c r="E947" s="55" t="str">
        <f>Annex!K681</f>
        <v>India</v>
      </c>
      <c r="F947" s="55" t="str">
        <f>Annex!L681</f>
        <v>Case 946 is a Local linked  case, 30 years old male India (Long Term Pass holder)  and has not been overseas. He is currently admitted at SKH . S11 Dormitory</v>
      </c>
      <c r="G947" s="82">
        <v>43922</v>
      </c>
      <c r="H947" s="55"/>
      <c r="I947" s="55"/>
      <c r="J947" s="55"/>
      <c r="K947" s="55"/>
      <c r="L947" s="55" t="str">
        <f>Annex!C681</f>
        <v xml:space="preserve">SKH </v>
      </c>
      <c r="M947" s="83" t="s">
        <v>1369</v>
      </c>
    </row>
    <row r="948" spans="1:13" ht="13.8" customHeight="1" x14ac:dyDescent="0.3">
      <c r="A948" s="55">
        <f>Annex!A682</f>
        <v>947</v>
      </c>
      <c r="B948" s="55" t="str">
        <f>IF(LEFT(Annex!H682,5)="Local","Local Transmission",Annex!H682)</f>
        <v>Local Transmission</v>
      </c>
      <c r="C948" s="55" t="str">
        <f>Annex!J682</f>
        <v>Male</v>
      </c>
      <c r="D948" s="55">
        <f>Annex!D682</f>
        <v>25</v>
      </c>
      <c r="E948" s="55" t="str">
        <f>Annex!K682</f>
        <v>Bangladesh</v>
      </c>
      <c r="F948" s="55" t="str">
        <f>Annex!L682</f>
        <v>Case 947 is a Local linked  case, 25 years old male Bangladesh (Long Term Pass holder)  and has not been overseas. He is currently admitted at SKH . S11 Dormitory</v>
      </c>
      <c r="G948" s="82">
        <v>43922</v>
      </c>
      <c r="H948" s="55"/>
      <c r="I948" s="55"/>
      <c r="J948" s="55"/>
      <c r="K948" s="55"/>
      <c r="L948" s="55" t="str">
        <f>Annex!C682</f>
        <v xml:space="preserve">SKH </v>
      </c>
      <c r="M948" s="83" t="s">
        <v>1369</v>
      </c>
    </row>
    <row r="949" spans="1:13" ht="13.8" customHeight="1" x14ac:dyDescent="0.3">
      <c r="A949" s="55">
        <f>Annex!A683</f>
        <v>948</v>
      </c>
      <c r="B949" s="55" t="str">
        <f>IF(LEFT(Annex!H683,5)="Local","Local Transmission",Annex!H683)</f>
        <v>Local Transmission</v>
      </c>
      <c r="C949" s="55" t="str">
        <f>Annex!J683</f>
        <v>Female</v>
      </c>
      <c r="D949" s="55">
        <f>Annex!D683</f>
        <v>54</v>
      </c>
      <c r="E949" s="55" t="str">
        <f>Annex!K683</f>
        <v>Singaporean</v>
      </c>
      <c r="F949" s="55" t="str">
        <f>Annex!L683</f>
        <v xml:space="preserve">Case 948 is a Local unlinked case, 54 years old female Singapore Citizen  and has not been overseas. She is currently admitted at KTPH . </v>
      </c>
      <c r="G949" s="82">
        <v>43922</v>
      </c>
      <c r="H949" s="55"/>
      <c r="I949" s="55"/>
      <c r="J949" s="55"/>
      <c r="K949" s="55"/>
      <c r="L949" s="55" t="str">
        <f>Annex!C683</f>
        <v xml:space="preserve">KTPH </v>
      </c>
      <c r="M949" s="83" t="s">
        <v>1369</v>
      </c>
    </row>
    <row r="950" spans="1:13" ht="13.8" customHeight="1" x14ac:dyDescent="0.3">
      <c r="A950" s="55">
        <f>Annex!A684</f>
        <v>949</v>
      </c>
      <c r="B950" s="55" t="str">
        <f>IF(LEFT(Annex!H684,5)="Local","Local Transmission",Annex!H684)</f>
        <v>Imported</v>
      </c>
      <c r="C950" s="55" t="str">
        <f>Annex!J684</f>
        <v>Male</v>
      </c>
      <c r="D950" s="55">
        <f>Annex!D684</f>
        <v>20</v>
      </c>
      <c r="E950" s="55" t="str">
        <f>Annex!K684</f>
        <v>Singaporean</v>
      </c>
      <c r="F950" s="55" t="str">
        <f>Annex!L684</f>
        <v xml:space="preserve">Case 949 is a Imported case, 20 years old male Singapore Permanent Resident  and has been to India . He is currently admitted at SGH . </v>
      </c>
      <c r="G950" s="82">
        <v>43922</v>
      </c>
      <c r="H950" s="55"/>
      <c r="I950" s="55"/>
      <c r="J950" s="55"/>
      <c r="K950" s="55"/>
      <c r="L950" s="55" t="str">
        <f>Annex!C684</f>
        <v xml:space="preserve">SGH </v>
      </c>
      <c r="M950" s="83" t="s">
        <v>1369</v>
      </c>
    </row>
    <row r="951" spans="1:13" ht="13.8" customHeight="1" x14ac:dyDescent="0.3">
      <c r="A951" s="55">
        <f>Annex!A685</f>
        <v>950</v>
      </c>
      <c r="B951" s="55" t="str">
        <f>IF(LEFT(Annex!H685,5)="Local","Local Transmission",Annex!H685)</f>
        <v>Imported</v>
      </c>
      <c r="C951" s="55" t="str">
        <f>Annex!J685</f>
        <v>Male</v>
      </c>
      <c r="D951" s="55">
        <f>Annex!D685</f>
        <v>29</v>
      </c>
      <c r="E951" s="55" t="str">
        <f>Annex!K685</f>
        <v>Singaporean</v>
      </c>
      <c r="F951" s="55" t="str">
        <f>Annex!L685</f>
        <v xml:space="preserve">Case 950 is a Imported case, 29 years old male Singapore Permanent Resident  and has been to Netherlands, Austria, Slovenia . He is currently admitted at SGH . </v>
      </c>
      <c r="G951" s="82">
        <v>43922</v>
      </c>
      <c r="H951" s="55"/>
      <c r="I951" s="55"/>
      <c r="J951" s="55"/>
      <c r="K951" s="55"/>
      <c r="L951" s="55" t="str">
        <f>Annex!C685</f>
        <v xml:space="preserve">SGH </v>
      </c>
      <c r="M951" s="83" t="s">
        <v>1369</v>
      </c>
    </row>
    <row r="952" spans="1:13" ht="13.8" customHeight="1" x14ac:dyDescent="0.3">
      <c r="A952" s="55">
        <f>Annex!A686</f>
        <v>951</v>
      </c>
      <c r="B952" s="55" t="str">
        <f>IF(LEFT(Annex!H686,5)="Local","Local Transmission",Annex!H686)</f>
        <v>Local Transmission</v>
      </c>
      <c r="C952" s="55" t="str">
        <f>Annex!J686</f>
        <v>Female</v>
      </c>
      <c r="D952" s="55">
        <f>Annex!D686</f>
        <v>29</v>
      </c>
      <c r="E952" s="55" t="str">
        <f>Annex!K686</f>
        <v>Singaporean</v>
      </c>
      <c r="F952" s="55" t="str">
        <f>Annex!L686</f>
        <v xml:space="preserve">Case 951 is a Local Unlinked case, 29 years old female Singapore Citizen  and has not been overseas. She is currently admitted at SGH . </v>
      </c>
      <c r="G952" s="82">
        <v>43922</v>
      </c>
      <c r="H952" s="55"/>
      <c r="I952" s="55"/>
      <c r="J952" s="55"/>
      <c r="K952" s="55"/>
      <c r="L952" s="55" t="str">
        <f>Annex!C686</f>
        <v xml:space="preserve">SGH </v>
      </c>
      <c r="M952" s="83" t="s">
        <v>1369</v>
      </c>
    </row>
    <row r="953" spans="1:13" ht="13.8" customHeight="1" x14ac:dyDescent="0.3">
      <c r="A953" s="55">
        <f>Annex!A687</f>
        <v>952</v>
      </c>
      <c r="B953" s="55" t="str">
        <f>IF(LEFT(Annex!H687,5)="Local","Local Transmission",Annex!H687)</f>
        <v>Imported</v>
      </c>
      <c r="C953" s="55" t="str">
        <f>Annex!J687</f>
        <v>Female</v>
      </c>
      <c r="D953" s="55">
        <f>Annex!D687</f>
        <v>37</v>
      </c>
      <c r="E953" s="55" t="str">
        <f>Annex!K687</f>
        <v>Singaporean</v>
      </c>
      <c r="F953" s="55" t="str">
        <f>Annex!L687</f>
        <v xml:space="preserve">Case 952 is a Imported case, 37 years old female Singapore Citizen  and has been to UAE . She is currently admitted at SGH . </v>
      </c>
      <c r="G953" s="82">
        <v>43922</v>
      </c>
      <c r="H953" s="55"/>
      <c r="I953" s="55"/>
      <c r="J953" s="55"/>
      <c r="K953" s="55"/>
      <c r="L953" s="55" t="str">
        <f>Annex!C687</f>
        <v xml:space="preserve">SGH </v>
      </c>
      <c r="M953" s="83" t="s">
        <v>1369</v>
      </c>
    </row>
    <row r="954" spans="1:13" ht="13.8" customHeight="1" x14ac:dyDescent="0.3">
      <c r="A954" s="55">
        <f>Annex!A688</f>
        <v>953</v>
      </c>
      <c r="B954" s="55" t="str">
        <f>IF(LEFT(Annex!H688,5)="Local","Local Transmission",Annex!H688)</f>
        <v>Local Transmission</v>
      </c>
      <c r="C954" s="55" t="str">
        <f>Annex!J688</f>
        <v>Male</v>
      </c>
      <c r="D954" s="55">
        <f>Annex!D688</f>
        <v>51</v>
      </c>
      <c r="E954" s="55" t="str">
        <f>Annex!K688</f>
        <v>Singaporean</v>
      </c>
      <c r="F954" s="55" t="str">
        <f>Annex!L688</f>
        <v xml:space="preserve">Case 953 is a Local unlinked case, 51 years old male Singapore Permanent Resident  and has not been overseas. He is currently admitted at NCID . </v>
      </c>
      <c r="G954" s="82">
        <v>43922</v>
      </c>
      <c r="H954" s="55"/>
      <c r="I954" s="55"/>
      <c r="J954" s="55"/>
      <c r="K954" s="55"/>
      <c r="L954" s="55" t="str">
        <f>Annex!C688</f>
        <v xml:space="preserve">NCID </v>
      </c>
      <c r="M954" s="83" t="s">
        <v>1369</v>
      </c>
    </row>
    <row r="955" spans="1:13" ht="13.8" customHeight="1" x14ac:dyDescent="0.3">
      <c r="A955" s="55">
        <f>Annex!A689</f>
        <v>954</v>
      </c>
      <c r="B955" s="55" t="str">
        <f>IF(LEFT(Annex!H689,5)="Local","Local Transmission",Annex!H689)</f>
        <v xml:space="preserve">Imported </v>
      </c>
      <c r="C955" s="55" t="str">
        <f>Annex!J689</f>
        <v>Female</v>
      </c>
      <c r="D955" s="55">
        <f>Annex!D689</f>
        <v>53</v>
      </c>
      <c r="E955" s="55" t="str">
        <f>Annex!K689</f>
        <v>Singaporean</v>
      </c>
      <c r="F955" s="55" t="str">
        <f>Annex!L689</f>
        <v>Case 954 is a Imported  case, 53 years old female Singapore Citizen  and has been to UK . She is currently admitted at NCID . Family member of Case 544</v>
      </c>
      <c r="G955" s="82">
        <v>43922</v>
      </c>
      <c r="H955" s="55"/>
      <c r="I955" s="55"/>
      <c r="J955" s="55"/>
      <c r="K955" s="55"/>
      <c r="L955" s="55" t="str">
        <f>Annex!C689</f>
        <v xml:space="preserve">NCID </v>
      </c>
      <c r="M955" s="83" t="s">
        <v>1369</v>
      </c>
    </row>
    <row r="956" spans="1:13" ht="13.8" customHeight="1" x14ac:dyDescent="0.3">
      <c r="A956" s="55">
        <f>Annex!A690</f>
        <v>955</v>
      </c>
      <c r="B956" s="55" t="str">
        <f>IF(LEFT(Annex!H690,5)="Local","Local Transmission",Annex!H690)</f>
        <v>Imported</v>
      </c>
      <c r="C956" s="55" t="str">
        <f>Annex!J690</f>
        <v>Male</v>
      </c>
      <c r="D956" s="55">
        <f>Annex!D690</f>
        <v>53</v>
      </c>
      <c r="E956" s="55" t="str">
        <f>Annex!K690</f>
        <v>Australia</v>
      </c>
      <c r="F956" s="55" t="str">
        <f>Annex!L690</f>
        <v xml:space="preserve">Case 955 is a Imported case, 53 years old male Australia (Singapore Work Pass holder)  and has been to South Africa . He is currently admitted at NCID . </v>
      </c>
      <c r="G956" s="82">
        <v>43922</v>
      </c>
      <c r="H956" s="55"/>
      <c r="I956" s="55"/>
      <c r="J956" s="55"/>
      <c r="K956" s="55"/>
      <c r="L956" s="55" t="str">
        <f>Annex!C690</f>
        <v xml:space="preserve">NCID </v>
      </c>
      <c r="M956" s="83" t="s">
        <v>1369</v>
      </c>
    </row>
    <row r="957" spans="1:13" ht="13.8" customHeight="1" x14ac:dyDescent="0.3">
      <c r="A957" s="55">
        <f>Annex!A691</f>
        <v>956</v>
      </c>
      <c r="B957" s="55" t="str">
        <f>IF(LEFT(Annex!H691,5)="Local","Local Transmission",Annex!H691)</f>
        <v>Local Transmission</v>
      </c>
      <c r="C957" s="55" t="str">
        <f>Annex!J691</f>
        <v>Male</v>
      </c>
      <c r="D957" s="55">
        <f>Annex!D691</f>
        <v>32</v>
      </c>
      <c r="E957" s="55" t="str">
        <f>Annex!K691</f>
        <v>Bangladesh</v>
      </c>
      <c r="F957" s="55" t="str">
        <f>Annex!L691</f>
        <v xml:space="preserve">Case 956 is a Local unlinked case, 32 years old male Bangladesh (Long Term Pass holder)  and has not been overseas. He is currently admitted at NCID . </v>
      </c>
      <c r="G957" s="82">
        <v>43922</v>
      </c>
      <c r="H957" s="55"/>
      <c r="I957" s="55"/>
      <c r="J957" s="55"/>
      <c r="K957" s="55"/>
      <c r="L957" s="55" t="str">
        <f>Annex!C691</f>
        <v xml:space="preserve">NCID </v>
      </c>
      <c r="M957" s="83" t="s">
        <v>1369</v>
      </c>
    </row>
    <row r="958" spans="1:13" ht="13.8" customHeight="1" x14ac:dyDescent="0.3">
      <c r="A958" s="55">
        <f>Annex!A692</f>
        <v>957</v>
      </c>
      <c r="B958" s="55" t="str">
        <f>IF(LEFT(Annex!H692,5)="Local","Local Transmission",Annex!H692)</f>
        <v>Local Transmission</v>
      </c>
      <c r="C958" s="55" t="str">
        <f>Annex!J692</f>
        <v>Female</v>
      </c>
      <c r="D958" s="55">
        <f>Annex!D692</f>
        <v>73</v>
      </c>
      <c r="E958" s="55" t="str">
        <f>Annex!K692</f>
        <v>Singaporean</v>
      </c>
      <c r="F958" s="55" t="str">
        <f>Annex!L692</f>
        <v xml:space="preserve">Case 957 is a Local unlinked case, 73 years old female Singapore Citizen  and has not been overseas. She is currently admitted at NCID . </v>
      </c>
      <c r="G958" s="82">
        <v>43922</v>
      </c>
      <c r="H958" s="55"/>
      <c r="I958" s="55"/>
      <c r="J958" s="55"/>
      <c r="K958" s="55"/>
      <c r="L958" s="55" t="str">
        <f>Annex!C692</f>
        <v xml:space="preserve">NCID </v>
      </c>
      <c r="M958" s="83" t="s">
        <v>1369</v>
      </c>
    </row>
    <row r="959" spans="1:13" ht="13.8" customHeight="1" x14ac:dyDescent="0.3">
      <c r="A959" s="55">
        <f>Annex!A693</f>
        <v>958</v>
      </c>
      <c r="B959" s="55" t="str">
        <f>IF(LEFT(Annex!H693,5)="Local","Local Transmission",Annex!H693)</f>
        <v>Local Transmission</v>
      </c>
      <c r="C959" s="55" t="str">
        <f>Annex!J693</f>
        <v>Male</v>
      </c>
      <c r="D959" s="55">
        <f>Annex!D693</f>
        <v>41</v>
      </c>
      <c r="E959" s="55" t="str">
        <f>Annex!K693</f>
        <v>Singaporean</v>
      </c>
      <c r="F959" s="55" t="str">
        <f>Annex!L693</f>
        <v xml:space="preserve">Case 958 is a Local unlinked case, 41 years old male Singapore Citizen  and has not been overseas. He is currently admitted at NCID . </v>
      </c>
      <c r="G959" s="82">
        <v>43922</v>
      </c>
      <c r="H959" s="55"/>
      <c r="I959" s="55"/>
      <c r="J959" s="55"/>
      <c r="K959" s="55"/>
      <c r="L959" s="55" t="str">
        <f>Annex!C693</f>
        <v xml:space="preserve">NCID </v>
      </c>
      <c r="M959" s="83" t="s">
        <v>1369</v>
      </c>
    </row>
    <row r="960" spans="1:13" ht="13.8" customHeight="1" x14ac:dyDescent="0.3">
      <c r="A960" s="55">
        <f>Annex!A694</f>
        <v>959</v>
      </c>
      <c r="B960" s="55" t="str">
        <f>IF(LEFT(Annex!H694,5)="Local","Local Transmission",Annex!H694)</f>
        <v>Local Transmission</v>
      </c>
      <c r="C960" s="55" t="str">
        <f>Annex!J694</f>
        <v>Female</v>
      </c>
      <c r="D960" s="55">
        <f>Annex!D694</f>
        <v>41</v>
      </c>
      <c r="E960" s="55" t="str">
        <f>Annex!K694</f>
        <v>Singaporean</v>
      </c>
      <c r="F960" s="55" t="str">
        <f>Annex!L694</f>
        <v xml:space="preserve">Case 959 is a Local unlinked case, 41 years old female Singapore Citizen  and has not been overseas. She is currently admitted at NCID . </v>
      </c>
      <c r="G960" s="82">
        <v>43922</v>
      </c>
      <c r="H960" s="55"/>
      <c r="I960" s="55"/>
      <c r="J960" s="55"/>
      <c r="K960" s="55"/>
      <c r="L960" s="55" t="str">
        <f>Annex!C694</f>
        <v xml:space="preserve">NCID </v>
      </c>
      <c r="M960" s="83" t="s">
        <v>1369</v>
      </c>
    </row>
    <row r="961" spans="1:13" ht="13.8" customHeight="1" x14ac:dyDescent="0.3">
      <c r="A961" s="55">
        <f>Annex!A695</f>
        <v>960</v>
      </c>
      <c r="B961" s="55" t="str">
        <f>IF(LEFT(Annex!H695,5)="Local","Local Transmission",Annex!H695)</f>
        <v>Imported</v>
      </c>
      <c r="C961" s="55" t="str">
        <f>Annex!J695</f>
        <v>Female</v>
      </c>
      <c r="D961" s="55">
        <f>Annex!D695</f>
        <v>22</v>
      </c>
      <c r="E961" s="55" t="str">
        <f>Annex!K695</f>
        <v>Singaporean</v>
      </c>
      <c r="F961" s="55" t="str">
        <f>Annex!L695</f>
        <v xml:space="preserve">Case 960 is a Imported case, 22 years old female Singapore Citizen  and has been to UK, US . She is currently admitted at NCID . </v>
      </c>
      <c r="G961" s="82">
        <v>43922</v>
      </c>
      <c r="H961" s="55"/>
      <c r="I961" s="55"/>
      <c r="J961" s="55"/>
      <c r="K961" s="55"/>
      <c r="L961" s="55" t="str">
        <f>Annex!C695</f>
        <v xml:space="preserve">NCID </v>
      </c>
      <c r="M961" s="83" t="s">
        <v>1369</v>
      </c>
    </row>
    <row r="962" spans="1:13" ht="13.8" customHeight="1" x14ac:dyDescent="0.3">
      <c r="A962" s="55">
        <f>Annex!A696</f>
        <v>961</v>
      </c>
      <c r="B962" s="55" t="str">
        <f>IF(LEFT(Annex!H696,5)="Local","Local Transmission",Annex!H696)</f>
        <v>Imported</v>
      </c>
      <c r="C962" s="55" t="str">
        <f>Annex!J696</f>
        <v>Female</v>
      </c>
      <c r="D962" s="55">
        <f>Annex!D696</f>
        <v>21</v>
      </c>
      <c r="E962" s="55" t="str">
        <f>Annex!K696</f>
        <v>Singaporean</v>
      </c>
      <c r="F962" s="55" t="str">
        <f>Annex!L696</f>
        <v xml:space="preserve">Case 961 is a Imported case, 21 years old female Singapore Citizen  and has been to UK . She is currently admitted at NCID . </v>
      </c>
      <c r="G962" s="82">
        <v>43922</v>
      </c>
      <c r="H962" s="55"/>
      <c r="I962" s="55"/>
      <c r="J962" s="55"/>
      <c r="K962" s="55"/>
      <c r="L962" s="55" t="str">
        <f>Annex!C696</f>
        <v xml:space="preserve">NCID </v>
      </c>
      <c r="M962" s="83" t="s">
        <v>1369</v>
      </c>
    </row>
    <row r="963" spans="1:13" ht="13.8" customHeight="1" x14ac:dyDescent="0.3">
      <c r="A963" s="55">
        <f>Annex!A697</f>
        <v>962</v>
      </c>
      <c r="B963" s="55" t="str">
        <f>IF(LEFT(Annex!H697,5)="Local","Local Transmission",Annex!H697)</f>
        <v>Imported</v>
      </c>
      <c r="C963" s="55" t="str">
        <f>Annex!J697</f>
        <v>Male</v>
      </c>
      <c r="D963" s="55">
        <f>Annex!D697</f>
        <v>33</v>
      </c>
      <c r="E963" s="55" t="str">
        <f>Annex!K697</f>
        <v>China</v>
      </c>
      <c r="F963" s="55" t="str">
        <f>Annex!L697</f>
        <v xml:space="preserve">Case 962 is a Imported case, 33 years old male China (Singapore Work Pass holder)  and has been to Ethiopia . He is currently admitted at SKH . </v>
      </c>
      <c r="G963" s="82">
        <v>43922</v>
      </c>
      <c r="H963" s="55"/>
      <c r="I963" s="55"/>
      <c r="J963" s="55"/>
      <c r="K963" s="55"/>
      <c r="L963" s="55" t="str">
        <f>Annex!C697</f>
        <v xml:space="preserve">SKH </v>
      </c>
      <c r="M963" s="83" t="s">
        <v>1369</v>
      </c>
    </row>
    <row r="964" spans="1:13" ht="13.8" customHeight="1" x14ac:dyDescent="0.3">
      <c r="A964" s="55">
        <f>Annex!A698</f>
        <v>963</v>
      </c>
      <c r="B964" s="55" t="str">
        <f>IF(LEFT(Annex!H698,5)="Local","Local Transmission",Annex!H698)</f>
        <v>Local Transmission</v>
      </c>
      <c r="C964" s="55" t="str">
        <f>Annex!J698</f>
        <v>Male</v>
      </c>
      <c r="D964" s="55">
        <f>Annex!D698</f>
        <v>26</v>
      </c>
      <c r="E964" s="55" t="str">
        <f>Annex!K698</f>
        <v>Bangladesh</v>
      </c>
      <c r="F964" s="55" t="str">
        <f>Annex!L698</f>
        <v xml:space="preserve">Case 963 is a Local unlinked case, 26 years old male Bangladesh (Long Term Pass holder)  and has not been overseas. He is currently admitted at SKH . </v>
      </c>
      <c r="G964" s="82">
        <v>43922</v>
      </c>
      <c r="H964" s="55"/>
      <c r="I964" s="55"/>
      <c r="J964" s="55"/>
      <c r="K964" s="55"/>
      <c r="L964" s="55" t="str">
        <f>Annex!C698</f>
        <v xml:space="preserve">SKH </v>
      </c>
      <c r="M964" s="83" t="s">
        <v>1369</v>
      </c>
    </row>
    <row r="965" spans="1:13" ht="13.8" customHeight="1" x14ac:dyDescent="0.3">
      <c r="A965" s="55">
        <f>Annex!A699</f>
        <v>964</v>
      </c>
      <c r="B965" s="55" t="str">
        <f>IF(LEFT(Annex!H699,5)="Local","Local Transmission",Annex!H699)</f>
        <v>Local Transmission</v>
      </c>
      <c r="C965" s="55" t="str">
        <f>Annex!J699</f>
        <v>Male</v>
      </c>
      <c r="D965" s="55">
        <f>Annex!D699</f>
        <v>37</v>
      </c>
      <c r="E965" s="55" t="str">
        <f>Annex!K699</f>
        <v>India</v>
      </c>
      <c r="F965" s="55" t="str">
        <f>Annex!L699</f>
        <v xml:space="preserve">Case 964 is a Local unlinked case, 37 years old male India (Singapore Work Pass holder)  and has not been overseas. He is currently admitted at SKH . </v>
      </c>
      <c r="G965" s="82">
        <v>43922</v>
      </c>
      <c r="H965" s="79">
        <v>43924</v>
      </c>
      <c r="I965" s="55"/>
      <c r="J965" s="55"/>
      <c r="K965" s="55"/>
      <c r="L965" s="55" t="str">
        <f>Annex!C699</f>
        <v xml:space="preserve">SKH </v>
      </c>
      <c r="M965" s="83" t="s">
        <v>1369</v>
      </c>
    </row>
    <row r="966" spans="1:13" ht="13.8" customHeight="1" x14ac:dyDescent="0.3">
      <c r="A966" s="55">
        <f>Annex!A700</f>
        <v>965</v>
      </c>
      <c r="B966" s="55" t="str">
        <f>IF(LEFT(Annex!H700,5)="Local","Local Transmission",Annex!H700)</f>
        <v>Local Transmission</v>
      </c>
      <c r="C966" s="55" t="str">
        <f>Annex!J700</f>
        <v>Female</v>
      </c>
      <c r="D966" s="55">
        <f>Annex!D700</f>
        <v>34</v>
      </c>
      <c r="E966" s="55" t="str">
        <f>Annex!K700</f>
        <v>Malaysia</v>
      </c>
      <c r="F966" s="55" t="str">
        <f>Annex!L700</f>
        <v xml:space="preserve">Case 965 is a Local unlinked case, 34 years old female Malaysia (Singapore Work Pass holder)  and has not been overseas. She is currently admitted at SGH . </v>
      </c>
      <c r="G966" s="82">
        <v>43922</v>
      </c>
      <c r="H966" s="55"/>
      <c r="I966" s="55"/>
      <c r="J966" s="55"/>
      <c r="K966" s="55"/>
      <c r="L966" s="55" t="str">
        <f>Annex!C700</f>
        <v xml:space="preserve">SGH </v>
      </c>
      <c r="M966" s="83" t="s">
        <v>1369</v>
      </c>
    </row>
    <row r="967" spans="1:13" ht="13.8" customHeight="1" x14ac:dyDescent="0.3">
      <c r="A967" s="55">
        <f>Annex!A701</f>
        <v>966</v>
      </c>
      <c r="B967" s="55" t="str">
        <f>IF(LEFT(Annex!H701,5)="Local","Local Transmission",Annex!H701)</f>
        <v>Local Transmission</v>
      </c>
      <c r="C967" s="55" t="str">
        <f>Annex!J701</f>
        <v>Male</v>
      </c>
      <c r="D967" s="55">
        <f>Annex!D701</f>
        <v>25</v>
      </c>
      <c r="E967" s="55" t="str">
        <f>Annex!K701</f>
        <v>Bangladesh</v>
      </c>
      <c r="F967" s="55" t="str">
        <f>Annex!L701</f>
        <v>Case 966 is a Local linked  case, 25 years old male Bangladesh (Long Term Pass holder)  and has not been overseas. He is currently admitted at NCID . S11 Dormitory</v>
      </c>
      <c r="G967" s="82">
        <v>43922</v>
      </c>
      <c r="H967" s="55"/>
      <c r="I967" s="55"/>
      <c r="J967" s="55"/>
      <c r="K967" s="55"/>
      <c r="L967" s="55" t="str">
        <f>Annex!C701</f>
        <v xml:space="preserve">NCID </v>
      </c>
      <c r="M967" s="83" t="s">
        <v>1369</v>
      </c>
    </row>
    <row r="968" spans="1:13" ht="13.8" customHeight="1" x14ac:dyDescent="0.3">
      <c r="A968" s="55">
        <f>Annex!A702</f>
        <v>967</v>
      </c>
      <c r="B968" s="55" t="str">
        <f>IF(LEFT(Annex!H702,5)="Local","Local Transmission",Annex!H702)</f>
        <v>Local Transmission</v>
      </c>
      <c r="C968" s="55" t="str">
        <f>Annex!J702</f>
        <v>Male</v>
      </c>
      <c r="D968" s="55">
        <f>Annex!D702</f>
        <v>47</v>
      </c>
      <c r="E968" s="55" t="str">
        <f>Annex!K702</f>
        <v>Bangladesh</v>
      </c>
      <c r="F968" s="55" t="str">
        <f>Annex!L702</f>
        <v xml:space="preserve">Case 967 is a Local unlinked case, 47 years old male Bangladesh (Long Term Pass holder)  and has not been overseas. He is currently admitted at NCID . </v>
      </c>
      <c r="G968" s="82">
        <v>43922</v>
      </c>
      <c r="H968" s="55"/>
      <c r="I968" s="55"/>
      <c r="J968" s="55"/>
      <c r="K968" s="55"/>
      <c r="L968" s="55" t="str">
        <f>Annex!C702</f>
        <v xml:space="preserve">NCID </v>
      </c>
      <c r="M968" s="83" t="s">
        <v>1369</v>
      </c>
    </row>
    <row r="969" spans="1:13" ht="13.8" customHeight="1" x14ac:dyDescent="0.3">
      <c r="A969" s="55">
        <f>Annex!A703</f>
        <v>968</v>
      </c>
      <c r="B969" s="55" t="str">
        <f>IF(LEFT(Annex!H703,5)="Local","Local Transmission",Annex!H703)</f>
        <v xml:space="preserve">Imported </v>
      </c>
      <c r="C969" s="55" t="str">
        <f>Annex!J703</f>
        <v>Male</v>
      </c>
      <c r="D969" s="55">
        <f>Annex!D703</f>
        <v>2</v>
      </c>
      <c r="E969" s="55" t="str">
        <f>Annex!K703</f>
        <v>Brazil</v>
      </c>
      <c r="F969" s="55" t="str">
        <f>Annex!L703</f>
        <v>Case 968 is a Imported  case, 2 years old male Brazil (Long Term Pass holder)  and has been to Brazil . He is currently admitted at NUH . Family member of Cases 851 and 969</v>
      </c>
      <c r="G969" s="82">
        <v>43922</v>
      </c>
      <c r="H969" s="55"/>
      <c r="I969" s="55"/>
      <c r="J969" s="55"/>
      <c r="K969" s="55"/>
      <c r="L969" s="55" t="str">
        <f>Annex!C703</f>
        <v xml:space="preserve">NUH </v>
      </c>
      <c r="M969" s="83" t="s">
        <v>1369</v>
      </c>
    </row>
    <row r="970" spans="1:13" ht="13.8" customHeight="1" x14ac:dyDescent="0.3">
      <c r="A970" s="55">
        <f>Annex!A704</f>
        <v>969</v>
      </c>
      <c r="B970" s="55" t="str">
        <f>IF(LEFT(Annex!H704,5)="Local","Local Transmission",Annex!H704)</f>
        <v xml:space="preserve">Imported </v>
      </c>
      <c r="C970" s="55" t="str">
        <f>Annex!J704</f>
        <v>Male</v>
      </c>
      <c r="D970" s="55">
        <f>Annex!D704</f>
        <v>42</v>
      </c>
      <c r="E970" s="55" t="str">
        <f>Annex!K704</f>
        <v>Brazil</v>
      </c>
      <c r="F970" s="55" t="str">
        <f>Annex!L704</f>
        <v>Case 969 is a Imported  case, 42 years old male Brazil (Singapore Work Pass holder)  and has been to Brazil . He is currently admitted at NUH . Family member of Cases 851 and 968</v>
      </c>
      <c r="G970" s="82">
        <v>43922</v>
      </c>
      <c r="H970" s="55"/>
      <c r="I970" s="55"/>
      <c r="J970" s="55"/>
      <c r="K970" s="55"/>
      <c r="L970" s="55" t="str">
        <f>Annex!C704</f>
        <v xml:space="preserve">NUH </v>
      </c>
      <c r="M970" s="83" t="s">
        <v>1369</v>
      </c>
    </row>
    <row r="971" spans="1:13" ht="13.8" customHeight="1" x14ac:dyDescent="0.3">
      <c r="A971" s="55">
        <f>Annex!A705</f>
        <v>970</v>
      </c>
      <c r="B971" s="55" t="str">
        <f>IF(LEFT(Annex!H705,5)="Local","Local Transmission",Annex!H705)</f>
        <v>Imported</v>
      </c>
      <c r="C971" s="55" t="str">
        <f>Annex!J705</f>
        <v>Male</v>
      </c>
      <c r="D971" s="55">
        <f>Annex!D705</f>
        <v>67</v>
      </c>
      <c r="E971" s="55" t="str">
        <f>Annex!K705</f>
        <v>Singaporean</v>
      </c>
      <c r="F971" s="55" t="str">
        <f>Annex!L705</f>
        <v xml:space="preserve">Case 970 is a Imported case, 67 years old male Singapore Citizen  and has been to UK . He is currently admitted at AH . </v>
      </c>
      <c r="G971" s="82">
        <v>43922</v>
      </c>
      <c r="H971" s="55"/>
      <c r="I971" s="55"/>
      <c r="J971" s="55"/>
      <c r="K971" s="55"/>
      <c r="L971" s="55" t="str">
        <f>Annex!C705</f>
        <v xml:space="preserve">AH </v>
      </c>
      <c r="M971" s="83" t="s">
        <v>1369</v>
      </c>
    </row>
    <row r="972" spans="1:13" ht="13.8" customHeight="1" x14ac:dyDescent="0.3">
      <c r="A972" s="55">
        <f>Annex!A706</f>
        <v>971</v>
      </c>
      <c r="B972" s="55" t="str">
        <f>IF(LEFT(Annex!H706,5)="Local","Local Transmission",Annex!H706)</f>
        <v>Local Transmission</v>
      </c>
      <c r="C972" s="55" t="str">
        <f>Annex!J706</f>
        <v>Female</v>
      </c>
      <c r="D972" s="55">
        <f>Annex!D706</f>
        <v>58</v>
      </c>
      <c r="E972" s="55" t="str">
        <f>Annex!K706</f>
        <v>Singaporean</v>
      </c>
      <c r="F972" s="55" t="str">
        <f>Annex!L706</f>
        <v xml:space="preserve">Case 971 is a Local unlinked case, 58 years old female Singapore Citizen  and has not been overseas. She is currently admitted at AH . </v>
      </c>
      <c r="G972" s="82">
        <v>43922</v>
      </c>
      <c r="H972" s="55"/>
      <c r="I972" s="55"/>
      <c r="J972" s="55"/>
      <c r="K972" s="55"/>
      <c r="L972" s="55" t="str">
        <f>Annex!C706</f>
        <v xml:space="preserve">AH </v>
      </c>
      <c r="M972" s="83" t="s">
        <v>1369</v>
      </c>
    </row>
    <row r="973" spans="1:13" ht="13.8" customHeight="1" x14ac:dyDescent="0.3">
      <c r="A973" s="55">
        <f>Annex!A707</f>
        <v>972</v>
      </c>
      <c r="B973" s="55" t="str">
        <f>IF(LEFT(Annex!H707,5)="Local","Local Transmission",Annex!H707)</f>
        <v>Local Transmission</v>
      </c>
      <c r="C973" s="55" t="str">
        <f>Annex!J707</f>
        <v>Male</v>
      </c>
      <c r="D973" s="55">
        <f>Annex!D707</f>
        <v>28</v>
      </c>
      <c r="E973" s="55" t="str">
        <f>Annex!K707</f>
        <v>Bangladesh</v>
      </c>
      <c r="F973" s="55" t="str">
        <f>Annex!L707</f>
        <v>Case 972 is a Local linked  case, 28 years old male Bangladesh (Long Term Pass holder)  and has not been overseas. He is currently admitted at NCID . Dormitory at 55 Sungei Kadut Loop</v>
      </c>
      <c r="G973" s="82">
        <v>43922</v>
      </c>
      <c r="H973" s="55"/>
      <c r="I973" s="55"/>
      <c r="J973" s="55"/>
      <c r="K973" s="55"/>
      <c r="L973" s="55" t="str">
        <f>Annex!C707</f>
        <v xml:space="preserve">NCID </v>
      </c>
      <c r="M973" s="83" t="s">
        <v>1369</v>
      </c>
    </row>
    <row r="974" spans="1:13" ht="13.8" customHeight="1" x14ac:dyDescent="0.3">
      <c r="A974" s="55">
        <f>Annex!A708</f>
        <v>973</v>
      </c>
      <c r="B974" s="55" t="str">
        <f>IF(LEFT(Annex!H708,5)="Local","Local Transmission",Annex!H708)</f>
        <v>Local Transmission</v>
      </c>
      <c r="C974" s="55" t="str">
        <f>Annex!J708</f>
        <v>Male</v>
      </c>
      <c r="D974" s="55">
        <f>Annex!D708</f>
        <v>44</v>
      </c>
      <c r="E974" s="55" t="str">
        <f>Annex!K708</f>
        <v>Sri Lanka</v>
      </c>
      <c r="F974" s="55" t="str">
        <f>Annex!L708</f>
        <v>Case 973 is a Local linked  case, 44 years old male Sri Lanka (Singapore Work Pass holder)  and has been to Sri Lanka . He is currently admitted at NCID . Lee Ah Mooi Home</v>
      </c>
      <c r="G974" s="82">
        <v>43922</v>
      </c>
      <c r="H974" s="55"/>
      <c r="I974" s="55"/>
      <c r="J974" s="55"/>
      <c r="K974" s="55"/>
      <c r="L974" s="55" t="str">
        <f>Annex!C708</f>
        <v xml:space="preserve">NCID </v>
      </c>
      <c r="M974" s="83" t="s">
        <v>1369</v>
      </c>
    </row>
    <row r="975" spans="1:13" ht="13.8" customHeight="1" x14ac:dyDescent="0.3">
      <c r="A975" s="55">
        <f>Annex!A709</f>
        <v>974</v>
      </c>
      <c r="B975" s="55" t="str">
        <f>IF(LEFT(Annex!H709,5)="Local","Local Transmission",Annex!H709)</f>
        <v>Local Transmission</v>
      </c>
      <c r="C975" s="55" t="str">
        <f>Annex!J709</f>
        <v>Male</v>
      </c>
      <c r="D975" s="55">
        <f>Annex!D709</f>
        <v>30</v>
      </c>
      <c r="E975" s="55" t="str">
        <f>Annex!K709</f>
        <v>Bangladesh</v>
      </c>
      <c r="F975" s="55" t="str">
        <f>Annex!L709</f>
        <v>Case 974 is a Local linked  case, 30 years old male Bangladesh (Singapore Work Pass holder)  and has not been overseas. He is currently admitted at NCID . Dormitory at 55 Sungei Kadut Loop</v>
      </c>
      <c r="G975" s="82">
        <v>43922</v>
      </c>
      <c r="H975" s="55"/>
      <c r="I975" s="55"/>
      <c r="J975" s="55"/>
      <c r="K975" s="55"/>
      <c r="L975" s="55" t="str">
        <f>Annex!C709</f>
        <v xml:space="preserve">NCID </v>
      </c>
      <c r="M975" s="83" t="s">
        <v>1369</v>
      </c>
    </row>
    <row r="976" spans="1:13" ht="13.8" customHeight="1" x14ac:dyDescent="0.3">
      <c r="A976" s="55">
        <f>Annex!A710</f>
        <v>975</v>
      </c>
      <c r="B976" s="55" t="str">
        <f>IF(LEFT(Annex!H710,5)="Local","Local Transmission",Annex!H710)</f>
        <v>Local Transmission</v>
      </c>
      <c r="C976" s="55" t="str">
        <f>Annex!J710</f>
        <v>Male</v>
      </c>
      <c r="D976" s="55">
        <f>Annex!D710</f>
        <v>31</v>
      </c>
      <c r="E976" s="55" t="str">
        <f>Annex!K710</f>
        <v>Singaporean</v>
      </c>
      <c r="F976" s="55" t="str">
        <f>Annex!L710</f>
        <v>Case 975 is a Local linked  case, 31 years old male Singapore Citizen  and has not been overseas. He is currently admitted at NCID . Family member of Cases 702, 703 and 682</v>
      </c>
      <c r="G976" s="82">
        <v>43922</v>
      </c>
      <c r="H976" s="55"/>
      <c r="I976" s="55"/>
      <c r="J976" s="55"/>
      <c r="K976" s="55"/>
      <c r="L976" s="55" t="str">
        <f>Annex!C710</f>
        <v xml:space="preserve">NCID </v>
      </c>
      <c r="M976" s="83" t="s">
        <v>1369</v>
      </c>
    </row>
    <row r="977" spans="1:13" ht="13.8" customHeight="1" x14ac:dyDescent="0.3">
      <c r="A977" s="55">
        <f>Annex!A711</f>
        <v>976</v>
      </c>
      <c r="B977" s="55" t="str">
        <f>IF(LEFT(Annex!H711,5)="Local","Local Transmission",Annex!H711)</f>
        <v>Local Transmission</v>
      </c>
      <c r="C977" s="55" t="str">
        <f>Annex!J711</f>
        <v>Female</v>
      </c>
      <c r="D977" s="55">
        <f>Annex!D711</f>
        <v>42</v>
      </c>
      <c r="E977" s="55" t="str">
        <f>Annex!K711</f>
        <v>India</v>
      </c>
      <c r="F977" s="55" t="str">
        <f>Annex!L711</f>
        <v>Case 976 is a Local linked  case, 42 years old female India (Singapore Work Pass holder)  and has not been overseas. She is currently admitted at NCID . Lee Ah Mooi Home</v>
      </c>
      <c r="G977" s="82">
        <v>43922</v>
      </c>
      <c r="H977" s="55"/>
      <c r="I977" s="55"/>
      <c r="J977" s="55"/>
      <c r="K977" s="55"/>
      <c r="L977" s="55" t="str">
        <f>Annex!C711</f>
        <v xml:space="preserve">NCID </v>
      </c>
      <c r="M977" s="83" t="s">
        <v>1369</v>
      </c>
    </row>
    <row r="978" spans="1:13" ht="13.8" customHeight="1" x14ac:dyDescent="0.3">
      <c r="A978" s="55">
        <f>Annex!A712</f>
        <v>977</v>
      </c>
      <c r="B978" s="55" t="str">
        <f>IF(LEFT(Annex!H712,5)="Local","Local Transmission",Annex!H712)</f>
        <v>Local Transmission</v>
      </c>
      <c r="C978" s="55" t="str">
        <f>Annex!J712</f>
        <v>Male</v>
      </c>
      <c r="D978" s="55">
        <f>Annex!D712</f>
        <v>28</v>
      </c>
      <c r="E978" s="55" t="str">
        <f>Annex!K712</f>
        <v>Bangladesh</v>
      </c>
      <c r="F978" s="55" t="str">
        <f>Annex!L712</f>
        <v>Case 977 is a Local linked  case, 28 years old male Bangladesh (Long Term Pass holder)  and has not been overseas. He is currently admitted at NCID . Westlite Toh Guan</v>
      </c>
      <c r="G978" s="82">
        <v>43922</v>
      </c>
      <c r="H978" s="55"/>
      <c r="I978" s="55"/>
      <c r="J978" s="55"/>
      <c r="K978" s="55"/>
      <c r="L978" s="55" t="str">
        <f>Annex!C712</f>
        <v xml:space="preserve">NCID </v>
      </c>
      <c r="M978" s="83" t="s">
        <v>1369</v>
      </c>
    </row>
    <row r="979" spans="1:13" ht="13.8" customHeight="1" x14ac:dyDescent="0.3">
      <c r="A979" s="55">
        <f>Annex!A713</f>
        <v>978</v>
      </c>
      <c r="B979" s="55" t="str">
        <f>IF(LEFT(Annex!H713,5)="Local","Local Transmission",Annex!H713)</f>
        <v>Local Transmission</v>
      </c>
      <c r="C979" s="55" t="str">
        <f>Annex!J713</f>
        <v>Female</v>
      </c>
      <c r="D979" s="55">
        <f>Annex!D713</f>
        <v>26</v>
      </c>
      <c r="E979" s="55" t="str">
        <f>Annex!K713</f>
        <v>Singaporean</v>
      </c>
      <c r="F979" s="55" t="str">
        <f>Annex!L713</f>
        <v xml:space="preserve">Case 978 is a Local unlinked case, 26 years old female Singapore Citizen  and has not been overseas. She is currently admitted at NCID . </v>
      </c>
      <c r="G979" s="82">
        <v>43922</v>
      </c>
      <c r="H979" s="55"/>
      <c r="I979" s="55"/>
      <c r="J979" s="55"/>
      <c r="K979" s="55"/>
      <c r="L979" s="55" t="str">
        <f>Annex!C713</f>
        <v xml:space="preserve">NCID </v>
      </c>
      <c r="M979" s="83" t="s">
        <v>1369</v>
      </c>
    </row>
    <row r="980" spans="1:13" ht="13.8" customHeight="1" x14ac:dyDescent="0.3">
      <c r="A980" s="55">
        <f>Annex!A714</f>
        <v>979</v>
      </c>
      <c r="B980" s="55" t="str">
        <f>IF(LEFT(Annex!H714,5)="Local","Local Transmission",Annex!H714)</f>
        <v>Local Transmission</v>
      </c>
      <c r="C980" s="55" t="str">
        <f>Annex!J714</f>
        <v>Male</v>
      </c>
      <c r="D980" s="55">
        <f>Annex!D714</f>
        <v>28</v>
      </c>
      <c r="E980" s="55" t="str">
        <f>Annex!K714</f>
        <v>India</v>
      </c>
      <c r="F980" s="55" t="str">
        <f>Annex!L714</f>
        <v xml:space="preserve">Case 979 is a Local linked S11 Dormitory case, 28 years old male India (Singapore Work Pass holder)  and has not been overseas. He is currently admitted at NCID . </v>
      </c>
      <c r="G980" s="82">
        <v>43922</v>
      </c>
      <c r="H980" s="55"/>
      <c r="I980" s="55"/>
      <c r="J980" s="55"/>
      <c r="K980" s="55"/>
      <c r="L980" s="55" t="str">
        <f>Annex!C714</f>
        <v xml:space="preserve">NCID </v>
      </c>
      <c r="M980" s="83" t="s">
        <v>1369</v>
      </c>
    </row>
    <row r="981" spans="1:13" ht="13.8" customHeight="1" x14ac:dyDescent="0.3">
      <c r="A981" s="55">
        <f>Annex!A715</f>
        <v>980</v>
      </c>
      <c r="B981" s="55" t="str">
        <f>IF(LEFT(Annex!H715,5)="Local","Local Transmission",Annex!H715)</f>
        <v>Local Transmission</v>
      </c>
      <c r="C981" s="55" t="str">
        <f>Annex!J715</f>
        <v>Female</v>
      </c>
      <c r="D981" s="55">
        <f>Annex!D715</f>
        <v>49</v>
      </c>
      <c r="E981" s="55" t="str">
        <f>Annex!K715</f>
        <v>Singaporean</v>
      </c>
      <c r="F981" s="55" t="str">
        <f>Annex!L715</f>
        <v>Case 980 is a Local linked  case, 49 years old female Singapore Citizen  and has not been overseas. She is currently admitted at NCID . Wilby Residences</v>
      </c>
      <c r="G981" s="82">
        <v>43922</v>
      </c>
      <c r="H981" s="55"/>
      <c r="I981" s="55"/>
      <c r="J981" s="55"/>
      <c r="K981" s="55"/>
      <c r="L981" s="55" t="str">
        <f>Annex!C715</f>
        <v xml:space="preserve">NCID </v>
      </c>
      <c r="M981" s="83" t="s">
        <v>1369</v>
      </c>
    </row>
    <row r="982" spans="1:13" ht="13.8" customHeight="1" x14ac:dyDescent="0.3">
      <c r="A982" s="55">
        <f>Annex!A716</f>
        <v>981</v>
      </c>
      <c r="B982" s="55" t="str">
        <f>IF(LEFT(Annex!H716,5)="Local","Local Transmission",Annex!H716)</f>
        <v>Local Transmission</v>
      </c>
      <c r="C982" s="55" t="str">
        <f>Annex!J716</f>
        <v>Male</v>
      </c>
      <c r="D982" s="55">
        <f>Annex!D716</f>
        <v>80</v>
      </c>
      <c r="E982" s="55" t="str">
        <f>Annex!K716</f>
        <v>Singaporean</v>
      </c>
      <c r="F982" s="55" t="str">
        <f>Annex!L716</f>
        <v xml:space="preserve">Case 981 is a Local unlinked case, 80 years old male Singapore Citizen  and has not been overseas. He is currently admitted at NCID . </v>
      </c>
      <c r="G982" s="82">
        <v>43922</v>
      </c>
      <c r="H982" s="55"/>
      <c r="I982" s="55"/>
      <c r="J982" s="55"/>
      <c r="K982" s="55"/>
      <c r="L982" s="55" t="str">
        <f>Annex!C716</f>
        <v xml:space="preserve">NCID </v>
      </c>
      <c r="M982" s="83" t="s">
        <v>1369</v>
      </c>
    </row>
    <row r="983" spans="1:13" ht="13.8" customHeight="1" x14ac:dyDescent="0.3">
      <c r="A983" s="55">
        <f>Annex!A717</f>
        <v>982</v>
      </c>
      <c r="B983" s="55" t="str">
        <f>IF(LEFT(Annex!H717,5)="Local","Local Transmission",Annex!H717)</f>
        <v>Local Transmission</v>
      </c>
      <c r="C983" s="55" t="str">
        <f>Annex!J717</f>
        <v>Male</v>
      </c>
      <c r="D983" s="55">
        <f>Annex!D717</f>
        <v>40</v>
      </c>
      <c r="E983" s="55" t="str">
        <f>Annex!K717</f>
        <v>India</v>
      </c>
      <c r="F983" s="55" t="str">
        <f>Annex!L717</f>
        <v>Case 982 is a Local linked  case, 40 years old male India (Long Term Pass holder)  and has not been overseas. He is currently admitted at NCID . S11 Dormitory</v>
      </c>
      <c r="G983" s="82">
        <v>43922</v>
      </c>
      <c r="H983" s="55"/>
      <c r="I983" s="55"/>
      <c r="J983" s="55"/>
      <c r="K983" s="55"/>
      <c r="L983" s="55" t="str">
        <f>Annex!C717</f>
        <v xml:space="preserve">NCID </v>
      </c>
      <c r="M983" s="83" t="s">
        <v>1369</v>
      </c>
    </row>
    <row r="984" spans="1:13" ht="13.8" customHeight="1" x14ac:dyDescent="0.3">
      <c r="A984" s="55">
        <f>Annex!A718</f>
        <v>983</v>
      </c>
      <c r="B984" s="55" t="str">
        <f>IF(LEFT(Annex!H718,5)="Local","Local Transmission",Annex!H718)</f>
        <v>Local Transmission</v>
      </c>
      <c r="C984" s="55" t="str">
        <f>Annex!J718</f>
        <v>Female</v>
      </c>
      <c r="D984" s="55">
        <f>Annex!D718</f>
        <v>102</v>
      </c>
      <c r="E984" s="55" t="str">
        <f>Annex!K718</f>
        <v>Singaporean</v>
      </c>
      <c r="F984" s="55" t="str">
        <f>Annex!L718</f>
        <v>Case 983 is a Local linked  case, 102 years old female Singapore Citizen  and has not been overseas. She is currently admitted at NCID . Lee Ah Mooi Home</v>
      </c>
      <c r="G984" s="82">
        <v>43922</v>
      </c>
      <c r="H984" s="55"/>
      <c r="I984" s="55"/>
      <c r="J984" s="55"/>
      <c r="K984" s="55"/>
      <c r="L984" s="55" t="str">
        <f>Annex!C718</f>
        <v xml:space="preserve">NCID </v>
      </c>
      <c r="M984" s="83" t="s">
        <v>1369</v>
      </c>
    </row>
    <row r="985" spans="1:13" ht="13.8" customHeight="1" x14ac:dyDescent="0.3">
      <c r="A985" s="55">
        <f>Annex!A719</f>
        <v>984</v>
      </c>
      <c r="B985" s="55" t="str">
        <f>IF(LEFT(Annex!H719,5)="Local","Local Transmission",Annex!H719)</f>
        <v>Local Transmission</v>
      </c>
      <c r="C985" s="55" t="str">
        <f>Annex!J719</f>
        <v>Female</v>
      </c>
      <c r="D985" s="55">
        <f>Annex!D719</f>
        <v>88</v>
      </c>
      <c r="E985" s="55" t="str">
        <f>Annex!K719</f>
        <v>Singaporean</v>
      </c>
      <c r="F985" s="55" t="str">
        <f>Annex!L719</f>
        <v>Case 984 is a Local linked  case, 88 years old female Singapore Citizen  and has not been overseas. She is currently admitted at NCID . Lee Ah Mooi Home</v>
      </c>
      <c r="G985" s="82">
        <v>43922</v>
      </c>
      <c r="H985" s="55"/>
      <c r="I985" s="55"/>
      <c r="J985" s="55"/>
      <c r="K985" s="55"/>
      <c r="L985" s="55" t="str">
        <f>Annex!C719</f>
        <v xml:space="preserve">NCID </v>
      </c>
      <c r="M985" s="83" t="s">
        <v>1369</v>
      </c>
    </row>
    <row r="986" spans="1:13" ht="13.8" customHeight="1" x14ac:dyDescent="0.3">
      <c r="A986" s="55">
        <f>Annex!A720</f>
        <v>985</v>
      </c>
      <c r="B986" s="55" t="str">
        <f>IF(LEFT(Annex!H720,5)="Local","Local Transmission",Annex!H720)</f>
        <v>Local Transmission</v>
      </c>
      <c r="C986" s="55" t="str">
        <f>Annex!J720</f>
        <v>Female</v>
      </c>
      <c r="D986" s="55">
        <f>Annex!D720</f>
        <v>70</v>
      </c>
      <c r="E986" s="55" t="str">
        <f>Annex!K720</f>
        <v>Singaporean</v>
      </c>
      <c r="F986" s="55" t="str">
        <f>Annex!L720</f>
        <v>Case 985 is a Local linked  case, 70 years old female Singapore Citizen  and has not been overseas. She is currently admitted at NCID . Lee Ah Mooi Home</v>
      </c>
      <c r="G986" s="82">
        <v>43922</v>
      </c>
      <c r="H986" s="55"/>
      <c r="I986" s="55"/>
      <c r="J986" s="55"/>
      <c r="K986" s="55"/>
      <c r="L986" s="55" t="str">
        <f>Annex!C720</f>
        <v xml:space="preserve">NCID </v>
      </c>
      <c r="M986" s="83" t="s">
        <v>1369</v>
      </c>
    </row>
    <row r="987" spans="1:13" ht="13.8" customHeight="1" x14ac:dyDescent="0.3">
      <c r="A987" s="55">
        <f>Annex!A721</f>
        <v>986</v>
      </c>
      <c r="B987" s="55" t="str">
        <f>IF(LEFT(Annex!H721,5)="Local","Local Transmission",Annex!H721)</f>
        <v>Local Transmission</v>
      </c>
      <c r="C987" s="55" t="str">
        <f>Annex!J721</f>
        <v>Female</v>
      </c>
      <c r="D987" s="55">
        <f>Annex!D721</f>
        <v>88</v>
      </c>
      <c r="E987" s="55" t="str">
        <f>Annex!K721</f>
        <v>Singaporean</v>
      </c>
      <c r="F987" s="55" t="str">
        <f>Annex!L721</f>
        <v>Case 986 is a Local linked  case, 88 years old female Singapore Citizen  and has not been overseas. She is currently admitted at NCID . Lee Ah Mooi Home</v>
      </c>
      <c r="G987" s="82">
        <v>43922</v>
      </c>
      <c r="H987" s="55"/>
      <c r="I987" s="55"/>
      <c r="J987" s="55"/>
      <c r="K987" s="55"/>
      <c r="L987" s="55" t="str">
        <f>Annex!C721</f>
        <v xml:space="preserve">NCID </v>
      </c>
      <c r="M987" s="83" t="s">
        <v>1369</v>
      </c>
    </row>
    <row r="988" spans="1:13" ht="13.8" customHeight="1" x14ac:dyDescent="0.3">
      <c r="A988" s="55">
        <f>Annex!A722</f>
        <v>987</v>
      </c>
      <c r="B988" s="55" t="str">
        <f>IF(LEFT(Annex!H722,5)="Local","Local Transmission",Annex!H722)</f>
        <v>Local Transmission</v>
      </c>
      <c r="C988" s="55" t="str">
        <f>Annex!J722</f>
        <v>Female</v>
      </c>
      <c r="D988" s="55">
        <f>Annex!D722</f>
        <v>86</v>
      </c>
      <c r="E988" s="55" t="str">
        <f>Annex!K722</f>
        <v>Singaporean</v>
      </c>
      <c r="F988" s="55" t="str">
        <f>Annex!L722</f>
        <v>Case 987 is a Local linked  case, 86 years old female Singapore Citizen  and has not been overseas. She is currently admitted at NCID . Lee Ah Mooi Home</v>
      </c>
      <c r="G988" s="82">
        <v>43922</v>
      </c>
      <c r="H988" s="55"/>
      <c r="I988" s="55"/>
      <c r="J988" s="55"/>
      <c r="K988" s="55"/>
      <c r="L988" s="55" t="str">
        <f>Annex!C722</f>
        <v xml:space="preserve">NCID </v>
      </c>
      <c r="M988" s="83" t="s">
        <v>1369</v>
      </c>
    </row>
    <row r="989" spans="1:13" ht="13.8" customHeight="1" x14ac:dyDescent="0.3">
      <c r="A989" s="55">
        <f>Annex!A723</f>
        <v>988</v>
      </c>
      <c r="B989" s="55" t="str">
        <f>IF(LEFT(Annex!H723,5)="Local","Local Transmission",Annex!H723)</f>
        <v>Local Transmission</v>
      </c>
      <c r="C989" s="55" t="str">
        <f>Annex!J723</f>
        <v>Female</v>
      </c>
      <c r="D989" s="55">
        <f>Annex!D723</f>
        <v>85</v>
      </c>
      <c r="E989" s="55" t="str">
        <f>Annex!K723</f>
        <v>Singaporean</v>
      </c>
      <c r="F989" s="55" t="str">
        <f>Annex!L723</f>
        <v>Case 988 is a Local linked  case, 85 years old female Singapore Citizen  and has not been overseas. She is currently admitted at NCID . Lee Ah Mooi Home</v>
      </c>
      <c r="G989" s="82">
        <v>43922</v>
      </c>
      <c r="H989" s="55"/>
      <c r="I989" s="55"/>
      <c r="J989" s="55"/>
      <c r="K989" s="55"/>
      <c r="L989" s="55" t="str">
        <f>Annex!C723</f>
        <v xml:space="preserve">NCID </v>
      </c>
      <c r="M989" s="83" t="s">
        <v>1369</v>
      </c>
    </row>
    <row r="990" spans="1:13" ht="13.8" customHeight="1" x14ac:dyDescent="0.3">
      <c r="A990" s="55">
        <f>Annex!A724</f>
        <v>989</v>
      </c>
      <c r="B990" s="55" t="str">
        <f>IF(LEFT(Annex!H724,5)="Local","Local Transmission",Annex!H724)</f>
        <v>Local Transmission</v>
      </c>
      <c r="C990" s="55" t="str">
        <f>Annex!J724</f>
        <v>Female</v>
      </c>
      <c r="D990" s="55">
        <f>Annex!D724</f>
        <v>52</v>
      </c>
      <c r="E990" s="55" t="str">
        <f>Annex!K724</f>
        <v>Singaporean</v>
      </c>
      <c r="F990" s="55" t="str">
        <f>Annex!L724</f>
        <v>Case 989 is a Local linked  case, 52 years old female Singapore Citizen  and has not been overseas. She is currently admitted at NCID . Lee Ah Mooi Home</v>
      </c>
      <c r="G990" s="82">
        <v>43922</v>
      </c>
      <c r="H990" s="55"/>
      <c r="I990" s="55"/>
      <c r="J990" s="55"/>
      <c r="K990" s="55"/>
      <c r="L990" s="55" t="str">
        <f>Annex!C724</f>
        <v xml:space="preserve">NCID </v>
      </c>
      <c r="M990" s="83" t="s">
        <v>1369</v>
      </c>
    </row>
    <row r="991" spans="1:13" ht="13.8" customHeight="1" x14ac:dyDescent="0.3">
      <c r="A991" s="55">
        <f>Annex!A725</f>
        <v>990</v>
      </c>
      <c r="B991" s="55" t="str">
        <f>IF(LEFT(Annex!H725,5)="Local","Local Transmission",Annex!H725)</f>
        <v>Local Transmission</v>
      </c>
      <c r="C991" s="55" t="str">
        <f>Annex!J725</f>
        <v>Female</v>
      </c>
      <c r="D991" s="55">
        <f>Annex!D725</f>
        <v>86</v>
      </c>
      <c r="E991" s="55" t="str">
        <f>Annex!K725</f>
        <v>Singaporean</v>
      </c>
      <c r="F991" s="55" t="str">
        <f>Annex!L725</f>
        <v>Case 990 is a Local linked  case, 86 years old female Singapore Citizen  and has not been overseas. She is currently admitted at NCID . Lee Ah Mooi Home</v>
      </c>
      <c r="G991" s="82">
        <v>43922</v>
      </c>
      <c r="H991" s="55"/>
      <c r="I991" s="55"/>
      <c r="J991" s="55"/>
      <c r="K991" s="55"/>
      <c r="L991" s="55" t="str">
        <f>Annex!C725</f>
        <v xml:space="preserve">NCID </v>
      </c>
      <c r="M991" s="83" t="s">
        <v>1369</v>
      </c>
    </row>
    <row r="992" spans="1:13" ht="13.8" customHeight="1" x14ac:dyDescent="0.3">
      <c r="A992" s="55">
        <f>Annex!A726</f>
        <v>991</v>
      </c>
      <c r="B992" s="55" t="str">
        <f>IF(LEFT(Annex!H726,5)="Local","Local Transmission",Annex!H726)</f>
        <v>Local Transmission</v>
      </c>
      <c r="C992" s="55" t="str">
        <f>Annex!J726</f>
        <v>Male</v>
      </c>
      <c r="D992" s="55">
        <f>Annex!D726</f>
        <v>7</v>
      </c>
      <c r="E992" s="55" t="str">
        <f>Annex!K726</f>
        <v>Singaporean</v>
      </c>
      <c r="F992" s="55" t="str">
        <f>Annex!L726</f>
        <v>Case 991 is a Local linked  case, 7 years old male Singapore Citizen  and has not been overseas. He is currently admitted at NUH . Family member of Cases 886 and 992</v>
      </c>
      <c r="G992" s="82">
        <v>43922</v>
      </c>
      <c r="H992" s="55"/>
      <c r="I992" s="55"/>
      <c r="J992" s="55"/>
      <c r="K992" s="55"/>
      <c r="L992" s="55" t="str">
        <f>Annex!C726</f>
        <v xml:space="preserve">NUH </v>
      </c>
      <c r="M992" s="83" t="s">
        <v>1369</v>
      </c>
    </row>
    <row r="993" spans="1:13" ht="13.8" customHeight="1" x14ac:dyDescent="0.3">
      <c r="A993" s="55">
        <f>Annex!A727</f>
        <v>992</v>
      </c>
      <c r="B993" s="55" t="str">
        <f>IF(LEFT(Annex!H727,5)="Local","Local Transmission",Annex!H727)</f>
        <v>Local Transmission</v>
      </c>
      <c r="C993" s="55" t="str">
        <f>Annex!J727</f>
        <v>Female</v>
      </c>
      <c r="D993" s="55">
        <f>Annex!D727</f>
        <v>34</v>
      </c>
      <c r="E993" s="55" t="str">
        <f>Annex!K727</f>
        <v>Singaporean</v>
      </c>
      <c r="F993" s="55" t="str">
        <f>Annex!L727</f>
        <v>Case 992 is a Local linked  case, 34 years old female Singapore Permanent Resident  and has not been overseas. She is currently admitted at NUH . Family member of Cases 886 and 991</v>
      </c>
      <c r="G993" s="82">
        <v>43922</v>
      </c>
      <c r="H993" s="55"/>
      <c r="I993" s="55"/>
      <c r="J993" s="55"/>
      <c r="K993" s="55"/>
      <c r="L993" s="55" t="str">
        <f>Annex!C727</f>
        <v xml:space="preserve">NUH </v>
      </c>
      <c r="M993" s="83" t="s">
        <v>1369</v>
      </c>
    </row>
    <row r="994" spans="1:13" ht="13.8" customHeight="1" x14ac:dyDescent="0.3">
      <c r="A994" s="55">
        <f>Annex!A728</f>
        <v>993</v>
      </c>
      <c r="B994" s="55" t="str">
        <f>IF(LEFT(Annex!H728,5)="Local","Local Transmission",Annex!H728)</f>
        <v>Local Transmission</v>
      </c>
      <c r="C994" s="55" t="str">
        <f>Annex!J728</f>
        <v>Male</v>
      </c>
      <c r="D994" s="55">
        <f>Annex!D728</f>
        <v>37</v>
      </c>
      <c r="E994" s="55" t="str">
        <f>Annex!K728</f>
        <v>Bangladesh</v>
      </c>
      <c r="F994" s="55" t="str">
        <f>Annex!L728</f>
        <v>Case 993 is a Local linked  case, 37 years old male Bangladesh (Long Term Pass holder)  and has not been overseas. He is currently admitted at KTPH . S11 Dormitory</v>
      </c>
      <c r="G994" s="82">
        <v>43922</v>
      </c>
      <c r="H994" s="55"/>
      <c r="I994" s="55"/>
      <c r="J994" s="55"/>
      <c r="K994" s="55"/>
      <c r="L994" s="55" t="str">
        <f>Annex!C728</f>
        <v xml:space="preserve">KTPH </v>
      </c>
      <c r="M994" s="83" t="s">
        <v>1369</v>
      </c>
    </row>
    <row r="995" spans="1:13" ht="13.8" customHeight="1" x14ac:dyDescent="0.3">
      <c r="A995" s="55">
        <f>Annex!A729</f>
        <v>994</v>
      </c>
      <c r="B995" s="55" t="str">
        <f>IF(LEFT(Annex!H729,5)="Local","Local Transmission",Annex!H729)</f>
        <v>Local Transmission</v>
      </c>
      <c r="C995" s="55" t="str">
        <f>Annex!J729</f>
        <v>Male</v>
      </c>
      <c r="D995" s="55">
        <f>Annex!D729</f>
        <v>46</v>
      </c>
      <c r="E995" s="55" t="str">
        <f>Annex!K729</f>
        <v>Singaporean</v>
      </c>
      <c r="F995" s="55" t="str">
        <f>Annex!L729</f>
        <v xml:space="preserve">Case 994 is a Local unlinked case, 46 years old male Singapore Citizen  and has not been overseas. He is currently admitted at KTPH . </v>
      </c>
      <c r="G995" s="82">
        <v>43922</v>
      </c>
      <c r="H995" s="55"/>
      <c r="I995" s="55"/>
      <c r="J995" s="55"/>
      <c r="K995" s="55"/>
      <c r="L995" s="55" t="str">
        <f>Annex!C729</f>
        <v xml:space="preserve">KTPH </v>
      </c>
      <c r="M995" s="83" t="s">
        <v>1369</v>
      </c>
    </row>
    <row r="996" spans="1:13" ht="13.8" customHeight="1" x14ac:dyDescent="0.3">
      <c r="A996" s="55">
        <f>Annex!A730</f>
        <v>995</v>
      </c>
      <c r="B996" s="55" t="str">
        <f>IF(LEFT(Annex!H730,5)="Local","Local Transmission",Annex!H730)</f>
        <v>Imported</v>
      </c>
      <c r="C996" s="55" t="str">
        <f>Annex!J730</f>
        <v>Male</v>
      </c>
      <c r="D996" s="55">
        <f>Annex!D730</f>
        <v>54</v>
      </c>
      <c r="E996" s="55" t="str">
        <f>Annex!K730</f>
        <v>Singaporean</v>
      </c>
      <c r="F996" s="55" t="str">
        <f>Annex!L730</f>
        <v xml:space="preserve">Case 995 is a Imported case, 54 years old male Singapore Citizen  and has been to UK . He is currently admitted at AH . </v>
      </c>
      <c r="G996" s="82">
        <v>43922</v>
      </c>
      <c r="H996" s="55"/>
      <c r="I996" s="55"/>
      <c r="J996" s="55"/>
      <c r="K996" s="55"/>
      <c r="L996" s="55" t="str">
        <f>Annex!C730</f>
        <v xml:space="preserve">AH </v>
      </c>
      <c r="M996" s="83" t="s">
        <v>1369</v>
      </c>
    </row>
    <row r="997" spans="1:13" ht="13.8" customHeight="1" x14ac:dyDescent="0.3">
      <c r="A997" s="55">
        <f>Annex!A731</f>
        <v>996</v>
      </c>
      <c r="B997" s="55" t="str">
        <f>IF(LEFT(Annex!H731,5)="Local","Local Transmission",Annex!H731)</f>
        <v>Imported</v>
      </c>
      <c r="C997" s="55" t="str">
        <f>Annex!J731</f>
        <v>Female</v>
      </c>
      <c r="D997" s="55">
        <f>Annex!D731</f>
        <v>21</v>
      </c>
      <c r="E997" s="55" t="str">
        <f>Annex!K731</f>
        <v>Singaporean</v>
      </c>
      <c r="F997" s="55" t="str">
        <f>Annex!L731</f>
        <v xml:space="preserve">Case 996 is a Imported case, 21 years old female Singapore Citizen  and has been to UK . She is currently admitted at AH . </v>
      </c>
      <c r="G997" s="82">
        <v>43922</v>
      </c>
      <c r="H997" s="55"/>
      <c r="I997" s="55"/>
      <c r="J997" s="55"/>
      <c r="K997" s="55"/>
      <c r="L997" s="55" t="str">
        <f>Annex!C731</f>
        <v xml:space="preserve">AH </v>
      </c>
      <c r="M997" s="83" t="s">
        <v>1369</v>
      </c>
    </row>
    <row r="998" spans="1:13" ht="13.8" customHeight="1" x14ac:dyDescent="0.3">
      <c r="A998" s="55">
        <f>Annex!A732</f>
        <v>997</v>
      </c>
      <c r="B998" s="55" t="str">
        <f>IF(LEFT(Annex!H732,5)="Local","Local Transmission",Annex!H732)</f>
        <v>Imported</v>
      </c>
      <c r="C998" s="55" t="str">
        <f>Annex!J732</f>
        <v>Male</v>
      </c>
      <c r="D998" s="55">
        <f>Annex!D732</f>
        <v>50</v>
      </c>
      <c r="E998" s="55" t="str">
        <f>Annex!K732</f>
        <v>India</v>
      </c>
      <c r="F998" s="55" t="str">
        <f>Annex!L732</f>
        <v xml:space="preserve">Case 997 is a Imported case, 50 years old male India (Singapore Work Pass holder)  and has been to India . He is currently admitted at NCID . </v>
      </c>
      <c r="G998" s="82">
        <v>43922</v>
      </c>
      <c r="H998" s="55"/>
      <c r="I998" s="55"/>
      <c r="J998" s="55"/>
      <c r="K998" s="55"/>
      <c r="L998" s="55" t="str">
        <f>Annex!C732</f>
        <v xml:space="preserve">NCID </v>
      </c>
      <c r="M998" s="83" t="s">
        <v>1369</v>
      </c>
    </row>
    <row r="999" spans="1:13" ht="13.8" customHeight="1" x14ac:dyDescent="0.3">
      <c r="A999" s="55">
        <f>Annex!A733</f>
        <v>998</v>
      </c>
      <c r="B999" s="55" t="str">
        <f>IF(LEFT(Annex!H733,5)="Local","Local Transmission",Annex!H733)</f>
        <v>Local Transmission</v>
      </c>
      <c r="C999" s="55" t="str">
        <f>Annex!J733</f>
        <v>Female</v>
      </c>
      <c r="D999" s="55">
        <f>Annex!D733</f>
        <v>31</v>
      </c>
      <c r="E999" s="55" t="str">
        <f>Annex!K733</f>
        <v>UK</v>
      </c>
      <c r="F999" s="55" t="str">
        <f>Annex!L733</f>
        <v xml:space="preserve">Case 998 is a Local unlinked case, 31 years old female UK (Singapore Work Pass holder)  and has not been overseas. She is currently admitted at NCID . </v>
      </c>
      <c r="G999" s="82">
        <v>43922</v>
      </c>
      <c r="H999" s="55"/>
      <c r="I999" s="55"/>
      <c r="J999" s="55"/>
      <c r="K999" s="55"/>
      <c r="L999" s="55" t="str">
        <f>Annex!C733</f>
        <v xml:space="preserve">NCID </v>
      </c>
      <c r="M999" s="83" t="s">
        <v>1369</v>
      </c>
    </row>
    <row r="1000" spans="1:13" ht="13.8" customHeight="1" x14ac:dyDescent="0.3">
      <c r="A1000" s="55">
        <f>Annex!A734</f>
        <v>999</v>
      </c>
      <c r="B1000" s="55" t="str">
        <f>IF(LEFT(Annex!H734,5)="Local","Local Transmission",Annex!H734)</f>
        <v>Local Transmission</v>
      </c>
      <c r="C1000" s="55" t="str">
        <f>Annex!J734</f>
        <v>Male</v>
      </c>
      <c r="D1000" s="55">
        <f>Annex!D734</f>
        <v>21</v>
      </c>
      <c r="E1000" s="55" t="str">
        <f>Annex!K734</f>
        <v>Singaporean</v>
      </c>
      <c r="F1000" s="55" t="str">
        <f>Annex!L734</f>
        <v xml:space="preserve">Case 999 is a Local unlinked case, 21 years old male Singapore Citizen  and has been to Malaysia . He is currently admitted at NCID . </v>
      </c>
      <c r="G1000" s="82">
        <v>43922</v>
      </c>
      <c r="H1000" s="55"/>
      <c r="I1000" s="55"/>
      <c r="J1000" s="55"/>
      <c r="K1000" s="55"/>
      <c r="L1000" s="55" t="str">
        <f>Annex!C734</f>
        <v xml:space="preserve">NCID </v>
      </c>
      <c r="M1000" s="83" t="s">
        <v>1369</v>
      </c>
    </row>
    <row r="1001" spans="1:13" ht="13.8" customHeight="1" x14ac:dyDescent="0.3">
      <c r="A1001" s="55">
        <f>Annex!A735</f>
        <v>1000</v>
      </c>
      <c r="B1001" s="55" t="str">
        <f>IF(LEFT(Annex!H735,5)="Local","Local Transmission",Annex!H735)</f>
        <v>Local Transmission</v>
      </c>
      <c r="C1001" s="55" t="str">
        <f>Annex!J735</f>
        <v>Male</v>
      </c>
      <c r="D1001" s="55">
        <f>Annex!D735</f>
        <v>54</v>
      </c>
      <c r="E1001" s="55" t="str">
        <f>Annex!K735</f>
        <v>Singaporean</v>
      </c>
      <c r="F1001" s="55" t="str">
        <f>Annex!L735</f>
        <v xml:space="preserve">Case 1000 is a Local unlinked case, 54 years old male Singapore Permanent Resident  and has not been overseas. He is currently admitted at KTPH . </v>
      </c>
      <c r="G1001" s="82">
        <v>43922</v>
      </c>
      <c r="H1001" s="84">
        <v>43926</v>
      </c>
      <c r="I1001" s="55"/>
      <c r="J1001" s="55"/>
      <c r="K1001" s="55"/>
      <c r="L1001" s="55" t="str">
        <f>Annex!C735</f>
        <v xml:space="preserve">KTPH </v>
      </c>
      <c r="M1001" s="83" t="s">
        <v>1369</v>
      </c>
    </row>
    <row r="1002" spans="1:13" ht="13.8" customHeight="1" x14ac:dyDescent="0.3">
      <c r="A1002" s="67">
        <f>Annex!A736</f>
        <v>1001</v>
      </c>
      <c r="B1002" s="67" t="str">
        <f>IF(LEFT(Annex!H736,5)="Local","Local Transmission",Annex!H736)</f>
        <v>Local Transmission</v>
      </c>
      <c r="C1002" s="67" t="str">
        <f>Annex!J736</f>
        <v>Male</v>
      </c>
      <c r="D1002" s="67">
        <f>Annex!D736</f>
        <v>65</v>
      </c>
      <c r="E1002" s="67" t="str">
        <f>Annex!K736</f>
        <v>Singaporean</v>
      </c>
      <c r="F1002" s="67" t="str">
        <f>Annex!L736</f>
        <v>Case 1001 is a Local linked  case, 65 years old male Singapore Citizen  and has not been overseas. He is currently admitted at SGH . Mustafa Centre</v>
      </c>
      <c r="G1002" s="85">
        <v>43923</v>
      </c>
      <c r="H1002" s="67"/>
      <c r="I1002" s="67"/>
      <c r="J1002" s="67"/>
      <c r="K1002" s="67"/>
      <c r="L1002" s="67" t="str">
        <f>Annex!C736</f>
        <v xml:space="preserve">SGH </v>
      </c>
      <c r="M1002" s="86" t="s">
        <v>1404</v>
      </c>
    </row>
    <row r="1003" spans="1:13" ht="13.8" customHeight="1" x14ac:dyDescent="0.3">
      <c r="A1003" s="67">
        <f>Annex!A737</f>
        <v>1002</v>
      </c>
      <c r="B1003" s="67" t="str">
        <f>IF(LEFT(Annex!H737,5)="Local","Local Transmission",Annex!H737)</f>
        <v xml:space="preserve">Imported </v>
      </c>
      <c r="C1003" s="67" t="str">
        <f>Annex!J737</f>
        <v>Male</v>
      </c>
      <c r="D1003" s="67">
        <f>Annex!D737</f>
        <v>24</v>
      </c>
      <c r="E1003" s="67" t="str">
        <f>Annex!K737</f>
        <v>Singaporean</v>
      </c>
      <c r="F1003" s="67" t="str">
        <f>Annex!L737</f>
        <v>Case 1002 is a Imported  case, 24 years old male Singapore Citizen  and has been to Canada . He is currently admitted at NCID . Contact of Cases 892 and 1027</v>
      </c>
      <c r="G1003" s="85">
        <v>43923</v>
      </c>
      <c r="H1003" s="67"/>
      <c r="I1003" s="67"/>
      <c r="J1003" s="67"/>
      <c r="K1003" s="67"/>
      <c r="L1003" s="67" t="str">
        <f>Annex!C737</f>
        <v xml:space="preserve">NCID </v>
      </c>
      <c r="M1003" s="86" t="s">
        <v>1404</v>
      </c>
    </row>
    <row r="1004" spans="1:13" ht="13.8" customHeight="1" x14ac:dyDescent="0.3">
      <c r="A1004" s="67">
        <f>Annex!A738</f>
        <v>1003</v>
      </c>
      <c r="B1004" s="67" t="str">
        <f>IF(LEFT(Annex!H738,5)="Local","Local Transmission",Annex!H738)</f>
        <v>Local Transmission</v>
      </c>
      <c r="C1004" s="67" t="str">
        <f>Annex!J738</f>
        <v>Female</v>
      </c>
      <c r="D1004" s="67">
        <f>Annex!D738</f>
        <v>31</v>
      </c>
      <c r="E1004" s="67" t="str">
        <f>Annex!K738</f>
        <v>Singaporean</v>
      </c>
      <c r="F1004" s="67" t="str">
        <f>Annex!L738</f>
        <v>Case 1003 is a Local linked  case, 31 years old female Singapore Citizen  and has not been overseas. She is currently admitted at NCID . PCF Fengshan</v>
      </c>
      <c r="G1004" s="85">
        <v>43923</v>
      </c>
      <c r="H1004" s="67"/>
      <c r="I1004" s="67"/>
      <c r="J1004" s="67"/>
      <c r="K1004" s="67"/>
      <c r="L1004" s="67" t="str">
        <f>Annex!C738</f>
        <v xml:space="preserve">NCID </v>
      </c>
      <c r="M1004" s="86" t="s">
        <v>1404</v>
      </c>
    </row>
    <row r="1005" spans="1:13" ht="13.8" customHeight="1" x14ac:dyDescent="0.3">
      <c r="A1005" s="67">
        <f>Annex!A739</f>
        <v>1004</v>
      </c>
      <c r="B1005" s="67" t="str">
        <f>IF(LEFT(Annex!H739,5)="Local","Local Transmission",Annex!H739)</f>
        <v>Local Transmission</v>
      </c>
      <c r="C1005" s="67" t="str">
        <f>Annex!J739</f>
        <v>Female</v>
      </c>
      <c r="D1005" s="67">
        <f>Annex!D739</f>
        <v>32</v>
      </c>
      <c r="E1005" s="67" t="str">
        <f>Annex!K739</f>
        <v>India</v>
      </c>
      <c r="F1005" s="67" t="str">
        <f>Annex!L739</f>
        <v>Case 1004 is a Local linked  case, 32 years old female India (Singapore Work Pass holder)  and has not been overseas. She is currently admitted at NCID . Lee Ah Mooi Home</v>
      </c>
      <c r="G1005" s="85">
        <v>43923</v>
      </c>
      <c r="H1005" s="67"/>
      <c r="I1005" s="67"/>
      <c r="J1005" s="67"/>
      <c r="K1005" s="67"/>
      <c r="L1005" s="67" t="str">
        <f>Annex!C739</f>
        <v xml:space="preserve">NCID </v>
      </c>
      <c r="M1005" s="86" t="s">
        <v>1404</v>
      </c>
    </row>
    <row r="1006" spans="1:13" ht="13.8" customHeight="1" x14ac:dyDescent="0.3">
      <c r="A1006" s="67">
        <f>Annex!A740</f>
        <v>1005</v>
      </c>
      <c r="B1006" s="67" t="str">
        <f>IF(LEFT(Annex!H740,5)="Local","Local Transmission",Annex!H740)</f>
        <v>Imported</v>
      </c>
      <c r="C1006" s="67" t="str">
        <f>Annex!J740</f>
        <v>Female</v>
      </c>
      <c r="D1006" s="67">
        <f>Annex!D740</f>
        <v>30</v>
      </c>
      <c r="E1006" s="67" t="str">
        <f>Annex!K740</f>
        <v>Malaysia</v>
      </c>
      <c r="F1006" s="67" t="str">
        <f>Annex!L740</f>
        <v xml:space="preserve">Case 1005 is a Imported case, 30 years old female Malaysia (Singapore Work Pass holder)  and has been to UK . She is currently admitted at NTFGH . </v>
      </c>
      <c r="G1006" s="85">
        <v>43923</v>
      </c>
      <c r="H1006" s="67"/>
      <c r="I1006" s="67"/>
      <c r="J1006" s="67"/>
      <c r="K1006" s="67"/>
      <c r="L1006" s="67" t="str">
        <f>Annex!C740</f>
        <v xml:space="preserve">NTFGH </v>
      </c>
      <c r="M1006" s="86" t="s">
        <v>1404</v>
      </c>
    </row>
    <row r="1007" spans="1:13" ht="13.8" customHeight="1" x14ac:dyDescent="0.3">
      <c r="A1007" s="67">
        <f>Annex!A741</f>
        <v>1006</v>
      </c>
      <c r="B1007" s="67" t="str">
        <f>IF(LEFT(Annex!H741,5)="Local","Local Transmission",Annex!H741)</f>
        <v>Local Transmission</v>
      </c>
      <c r="C1007" s="67" t="str">
        <f>Annex!J741</f>
        <v>Female</v>
      </c>
      <c r="D1007" s="67">
        <f>Annex!D741</f>
        <v>29</v>
      </c>
      <c r="E1007" s="67" t="str">
        <f>Annex!K741</f>
        <v>Singaporean</v>
      </c>
      <c r="F1007" s="67" t="str">
        <f>Annex!L741</f>
        <v xml:space="preserve">Case 1006 is a Local unlinked case, 29 years old female Singapore Permanent Resident  and has not been overseas. She is currently admitted at NTFGH . </v>
      </c>
      <c r="G1007" s="85">
        <v>43923</v>
      </c>
      <c r="H1007" s="67"/>
      <c r="I1007" s="67"/>
      <c r="J1007" s="67"/>
      <c r="K1007" s="67"/>
      <c r="L1007" s="67" t="str">
        <f>Annex!C741</f>
        <v xml:space="preserve">NTFGH </v>
      </c>
      <c r="M1007" s="86" t="s">
        <v>1404</v>
      </c>
    </row>
    <row r="1008" spans="1:13" ht="13.8" customHeight="1" x14ac:dyDescent="0.3">
      <c r="A1008" s="67">
        <f>Annex!A742</f>
        <v>1007</v>
      </c>
      <c r="B1008" s="67" t="str">
        <f>IF(LEFT(Annex!H742,5)="Local","Local Transmission",Annex!H742)</f>
        <v>Local Transmission</v>
      </c>
      <c r="C1008" s="67" t="str">
        <f>Annex!J742</f>
        <v>Female</v>
      </c>
      <c r="D1008" s="67">
        <f>Annex!D742</f>
        <v>62</v>
      </c>
      <c r="E1008" s="67" t="str">
        <f>Annex!K742</f>
        <v>Singaporean</v>
      </c>
      <c r="F1008" s="67" t="str">
        <f>Annex!L742</f>
        <v xml:space="preserve">Case 1007 is a Local unlinked case, 62 years old female Singapore Citizen  and has not been overseas. She is currently admitted at CGH . </v>
      </c>
      <c r="G1008" s="85">
        <v>43923</v>
      </c>
      <c r="H1008" s="67"/>
      <c r="I1008" s="67"/>
      <c r="J1008" s="67"/>
      <c r="K1008" s="67"/>
      <c r="L1008" s="67" t="str">
        <f>Annex!C742</f>
        <v xml:space="preserve">CGH </v>
      </c>
      <c r="M1008" s="86" t="s">
        <v>1404</v>
      </c>
    </row>
    <row r="1009" spans="1:13" ht="13.8" customHeight="1" x14ac:dyDescent="0.3">
      <c r="A1009" s="67">
        <f>Annex!A743</f>
        <v>1008</v>
      </c>
      <c r="B1009" s="67" t="str">
        <f>IF(LEFT(Annex!H743,5)="Local","Local Transmission",Annex!H743)</f>
        <v>Local Transmission</v>
      </c>
      <c r="C1009" s="67" t="str">
        <f>Annex!J743</f>
        <v>Male</v>
      </c>
      <c r="D1009" s="67">
        <f>Annex!D743</f>
        <v>76</v>
      </c>
      <c r="E1009" s="67" t="str">
        <f>Annex!K743</f>
        <v>Singaporean</v>
      </c>
      <c r="F1009" s="67" t="str">
        <f>Annex!L743</f>
        <v>Case 1008 is a Local linked  case, 76 years old male Singapore Citizen  and has not been overseas. He is currently admitted at NUH . Family member of Cases 1030 and 1031</v>
      </c>
      <c r="G1009" s="85">
        <v>43923</v>
      </c>
      <c r="H1009" s="67"/>
      <c r="I1009" s="67"/>
      <c r="J1009" s="67"/>
      <c r="K1009" s="67"/>
      <c r="L1009" s="67" t="str">
        <f>Annex!C743</f>
        <v xml:space="preserve">NUH </v>
      </c>
      <c r="M1009" s="86" t="s">
        <v>1404</v>
      </c>
    </row>
    <row r="1010" spans="1:13" ht="13.8" customHeight="1" x14ac:dyDescent="0.3">
      <c r="A1010" s="67">
        <f>Annex!A744</f>
        <v>1009</v>
      </c>
      <c r="B1010" s="67" t="str">
        <f>IF(LEFT(Annex!H744,5)="Local","Local Transmission",Annex!H744)</f>
        <v>Local Transmission</v>
      </c>
      <c r="C1010" s="67" t="str">
        <f>Annex!J744</f>
        <v>Male</v>
      </c>
      <c r="D1010" s="67">
        <f>Annex!D744</f>
        <v>48</v>
      </c>
      <c r="E1010" s="67" t="str">
        <f>Annex!K744</f>
        <v>Singaporean</v>
      </c>
      <c r="F1010" s="67" t="str">
        <f>Annex!L744</f>
        <v>Case 1009 is a Local linked  case, 48 years old male Singapore Citizen  and has not been overseas. He is currently admitted at NUH . Maxwell MRT construction site</v>
      </c>
      <c r="G1010" s="85">
        <v>43923</v>
      </c>
      <c r="H1010" s="67"/>
      <c r="I1010" s="67"/>
      <c r="J1010" s="67"/>
      <c r="K1010" s="67"/>
      <c r="L1010" s="67" t="str">
        <f>Annex!C744</f>
        <v xml:space="preserve">NUH </v>
      </c>
      <c r="M1010" s="86" t="s">
        <v>1404</v>
      </c>
    </row>
    <row r="1011" spans="1:13" ht="13.8" customHeight="1" x14ac:dyDescent="0.3">
      <c r="A1011" s="67">
        <f>Annex!A745</f>
        <v>1010</v>
      </c>
      <c r="B1011" s="67" t="str">
        <f>IF(LEFT(Annex!H745,5)="Local","Local Transmission",Annex!H745)</f>
        <v>Local Transmission</v>
      </c>
      <c r="C1011" s="67" t="str">
        <f>Annex!J745</f>
        <v>Female</v>
      </c>
      <c r="D1011" s="67">
        <f>Annex!D745</f>
        <v>27</v>
      </c>
      <c r="E1011" s="67" t="str">
        <f>Annex!K745</f>
        <v>Singaporean</v>
      </c>
      <c r="F1011" s="67" t="str">
        <f>Annex!L745</f>
        <v xml:space="preserve">Case 1010 is a Local unlinked case, 27 years old female Singapore Citizen  and has not been overseas. She is currently admitted at NUH . </v>
      </c>
      <c r="G1011" s="85">
        <v>43923</v>
      </c>
      <c r="H1011" s="67"/>
      <c r="I1011" s="67"/>
      <c r="J1011" s="67"/>
      <c r="K1011" s="67"/>
      <c r="L1011" s="67" t="str">
        <f>Annex!C745</f>
        <v xml:space="preserve">NUH </v>
      </c>
      <c r="M1011" s="86" t="s">
        <v>1404</v>
      </c>
    </row>
    <row r="1012" spans="1:13" ht="13.8" customHeight="1" x14ac:dyDescent="0.3">
      <c r="A1012" s="67">
        <f>Annex!A746</f>
        <v>1011</v>
      </c>
      <c r="B1012" s="67" t="str">
        <f>IF(LEFT(Annex!H746,5)="Local","Local Transmission",Annex!H746)</f>
        <v>Local Transmission</v>
      </c>
      <c r="C1012" s="67" t="str">
        <f>Annex!J746</f>
        <v>Male</v>
      </c>
      <c r="D1012" s="67">
        <f>Annex!D746</f>
        <v>30</v>
      </c>
      <c r="E1012" s="67" t="str">
        <f>Annex!K746</f>
        <v>India</v>
      </c>
      <c r="F1012" s="67" t="str">
        <f>Annex!L746</f>
        <v>Case 1011 is a Local linked  case, 30 years old male India (Long Term Pass holder)  and has not been overseas. He is currently admitted at CGH . Westlite Toh Guan</v>
      </c>
      <c r="G1012" s="85">
        <v>43923</v>
      </c>
      <c r="H1012" s="67"/>
      <c r="I1012" s="67"/>
      <c r="J1012" s="67"/>
      <c r="K1012" s="67"/>
      <c r="L1012" s="67" t="str">
        <f>Annex!C746</f>
        <v xml:space="preserve">CGH </v>
      </c>
      <c r="M1012" s="86" t="s">
        <v>1404</v>
      </c>
    </row>
    <row r="1013" spans="1:13" ht="13.8" customHeight="1" x14ac:dyDescent="0.3">
      <c r="A1013" s="67">
        <f>Annex!A747</f>
        <v>1012</v>
      </c>
      <c r="B1013" s="67" t="str">
        <f>IF(LEFT(Annex!H747,5)="Local","Local Transmission",Annex!H747)</f>
        <v>Local Transmission</v>
      </c>
      <c r="C1013" s="67" t="str">
        <f>Annex!J747</f>
        <v>Male</v>
      </c>
      <c r="D1013" s="67">
        <f>Annex!D747</f>
        <v>27</v>
      </c>
      <c r="E1013" s="67" t="str">
        <f>Annex!K747</f>
        <v>Bangladesh</v>
      </c>
      <c r="F1013" s="67" t="str">
        <f>Annex!L747</f>
        <v>Case 1012 is a Local linked  case, 27 years old male Bangladesh (Singapore Work Pass holder)  and has not been overseas. He is currently admitted at NCID . Westlite Toh Guan</v>
      </c>
      <c r="G1013" s="85">
        <v>43923</v>
      </c>
      <c r="H1013" s="67"/>
      <c r="I1013" s="67"/>
      <c r="J1013" s="67"/>
      <c r="K1013" s="67"/>
      <c r="L1013" s="67" t="str">
        <f>Annex!C747</f>
        <v xml:space="preserve">NCID </v>
      </c>
      <c r="M1013" s="86" t="s">
        <v>1404</v>
      </c>
    </row>
    <row r="1014" spans="1:13" ht="13.8" customHeight="1" x14ac:dyDescent="0.3">
      <c r="A1014" s="67">
        <f>Annex!A748</f>
        <v>1013</v>
      </c>
      <c r="B1014" s="67" t="str">
        <f>IF(LEFT(Annex!H748,5)="Local","Local Transmission",Annex!H748)</f>
        <v>Local Transmission</v>
      </c>
      <c r="C1014" s="67" t="str">
        <f>Annex!J748</f>
        <v>Female</v>
      </c>
      <c r="D1014" s="67">
        <f>Annex!D748</f>
        <v>51</v>
      </c>
      <c r="E1014" s="67" t="str">
        <f>Annex!K748</f>
        <v>Singaporean</v>
      </c>
      <c r="F1014" s="67" t="str">
        <f>Annex!L748</f>
        <v>Case 1013 is a Local linked  case, 51 years old female Singapore Permanent Resident  and has not been overseas. She is currently admitted at NCID . Hero's</v>
      </c>
      <c r="G1014" s="85">
        <v>43923</v>
      </c>
      <c r="H1014" s="67"/>
      <c r="I1014" s="67"/>
      <c r="J1014" s="67"/>
      <c r="K1014" s="67"/>
      <c r="L1014" s="67" t="str">
        <f>Annex!C748</f>
        <v xml:space="preserve">NCID </v>
      </c>
      <c r="M1014" s="86" t="s">
        <v>1404</v>
      </c>
    </row>
    <row r="1015" spans="1:13" ht="13.8" customHeight="1" x14ac:dyDescent="0.3">
      <c r="A1015" s="67">
        <f>Annex!A749</f>
        <v>1014</v>
      </c>
      <c r="B1015" s="67" t="str">
        <f>IF(LEFT(Annex!H749,5)="Local","Local Transmission",Annex!H749)</f>
        <v>Local Transmission</v>
      </c>
      <c r="C1015" s="67" t="str">
        <f>Annex!J749</f>
        <v>Female</v>
      </c>
      <c r="D1015" s="67">
        <f>Annex!D749</f>
        <v>69</v>
      </c>
      <c r="E1015" s="67" t="str">
        <f>Annex!K749</f>
        <v>Singaporean</v>
      </c>
      <c r="F1015" s="67" t="str">
        <f>Annex!L749</f>
        <v xml:space="preserve">Case 1014 is a Local unlinked case, 69 years old female Singapore Citizen  and has not been overseas. She is currently admitted at SGH . </v>
      </c>
      <c r="G1015" s="85">
        <v>43923</v>
      </c>
      <c r="H1015" s="67"/>
      <c r="I1015" s="67"/>
      <c r="J1015" s="67"/>
      <c r="K1015" s="67"/>
      <c r="L1015" s="67" t="str">
        <f>Annex!C749</f>
        <v xml:space="preserve">SGH </v>
      </c>
      <c r="M1015" s="86" t="s">
        <v>1404</v>
      </c>
    </row>
    <row r="1016" spans="1:13" ht="13.8" customHeight="1" x14ac:dyDescent="0.3">
      <c r="A1016" s="67">
        <f>Annex!A750</f>
        <v>1015</v>
      </c>
      <c r="B1016" s="67" t="str">
        <f>IF(LEFT(Annex!H750,5)="Local","Local Transmission",Annex!H750)</f>
        <v>Local Transmission</v>
      </c>
      <c r="C1016" s="67" t="str">
        <f>Annex!J750</f>
        <v>Male</v>
      </c>
      <c r="D1016" s="67">
        <f>Annex!D750</f>
        <v>41</v>
      </c>
      <c r="E1016" s="67" t="str">
        <f>Annex!K750</f>
        <v>India</v>
      </c>
      <c r="F1016" s="67" t="str">
        <f>Annex!L750</f>
        <v>Case 1015 is a Local linked  case, 41 years old male India (Long Term Pass holder)  and has not been overseas. He is currently admitted at SGH . Mustafa Centre</v>
      </c>
      <c r="G1016" s="85">
        <v>43923</v>
      </c>
      <c r="H1016" s="67"/>
      <c r="I1016" s="67"/>
      <c r="J1016" s="67"/>
      <c r="K1016" s="67"/>
      <c r="L1016" s="67" t="str">
        <f>Annex!C750</f>
        <v xml:space="preserve">SGH </v>
      </c>
      <c r="M1016" s="86" t="s">
        <v>1404</v>
      </c>
    </row>
    <row r="1017" spans="1:13" ht="13.8" customHeight="1" x14ac:dyDescent="0.3">
      <c r="A1017" s="67">
        <f>Annex!A751</f>
        <v>1016</v>
      </c>
      <c r="B1017" s="67" t="str">
        <f>IF(LEFT(Annex!H751,5)="Local","Local Transmission",Annex!H751)</f>
        <v>Local Transmission</v>
      </c>
      <c r="C1017" s="67" t="str">
        <f>Annex!J751</f>
        <v>Male</v>
      </c>
      <c r="D1017" s="67">
        <f>Annex!D751</f>
        <v>67</v>
      </c>
      <c r="E1017" s="67" t="str">
        <f>Annex!K751</f>
        <v>Singaporean</v>
      </c>
      <c r="F1017" s="67" t="str">
        <f>Annex!L751</f>
        <v xml:space="preserve">Case 1016 is a Local unlinked case, 67 years old male Singapore Citizen  and has not been overseas. He is currently admitted at NCID . </v>
      </c>
      <c r="G1017" s="85">
        <v>43923</v>
      </c>
      <c r="H1017" s="67"/>
      <c r="I1017" s="67"/>
      <c r="J1017" s="67"/>
      <c r="K1017" s="67"/>
      <c r="L1017" s="67" t="str">
        <f>Annex!C751</f>
        <v xml:space="preserve">NCID </v>
      </c>
      <c r="M1017" s="86" t="s">
        <v>1404</v>
      </c>
    </row>
    <row r="1018" spans="1:13" ht="13.8" customHeight="1" x14ac:dyDescent="0.3">
      <c r="A1018" s="67">
        <f>Annex!A752</f>
        <v>1017</v>
      </c>
      <c r="B1018" s="67" t="str">
        <f>IF(LEFT(Annex!H752,5)="Local","Local Transmission",Annex!H752)</f>
        <v>Local Transmission</v>
      </c>
      <c r="C1018" s="67" t="str">
        <f>Annex!J752</f>
        <v>Male</v>
      </c>
      <c r="D1018" s="67">
        <f>Annex!D752</f>
        <v>32</v>
      </c>
      <c r="E1018" s="67" t="str">
        <f>Annex!K752</f>
        <v>India</v>
      </c>
      <c r="F1018" s="67" t="str">
        <f>Annex!L752</f>
        <v xml:space="preserve">Case 1017 is a Local unlinked case, 32 years old male India (Long Term Pass holder)  and has not been overseas. He is currently admitted at NCID . </v>
      </c>
      <c r="G1018" s="85">
        <v>43923</v>
      </c>
      <c r="H1018" s="67"/>
      <c r="I1018" s="67"/>
      <c r="J1018" s="67"/>
      <c r="K1018" s="67"/>
      <c r="L1018" s="67" t="str">
        <f>Annex!C752</f>
        <v xml:space="preserve">NCID </v>
      </c>
      <c r="M1018" s="86" t="s">
        <v>1404</v>
      </c>
    </row>
    <row r="1019" spans="1:13" ht="13.8" customHeight="1" x14ac:dyDescent="0.3">
      <c r="A1019" s="67">
        <f>Annex!A753</f>
        <v>1018</v>
      </c>
      <c r="B1019" s="67" t="str">
        <f>IF(LEFT(Annex!H753,5)="Local","Local Transmission",Annex!H753)</f>
        <v>Local Transmission</v>
      </c>
      <c r="C1019" s="67" t="str">
        <f>Annex!J753</f>
        <v>Male</v>
      </c>
      <c r="D1019" s="67">
        <f>Annex!D753</f>
        <v>29</v>
      </c>
      <c r="E1019" s="67" t="str">
        <f>Annex!K753</f>
        <v>Bangladesh</v>
      </c>
      <c r="F1019" s="67" t="str">
        <f>Annex!L753</f>
        <v xml:space="preserve">Case 1018 is a Local unlinked case, 29 years old male Bangladesh (Long Term Pass holder)  and has not been overseas. He is currently admitted at KTPH . </v>
      </c>
      <c r="G1019" s="85">
        <v>43923</v>
      </c>
      <c r="H1019" s="67"/>
      <c r="I1019" s="67"/>
      <c r="J1019" s="67"/>
      <c r="K1019" s="67"/>
      <c r="L1019" s="67" t="str">
        <f>Annex!C753</f>
        <v xml:space="preserve">KTPH </v>
      </c>
      <c r="M1019" s="86" t="s">
        <v>1404</v>
      </c>
    </row>
    <row r="1020" spans="1:13" ht="13.8" customHeight="1" x14ac:dyDescent="0.3">
      <c r="A1020" s="67">
        <f>Annex!A754</f>
        <v>1019</v>
      </c>
      <c r="B1020" s="67" t="str">
        <f>IF(LEFT(Annex!H754,5)="Local","Local Transmission",Annex!H754)</f>
        <v>Local Transmission</v>
      </c>
      <c r="C1020" s="67" t="str">
        <f>Annex!J754</f>
        <v>Male</v>
      </c>
      <c r="D1020" s="67">
        <f>Annex!D754</f>
        <v>29</v>
      </c>
      <c r="E1020" s="67" t="str">
        <f>Annex!K754</f>
        <v>Singaporean</v>
      </c>
      <c r="F1020" s="67" t="str">
        <f>Annex!L754</f>
        <v xml:space="preserve">Case 1019 is a Local unlinked case, 29 years old male Singapore Citizen  and has not been overseas. He is currently admitted at NCID . </v>
      </c>
      <c r="G1020" s="85">
        <v>43923</v>
      </c>
      <c r="H1020" s="67"/>
      <c r="I1020" s="67"/>
      <c r="J1020" s="67"/>
      <c r="K1020" s="67"/>
      <c r="L1020" s="67" t="str">
        <f>Annex!C754</f>
        <v xml:space="preserve">NCID </v>
      </c>
      <c r="M1020" s="86" t="s">
        <v>1404</v>
      </c>
    </row>
    <row r="1021" spans="1:13" ht="13.8" customHeight="1" x14ac:dyDescent="0.3">
      <c r="A1021" s="67">
        <f>Annex!A755</f>
        <v>1020</v>
      </c>
      <c r="B1021" s="67" t="str">
        <f>IF(LEFT(Annex!H755,5)="Local","Local Transmission",Annex!H755)</f>
        <v>Local Transmission</v>
      </c>
      <c r="C1021" s="67" t="str">
        <f>Annex!J755</f>
        <v>Male</v>
      </c>
      <c r="D1021" s="67">
        <f>Annex!D755</f>
        <v>45</v>
      </c>
      <c r="E1021" s="67" t="str">
        <f>Annex!K755</f>
        <v>Bangladesh</v>
      </c>
      <c r="F1021" s="67" t="str">
        <f>Annex!L755</f>
        <v>Case 1020 is a Local linked  case, 45 years old male Bangladesh (Long Term Pass holder)  and has not been overseas. He is currently admitted at NCID . Contact of Cases 658 and 718</v>
      </c>
      <c r="G1021" s="85">
        <v>43923</v>
      </c>
      <c r="H1021" s="67"/>
      <c r="I1021" s="67"/>
      <c r="J1021" s="67"/>
      <c r="K1021" s="67"/>
      <c r="L1021" s="67" t="str">
        <f>Annex!C755</f>
        <v xml:space="preserve">NCID </v>
      </c>
      <c r="M1021" s="86" t="s">
        <v>1404</v>
      </c>
    </row>
    <row r="1022" spans="1:13" ht="13.8" customHeight="1" x14ac:dyDescent="0.3">
      <c r="A1022" s="67">
        <f>Annex!A756</f>
        <v>1021</v>
      </c>
      <c r="B1022" s="67" t="str">
        <f>IF(LEFT(Annex!H756,5)="Local","Local Transmission",Annex!H756)</f>
        <v>Imported</v>
      </c>
      <c r="C1022" s="67" t="str">
        <f>Annex!J756</f>
        <v>Female</v>
      </c>
      <c r="D1022" s="67">
        <f>Annex!D756</f>
        <v>44</v>
      </c>
      <c r="E1022" s="67" t="str">
        <f>Annex!K756</f>
        <v>France</v>
      </c>
      <c r="F1022" s="67" t="str">
        <f>Annex!L756</f>
        <v xml:space="preserve">Case 1021 is a Imported case, 44 years old female France (Singapore Work Pass holder)  and has been to Indonesia . She is currently admitted at NCID . </v>
      </c>
      <c r="G1022" s="85">
        <v>43923</v>
      </c>
      <c r="H1022" s="67"/>
      <c r="I1022" s="67"/>
      <c r="J1022" s="67"/>
      <c r="K1022" s="67"/>
      <c r="L1022" s="67" t="str">
        <f>Annex!C756</f>
        <v xml:space="preserve">NCID </v>
      </c>
      <c r="M1022" s="86" t="s">
        <v>1404</v>
      </c>
    </row>
    <row r="1023" spans="1:13" ht="13.8" customHeight="1" x14ac:dyDescent="0.3">
      <c r="A1023" s="67">
        <f>Annex!A757</f>
        <v>1022</v>
      </c>
      <c r="B1023" s="67" t="str">
        <f>IF(LEFT(Annex!H757,5)="Local","Local Transmission",Annex!H757)</f>
        <v>Local Transmission</v>
      </c>
      <c r="C1023" s="67" t="str">
        <f>Annex!J757</f>
        <v>Female</v>
      </c>
      <c r="D1023" s="67">
        <f>Annex!D757</f>
        <v>39</v>
      </c>
      <c r="E1023" s="67" t="str">
        <f>Annex!K757</f>
        <v>Singaporean</v>
      </c>
      <c r="F1023" s="67" t="str">
        <f>Annex!L757</f>
        <v xml:space="preserve">Case 1022 is a Local unlinked case, 39 years old female Singapore Citizen  and has not been overseas. She is currently admitted at NCID . </v>
      </c>
      <c r="G1023" s="85">
        <v>43923</v>
      </c>
      <c r="H1023" s="67"/>
      <c r="I1023" s="67"/>
      <c r="J1023" s="67"/>
      <c r="K1023" s="67"/>
      <c r="L1023" s="67" t="str">
        <f>Annex!C757</f>
        <v xml:space="preserve">NCID </v>
      </c>
      <c r="M1023" s="86" t="s">
        <v>1404</v>
      </c>
    </row>
    <row r="1024" spans="1:13" ht="13.8" customHeight="1" x14ac:dyDescent="0.3">
      <c r="A1024" s="67">
        <f>Annex!A758</f>
        <v>1023</v>
      </c>
      <c r="B1024" s="67" t="str">
        <f>IF(LEFT(Annex!H758,5)="Local","Local Transmission",Annex!H758)</f>
        <v>Local Transmission</v>
      </c>
      <c r="C1024" s="67" t="str">
        <f>Annex!J758</f>
        <v>Female</v>
      </c>
      <c r="D1024" s="67">
        <f>Annex!D758</f>
        <v>44</v>
      </c>
      <c r="E1024" s="67" t="str">
        <f>Annex!K758</f>
        <v>Singaporean</v>
      </c>
      <c r="F1024" s="67" t="str">
        <f>Annex!L758</f>
        <v>Case 1023 is a Local linked  case, 44 years old female Singapore Citizen  and has not been overseas. She is currently admitted at NCID . Contact of Case 726</v>
      </c>
      <c r="G1024" s="85">
        <v>43923</v>
      </c>
      <c r="H1024" s="67"/>
      <c r="I1024" s="67"/>
      <c r="J1024" s="67"/>
      <c r="K1024" s="67"/>
      <c r="L1024" s="67" t="str">
        <f>Annex!C758</f>
        <v xml:space="preserve">NCID </v>
      </c>
      <c r="M1024" s="86" t="s">
        <v>1404</v>
      </c>
    </row>
    <row r="1025" spans="1:13" ht="13.8" customHeight="1" x14ac:dyDescent="0.3">
      <c r="A1025" s="67">
        <f>Annex!A759</f>
        <v>1024</v>
      </c>
      <c r="B1025" s="67" t="str">
        <f>IF(LEFT(Annex!H759,5)="Local","Local Transmission",Annex!H759)</f>
        <v>Local Transmission</v>
      </c>
      <c r="C1025" s="67" t="str">
        <f>Annex!J759</f>
        <v>Male</v>
      </c>
      <c r="D1025" s="67">
        <f>Annex!D759</f>
        <v>56</v>
      </c>
      <c r="E1025" s="67" t="str">
        <f>Annex!K759</f>
        <v>Singaporean</v>
      </c>
      <c r="F1025" s="67" t="str">
        <f>Annex!L759</f>
        <v>Case 1024 is a Local linked  case, 56 years old male Singapore Citizen  and has not been overseas. He is currently admitted at NCID . Mustafa Centre</v>
      </c>
      <c r="G1025" s="85">
        <v>43923</v>
      </c>
      <c r="H1025" s="67"/>
      <c r="I1025" s="67"/>
      <c r="J1025" s="67"/>
      <c r="K1025" s="67"/>
      <c r="L1025" s="67" t="str">
        <f>Annex!C759</f>
        <v xml:space="preserve">NCID </v>
      </c>
      <c r="M1025" s="86" t="s">
        <v>1404</v>
      </c>
    </row>
    <row r="1026" spans="1:13" ht="13.8" customHeight="1" x14ac:dyDescent="0.3">
      <c r="A1026" s="67">
        <f>Annex!A760</f>
        <v>1025</v>
      </c>
      <c r="B1026" s="67" t="str">
        <f>IF(LEFT(Annex!H760,5)="Local","Local Transmission",Annex!H760)</f>
        <v>Local Transmission</v>
      </c>
      <c r="C1026" s="67" t="str">
        <f>Annex!J760</f>
        <v>Male</v>
      </c>
      <c r="D1026" s="67">
        <f>Annex!D760</f>
        <v>64</v>
      </c>
      <c r="E1026" s="67" t="str">
        <f>Annex!K760</f>
        <v>Singaporean</v>
      </c>
      <c r="F1026" s="67" t="str">
        <f>Annex!L760</f>
        <v xml:space="preserve">Case 1025 is a Local unlinked case, 64 years old male Singapore Citizen  and has not been overseas. He is currently admitted at NCID . </v>
      </c>
      <c r="G1026" s="85">
        <v>43923</v>
      </c>
      <c r="H1026" s="67"/>
      <c r="I1026" s="67"/>
      <c r="J1026" s="67"/>
      <c r="K1026" s="67"/>
      <c r="L1026" s="67" t="str">
        <f>Annex!C760</f>
        <v xml:space="preserve">NCID </v>
      </c>
      <c r="M1026" s="86" t="s">
        <v>1404</v>
      </c>
    </row>
    <row r="1027" spans="1:13" ht="13.8" customHeight="1" x14ac:dyDescent="0.3">
      <c r="A1027" s="67">
        <f>Annex!A761</f>
        <v>1026</v>
      </c>
      <c r="B1027" s="67" t="str">
        <f>IF(LEFT(Annex!H761,5)="Local","Local Transmission",Annex!H761)</f>
        <v>Local Transmission</v>
      </c>
      <c r="C1027" s="67" t="str">
        <f>Annex!J761</f>
        <v>Female</v>
      </c>
      <c r="D1027" s="67">
        <f>Annex!D761</f>
        <v>44</v>
      </c>
      <c r="E1027" s="67" t="str">
        <f>Annex!K761</f>
        <v>Singaporean</v>
      </c>
      <c r="F1027" s="67" t="str">
        <f>Annex!L761</f>
        <v>Case 1026 is a Local linked  case, 44 years old female Singapore Permanent Resident  and has not been overseas. She is currently admitted at NCID . Mustafa Centre</v>
      </c>
      <c r="G1027" s="85">
        <v>43923</v>
      </c>
      <c r="H1027" s="67"/>
      <c r="I1027" s="67"/>
      <c r="J1027" s="67"/>
      <c r="K1027" s="67"/>
      <c r="L1027" s="67" t="str">
        <f>Annex!C761</f>
        <v xml:space="preserve">NCID </v>
      </c>
      <c r="M1027" s="86" t="s">
        <v>1404</v>
      </c>
    </row>
    <row r="1028" spans="1:13" ht="13.8" customHeight="1" x14ac:dyDescent="0.3">
      <c r="A1028" s="67">
        <f>Annex!A762</f>
        <v>1027</v>
      </c>
      <c r="B1028" s="67" t="str">
        <f>IF(LEFT(Annex!H762,5)="Local","Local Transmission",Annex!H762)</f>
        <v xml:space="preserve">Imported </v>
      </c>
      <c r="C1028" s="67" t="str">
        <f>Annex!J762</f>
        <v>Male</v>
      </c>
      <c r="D1028" s="67">
        <f>Annex!D762</f>
        <v>23</v>
      </c>
      <c r="E1028" s="67" t="str">
        <f>Annex!K762</f>
        <v>Singaporean</v>
      </c>
      <c r="F1028" s="67" t="str">
        <f>Annex!L762</f>
        <v>Case 1027 is a Imported  case, 23 years old male Singapore Citizen  and has been to Canada . He is currently admitted at NCID . Contact of Cases 892 and 1002</v>
      </c>
      <c r="G1028" s="85">
        <v>43923</v>
      </c>
      <c r="H1028" s="67"/>
      <c r="I1028" s="67"/>
      <c r="J1028" s="67"/>
      <c r="K1028" s="67"/>
      <c r="L1028" s="67" t="str">
        <f>Annex!C762</f>
        <v xml:space="preserve">NCID </v>
      </c>
      <c r="M1028" s="86" t="s">
        <v>1404</v>
      </c>
    </row>
    <row r="1029" spans="1:13" ht="13.8" customHeight="1" x14ac:dyDescent="0.3">
      <c r="A1029" s="67">
        <f>Annex!A763</f>
        <v>1028</v>
      </c>
      <c r="B1029" s="67" t="str">
        <f>IF(LEFT(Annex!H763,5)="Local","Local Transmission",Annex!H763)</f>
        <v>Imported</v>
      </c>
      <c r="C1029" s="67" t="str">
        <f>Annex!J763</f>
        <v>Female</v>
      </c>
      <c r="D1029" s="67">
        <f>Annex!D763</f>
        <v>26</v>
      </c>
      <c r="E1029" s="67" t="str">
        <f>Annex!K763</f>
        <v>Malaysia</v>
      </c>
      <c r="F1029" s="67" t="str">
        <f>Annex!L763</f>
        <v xml:space="preserve">Case 1028 is a Imported case, 26 years old female Malaysia (Singapore Work Pass holder)  and has been to India, Malaysia . She is currently admitted at NCID . </v>
      </c>
      <c r="G1029" s="85">
        <v>43923</v>
      </c>
      <c r="H1029" s="67"/>
      <c r="I1029" s="67"/>
      <c r="J1029" s="67"/>
      <c r="K1029" s="67"/>
      <c r="L1029" s="67" t="str">
        <f>Annex!C763</f>
        <v xml:space="preserve">NCID </v>
      </c>
      <c r="M1029" s="86" t="s">
        <v>1404</v>
      </c>
    </row>
    <row r="1030" spans="1:13" ht="13.8" customHeight="1" x14ac:dyDescent="0.3">
      <c r="A1030" s="67">
        <f>Annex!A764</f>
        <v>1029</v>
      </c>
      <c r="B1030" s="67" t="str">
        <f>IF(LEFT(Annex!H764,5)="Local","Local Transmission",Annex!H764)</f>
        <v>Local Transmission</v>
      </c>
      <c r="C1030" s="67" t="str">
        <f>Annex!J764</f>
        <v>Male</v>
      </c>
      <c r="D1030" s="67">
        <f>Annex!D764</f>
        <v>23</v>
      </c>
      <c r="E1030" s="67" t="str">
        <f>Annex!K764</f>
        <v>Singaporean</v>
      </c>
      <c r="F1030" s="67" t="str">
        <f>Annex!L764</f>
        <v>Case 1029 is a Local linked  case, 23 years old male Singapore Citizen  and has not been overseas. He is currently admitted at NUH . Family member of Case 227</v>
      </c>
      <c r="G1030" s="85">
        <v>43923</v>
      </c>
      <c r="H1030" s="67"/>
      <c r="I1030" s="67"/>
      <c r="J1030" s="67"/>
      <c r="K1030" s="67"/>
      <c r="L1030" s="67" t="str">
        <f>Annex!C764</f>
        <v xml:space="preserve">NUH </v>
      </c>
      <c r="M1030" s="86" t="s">
        <v>1404</v>
      </c>
    </row>
    <row r="1031" spans="1:13" ht="13.8" customHeight="1" x14ac:dyDescent="0.3">
      <c r="A1031" s="67">
        <f>Annex!A765</f>
        <v>1030</v>
      </c>
      <c r="B1031" s="67" t="str">
        <f>IF(LEFT(Annex!H765,5)="Local","Local Transmission",Annex!H765)</f>
        <v>Local Transmission</v>
      </c>
      <c r="C1031" s="67" t="str">
        <f>Annex!J765</f>
        <v>Male</v>
      </c>
      <c r="D1031" s="67">
        <f>Annex!D765</f>
        <v>26</v>
      </c>
      <c r="E1031" s="67" t="str">
        <f>Annex!K765</f>
        <v>Singaporean</v>
      </c>
      <c r="F1031" s="67" t="str">
        <f>Annex!L765</f>
        <v>Case 1030 is a Local linked  case, 26 years old male Singapore Citizen  and has not been overseas. He is currently admitted at NUH . Family member of Cases 1008 and 1031</v>
      </c>
      <c r="G1031" s="85">
        <v>43923</v>
      </c>
      <c r="H1031" s="67"/>
      <c r="I1031" s="67"/>
      <c r="J1031" s="67"/>
      <c r="K1031" s="67"/>
      <c r="L1031" s="67" t="str">
        <f>Annex!C765</f>
        <v xml:space="preserve">NUH </v>
      </c>
      <c r="M1031" s="86" t="s">
        <v>1404</v>
      </c>
    </row>
    <row r="1032" spans="1:13" ht="13.8" customHeight="1" x14ac:dyDescent="0.3">
      <c r="A1032" s="67">
        <f>Annex!A766</f>
        <v>1031</v>
      </c>
      <c r="B1032" s="67" t="str">
        <f>IF(LEFT(Annex!H766,5)="Local","Local Transmission",Annex!H766)</f>
        <v>Local Transmission</v>
      </c>
      <c r="C1032" s="67" t="str">
        <f>Annex!J766</f>
        <v>Female</v>
      </c>
      <c r="D1032" s="67">
        <f>Annex!D766</f>
        <v>61</v>
      </c>
      <c r="E1032" s="67" t="str">
        <f>Annex!K766</f>
        <v>Singaporean</v>
      </c>
      <c r="F1032" s="67" t="str">
        <f>Annex!L766</f>
        <v>Case 1031 is a Local linked  case, 61 years old female Singapore Citizen  and has not been overseas. She is currently admitted at NUH . Family member of Cases 1008 and 1030</v>
      </c>
      <c r="G1032" s="85">
        <v>43923</v>
      </c>
      <c r="H1032" s="67"/>
      <c r="I1032" s="67"/>
      <c r="J1032" s="67"/>
      <c r="K1032" s="67"/>
      <c r="L1032" s="67" t="str">
        <f>Annex!C766</f>
        <v xml:space="preserve">NUH </v>
      </c>
      <c r="M1032" s="86" t="s">
        <v>1404</v>
      </c>
    </row>
    <row r="1033" spans="1:13" ht="13.8" customHeight="1" x14ac:dyDescent="0.3">
      <c r="A1033" s="67">
        <f>Annex!A767</f>
        <v>1032</v>
      </c>
      <c r="B1033" s="67" t="str">
        <f>IF(LEFT(Annex!H767,5)="Local","Local Transmission",Annex!H767)</f>
        <v>Local Transmission</v>
      </c>
      <c r="C1033" s="67" t="str">
        <f>Annex!J767</f>
        <v>Female</v>
      </c>
      <c r="D1033" s="67">
        <f>Annex!D767</f>
        <v>28</v>
      </c>
      <c r="E1033" s="67" t="str">
        <f>Annex!K767</f>
        <v>China</v>
      </c>
      <c r="F1033" s="67" t="str">
        <f>Annex!L767</f>
        <v>Case 1032 is a Local linked  case, 28 years old female China (Singapore Work Pass holder)  and has not been overseas. She is currently admitted at SKH . Family member of Case 962</v>
      </c>
      <c r="G1033" s="85">
        <v>43923</v>
      </c>
      <c r="H1033" s="67"/>
      <c r="I1033" s="67"/>
      <c r="J1033" s="67"/>
      <c r="K1033" s="67"/>
      <c r="L1033" s="67" t="str">
        <f>Annex!C767</f>
        <v xml:space="preserve">SKH </v>
      </c>
      <c r="M1033" s="86" t="s">
        <v>1404</v>
      </c>
    </row>
    <row r="1034" spans="1:13" ht="13.8" customHeight="1" x14ac:dyDescent="0.3">
      <c r="A1034" s="67">
        <f>Annex!A768</f>
        <v>1033</v>
      </c>
      <c r="B1034" s="67" t="str">
        <f>IF(LEFT(Annex!H768,5)="Local","Local Transmission",Annex!H768)</f>
        <v>Local Transmission</v>
      </c>
      <c r="C1034" s="67" t="str">
        <f>Annex!J768</f>
        <v>Male</v>
      </c>
      <c r="D1034" s="67">
        <f>Annex!D768</f>
        <v>32</v>
      </c>
      <c r="E1034" s="67" t="str">
        <f>Annex!K768</f>
        <v>Singaporean</v>
      </c>
      <c r="F1034" s="67" t="str">
        <f>Annex!L768</f>
        <v xml:space="preserve">Case 1033 is a Local unlinked case, 32 years old male Singapore Citizen  and has not been overseas. He is currently admitted at SKH . </v>
      </c>
      <c r="G1034" s="85">
        <v>43923</v>
      </c>
      <c r="H1034" s="67"/>
      <c r="I1034" s="67"/>
      <c r="J1034" s="67"/>
      <c r="K1034" s="67"/>
      <c r="L1034" s="67" t="str">
        <f>Annex!C768</f>
        <v xml:space="preserve">SKH </v>
      </c>
      <c r="M1034" s="86" t="s">
        <v>1404</v>
      </c>
    </row>
    <row r="1035" spans="1:13" ht="13.8" customHeight="1" x14ac:dyDescent="0.3">
      <c r="A1035" s="67">
        <f>Annex!A769</f>
        <v>1034</v>
      </c>
      <c r="B1035" s="67" t="str">
        <f>IF(LEFT(Annex!H769,5)="Local","Local Transmission",Annex!H769)</f>
        <v>Local Transmission</v>
      </c>
      <c r="C1035" s="67" t="str">
        <f>Annex!J769</f>
        <v>Male</v>
      </c>
      <c r="D1035" s="67">
        <f>Annex!D769</f>
        <v>62</v>
      </c>
      <c r="E1035" s="67" t="str">
        <f>Annex!K769</f>
        <v>Singaporean</v>
      </c>
      <c r="F1035" s="67" t="str">
        <f>Annex!L769</f>
        <v>Case 1034 is a Local linked  case, 62 years old male Singapore Citizen  and has not been overseas. He is currently admitted at SKH . Maxwell MRT construction site</v>
      </c>
      <c r="G1035" s="85">
        <v>43923</v>
      </c>
      <c r="H1035" s="67"/>
      <c r="I1035" s="67"/>
      <c r="J1035" s="67"/>
      <c r="K1035" s="67"/>
      <c r="L1035" s="67" t="str">
        <f>Annex!C769</f>
        <v xml:space="preserve">SKH </v>
      </c>
      <c r="M1035" s="86" t="s">
        <v>1404</v>
      </c>
    </row>
    <row r="1036" spans="1:13" ht="13.8" customHeight="1" x14ac:dyDescent="0.3">
      <c r="A1036" s="67">
        <f>Annex!A770</f>
        <v>1035</v>
      </c>
      <c r="B1036" s="67" t="str">
        <f>IF(LEFT(Annex!H770,5)="Local","Local Transmission",Annex!H770)</f>
        <v>Local Transmission</v>
      </c>
      <c r="C1036" s="67" t="str">
        <f>Annex!J770</f>
        <v>Male</v>
      </c>
      <c r="D1036" s="67">
        <f>Annex!D770</f>
        <v>36</v>
      </c>
      <c r="E1036" s="67" t="str">
        <f>Annex!K770</f>
        <v>Bangladesh</v>
      </c>
      <c r="F1036" s="67" t="str">
        <f>Annex!L770</f>
        <v>Case 1035 is a Local linked  case, 36 years old male Bangladesh (Long Term Pass holder)  and has not been overseas. He is currently admitted at NCID . S11 Dormitory</v>
      </c>
      <c r="G1036" s="85">
        <v>43923</v>
      </c>
      <c r="H1036" s="67"/>
      <c r="I1036" s="67"/>
      <c r="J1036" s="67"/>
      <c r="K1036" s="67"/>
      <c r="L1036" s="67" t="str">
        <f>Annex!C770</f>
        <v xml:space="preserve">NCID </v>
      </c>
      <c r="M1036" s="86" t="s">
        <v>1404</v>
      </c>
    </row>
    <row r="1037" spans="1:13" ht="13.8" customHeight="1" x14ac:dyDescent="0.3">
      <c r="A1037" s="67">
        <f>Annex!A771</f>
        <v>1036</v>
      </c>
      <c r="B1037" s="67" t="str">
        <f>IF(LEFT(Annex!H771,5)="Local","Local Transmission",Annex!H771)</f>
        <v>Local Transmission</v>
      </c>
      <c r="C1037" s="67" t="str">
        <f>Annex!J771</f>
        <v>Female</v>
      </c>
      <c r="D1037" s="67">
        <f>Annex!D771</f>
        <v>42</v>
      </c>
      <c r="E1037" s="67" t="str">
        <f>Annex!K771</f>
        <v>Japan</v>
      </c>
      <c r="F1037" s="67" t="str">
        <f>Annex!L771</f>
        <v xml:space="preserve">Case 1036 is a Local unlinked case, 42 years old female Japan (Singapore Work Pass holder)  and has not been overseas. She is currently admitted at NCID . </v>
      </c>
      <c r="G1037" s="85">
        <v>43923</v>
      </c>
      <c r="H1037" s="67"/>
      <c r="I1037" s="67"/>
      <c r="J1037" s="67"/>
      <c r="K1037" s="67"/>
      <c r="L1037" s="67" t="str">
        <f>Annex!C771</f>
        <v xml:space="preserve">NCID </v>
      </c>
      <c r="M1037" s="86" t="s">
        <v>1404</v>
      </c>
    </row>
    <row r="1038" spans="1:13" ht="13.8" customHeight="1" x14ac:dyDescent="0.3">
      <c r="A1038" s="67">
        <f>Annex!A772</f>
        <v>1037</v>
      </c>
      <c r="B1038" s="67" t="str">
        <f>IF(LEFT(Annex!H772,5)="Local","Local Transmission",Annex!H772)</f>
        <v>Local Transmission</v>
      </c>
      <c r="C1038" s="67" t="str">
        <f>Annex!J772</f>
        <v>Male</v>
      </c>
      <c r="D1038" s="67">
        <f>Annex!D772</f>
        <v>34</v>
      </c>
      <c r="E1038" s="67" t="str">
        <f>Annex!K772</f>
        <v>Malaysia</v>
      </c>
      <c r="F1038" s="67" t="str">
        <f>Annex!L772</f>
        <v>Case 1037 is a Local linked  case, 34 years old male Malaysia (Singapore Work Pass holder)  and has not been overseas. He is currently admitted at NCID . SingPost Centre</v>
      </c>
      <c r="G1038" s="85">
        <v>43923</v>
      </c>
      <c r="H1038" s="67"/>
      <c r="I1038" s="67"/>
      <c r="J1038" s="67"/>
      <c r="K1038" s="67"/>
      <c r="L1038" s="67" t="str">
        <f>Annex!C772</f>
        <v xml:space="preserve">NCID </v>
      </c>
      <c r="M1038" s="86" t="s">
        <v>1404</v>
      </c>
    </row>
    <row r="1039" spans="1:13" ht="13.8" customHeight="1" x14ac:dyDescent="0.3">
      <c r="A1039" s="67">
        <f>Annex!A773</f>
        <v>1038</v>
      </c>
      <c r="B1039" s="67" t="str">
        <f>IF(LEFT(Annex!H773,5)="Local","Local Transmission",Annex!H773)</f>
        <v>Local Transmission</v>
      </c>
      <c r="C1039" s="67" t="str">
        <f>Annex!J773</f>
        <v>Female</v>
      </c>
      <c r="D1039" s="67">
        <f>Annex!D773</f>
        <v>52</v>
      </c>
      <c r="E1039" s="67" t="str">
        <f>Annex!K773</f>
        <v>Singaporean</v>
      </c>
      <c r="F1039" s="67" t="str">
        <f>Annex!L773</f>
        <v xml:space="preserve">Case 1038 is a Local unlinked case, 52 years old female Singapore Citizen  and has not been overseas. She is currently admitted at NCID . </v>
      </c>
      <c r="G1039" s="85">
        <v>43923</v>
      </c>
      <c r="H1039" s="67"/>
      <c r="I1039" s="67"/>
      <c r="J1039" s="67"/>
      <c r="K1039" s="67"/>
      <c r="L1039" s="67" t="str">
        <f>Annex!C773</f>
        <v xml:space="preserve">NCID </v>
      </c>
      <c r="M1039" s="86" t="s">
        <v>1404</v>
      </c>
    </row>
    <row r="1040" spans="1:13" ht="13.8" customHeight="1" x14ac:dyDescent="0.3">
      <c r="A1040" s="67">
        <f>Annex!A774</f>
        <v>1039</v>
      </c>
      <c r="B1040" s="67" t="str">
        <f>IF(LEFT(Annex!H774,5)="Local","Local Transmission",Annex!H774)</f>
        <v>Local Transmission</v>
      </c>
      <c r="C1040" s="67" t="str">
        <f>Annex!J774</f>
        <v>Male</v>
      </c>
      <c r="D1040" s="67">
        <f>Annex!D774</f>
        <v>22</v>
      </c>
      <c r="E1040" s="67" t="str">
        <f>Annex!K774</f>
        <v>India</v>
      </c>
      <c r="F1040" s="67" t="str">
        <f>Annex!L774</f>
        <v>Case 1039 is a Local linked  case, 22 years old male India (Long Term Pass holder)  and has not been overseas. He is currently admitted at NCID . S11 Dormitory</v>
      </c>
      <c r="G1040" s="85">
        <v>43923</v>
      </c>
      <c r="H1040" s="67"/>
      <c r="I1040" s="67"/>
      <c r="J1040" s="67"/>
      <c r="K1040" s="67"/>
      <c r="L1040" s="67" t="str">
        <f>Annex!C774</f>
        <v xml:space="preserve">NCID </v>
      </c>
      <c r="M1040" s="86" t="s">
        <v>1404</v>
      </c>
    </row>
    <row r="1041" spans="1:13" ht="13.8" customHeight="1" x14ac:dyDescent="0.3">
      <c r="A1041" s="67">
        <f>Annex!A775</f>
        <v>1040</v>
      </c>
      <c r="B1041" s="67" t="str">
        <f>IF(LEFT(Annex!H775,5)="Local","Local Transmission",Annex!H775)</f>
        <v>Local Transmission</v>
      </c>
      <c r="C1041" s="67" t="str">
        <f>Annex!J775</f>
        <v>Male</v>
      </c>
      <c r="D1041" s="67">
        <f>Annex!D775</f>
        <v>48</v>
      </c>
      <c r="E1041" s="67" t="str">
        <f>Annex!K775</f>
        <v>Singaporean</v>
      </c>
      <c r="F1041" s="67" t="str">
        <f>Annex!L775</f>
        <v>Case 1040 is a Local linked  case, 48 years old male Singapore Citizen  and has not been overseas. He is currently admitted at NCID . Family member of Case 1041</v>
      </c>
      <c r="G1041" s="85">
        <v>43923</v>
      </c>
      <c r="H1041" s="67"/>
      <c r="I1041" s="67"/>
      <c r="J1041" s="67"/>
      <c r="K1041" s="67"/>
      <c r="L1041" s="67" t="str">
        <f>Annex!C775</f>
        <v xml:space="preserve">NCID </v>
      </c>
      <c r="M1041" s="86" t="s">
        <v>1404</v>
      </c>
    </row>
    <row r="1042" spans="1:13" ht="13.8" customHeight="1" x14ac:dyDescent="0.3">
      <c r="A1042" s="67">
        <f>Annex!A776</f>
        <v>1041</v>
      </c>
      <c r="B1042" s="67" t="str">
        <f>IF(LEFT(Annex!H776,5)="Local","Local Transmission",Annex!H776)</f>
        <v>Local Transmission</v>
      </c>
      <c r="C1042" s="67" t="str">
        <f>Annex!J776</f>
        <v>Female</v>
      </c>
      <c r="D1042" s="67">
        <f>Annex!D776</f>
        <v>43</v>
      </c>
      <c r="E1042" s="67" t="str">
        <f>Annex!K776</f>
        <v>Singaporean</v>
      </c>
      <c r="F1042" s="67" t="str">
        <f>Annex!L776</f>
        <v>Case 1041 is a Local linked  case, 43 years old female Singapore Citizen  and has not been overseas. She is currently admitted at NCID . Family member of Case 1040</v>
      </c>
      <c r="G1042" s="85">
        <v>43923</v>
      </c>
      <c r="H1042" s="67"/>
      <c r="I1042" s="67"/>
      <c r="J1042" s="67"/>
      <c r="K1042" s="67"/>
      <c r="L1042" s="67" t="str">
        <f>Annex!C776</f>
        <v xml:space="preserve">NCID </v>
      </c>
      <c r="M1042" s="86" t="s">
        <v>1404</v>
      </c>
    </row>
    <row r="1043" spans="1:13" ht="13.8" customHeight="1" x14ac:dyDescent="0.3">
      <c r="A1043" s="67">
        <f>Annex!A777</f>
        <v>1042</v>
      </c>
      <c r="B1043" s="67" t="str">
        <f>IF(LEFT(Annex!H777,5)="Local","Local Transmission",Annex!H777)</f>
        <v xml:space="preserve">Imported </v>
      </c>
      <c r="C1043" s="67" t="str">
        <f>Annex!J777</f>
        <v>Male</v>
      </c>
      <c r="D1043" s="67">
        <f>Annex!D777</f>
        <v>45</v>
      </c>
      <c r="E1043" s="67" t="str">
        <f>Annex!K777</f>
        <v>Singaporean</v>
      </c>
      <c r="F1043" s="67" t="str">
        <f>Annex!L777</f>
        <v>Case 1042 is a Imported  case, 45 years old male Singapore Citizen  and has been to Philippines . He is currently admitted at NCID . Contact of Case 893</v>
      </c>
      <c r="G1043" s="85">
        <v>43923</v>
      </c>
      <c r="H1043" s="67"/>
      <c r="I1043" s="67"/>
      <c r="J1043" s="67"/>
      <c r="K1043" s="67"/>
      <c r="L1043" s="67" t="str">
        <f>Annex!C777</f>
        <v xml:space="preserve">NCID </v>
      </c>
      <c r="M1043" s="86" t="s">
        <v>1404</v>
      </c>
    </row>
    <row r="1044" spans="1:13" ht="13.8" customHeight="1" x14ac:dyDescent="0.3">
      <c r="A1044" s="67">
        <f>Annex!A778</f>
        <v>1043</v>
      </c>
      <c r="B1044" s="67" t="str">
        <f>IF(LEFT(Annex!H778,5)="Local","Local Transmission",Annex!H778)</f>
        <v>Local Transmission</v>
      </c>
      <c r="C1044" s="67" t="str">
        <f>Annex!J778</f>
        <v>Female</v>
      </c>
      <c r="D1044" s="67">
        <f>Annex!D778</f>
        <v>53</v>
      </c>
      <c r="E1044" s="67" t="str">
        <f>Annex!K778</f>
        <v>Singaporean</v>
      </c>
      <c r="F1044" s="67" t="str">
        <f>Annex!L778</f>
        <v>Case 1043 is a Local linked  case, 53 years old female Singapore Citizen  and has not been overseas. She is currently admitted at NCID . SingPost Centre</v>
      </c>
      <c r="G1044" s="85">
        <v>43923</v>
      </c>
      <c r="H1044" s="67"/>
      <c r="I1044" s="67"/>
      <c r="J1044" s="67"/>
      <c r="K1044" s="67"/>
      <c r="L1044" s="67" t="str">
        <f>Annex!C778</f>
        <v xml:space="preserve">NCID </v>
      </c>
      <c r="M1044" s="86" t="s">
        <v>1404</v>
      </c>
    </row>
    <row r="1045" spans="1:13" ht="13.8" customHeight="1" x14ac:dyDescent="0.3">
      <c r="A1045" s="67">
        <f>Annex!A779</f>
        <v>1044</v>
      </c>
      <c r="B1045" s="67" t="str">
        <f>IF(LEFT(Annex!H779,5)="Local","Local Transmission",Annex!H779)</f>
        <v>Local Transmission</v>
      </c>
      <c r="C1045" s="67" t="str">
        <f>Annex!J779</f>
        <v>Male</v>
      </c>
      <c r="D1045" s="67">
        <f>Annex!D779</f>
        <v>31</v>
      </c>
      <c r="E1045" s="67" t="str">
        <f>Annex!K779</f>
        <v>Singaporean</v>
      </c>
      <c r="F1045" s="67" t="str">
        <f>Annex!L779</f>
        <v xml:space="preserve">Case 1044 is a Local unlinked case, 31 years old male Singapore Citizen  and has not been overseas. He is currently admitted at NCID . </v>
      </c>
      <c r="G1045" s="85">
        <v>43923</v>
      </c>
      <c r="H1045" s="67"/>
      <c r="I1045" s="67"/>
      <c r="J1045" s="67"/>
      <c r="K1045" s="67"/>
      <c r="L1045" s="67" t="str">
        <f>Annex!C779</f>
        <v xml:space="preserve">NCID </v>
      </c>
      <c r="M1045" s="86" t="s">
        <v>1404</v>
      </c>
    </row>
    <row r="1046" spans="1:13" ht="13.8" customHeight="1" x14ac:dyDescent="0.3">
      <c r="A1046" s="67">
        <f>Annex!A780</f>
        <v>1045</v>
      </c>
      <c r="B1046" s="67" t="str">
        <f>IF(LEFT(Annex!H780,5)="Local","Local Transmission",Annex!H780)</f>
        <v>Imported</v>
      </c>
      <c r="C1046" s="67" t="str">
        <f>Annex!J780</f>
        <v>Male</v>
      </c>
      <c r="D1046" s="67">
        <f>Annex!D780</f>
        <v>21</v>
      </c>
      <c r="E1046" s="67" t="str">
        <f>Annex!K780</f>
        <v>Singaporean</v>
      </c>
      <c r="F1046" s="67" t="str">
        <f>Annex!L780</f>
        <v xml:space="preserve">Case 1045 is a Imported case, 21 years old male Singapore Citizen  and has been to UK . He is currently admitted at NCID . </v>
      </c>
      <c r="G1046" s="85">
        <v>43923</v>
      </c>
      <c r="H1046" s="67"/>
      <c r="I1046" s="67"/>
      <c r="J1046" s="67"/>
      <c r="K1046" s="67"/>
      <c r="L1046" s="67" t="str">
        <f>Annex!C780</f>
        <v xml:space="preserve">NCID </v>
      </c>
      <c r="M1046" s="86" t="s">
        <v>1404</v>
      </c>
    </row>
    <row r="1047" spans="1:13" ht="13.8" customHeight="1" x14ac:dyDescent="0.3">
      <c r="A1047" s="67">
        <f>Annex!A781</f>
        <v>1046</v>
      </c>
      <c r="B1047" s="67" t="str">
        <f>IF(LEFT(Annex!H781,5)="Local","Local Transmission",Annex!H781)</f>
        <v>Local Transmission</v>
      </c>
      <c r="C1047" s="67" t="str">
        <f>Annex!J781</f>
        <v>Male</v>
      </c>
      <c r="D1047" s="67">
        <f>Annex!D781</f>
        <v>56</v>
      </c>
      <c r="E1047" s="67" t="str">
        <f>Annex!K781</f>
        <v>Singaporean</v>
      </c>
      <c r="F1047" s="67" t="str">
        <f>Annex!L781</f>
        <v>Case 1046 is a Local linked  case, 56 years old male Singapore Permanent Resident  and has not been overseas. He is currently admitted at NCID . Mustafa Centre</v>
      </c>
      <c r="G1047" s="85">
        <v>43923</v>
      </c>
      <c r="H1047" s="67"/>
      <c r="I1047" s="67"/>
      <c r="J1047" s="67"/>
      <c r="K1047" s="67"/>
      <c r="L1047" s="67" t="str">
        <f>Annex!C781</f>
        <v xml:space="preserve">NCID </v>
      </c>
      <c r="M1047" s="86" t="s">
        <v>1404</v>
      </c>
    </row>
    <row r="1048" spans="1:13" ht="13.8" customHeight="1" x14ac:dyDescent="0.3">
      <c r="A1048" s="67">
        <f>Annex!A782</f>
        <v>1047</v>
      </c>
      <c r="B1048" s="67" t="str">
        <f>IF(LEFT(Annex!H782,5)="Local","Local Transmission",Annex!H782)</f>
        <v>Local Transmission</v>
      </c>
      <c r="C1048" s="67" t="str">
        <f>Annex!J782</f>
        <v>Male</v>
      </c>
      <c r="D1048" s="67">
        <f>Annex!D782</f>
        <v>25</v>
      </c>
      <c r="E1048" s="67" t="str">
        <f>Annex!K782</f>
        <v>India</v>
      </c>
      <c r="F1048" s="67" t="str">
        <f>Annex!L782</f>
        <v>Case 1047 is a Local linked  case, 25 years old male India (Long Term Pass holder)  and has not been overseas. He is currently admitted at NCID . S11 Dormitory</v>
      </c>
      <c r="G1048" s="85">
        <v>43923</v>
      </c>
      <c r="H1048" s="67"/>
      <c r="I1048" s="67"/>
      <c r="J1048" s="67"/>
      <c r="K1048" s="67"/>
      <c r="L1048" s="67" t="str">
        <f>Annex!C782</f>
        <v xml:space="preserve">NCID </v>
      </c>
      <c r="M1048" s="86" t="s">
        <v>1404</v>
      </c>
    </row>
    <row r="1049" spans="1:13" ht="13.8" customHeight="1" x14ac:dyDescent="0.3">
      <c r="A1049" s="67">
        <f>Annex!A783</f>
        <v>1048</v>
      </c>
      <c r="B1049" s="67" t="str">
        <f>IF(LEFT(Annex!H783,5)="Local","Local Transmission",Annex!H783)</f>
        <v>Imported</v>
      </c>
      <c r="C1049" s="67" t="str">
        <f>Annex!J783</f>
        <v>Female</v>
      </c>
      <c r="D1049" s="67">
        <f>Annex!D783</f>
        <v>73</v>
      </c>
      <c r="E1049" s="67" t="str">
        <f>Annex!K783</f>
        <v>Singaporean</v>
      </c>
      <c r="F1049" s="67" t="str">
        <f>Annex!L783</f>
        <v xml:space="preserve">Case 1048 is a Imported case, 73 years old female Singapore Citizen  and has been to UK . She is currently admitted at NCID . </v>
      </c>
      <c r="G1049" s="85">
        <v>43923</v>
      </c>
      <c r="H1049" s="67"/>
      <c r="I1049" s="67"/>
      <c r="J1049" s="67"/>
      <c r="K1049" s="67"/>
      <c r="L1049" s="67" t="str">
        <f>Annex!C783</f>
        <v xml:space="preserve">NCID </v>
      </c>
      <c r="M1049" s="86" t="s">
        <v>1404</v>
      </c>
    </row>
    <row r="1050" spans="1:13" ht="13.8" customHeight="1" x14ac:dyDescent="0.3">
      <c r="A1050" s="67">
        <f>Annex!A784</f>
        <v>1049</v>
      </c>
      <c r="B1050" s="67" t="str">
        <f>IF(LEFT(Annex!H784,5)="Local","Local Transmission",Annex!H784)</f>
        <v>Local Transmission</v>
      </c>
      <c r="C1050" s="67" t="str">
        <f>Annex!J784</f>
        <v>Male</v>
      </c>
      <c r="D1050" s="67">
        <f>Annex!D784</f>
        <v>30</v>
      </c>
      <c r="E1050" s="67" t="str">
        <f>Annex!K784</f>
        <v>India</v>
      </c>
      <c r="F1050" s="67" t="str">
        <f>Annex!L784</f>
        <v xml:space="preserve">Case 1049 is a Local unlinked case, 30 years old male India (Long Term Pass holder)  and has not been overseas. He is currently admitted at NCID . </v>
      </c>
      <c r="G1050" s="85">
        <v>43923</v>
      </c>
      <c r="H1050" s="67"/>
      <c r="I1050" s="67"/>
      <c r="J1050" s="67"/>
      <c r="K1050" s="67"/>
      <c r="L1050" s="67" t="str">
        <f>Annex!C784</f>
        <v xml:space="preserve">NCID </v>
      </c>
      <c r="M1050" s="86" t="s">
        <v>1404</v>
      </c>
    </row>
    <row r="1051" spans="1:13" ht="13.8" customHeight="1" x14ac:dyDescent="0.3">
      <c r="A1051" s="71">
        <f>Annex!A785</f>
        <v>1050</v>
      </c>
      <c r="B1051" s="71" t="str">
        <f>IF(LEFT(Annex!H785,5)="Local","Local Transmission",Annex!H785)</f>
        <v>Local Transmission</v>
      </c>
      <c r="C1051" s="71" t="str">
        <f>Annex!J785</f>
        <v>Male</v>
      </c>
      <c r="D1051" s="71">
        <f>Annex!D785</f>
        <v>56</v>
      </c>
      <c r="E1051" s="71" t="str">
        <f>Annex!K785</f>
        <v>China</v>
      </c>
      <c r="F1051" s="71" t="str">
        <f>Annex!L785</f>
        <v>Case 1050 is a Local linked  case, 56 years old male China (Singapore Work Pass holder)  and has not been overseas. He is currently admitted at NCID . S11 Dormitory</v>
      </c>
      <c r="G1051" s="79">
        <v>43924</v>
      </c>
      <c r="H1051" s="71"/>
      <c r="I1051" s="71"/>
      <c r="J1051" s="71"/>
      <c r="K1051" s="71"/>
      <c r="L1051" s="71" t="str">
        <f>Annex!C785</f>
        <v xml:space="preserve">NCID </v>
      </c>
      <c r="M1051" s="87" t="s">
        <v>1444</v>
      </c>
    </row>
    <row r="1052" spans="1:13" ht="13.8" customHeight="1" x14ac:dyDescent="0.3">
      <c r="A1052" s="71">
        <f>Annex!A786</f>
        <v>1051</v>
      </c>
      <c r="B1052" s="71" t="str">
        <f>IF(LEFT(Annex!H786,5)="Local","Local Transmission",Annex!H786)</f>
        <v>Imported</v>
      </c>
      <c r="C1052" s="71" t="str">
        <f>Annex!J786</f>
        <v>Male</v>
      </c>
      <c r="D1052" s="71">
        <f>Annex!D786</f>
        <v>35</v>
      </c>
      <c r="E1052" s="71" t="str">
        <f>Annex!K786</f>
        <v>Singaporean</v>
      </c>
      <c r="F1052" s="71" t="str">
        <f>Annex!L786</f>
        <v xml:space="preserve">Case 1051 is a Imported case, 35 years old male Singapore Citizen  and has been to Malaysia . He is currently admitted at KTPH . </v>
      </c>
      <c r="G1052" s="79">
        <v>43924</v>
      </c>
      <c r="H1052" s="71"/>
      <c r="I1052" s="71"/>
      <c r="J1052" s="71"/>
      <c r="K1052" s="71"/>
      <c r="L1052" s="71" t="str">
        <f>Annex!C786</f>
        <v xml:space="preserve">KTPH </v>
      </c>
      <c r="M1052" s="87" t="s">
        <v>1444</v>
      </c>
    </row>
    <row r="1053" spans="1:13" ht="13.8" customHeight="1" x14ac:dyDescent="0.3">
      <c r="A1053" s="71">
        <f>Annex!A787</f>
        <v>1052</v>
      </c>
      <c r="B1053" s="71" t="str">
        <f>IF(LEFT(Annex!H787,5)="Local","Local Transmission",Annex!H787)</f>
        <v>Local Transmission</v>
      </c>
      <c r="C1053" s="71" t="str">
        <f>Annex!J787</f>
        <v>Female</v>
      </c>
      <c r="D1053" s="71">
        <f>Annex!D787</f>
        <v>55</v>
      </c>
      <c r="E1053" s="71" t="str">
        <f>Annex!K787</f>
        <v>Singaporean</v>
      </c>
      <c r="F1053" s="71" t="str">
        <f>Annex!L787</f>
        <v>Case 1052 is a Local linked  case, 55 years old female Singapore Citizen  and has not been overseas. She is currently admitted at SGH . Singapore Cricket Club</v>
      </c>
      <c r="G1053" s="79">
        <v>43924</v>
      </c>
      <c r="H1053" s="71"/>
      <c r="I1053" s="71"/>
      <c r="J1053" s="71"/>
      <c r="K1053" s="71"/>
      <c r="L1053" s="71" t="str">
        <f>Annex!C787</f>
        <v xml:space="preserve">SGH </v>
      </c>
      <c r="M1053" s="87" t="s">
        <v>1444</v>
      </c>
    </row>
    <row r="1054" spans="1:13" ht="13.8" customHeight="1" x14ac:dyDescent="0.3">
      <c r="A1054" s="71">
        <f>Annex!A788</f>
        <v>1053</v>
      </c>
      <c r="B1054" s="71" t="str">
        <f>IF(LEFT(Annex!H788,5)="Local","Local Transmission",Annex!H788)</f>
        <v>Local Transmission</v>
      </c>
      <c r="C1054" s="71" t="str">
        <f>Annex!J788</f>
        <v>Male</v>
      </c>
      <c r="D1054" s="71">
        <f>Annex!D788</f>
        <v>47</v>
      </c>
      <c r="E1054" s="71" t="str">
        <f>Annex!K788</f>
        <v>Singaporean</v>
      </c>
      <c r="F1054" s="71" t="str">
        <f>Annex!L788</f>
        <v xml:space="preserve">Case 1053 is a Local unlinked case, 47 years old male Singapore Citizen  and has not been overseas. He is currently admitted at NCID . </v>
      </c>
      <c r="G1054" s="79">
        <v>43924</v>
      </c>
      <c r="H1054" s="71"/>
      <c r="I1054" s="71"/>
      <c r="J1054" s="71"/>
      <c r="K1054" s="71"/>
      <c r="L1054" s="71" t="str">
        <f>Annex!C788</f>
        <v xml:space="preserve">NCID </v>
      </c>
      <c r="M1054" s="87" t="s">
        <v>1444</v>
      </c>
    </row>
    <row r="1055" spans="1:13" ht="13.8" customHeight="1" x14ac:dyDescent="0.3">
      <c r="A1055" s="71">
        <f>Annex!A789</f>
        <v>1054</v>
      </c>
      <c r="B1055" s="71" t="str">
        <f>IF(LEFT(Annex!H789,5)="Local","Local Transmission",Annex!H789)</f>
        <v>Local Transmission</v>
      </c>
      <c r="C1055" s="71" t="str">
        <f>Annex!J789</f>
        <v>Male</v>
      </c>
      <c r="D1055" s="71">
        <f>Annex!D789</f>
        <v>29</v>
      </c>
      <c r="E1055" s="71" t="str">
        <f>Annex!K789</f>
        <v>India</v>
      </c>
      <c r="F1055" s="71" t="str">
        <f>Annex!L789</f>
        <v xml:space="preserve">Case 1054 is a Local linked case, 29 years old male India (Long Term Pass holder)  and has not been overseas. He is currently admitted at NCID . </v>
      </c>
      <c r="G1055" s="79">
        <v>43924</v>
      </c>
      <c r="H1055" s="71"/>
      <c r="I1055" s="71"/>
      <c r="J1055" s="71"/>
      <c r="K1055" s="71"/>
      <c r="L1055" s="71" t="str">
        <f>Annex!C789</f>
        <v xml:space="preserve">NCID </v>
      </c>
      <c r="M1055" s="87" t="s">
        <v>1444</v>
      </c>
    </row>
    <row r="1056" spans="1:13" ht="13.8" customHeight="1" x14ac:dyDescent="0.3">
      <c r="A1056" s="71">
        <f>Annex!A790</f>
        <v>1055</v>
      </c>
      <c r="B1056" s="71" t="str">
        <f>IF(LEFT(Annex!H790,5)="Local","Local Transmission",Annex!H790)</f>
        <v>Local Transmission</v>
      </c>
      <c r="C1056" s="71" t="str">
        <f>Annex!J790</f>
        <v>Male</v>
      </c>
      <c r="D1056" s="71">
        <f>Annex!D790</f>
        <v>61</v>
      </c>
      <c r="E1056" s="71" t="str">
        <f>Annex!K790</f>
        <v>Singaporean</v>
      </c>
      <c r="F1056" s="71" t="str">
        <f>Annex!L790</f>
        <v>Case 1055 is a Local linked  case, 61 years old male Singapore Citizen  and has not been overseas. He is currently admitted at NCID . Lim Ah Mooi Home</v>
      </c>
      <c r="G1056" s="79">
        <v>43924</v>
      </c>
      <c r="H1056" s="71"/>
      <c r="I1056" s="71"/>
      <c r="J1056" s="71"/>
      <c r="K1056" s="71"/>
      <c r="L1056" s="71" t="str">
        <f>Annex!C790</f>
        <v xml:space="preserve">NCID </v>
      </c>
      <c r="M1056" s="87" t="s">
        <v>1444</v>
      </c>
    </row>
    <row r="1057" spans="1:13" ht="13.8" customHeight="1" x14ac:dyDescent="0.3">
      <c r="A1057" s="71">
        <f>Annex!A791</f>
        <v>1056</v>
      </c>
      <c r="B1057" s="71" t="str">
        <f>IF(LEFT(Annex!H791,5)="Local","Local Transmission",Annex!H791)</f>
        <v>Local Transmission</v>
      </c>
      <c r="C1057" s="71" t="str">
        <f>Annex!J791</f>
        <v>Male</v>
      </c>
      <c r="D1057" s="71">
        <f>Annex!D791</f>
        <v>40</v>
      </c>
      <c r="E1057" s="71" t="str">
        <f>Annex!K791</f>
        <v xml:space="preserve">Bangladesh </v>
      </c>
      <c r="F1057" s="71" t="str">
        <f>Annex!L791</f>
        <v>Case 1056 is a Local linked  case, 40 years old male Bangladesh  and has not been overseas. He is currently admitted at NCID . Mustafa Centre</v>
      </c>
      <c r="G1057" s="79">
        <v>43924</v>
      </c>
      <c r="H1057" s="71"/>
      <c r="I1057" s="71"/>
      <c r="J1057" s="71"/>
      <c r="K1057" s="71"/>
      <c r="L1057" s="71" t="str">
        <f>Annex!C791</f>
        <v xml:space="preserve">NCID </v>
      </c>
      <c r="M1057" s="87" t="s">
        <v>1444</v>
      </c>
    </row>
    <row r="1058" spans="1:13" ht="13.8" customHeight="1" x14ac:dyDescent="0.3">
      <c r="A1058" s="71">
        <f>Annex!A792</f>
        <v>1057</v>
      </c>
      <c r="B1058" s="71" t="str">
        <f>IF(LEFT(Annex!H792,5)="Local","Local Transmission",Annex!H792)</f>
        <v>Local Transmission</v>
      </c>
      <c r="C1058" s="71" t="str">
        <f>Annex!J792</f>
        <v>Female</v>
      </c>
      <c r="D1058" s="71">
        <f>Annex!D792</f>
        <v>46</v>
      </c>
      <c r="E1058" s="71" t="str">
        <f>Annex!K792</f>
        <v>Netherlands</v>
      </c>
      <c r="F1058" s="71" t="str">
        <f>Annex!L792</f>
        <v>Case 1057 is a Local linked  case, 46 years old female Netherlands (Long Term Pass holder)  and has not been overseas. She is currently admitted at NCID . Family member of Case 907</v>
      </c>
      <c r="G1058" s="79">
        <v>43924</v>
      </c>
      <c r="H1058" s="71"/>
      <c r="I1058" s="71"/>
      <c r="J1058" s="71"/>
      <c r="K1058" s="71"/>
      <c r="L1058" s="71" t="str">
        <f>Annex!C792</f>
        <v xml:space="preserve">NCID </v>
      </c>
      <c r="M1058" s="87" t="s">
        <v>1444</v>
      </c>
    </row>
    <row r="1059" spans="1:13" ht="13.8" customHeight="1" x14ac:dyDescent="0.3">
      <c r="A1059" s="71">
        <f>Annex!A793</f>
        <v>1058</v>
      </c>
      <c r="B1059" s="71" t="str">
        <f>IF(LEFT(Annex!H793,5)="Local","Local Transmission",Annex!H793)</f>
        <v xml:space="preserve">Imported </v>
      </c>
      <c r="C1059" s="71" t="str">
        <f>Annex!J793</f>
        <v>Male</v>
      </c>
      <c r="D1059" s="71">
        <f>Annex!D793</f>
        <v>7</v>
      </c>
      <c r="E1059" s="71" t="str">
        <f>Annex!K793</f>
        <v>Singaporean</v>
      </c>
      <c r="F1059" s="71" t="str">
        <f>Annex!L793</f>
        <v>Case 1058 is a Imported  case, 7 years old male Singapore Citizen  and has been to UAE . He is currently admitted at KKH . Family member of Cases 832 and 872</v>
      </c>
      <c r="G1059" s="79">
        <v>43924</v>
      </c>
      <c r="H1059" s="71"/>
      <c r="I1059" s="71"/>
      <c r="J1059" s="71"/>
      <c r="K1059" s="71"/>
      <c r="L1059" s="71" t="str">
        <f>Annex!C793</f>
        <v xml:space="preserve">KKH </v>
      </c>
      <c r="M1059" s="87" t="s">
        <v>1444</v>
      </c>
    </row>
    <row r="1060" spans="1:13" ht="13.8" customHeight="1" x14ac:dyDescent="0.3">
      <c r="A1060" s="71">
        <f>Annex!A794</f>
        <v>1059</v>
      </c>
      <c r="B1060" s="71" t="str">
        <f>IF(LEFT(Annex!H794,5)="Local","Local Transmission",Annex!H794)</f>
        <v xml:space="preserve">Imported </v>
      </c>
      <c r="C1060" s="71" t="str">
        <f>Annex!J794</f>
        <v>Male</v>
      </c>
      <c r="D1060" s="71">
        <f>Annex!D794</f>
        <v>5</v>
      </c>
      <c r="E1060" s="71" t="str">
        <f>Annex!K794</f>
        <v>Singaporean</v>
      </c>
      <c r="F1060" s="71" t="str">
        <f>Annex!L794</f>
        <v>Case 1059 is a Imported  case, 5 years old male Singapore Citizen  and has been to UAE . He is currently admitted at KKH . Family member of Cases 832 and 872</v>
      </c>
      <c r="G1060" s="79">
        <v>43924</v>
      </c>
      <c r="H1060" s="71"/>
      <c r="I1060" s="71"/>
      <c r="J1060" s="71"/>
      <c r="K1060" s="71"/>
      <c r="L1060" s="71" t="str">
        <f>Annex!C794</f>
        <v xml:space="preserve">KKH </v>
      </c>
      <c r="M1060" s="87" t="s">
        <v>1444</v>
      </c>
    </row>
    <row r="1061" spans="1:13" ht="13.8" customHeight="1" x14ac:dyDescent="0.3">
      <c r="A1061" s="71">
        <f>Annex!A795</f>
        <v>1060</v>
      </c>
      <c r="B1061" s="71" t="str">
        <f>IF(LEFT(Annex!H795,5)="Local","Local Transmission",Annex!H795)</f>
        <v>Imported</v>
      </c>
      <c r="C1061" s="71" t="str">
        <f>Annex!J795</f>
        <v>Female</v>
      </c>
      <c r="D1061" s="71">
        <f>Annex!D795</f>
        <v>66</v>
      </c>
      <c r="E1061" s="71" t="str">
        <f>Annex!K795</f>
        <v>Singaporean</v>
      </c>
      <c r="F1061" s="71" t="str">
        <f>Annex!L795</f>
        <v xml:space="preserve">Case 1060 is a Imported case, 66 years old female Singapore Citizen  and has been to US . She is currently admitted at NCID . </v>
      </c>
      <c r="G1061" s="79">
        <v>43924</v>
      </c>
      <c r="H1061" s="71"/>
      <c r="I1061" s="71"/>
      <c r="J1061" s="71"/>
      <c r="K1061" s="71"/>
      <c r="L1061" s="71" t="str">
        <f>Annex!C795</f>
        <v xml:space="preserve">NCID </v>
      </c>
      <c r="M1061" s="87" t="s">
        <v>1444</v>
      </c>
    </row>
    <row r="1062" spans="1:13" ht="13.8" customHeight="1" x14ac:dyDescent="0.3">
      <c r="A1062" s="71">
        <f>Annex!A796</f>
        <v>1061</v>
      </c>
      <c r="B1062" s="71" t="str">
        <f>IF(LEFT(Annex!H796,5)="Local","Local Transmission",Annex!H796)</f>
        <v>Local Transmission</v>
      </c>
      <c r="C1062" s="71" t="str">
        <f>Annex!J796</f>
        <v>Male</v>
      </c>
      <c r="D1062" s="71">
        <f>Annex!D796</f>
        <v>37</v>
      </c>
      <c r="E1062" s="71" t="str">
        <f>Annex!K796</f>
        <v>Bangladesh</v>
      </c>
      <c r="F1062" s="71" t="str">
        <f>Annex!L796</f>
        <v xml:space="preserve">Case 1061 is a Local unlinked case, 37 years old male Bangladesh (Long Term Pass holder)  and has not been overseas. He is currently admitted at NCID . </v>
      </c>
      <c r="G1062" s="79">
        <v>43924</v>
      </c>
      <c r="H1062" s="71"/>
      <c r="I1062" s="71"/>
      <c r="J1062" s="71"/>
      <c r="K1062" s="71"/>
      <c r="L1062" s="71" t="str">
        <f>Annex!C796</f>
        <v xml:space="preserve">NCID </v>
      </c>
      <c r="M1062" s="87" t="s">
        <v>1444</v>
      </c>
    </row>
    <row r="1063" spans="1:13" ht="13.8" customHeight="1" x14ac:dyDescent="0.3">
      <c r="A1063" s="71">
        <f>Annex!A797</f>
        <v>1062</v>
      </c>
      <c r="B1063" s="71" t="str">
        <f>IF(LEFT(Annex!H797,5)="Local","Local Transmission",Annex!H797)</f>
        <v>Local Transmission</v>
      </c>
      <c r="C1063" s="71" t="str">
        <f>Annex!J797</f>
        <v>Male</v>
      </c>
      <c r="D1063" s="71">
        <f>Annex!D797</f>
        <v>28</v>
      </c>
      <c r="E1063" s="71" t="str">
        <f>Annex!K797</f>
        <v>India</v>
      </c>
      <c r="F1063" s="71" t="str">
        <f>Annex!L797</f>
        <v>Case 1062 is a Local linked  case, 28 years old male India (Long Term Pass holder)  and has not been overseas. He is currently admitted at SGH . Westlite Toh Guan</v>
      </c>
      <c r="G1063" s="79">
        <v>43924</v>
      </c>
      <c r="H1063" s="71"/>
      <c r="I1063" s="71"/>
      <c r="J1063" s="71"/>
      <c r="K1063" s="71"/>
      <c r="L1063" s="71" t="str">
        <f>Annex!C797</f>
        <v xml:space="preserve">SGH </v>
      </c>
      <c r="M1063" s="87" t="s">
        <v>1444</v>
      </c>
    </row>
    <row r="1064" spans="1:13" ht="13.8" customHeight="1" x14ac:dyDescent="0.3">
      <c r="A1064" s="71">
        <f>Annex!A798</f>
        <v>1063</v>
      </c>
      <c r="B1064" s="71" t="str">
        <f>IF(LEFT(Annex!H798,5)="Local","Local Transmission",Annex!H798)</f>
        <v>Local Transmission</v>
      </c>
      <c r="C1064" s="71" t="str">
        <f>Annex!J798</f>
        <v>Male</v>
      </c>
      <c r="D1064" s="71">
        <f>Annex!D798</f>
        <v>63</v>
      </c>
      <c r="E1064" s="71" t="str">
        <f>Annex!K798</f>
        <v>Singaporean</v>
      </c>
      <c r="F1064" s="71" t="str">
        <f>Annex!L798</f>
        <v xml:space="preserve">Case 1063 is a Local unlinked case, 63 years old male Singapore Citizen  and has not been overseas. He is currently admitted at KTPH . </v>
      </c>
      <c r="G1064" s="79">
        <v>43924</v>
      </c>
      <c r="H1064" s="71"/>
      <c r="I1064" s="71"/>
      <c r="J1064" s="71"/>
      <c r="K1064" s="71"/>
      <c r="L1064" s="71" t="str">
        <f>Annex!C798</f>
        <v xml:space="preserve">KTPH </v>
      </c>
      <c r="M1064" s="87" t="s">
        <v>1444</v>
      </c>
    </row>
    <row r="1065" spans="1:13" ht="13.8" customHeight="1" x14ac:dyDescent="0.3">
      <c r="A1065" s="71">
        <f>Annex!A799</f>
        <v>1064</v>
      </c>
      <c r="B1065" s="71" t="str">
        <f>IF(LEFT(Annex!H799,5)="Local","Local Transmission",Annex!H799)</f>
        <v>Local Transmission</v>
      </c>
      <c r="C1065" s="71" t="str">
        <f>Annex!J799</f>
        <v>Female</v>
      </c>
      <c r="D1065" s="71">
        <f>Annex!D799</f>
        <v>47</v>
      </c>
      <c r="E1065" s="71" t="str">
        <f>Annex!K799</f>
        <v>Singaporean</v>
      </c>
      <c r="F1065" s="71" t="str">
        <f>Annex!L799</f>
        <v>Case 1064 is a Local linked  case, 47 years old female Singapore Citizen  and has not been overseas. She is currently admitted at CGH . Family member of Case 937</v>
      </c>
      <c r="G1065" s="79">
        <v>43924</v>
      </c>
      <c r="H1065" s="71"/>
      <c r="I1065" s="71"/>
      <c r="J1065" s="71"/>
      <c r="K1065" s="71"/>
      <c r="L1065" s="71" t="str">
        <f>Annex!C799</f>
        <v xml:space="preserve">CGH </v>
      </c>
      <c r="M1065" s="87" t="s">
        <v>1444</v>
      </c>
    </row>
    <row r="1066" spans="1:13" ht="13.8" customHeight="1" x14ac:dyDescent="0.3">
      <c r="A1066" s="71">
        <f>Annex!A800</f>
        <v>1065</v>
      </c>
      <c r="B1066" s="71" t="str">
        <f>IF(LEFT(Annex!H800,5)="Local","Local Transmission",Annex!H800)</f>
        <v>Local Transmission</v>
      </c>
      <c r="C1066" s="71" t="str">
        <f>Annex!J800</f>
        <v>Male</v>
      </c>
      <c r="D1066" s="71">
        <f>Annex!D800</f>
        <v>36</v>
      </c>
      <c r="E1066" s="71" t="str">
        <f>Annex!K800</f>
        <v>Philippines</v>
      </c>
      <c r="F1066" s="71" t="str">
        <f>Annex!L800</f>
        <v>Case 1065 is a Local linked  case, 36 years old male Philippines (Singapore Work Pass holder)  and has not been overseas. He is currently admitted at NCID . Contact of Case 737</v>
      </c>
      <c r="G1066" s="79">
        <v>43924</v>
      </c>
      <c r="H1066" s="71"/>
      <c r="I1066" s="71"/>
      <c r="J1066" s="71"/>
      <c r="K1066" s="71"/>
      <c r="L1066" s="71" t="str">
        <f>Annex!C800</f>
        <v xml:space="preserve">NCID </v>
      </c>
      <c r="M1066" s="87" t="s">
        <v>1444</v>
      </c>
    </row>
    <row r="1067" spans="1:13" ht="13.8" customHeight="1" x14ac:dyDescent="0.3">
      <c r="A1067" s="71">
        <f>Annex!A801</f>
        <v>1066</v>
      </c>
      <c r="B1067" s="71" t="str">
        <f>IF(LEFT(Annex!H801,5)="Local","Local Transmission",Annex!H801)</f>
        <v>Local Transmission</v>
      </c>
      <c r="C1067" s="71" t="str">
        <f>Annex!J801</f>
        <v>Male</v>
      </c>
      <c r="D1067" s="71">
        <f>Annex!D801</f>
        <v>69</v>
      </c>
      <c r="E1067" s="71" t="str">
        <f>Annex!K801</f>
        <v>Singaporean</v>
      </c>
      <c r="F1067" s="71" t="str">
        <f>Annex!L801</f>
        <v>Case 1066 is a Local linked  case, 69 years old male Singapore Citizen  and has been to Malaysia . He is currently admitted at NCID . Contact of Case 826</v>
      </c>
      <c r="G1067" s="79">
        <v>43924</v>
      </c>
      <c r="H1067" s="71"/>
      <c r="I1067" s="71"/>
      <c r="J1067" s="71"/>
      <c r="K1067" s="71"/>
      <c r="L1067" s="71" t="str">
        <f>Annex!C801</f>
        <v xml:space="preserve">NCID </v>
      </c>
      <c r="M1067" s="87" t="s">
        <v>1444</v>
      </c>
    </row>
    <row r="1068" spans="1:13" ht="13.8" customHeight="1" x14ac:dyDescent="0.3">
      <c r="A1068" s="71">
        <f>Annex!A802</f>
        <v>1067</v>
      </c>
      <c r="B1068" s="71" t="str">
        <f>IF(LEFT(Annex!H802,5)="Local","Local Transmission",Annex!H802)</f>
        <v>Local Transmission</v>
      </c>
      <c r="C1068" s="71" t="str">
        <f>Annex!J802</f>
        <v>Male</v>
      </c>
      <c r="D1068" s="71">
        <f>Annex!D802</f>
        <v>72</v>
      </c>
      <c r="E1068" s="71" t="str">
        <f>Annex!K802</f>
        <v>Singaporean</v>
      </c>
      <c r="F1068" s="71" t="str">
        <f>Annex!L802</f>
        <v xml:space="preserve">Case 1067 is a Local unlinked case, 72 years old male Singapore Citizen  and has not been overseas. He is currently admitted at NUH . </v>
      </c>
      <c r="G1068" s="79">
        <v>43924</v>
      </c>
      <c r="H1068" s="71"/>
      <c r="I1068" s="71"/>
      <c r="J1068" s="71"/>
      <c r="K1068" s="71"/>
      <c r="L1068" s="71" t="str">
        <f>Annex!C802</f>
        <v xml:space="preserve">NUH </v>
      </c>
      <c r="M1068" s="87" t="s">
        <v>1444</v>
      </c>
    </row>
    <row r="1069" spans="1:13" ht="13.8" customHeight="1" x14ac:dyDescent="0.3">
      <c r="A1069" s="71">
        <f>Annex!A803</f>
        <v>1068</v>
      </c>
      <c r="B1069" s="71" t="str">
        <f>IF(LEFT(Annex!H803,5)="Local","Local Transmission",Annex!H803)</f>
        <v>Local Transmission</v>
      </c>
      <c r="C1069" s="71" t="str">
        <f>Annex!J803</f>
        <v>Male</v>
      </c>
      <c r="D1069" s="71">
        <f>Annex!D803</f>
        <v>29</v>
      </c>
      <c r="E1069" s="71" t="str">
        <f>Annex!K803</f>
        <v>Bangladesh</v>
      </c>
      <c r="F1069" s="71" t="str">
        <f>Annex!L803</f>
        <v>Case 1068 is a Local linked  case, 29 years old male Bangladesh (Long Term Pass holder)  and has not been overseas. He is currently admitted at NTFGH . Weslite Toh Guan</v>
      </c>
      <c r="G1069" s="79">
        <v>43924</v>
      </c>
      <c r="H1069" s="71"/>
      <c r="I1069" s="71"/>
      <c r="J1069" s="71"/>
      <c r="K1069" s="71"/>
      <c r="L1069" s="71" t="str">
        <f>Annex!C803</f>
        <v xml:space="preserve">NTFGH </v>
      </c>
      <c r="M1069" s="87" t="s">
        <v>1444</v>
      </c>
    </row>
    <row r="1070" spans="1:13" ht="13.8" customHeight="1" x14ac:dyDescent="0.3">
      <c r="A1070" s="71">
        <f>Annex!A804</f>
        <v>1069</v>
      </c>
      <c r="B1070" s="71" t="str">
        <f>IF(LEFT(Annex!H804,5)="Local","Local Transmission",Annex!H804)</f>
        <v>Local Transmission</v>
      </c>
      <c r="C1070" s="71" t="str">
        <f>Annex!J804</f>
        <v>Male</v>
      </c>
      <c r="D1070" s="71">
        <f>Annex!D804</f>
        <v>53</v>
      </c>
      <c r="E1070" s="71" t="str">
        <f>Annex!K804</f>
        <v>Singaporean</v>
      </c>
      <c r="F1070" s="71" t="str">
        <f>Annex!L804</f>
        <v>Case 1069 is a Local linked  case, 53 years old male Singapore Citizen  and has not been overseas. He is currently admitted at NUH . Maxwell MRT construction site</v>
      </c>
      <c r="G1070" s="79">
        <v>43924</v>
      </c>
      <c r="H1070" s="71"/>
      <c r="I1070" s="71"/>
      <c r="J1070" s="71"/>
      <c r="K1070" s="71"/>
      <c r="L1070" s="71" t="str">
        <f>Annex!C804</f>
        <v xml:space="preserve">NUH </v>
      </c>
      <c r="M1070" s="87" t="s">
        <v>1444</v>
      </c>
    </row>
    <row r="1071" spans="1:13" ht="13.8" customHeight="1" x14ac:dyDescent="0.3">
      <c r="A1071" s="71">
        <f>Annex!A805</f>
        <v>1070</v>
      </c>
      <c r="B1071" s="71" t="str">
        <f>IF(LEFT(Annex!H805,5)="Local","Local Transmission",Annex!H805)</f>
        <v>Local Transmission</v>
      </c>
      <c r="C1071" s="71" t="str">
        <f>Annex!J805</f>
        <v>Male</v>
      </c>
      <c r="D1071" s="71">
        <f>Annex!D805</f>
        <v>34</v>
      </c>
      <c r="E1071" s="71" t="str">
        <f>Annex!K805</f>
        <v>Bangladesh</v>
      </c>
      <c r="F1071" s="71" t="str">
        <f>Annex!L805</f>
        <v xml:space="preserve">Case 1070 is a Local unlinked case, 34 years old male Bangladesh (Singapore Work Pass holder)  and has not been overseas. He is currently admitted at NCID . </v>
      </c>
      <c r="G1071" s="79">
        <v>43924</v>
      </c>
      <c r="H1071" s="71"/>
      <c r="I1071" s="71"/>
      <c r="J1071" s="71"/>
      <c r="K1071" s="71"/>
      <c r="L1071" s="71" t="str">
        <f>Annex!C805</f>
        <v xml:space="preserve">NCID </v>
      </c>
      <c r="M1071" s="87" t="s">
        <v>1444</v>
      </c>
    </row>
    <row r="1072" spans="1:13" ht="13.8" customHeight="1" x14ac:dyDescent="0.3">
      <c r="A1072" s="71">
        <f>Annex!A806</f>
        <v>1071</v>
      </c>
      <c r="B1072" s="71" t="str">
        <f>IF(LEFT(Annex!H806,5)="Local","Local Transmission",Annex!H806)</f>
        <v>Local Transmission</v>
      </c>
      <c r="C1072" s="71" t="str">
        <f>Annex!J806</f>
        <v>Female</v>
      </c>
      <c r="D1072" s="71">
        <f>Annex!D806</f>
        <v>84</v>
      </c>
      <c r="E1072" s="71" t="str">
        <f>Annex!K806</f>
        <v>Singaporean</v>
      </c>
      <c r="F1072" s="71" t="str">
        <f>Annex!L806</f>
        <v xml:space="preserve">Case 1071 is a Local unlinked case, 84 years old female Singapore Citizen  and has not been overseas. She is currently admitted at KTPH . </v>
      </c>
      <c r="G1072" s="79">
        <v>43924</v>
      </c>
      <c r="H1072" s="71"/>
      <c r="I1072" s="71"/>
      <c r="J1072" s="71"/>
      <c r="K1072" s="71"/>
      <c r="L1072" s="71" t="str">
        <f>Annex!C806</f>
        <v xml:space="preserve">KTPH </v>
      </c>
      <c r="M1072" s="87" t="s">
        <v>1444</v>
      </c>
    </row>
    <row r="1073" spans="1:13" ht="13.8" customHeight="1" x14ac:dyDescent="0.3">
      <c r="A1073" s="71">
        <f>Annex!A807</f>
        <v>1072</v>
      </c>
      <c r="B1073" s="71" t="str">
        <f>IF(LEFT(Annex!H807,5)="Local","Local Transmission",Annex!H807)</f>
        <v>Local Transmission</v>
      </c>
      <c r="C1073" s="71" t="str">
        <f>Annex!J807</f>
        <v>Male</v>
      </c>
      <c r="D1073" s="71">
        <f>Annex!D807</f>
        <v>28</v>
      </c>
      <c r="E1073" s="71" t="str">
        <f>Annex!K807</f>
        <v>Bangladesh</v>
      </c>
      <c r="F1073" s="71" t="str">
        <f>Annex!L807</f>
        <v>Case 1072 is a Local linked  case, 28 years old male Bangladesh (Long Term Pass holder)  and has not been overseas. He is currently admitted at NTFGH . Westlite Toh Guan</v>
      </c>
      <c r="G1073" s="79">
        <v>43924</v>
      </c>
      <c r="H1073" s="71"/>
      <c r="I1073" s="71"/>
      <c r="J1073" s="71"/>
      <c r="K1073" s="71"/>
      <c r="L1073" s="71" t="str">
        <f>Annex!C807</f>
        <v xml:space="preserve">NTFGH </v>
      </c>
      <c r="M1073" s="87" t="s">
        <v>1444</v>
      </c>
    </row>
    <row r="1074" spans="1:13" ht="13.8" customHeight="1" x14ac:dyDescent="0.3">
      <c r="A1074" s="71">
        <f>Annex!A808</f>
        <v>1073</v>
      </c>
      <c r="B1074" s="71" t="str">
        <f>IF(LEFT(Annex!H808,5)="Local","Local Transmission",Annex!H808)</f>
        <v>Local Transmission</v>
      </c>
      <c r="C1074" s="71" t="str">
        <f>Annex!J808</f>
        <v>Female</v>
      </c>
      <c r="D1074" s="71">
        <f>Annex!D808</f>
        <v>26</v>
      </c>
      <c r="E1074" s="71" t="str">
        <f>Annex!K808</f>
        <v>Singaporean</v>
      </c>
      <c r="F1074" s="71" t="str">
        <f>Annex!L808</f>
        <v xml:space="preserve">Case 1073 is a Local unlinked case, 26 years old female Singapore Citizen  and has not been overseas. She is currently admitted at KTPH . </v>
      </c>
      <c r="G1074" s="79">
        <v>43924</v>
      </c>
      <c r="H1074" s="71"/>
      <c r="I1074" s="71"/>
      <c r="J1074" s="71"/>
      <c r="K1074" s="71"/>
      <c r="L1074" s="71" t="str">
        <f>Annex!C808</f>
        <v xml:space="preserve">KTPH </v>
      </c>
      <c r="M1074" s="87" t="s">
        <v>1444</v>
      </c>
    </row>
    <row r="1075" spans="1:13" ht="13.8" customHeight="1" x14ac:dyDescent="0.3">
      <c r="A1075" s="71">
        <f>Annex!A809</f>
        <v>1074</v>
      </c>
      <c r="B1075" s="71" t="str">
        <f>IF(LEFT(Annex!H809,5)="Local","Local Transmission",Annex!H809)</f>
        <v>Local Transmission</v>
      </c>
      <c r="C1075" s="71" t="str">
        <f>Annex!J809</f>
        <v>Male</v>
      </c>
      <c r="D1075" s="71">
        <f>Annex!D809</f>
        <v>41</v>
      </c>
      <c r="E1075" s="71" t="str">
        <f>Annex!K809</f>
        <v>India</v>
      </c>
      <c r="F1075" s="71" t="str">
        <f>Annex!L809</f>
        <v>Case 1074 is a Local linked  case, 41 years old male India (Long Term Pass holder)  and has not been overseas. He is currently admitted at SKH . S11 Dormitory</v>
      </c>
      <c r="G1075" s="79">
        <v>43924</v>
      </c>
      <c r="H1075" s="71"/>
      <c r="I1075" s="71"/>
      <c r="J1075" s="71"/>
      <c r="K1075" s="71"/>
      <c r="L1075" s="71" t="str">
        <f>Annex!C809</f>
        <v xml:space="preserve">SKH </v>
      </c>
      <c r="M1075" s="87" t="s">
        <v>1444</v>
      </c>
    </row>
    <row r="1076" spans="1:13" ht="13.8" customHeight="1" x14ac:dyDescent="0.3">
      <c r="A1076" s="71">
        <f>Annex!A810</f>
        <v>1075</v>
      </c>
      <c r="B1076" s="71" t="str">
        <f>IF(LEFT(Annex!H810,5)="Local","Local Transmission",Annex!H810)</f>
        <v>Local Transmission</v>
      </c>
      <c r="C1076" s="71" t="str">
        <f>Annex!J810</f>
        <v>Female</v>
      </c>
      <c r="D1076" s="71">
        <f>Annex!D810</f>
        <v>67</v>
      </c>
      <c r="E1076" s="71" t="str">
        <f>Annex!K810</f>
        <v>Philippines</v>
      </c>
      <c r="F1076" s="71" t="str">
        <f>Annex!L810</f>
        <v>Case 1075 is a Local linked  case, 67 years old female Philippines (Singapore Work Pass holder)  and has not been overseas. She is currently admitted at NCID . Wilby Residences</v>
      </c>
      <c r="G1076" s="79">
        <v>43924</v>
      </c>
      <c r="H1076" s="71"/>
      <c r="I1076" s="71"/>
      <c r="J1076" s="71"/>
      <c r="K1076" s="71"/>
      <c r="L1076" s="71" t="str">
        <f>Annex!C810</f>
        <v xml:space="preserve">NCID </v>
      </c>
      <c r="M1076" s="87" t="s">
        <v>1444</v>
      </c>
    </row>
    <row r="1077" spans="1:13" ht="13.8" customHeight="1" x14ac:dyDescent="0.3">
      <c r="A1077" s="71">
        <f>Annex!A811</f>
        <v>1076</v>
      </c>
      <c r="B1077" s="71" t="str">
        <f>IF(LEFT(Annex!H811,5)="Local","Local Transmission",Annex!H811)</f>
        <v>Local Transmission</v>
      </c>
      <c r="C1077" s="71" t="str">
        <f>Annex!J811</f>
        <v>Male</v>
      </c>
      <c r="D1077" s="71">
        <f>Annex!D811</f>
        <v>54</v>
      </c>
      <c r="E1077" s="71" t="str">
        <f>Annex!K811</f>
        <v>Singaporean</v>
      </c>
      <c r="F1077" s="71" t="str">
        <f>Annex!L811</f>
        <v>Case 1076 is a Local linked  case, 54 years old male Singapore Permanent Resident  and has not been overseas. He is currently admitted at NCID . Keppel Shipyard</v>
      </c>
      <c r="G1077" s="79">
        <v>43924</v>
      </c>
      <c r="H1077" s="71"/>
      <c r="I1077" s="71"/>
      <c r="J1077" s="71"/>
      <c r="K1077" s="71"/>
      <c r="L1077" s="71" t="str">
        <f>Annex!C811</f>
        <v xml:space="preserve">NCID </v>
      </c>
      <c r="M1077" s="87" t="s">
        <v>1444</v>
      </c>
    </row>
    <row r="1078" spans="1:13" ht="13.8" customHeight="1" x14ac:dyDescent="0.3">
      <c r="A1078" s="71">
        <f>Annex!A812</f>
        <v>1077</v>
      </c>
      <c r="B1078" s="71" t="str">
        <f>IF(LEFT(Annex!H812,5)="Local","Local Transmission",Annex!H812)</f>
        <v>Local Transmission</v>
      </c>
      <c r="C1078" s="71" t="str">
        <f>Annex!J812</f>
        <v>Male</v>
      </c>
      <c r="D1078" s="71">
        <f>Annex!D812</f>
        <v>33</v>
      </c>
      <c r="E1078" s="71" t="str">
        <f>Annex!K812</f>
        <v>India</v>
      </c>
      <c r="F1078" s="71" t="str">
        <f>Annex!L812</f>
        <v xml:space="preserve">Case 1077 is a Local unlinked case, 33 years old male India (Long Term Pass holder)  and has not been overseas. He is currently admitted at NCID . </v>
      </c>
      <c r="G1078" s="79">
        <v>43924</v>
      </c>
      <c r="H1078" s="71"/>
      <c r="I1078" s="71"/>
      <c r="J1078" s="71"/>
      <c r="K1078" s="71"/>
      <c r="L1078" s="71" t="str">
        <f>Annex!C812</f>
        <v xml:space="preserve">NCID </v>
      </c>
      <c r="M1078" s="87" t="s">
        <v>1444</v>
      </c>
    </row>
    <row r="1079" spans="1:13" ht="13.8" customHeight="1" x14ac:dyDescent="0.3">
      <c r="A1079" s="71">
        <f>Annex!A813</f>
        <v>1078</v>
      </c>
      <c r="B1079" s="71" t="str">
        <f>IF(LEFT(Annex!H813,5)="Local","Local Transmission",Annex!H813)</f>
        <v>Local Transmission</v>
      </c>
      <c r="C1079" s="71" t="str">
        <f>Annex!J813</f>
        <v>Male</v>
      </c>
      <c r="D1079" s="71">
        <f>Annex!D813</f>
        <v>44</v>
      </c>
      <c r="E1079" s="71" t="str">
        <f>Annex!K813</f>
        <v>Bangladesh</v>
      </c>
      <c r="F1079" s="71" t="str">
        <f>Annex!L813</f>
        <v xml:space="preserve">Case 1078 is a Local unlinked case, 44 years old male Bangladesh (Long Term Pass holder)  and has not been overseas. He is currently admitted at NCID . </v>
      </c>
      <c r="G1079" s="79">
        <v>43924</v>
      </c>
      <c r="H1079" s="71"/>
      <c r="I1079" s="71"/>
      <c r="J1079" s="71"/>
      <c r="K1079" s="71"/>
      <c r="L1079" s="71" t="str">
        <f>Annex!C813</f>
        <v xml:space="preserve">NCID </v>
      </c>
      <c r="M1079" s="87" t="s">
        <v>1444</v>
      </c>
    </row>
    <row r="1080" spans="1:13" ht="13.8" customHeight="1" x14ac:dyDescent="0.3">
      <c r="A1080" s="71">
        <f>Annex!A814</f>
        <v>1079</v>
      </c>
      <c r="B1080" s="71" t="str">
        <f>IF(LEFT(Annex!H814,5)="Local","Local Transmission",Annex!H814)</f>
        <v>Local Transmission</v>
      </c>
      <c r="C1080" s="71" t="str">
        <f>Annex!J814</f>
        <v>Male</v>
      </c>
      <c r="D1080" s="71">
        <f>Annex!D814</f>
        <v>31</v>
      </c>
      <c r="E1080" s="71" t="str">
        <f>Annex!K814</f>
        <v>Bangladesh</v>
      </c>
      <c r="F1080" s="71" t="str">
        <f>Annex!L814</f>
        <v xml:space="preserve">Case 1079 is a Local unlinked case, 31 years old male Bangladesh (Long Term Pass holder)  and has not been overseas. He is currently admitted at NTFGH . </v>
      </c>
      <c r="G1080" s="79">
        <v>43924</v>
      </c>
      <c r="H1080" s="71"/>
      <c r="I1080" s="71"/>
      <c r="J1080" s="71"/>
      <c r="K1080" s="71"/>
      <c r="L1080" s="71" t="str">
        <f>Annex!C814</f>
        <v xml:space="preserve">NTFGH </v>
      </c>
      <c r="M1080" s="87" t="s">
        <v>1444</v>
      </c>
    </row>
    <row r="1081" spans="1:13" ht="13.8" customHeight="1" x14ac:dyDescent="0.3">
      <c r="A1081" s="71">
        <f>Annex!A815</f>
        <v>1080</v>
      </c>
      <c r="B1081" s="71" t="str">
        <f>IF(LEFT(Annex!H815,5)="Local","Local Transmission",Annex!H815)</f>
        <v>Local Transmission</v>
      </c>
      <c r="C1081" s="71" t="str">
        <f>Annex!J815</f>
        <v>Female</v>
      </c>
      <c r="D1081" s="71">
        <f>Annex!D815</f>
        <v>85</v>
      </c>
      <c r="E1081" s="71" t="str">
        <f>Annex!K815</f>
        <v>Singaporean</v>
      </c>
      <c r="F1081" s="71" t="str">
        <f>Annex!L815</f>
        <v xml:space="preserve">Case 1080 is a Local unlinked case, 85 years old female Singapore Citizen  and has not been overseas. She is currently admitted at NTFGH . </v>
      </c>
      <c r="G1081" s="79">
        <v>43924</v>
      </c>
      <c r="H1081" s="71"/>
      <c r="I1081" s="71"/>
      <c r="J1081" s="71"/>
      <c r="K1081" s="71"/>
      <c r="L1081" s="71" t="str">
        <f>Annex!C815</f>
        <v xml:space="preserve">NTFGH </v>
      </c>
      <c r="M1081" s="87" t="s">
        <v>1444</v>
      </c>
    </row>
    <row r="1082" spans="1:13" ht="13.8" customHeight="1" x14ac:dyDescent="0.3">
      <c r="A1082" s="71">
        <f>Annex!A816</f>
        <v>1081</v>
      </c>
      <c r="B1082" s="71" t="str">
        <f>IF(LEFT(Annex!H816,5)="Local","Local Transmission",Annex!H816)</f>
        <v>Local Transmission</v>
      </c>
      <c r="C1082" s="71" t="str">
        <f>Annex!J816</f>
        <v>Female</v>
      </c>
      <c r="D1082" s="71">
        <f>Annex!D816</f>
        <v>62</v>
      </c>
      <c r="E1082" s="71" t="str">
        <f>Annex!K816</f>
        <v>Singaporean</v>
      </c>
      <c r="F1082" s="71" t="str">
        <f>Annex!L816</f>
        <v xml:space="preserve">Case 1081 is a Local unlinked case, 62 years old female Singapore Citizen  and has not been overseas. She is currently admitted at NCID . </v>
      </c>
      <c r="G1082" s="79">
        <v>43924</v>
      </c>
      <c r="H1082" s="71"/>
      <c r="I1082" s="71"/>
      <c r="J1082" s="71"/>
      <c r="K1082" s="71"/>
      <c r="L1082" s="71" t="str">
        <f>Annex!C816</f>
        <v xml:space="preserve">NCID </v>
      </c>
      <c r="M1082" s="87" t="s">
        <v>1444</v>
      </c>
    </row>
    <row r="1083" spans="1:13" ht="13.8" customHeight="1" x14ac:dyDescent="0.3">
      <c r="A1083" s="71">
        <f>Annex!A817</f>
        <v>1082</v>
      </c>
      <c r="B1083" s="71" t="str">
        <f>IF(LEFT(Annex!H817,5)="Local","Local Transmission",Annex!H817)</f>
        <v>Local Transmission</v>
      </c>
      <c r="C1083" s="71" t="str">
        <f>Annex!J817</f>
        <v>Male</v>
      </c>
      <c r="D1083" s="71">
        <f>Annex!D817</f>
        <v>38</v>
      </c>
      <c r="E1083" s="71" t="str">
        <f>Annex!K817</f>
        <v>Singaporean</v>
      </c>
      <c r="F1083" s="71" t="str">
        <f>Annex!L817</f>
        <v xml:space="preserve">Case 1082 is a Local unlinked case, 38 years old male Singapore Citizen  and has not been overseas. He is currently admitted at NCID . </v>
      </c>
      <c r="G1083" s="79">
        <v>43924</v>
      </c>
      <c r="H1083" s="71"/>
      <c r="I1083" s="71"/>
      <c r="J1083" s="71"/>
      <c r="K1083" s="71"/>
      <c r="L1083" s="71" t="str">
        <f>Annex!C817</f>
        <v xml:space="preserve">NCID </v>
      </c>
      <c r="M1083" s="87" t="s">
        <v>1444</v>
      </c>
    </row>
    <row r="1084" spans="1:13" ht="13.8" customHeight="1" x14ac:dyDescent="0.3">
      <c r="A1084" s="71">
        <f>Annex!A818</f>
        <v>1083</v>
      </c>
      <c r="B1084" s="71" t="str">
        <f>IF(LEFT(Annex!H818,5)="Local","Local Transmission",Annex!H818)</f>
        <v>Local Transmission</v>
      </c>
      <c r="C1084" s="71" t="str">
        <f>Annex!J818</f>
        <v>Male</v>
      </c>
      <c r="D1084" s="71">
        <f>Annex!D818</f>
        <v>49</v>
      </c>
      <c r="E1084" s="71" t="str">
        <f>Annex!K818</f>
        <v>China</v>
      </c>
      <c r="F1084" s="71" t="str">
        <f>Annex!L818</f>
        <v>Case 1083 is a Local linked  case, 49 years old male China (Singapore Work Pass holder)  and has not been overseas. He is currently admitted at SKH . S11 Dormitory</v>
      </c>
      <c r="G1084" s="79">
        <v>43924</v>
      </c>
      <c r="H1084" s="71"/>
      <c r="I1084" s="71"/>
      <c r="J1084" s="71"/>
      <c r="K1084" s="71"/>
      <c r="L1084" s="71" t="str">
        <f>Annex!C818</f>
        <v xml:space="preserve">SKH </v>
      </c>
      <c r="M1084" s="87" t="s">
        <v>1444</v>
      </c>
    </row>
    <row r="1085" spans="1:13" ht="13.8" customHeight="1" x14ac:dyDescent="0.3">
      <c r="A1085" s="71">
        <f>Annex!A819</f>
        <v>1084</v>
      </c>
      <c r="B1085" s="71" t="str">
        <f>IF(LEFT(Annex!H819,5)="Local","Local Transmission",Annex!H819)</f>
        <v>Local Transmission</v>
      </c>
      <c r="C1085" s="71" t="str">
        <f>Annex!J819</f>
        <v>Male</v>
      </c>
      <c r="D1085" s="71">
        <f>Annex!D819</f>
        <v>34</v>
      </c>
      <c r="E1085" s="71" t="str">
        <f>Annex!K819</f>
        <v>India</v>
      </c>
      <c r="F1085" s="71" t="str">
        <f>Annex!L819</f>
        <v>Case 1084 is a Local linked  case, 34 years old male India (Singapore Work Pass holder)  and has not been overseas. He is currently admitted at SKH . S11 Dormitory</v>
      </c>
      <c r="G1085" s="79">
        <v>43924</v>
      </c>
      <c r="H1085" s="71"/>
      <c r="I1085" s="71"/>
      <c r="J1085" s="71"/>
      <c r="K1085" s="71"/>
      <c r="L1085" s="71" t="str">
        <f>Annex!C819</f>
        <v xml:space="preserve">SKH </v>
      </c>
      <c r="M1085" s="87" t="s">
        <v>1444</v>
      </c>
    </row>
    <row r="1086" spans="1:13" ht="13.8" customHeight="1" x14ac:dyDescent="0.3">
      <c r="A1086" s="71">
        <f>Annex!A820</f>
        <v>1085</v>
      </c>
      <c r="B1086" s="71" t="str">
        <f>IF(LEFT(Annex!H820,5)="Local","Local Transmission",Annex!H820)</f>
        <v>Imported</v>
      </c>
      <c r="C1086" s="71" t="str">
        <f>Annex!J820</f>
        <v>Male</v>
      </c>
      <c r="D1086" s="71">
        <f>Annex!D820</f>
        <v>31</v>
      </c>
      <c r="E1086" s="71" t="str">
        <f>Annex!K820</f>
        <v>Singaporean</v>
      </c>
      <c r="F1086" s="71" t="str">
        <f>Annex!L820</f>
        <v xml:space="preserve">Case 1085 is a Imported case, 31 years old male Singapore Citizen  and has been to Malaysia . He is currently admitted at SKH . </v>
      </c>
      <c r="G1086" s="79">
        <v>43924</v>
      </c>
      <c r="H1086" s="71"/>
      <c r="I1086" s="71"/>
      <c r="J1086" s="71"/>
      <c r="K1086" s="71"/>
      <c r="L1086" s="71" t="str">
        <f>Annex!C820</f>
        <v xml:space="preserve">SKH </v>
      </c>
      <c r="M1086" s="87" t="s">
        <v>1444</v>
      </c>
    </row>
    <row r="1087" spans="1:13" ht="13.8" customHeight="1" x14ac:dyDescent="0.3">
      <c r="A1087" s="71">
        <f>Annex!A821</f>
        <v>1086</v>
      </c>
      <c r="B1087" s="71" t="str">
        <f>IF(LEFT(Annex!H821,5)="Local","Local Transmission",Annex!H821)</f>
        <v>Local Transmission</v>
      </c>
      <c r="C1087" s="71" t="str">
        <f>Annex!J821</f>
        <v>Female</v>
      </c>
      <c r="D1087" s="71">
        <f>Annex!D821</f>
        <v>40</v>
      </c>
      <c r="E1087" s="71" t="str">
        <f>Annex!K821</f>
        <v>Philippines</v>
      </c>
      <c r="F1087" s="71" t="str">
        <f>Annex!L821</f>
        <v>Case 1086 is a Local linked  case, 40 years old female Philippines (Singapore Work Pass holder)  and has not been overseas. She is currently admitted at NUH . Contact of Cases 227, 348, 1029 and 1087</v>
      </c>
      <c r="G1087" s="79">
        <v>43924</v>
      </c>
      <c r="H1087" s="71"/>
      <c r="I1087" s="71"/>
      <c r="J1087" s="71"/>
      <c r="K1087" s="71"/>
      <c r="L1087" s="71" t="str">
        <f>Annex!C821</f>
        <v xml:space="preserve">NUH </v>
      </c>
      <c r="M1087" s="87" t="s">
        <v>1444</v>
      </c>
    </row>
    <row r="1088" spans="1:13" ht="13.8" customHeight="1" x14ac:dyDescent="0.3">
      <c r="A1088" s="71">
        <f>Annex!A822</f>
        <v>1087</v>
      </c>
      <c r="B1088" s="71" t="str">
        <f>IF(LEFT(Annex!H822,5)="Local","Local Transmission",Annex!H822)</f>
        <v>Local Transmission</v>
      </c>
      <c r="C1088" s="71" t="str">
        <f>Annex!J822</f>
        <v>Male</v>
      </c>
      <c r="D1088" s="71">
        <f>Annex!D822</f>
        <v>18</v>
      </c>
      <c r="E1088" s="71" t="str">
        <f>Annex!K822</f>
        <v>Singaporean</v>
      </c>
      <c r="F1088" s="71" t="str">
        <f>Annex!L822</f>
        <v xml:space="preserve">Case 1087 is a Local linked  case, 18 years old male Singapore Citizen  and has not been overseas. He is currently admitted at NUH . Family member of Cases 227, 348, 1029; Contact of Case 1086 </v>
      </c>
      <c r="G1088" s="79">
        <v>43924</v>
      </c>
      <c r="H1088" s="71"/>
      <c r="I1088" s="71"/>
      <c r="J1088" s="71"/>
      <c r="K1088" s="71"/>
      <c r="L1088" s="71" t="str">
        <f>Annex!C822</f>
        <v xml:space="preserve">NUH </v>
      </c>
      <c r="M1088" s="87" t="s">
        <v>1444</v>
      </c>
    </row>
    <row r="1089" spans="1:13" ht="13.8" customHeight="1" x14ac:dyDescent="0.3">
      <c r="A1089" s="71">
        <f>Annex!A823</f>
        <v>1088</v>
      </c>
      <c r="B1089" s="71" t="str">
        <f>IF(LEFT(Annex!H823,5)="Local","Local Transmission",Annex!H823)</f>
        <v>Imported</v>
      </c>
      <c r="C1089" s="71" t="str">
        <f>Annex!J823</f>
        <v>Male</v>
      </c>
      <c r="D1089" s="71">
        <f>Annex!D823</f>
        <v>23</v>
      </c>
      <c r="E1089" s="71" t="str">
        <f>Annex!K823</f>
        <v>Singaporean</v>
      </c>
      <c r="F1089" s="71" t="str">
        <f>Annex!L823</f>
        <v xml:space="preserve">Case 1088 is a Imported case, 23 years old male Singapore Citizen  and has been to UK . He is currently admitted at AH . </v>
      </c>
      <c r="G1089" s="79">
        <v>43924</v>
      </c>
      <c r="H1089" s="71"/>
      <c r="I1089" s="71"/>
      <c r="J1089" s="71"/>
      <c r="K1089" s="71"/>
      <c r="L1089" s="71" t="str">
        <f>Annex!C823</f>
        <v xml:space="preserve">AH </v>
      </c>
      <c r="M1089" s="87" t="s">
        <v>1444</v>
      </c>
    </row>
    <row r="1090" spans="1:13" ht="13.8" customHeight="1" x14ac:dyDescent="0.3">
      <c r="A1090" s="71">
        <f>Annex!A824</f>
        <v>1089</v>
      </c>
      <c r="B1090" s="71" t="str">
        <f>IF(LEFT(Annex!H824,5)="Local","Local Transmission",Annex!H824)</f>
        <v>Local Transmission</v>
      </c>
      <c r="C1090" s="71" t="str">
        <f>Annex!J824</f>
        <v>Male</v>
      </c>
      <c r="D1090" s="71">
        <f>Annex!D824</f>
        <v>43</v>
      </c>
      <c r="E1090" s="71" t="str">
        <f>Annex!K824</f>
        <v>Bangladesh</v>
      </c>
      <c r="F1090" s="71" t="str">
        <f>Annex!L824</f>
        <v>Case 1089 is a Local linked  case, 43 years old male Bangladesh (Singapore Work Pass holder)  and has not been overseas. He is currently admitted at NCID . S11 Dormitory</v>
      </c>
      <c r="G1090" s="79">
        <v>43924</v>
      </c>
      <c r="H1090" s="71"/>
      <c r="I1090" s="71"/>
      <c r="J1090" s="71"/>
      <c r="K1090" s="71"/>
      <c r="L1090" s="71" t="str">
        <f>Annex!C824</f>
        <v xml:space="preserve">NCID </v>
      </c>
      <c r="M1090" s="87" t="s">
        <v>1444</v>
      </c>
    </row>
    <row r="1091" spans="1:13" ht="13.8" customHeight="1" x14ac:dyDescent="0.3">
      <c r="A1091" s="71">
        <f>Annex!A825</f>
        <v>1090</v>
      </c>
      <c r="B1091" s="71" t="str">
        <f>IF(LEFT(Annex!H825,5)="Local","Local Transmission",Annex!H825)</f>
        <v>Local Transmission</v>
      </c>
      <c r="C1091" s="71" t="str">
        <f>Annex!J825</f>
        <v>Male</v>
      </c>
      <c r="D1091" s="71">
        <f>Annex!D825</f>
        <v>73</v>
      </c>
      <c r="E1091" s="71" t="str">
        <f>Annex!K825</f>
        <v>Singaporean</v>
      </c>
      <c r="F1091" s="71" t="str">
        <f>Annex!L825</f>
        <v>Case 1090 is a Local linked  case, 73 years old male Singapore Citizen  and has not been overseas. He is currently admitted at NCID . Family member of Case 937</v>
      </c>
      <c r="G1091" s="79">
        <v>43924</v>
      </c>
      <c r="H1091" s="71"/>
      <c r="I1091" s="71"/>
      <c r="J1091" s="71"/>
      <c r="K1091" s="71"/>
      <c r="L1091" s="71" t="str">
        <f>Annex!C825</f>
        <v xml:space="preserve">NCID </v>
      </c>
      <c r="M1091" s="87" t="s">
        <v>1444</v>
      </c>
    </row>
    <row r="1092" spans="1:13" ht="13.8" customHeight="1" x14ac:dyDescent="0.3">
      <c r="A1092" s="71">
        <f>Annex!A826</f>
        <v>1091</v>
      </c>
      <c r="B1092" s="71" t="str">
        <f>IF(LEFT(Annex!H826,5)="Local","Local Transmission",Annex!H826)</f>
        <v>Local Transmission</v>
      </c>
      <c r="C1092" s="71" t="str">
        <f>Annex!J826</f>
        <v>Female</v>
      </c>
      <c r="D1092" s="71">
        <f>Annex!D826</f>
        <v>48</v>
      </c>
      <c r="E1092" s="71" t="str">
        <f>Annex!K826</f>
        <v>Singaporean</v>
      </c>
      <c r="F1092" s="71" t="str">
        <f>Annex!L826</f>
        <v xml:space="preserve">Case 1091 is a Local unlinked case, 48 years old female Singapore Citizen  and has not been overseas. She is currently admitted at NCID . </v>
      </c>
      <c r="G1092" s="79">
        <v>43924</v>
      </c>
      <c r="H1092" s="71"/>
      <c r="I1092" s="71"/>
      <c r="J1092" s="71"/>
      <c r="K1092" s="71"/>
      <c r="L1092" s="71" t="str">
        <f>Annex!C826</f>
        <v xml:space="preserve">NCID </v>
      </c>
      <c r="M1092" s="87" t="s">
        <v>1444</v>
      </c>
    </row>
    <row r="1093" spans="1:13" ht="13.8" customHeight="1" x14ac:dyDescent="0.3">
      <c r="A1093" s="71">
        <f>Annex!A827</f>
        <v>1092</v>
      </c>
      <c r="B1093" s="71" t="str">
        <f>IF(LEFT(Annex!H827,5)="Local","Local Transmission",Annex!H827)</f>
        <v>Imported</v>
      </c>
      <c r="C1093" s="71" t="str">
        <f>Annex!J827</f>
        <v>Male</v>
      </c>
      <c r="D1093" s="71">
        <f>Annex!D827</f>
        <v>61</v>
      </c>
      <c r="E1093" s="71" t="str">
        <f>Annex!K827</f>
        <v>Singaporean</v>
      </c>
      <c r="F1093" s="71" t="str">
        <f>Annex!L827</f>
        <v xml:space="preserve">Case 1092 is a Imported case, 61 years old male Singapore Citizen  and has been to Romania . He is currently admitted at KTPH . </v>
      </c>
      <c r="G1093" s="79">
        <v>43924</v>
      </c>
      <c r="H1093" s="71"/>
      <c r="I1093" s="71"/>
      <c r="J1093" s="71"/>
      <c r="K1093" s="71"/>
      <c r="L1093" s="71" t="str">
        <f>Annex!C827</f>
        <v xml:space="preserve">KTPH </v>
      </c>
      <c r="M1093" s="87" t="s">
        <v>1444</v>
      </c>
    </row>
    <row r="1094" spans="1:13" ht="13.8" customHeight="1" x14ac:dyDescent="0.3">
      <c r="A1094" s="71">
        <f>Annex!A828</f>
        <v>1093</v>
      </c>
      <c r="B1094" s="71" t="str">
        <f>IF(LEFT(Annex!H828,5)="Local","Local Transmission",Annex!H828)</f>
        <v>Local Transmission</v>
      </c>
      <c r="C1094" s="71" t="str">
        <f>Annex!J828</f>
        <v>Female</v>
      </c>
      <c r="D1094" s="71">
        <f>Annex!D828</f>
        <v>40</v>
      </c>
      <c r="E1094" s="71" t="str">
        <f>Annex!K828</f>
        <v>Singaporean</v>
      </c>
      <c r="F1094" s="71" t="str">
        <f>Annex!L828</f>
        <v>Case 1093 is a Local linked  case, 40 years old female Singapore Permanent Resident  and has not been overseas. She is currently admitted at NCID . Mustafa Centre</v>
      </c>
      <c r="G1094" s="79">
        <v>43924</v>
      </c>
      <c r="H1094" s="71"/>
      <c r="I1094" s="71"/>
      <c r="J1094" s="71"/>
      <c r="K1094" s="71"/>
      <c r="L1094" s="71" t="str">
        <f>Annex!C828</f>
        <v xml:space="preserve">NCID </v>
      </c>
      <c r="M1094" s="87" t="s">
        <v>1444</v>
      </c>
    </row>
    <row r="1095" spans="1:13" ht="13.8" customHeight="1" x14ac:dyDescent="0.3">
      <c r="A1095" s="71">
        <f>Annex!A829</f>
        <v>1094</v>
      </c>
      <c r="B1095" s="71" t="str">
        <f>IF(LEFT(Annex!H829,5)="Local","Local Transmission",Annex!H829)</f>
        <v>Local Transmission</v>
      </c>
      <c r="C1095" s="71" t="str">
        <f>Annex!J829</f>
        <v>Male</v>
      </c>
      <c r="D1095" s="71">
        <f>Annex!D829</f>
        <v>24</v>
      </c>
      <c r="E1095" s="71" t="str">
        <f>Annex!K829</f>
        <v>India</v>
      </c>
      <c r="F1095" s="71" t="str">
        <f>Annex!L829</f>
        <v>Case 1094 is a Local linked  case, 24 years old male India (Singapore Work Pass holder)  and has not been overseas. He is currently admitted at NCID . Ce La Vi</v>
      </c>
      <c r="G1095" s="79">
        <v>43924</v>
      </c>
      <c r="H1095" s="71"/>
      <c r="I1095" s="71"/>
      <c r="J1095" s="71"/>
      <c r="K1095" s="71"/>
      <c r="L1095" s="71" t="str">
        <f>Annex!C829</f>
        <v xml:space="preserve">NCID </v>
      </c>
      <c r="M1095" s="87" t="s">
        <v>1444</v>
      </c>
    </row>
    <row r="1096" spans="1:13" ht="13.8" customHeight="1" x14ac:dyDescent="0.3">
      <c r="A1096" s="71">
        <f>Annex!A830</f>
        <v>1095</v>
      </c>
      <c r="B1096" s="71" t="str">
        <f>IF(LEFT(Annex!H830,5)="Local","Local Transmission",Annex!H830)</f>
        <v>Local Transmission</v>
      </c>
      <c r="C1096" s="71" t="str">
        <f>Annex!J830</f>
        <v>Male</v>
      </c>
      <c r="D1096" s="71">
        <f>Annex!D830</f>
        <v>61</v>
      </c>
      <c r="E1096" s="71" t="str">
        <f>Annex!K830</f>
        <v>Singaporean</v>
      </c>
      <c r="F1096" s="71" t="str">
        <f>Annex!L830</f>
        <v>Case 1095 is a Local linked  case, 61 years old male Singapore Permanent Resident  and has not been overseas. He is currently admitted at NCID . Contact of Case 790</v>
      </c>
      <c r="G1096" s="79">
        <v>43924</v>
      </c>
      <c r="H1096" s="71"/>
      <c r="I1096" s="71"/>
      <c r="J1096" s="71"/>
      <c r="K1096" s="71"/>
      <c r="L1096" s="71" t="str">
        <f>Annex!C830</f>
        <v xml:space="preserve">NCID </v>
      </c>
      <c r="M1096" s="87" t="s">
        <v>1444</v>
      </c>
    </row>
    <row r="1097" spans="1:13" ht="13.8" customHeight="1" x14ac:dyDescent="0.3">
      <c r="A1097" s="71">
        <f>Annex!A831</f>
        <v>1096</v>
      </c>
      <c r="B1097" s="71" t="str">
        <f>IF(LEFT(Annex!H831,5)="Local","Local Transmission",Annex!H831)</f>
        <v>Local Transmission</v>
      </c>
      <c r="C1097" s="71" t="str">
        <f>Annex!J831</f>
        <v>Female</v>
      </c>
      <c r="D1097" s="71">
        <f>Annex!D831</f>
        <v>40</v>
      </c>
      <c r="E1097" s="71" t="str">
        <f>Annex!K831</f>
        <v>Malaysia</v>
      </c>
      <c r="F1097" s="71" t="str">
        <f>Annex!L831</f>
        <v>Case 1096 is a Local linked  case, 40 years old female Malaysia (Singapore Work Pass holder)  and has not been overseas. She is currently admitted at NCID . Mustafa Centre</v>
      </c>
      <c r="G1097" s="79">
        <v>43924</v>
      </c>
      <c r="H1097" s="71"/>
      <c r="I1097" s="71"/>
      <c r="J1097" s="71"/>
      <c r="K1097" s="71"/>
      <c r="L1097" s="71" t="str">
        <f>Annex!C831</f>
        <v xml:space="preserve">NCID </v>
      </c>
      <c r="M1097" s="87" t="s">
        <v>1444</v>
      </c>
    </row>
    <row r="1098" spans="1:13" ht="13.8" customHeight="1" x14ac:dyDescent="0.3">
      <c r="A1098" s="71">
        <f>Annex!A832</f>
        <v>1097</v>
      </c>
      <c r="B1098" s="71" t="str">
        <f>IF(LEFT(Annex!H832,5)="Local","Local Transmission",Annex!H832)</f>
        <v>Local Transmission</v>
      </c>
      <c r="C1098" s="71" t="str">
        <f>Annex!J832</f>
        <v>Female</v>
      </c>
      <c r="D1098" s="71">
        <f>Annex!D832</f>
        <v>28</v>
      </c>
      <c r="E1098" s="71" t="str">
        <f>Annex!K832</f>
        <v>UK</v>
      </c>
      <c r="F1098" s="71" t="str">
        <f>Annex!L832</f>
        <v>Case 1097 is a Local linked  case, 28 years old female UK (Long Term Pass holder)  and has not been overseas. She is currently admitted at NCID . Hero's</v>
      </c>
      <c r="G1098" s="79">
        <v>43924</v>
      </c>
      <c r="H1098" s="71"/>
      <c r="I1098" s="71"/>
      <c r="J1098" s="71"/>
      <c r="K1098" s="71"/>
      <c r="L1098" s="71" t="str">
        <f>Annex!C832</f>
        <v xml:space="preserve">NCID </v>
      </c>
      <c r="M1098" s="87" t="s">
        <v>1444</v>
      </c>
    </row>
    <row r="1099" spans="1:13" ht="13.8" customHeight="1" x14ac:dyDescent="0.3">
      <c r="A1099" s="71">
        <f>Annex!A833</f>
        <v>1098</v>
      </c>
      <c r="B1099" s="71" t="str">
        <f>IF(LEFT(Annex!H833,5)="Local","Local Transmission",Annex!H833)</f>
        <v>Local Transmission</v>
      </c>
      <c r="C1099" s="71" t="str">
        <f>Annex!J833</f>
        <v>Female</v>
      </c>
      <c r="D1099" s="71">
        <f>Annex!D833</f>
        <v>35</v>
      </c>
      <c r="E1099" s="71" t="str">
        <f>Annex!K833</f>
        <v>Singaporean</v>
      </c>
      <c r="F1099" s="71" t="str">
        <f>Annex!L833</f>
        <v>Case 1098 is a Local linked  case, 35 years old female Singapore Citizen  and has not been overseas. She is currently admitted at NCID . Dover Court International School</v>
      </c>
      <c r="G1099" s="79">
        <v>43924</v>
      </c>
      <c r="H1099" s="71"/>
      <c r="I1099" s="71"/>
      <c r="J1099" s="71"/>
      <c r="K1099" s="71"/>
      <c r="L1099" s="71" t="str">
        <f>Annex!C833</f>
        <v xml:space="preserve">NCID </v>
      </c>
      <c r="M1099" s="87" t="s">
        <v>1444</v>
      </c>
    </row>
    <row r="1100" spans="1:13" ht="13.8" customHeight="1" x14ac:dyDescent="0.3">
      <c r="A1100" s="71">
        <f>Annex!A834</f>
        <v>1099</v>
      </c>
      <c r="B1100" s="71" t="str">
        <f>IF(LEFT(Annex!H834,5)="Local","Local Transmission",Annex!H834)</f>
        <v>Imported</v>
      </c>
      <c r="C1100" s="71" t="str">
        <f>Annex!J834</f>
        <v>Male</v>
      </c>
      <c r="D1100" s="71">
        <f>Annex!D834</f>
        <v>54</v>
      </c>
      <c r="E1100" s="71" t="str">
        <f>Annex!K834</f>
        <v>Singaporean</v>
      </c>
      <c r="F1100" s="71" t="str">
        <f>Annex!L834</f>
        <v xml:space="preserve">Case 1099 is a Imported case, 54 years old male Singapore Citizen  and has been to US . He is currently admitted at NCID . </v>
      </c>
      <c r="G1100" s="79">
        <v>43924</v>
      </c>
      <c r="H1100" s="71"/>
      <c r="I1100" s="71"/>
      <c r="J1100" s="71"/>
      <c r="K1100" s="71"/>
      <c r="L1100" s="71" t="str">
        <f>Annex!C834</f>
        <v xml:space="preserve">NCID </v>
      </c>
      <c r="M1100" s="87" t="s">
        <v>1444</v>
      </c>
    </row>
    <row r="1101" spans="1:13" ht="13.8" customHeight="1" x14ac:dyDescent="0.3">
      <c r="A1101" s="71">
        <f>Annex!A835</f>
        <v>1100</v>
      </c>
      <c r="B1101" s="71" t="str">
        <f>IF(LEFT(Annex!H835,5)="Local","Local Transmission",Annex!H835)</f>
        <v>Local Transmission</v>
      </c>
      <c r="C1101" s="71" t="str">
        <f>Annex!J835</f>
        <v>Male</v>
      </c>
      <c r="D1101" s="71">
        <f>Annex!D835</f>
        <v>39</v>
      </c>
      <c r="E1101" s="71" t="str">
        <f>Annex!K835</f>
        <v>Singaporean</v>
      </c>
      <c r="F1101" s="71" t="str">
        <f>Annex!L835</f>
        <v>Case 1100 is a Local linked  case, 39 years old male Singapore Permanent Resident  and has not been overseas. He is currently admitted at NCID . Westlite Toh Guan</v>
      </c>
      <c r="G1101" s="79">
        <v>43924</v>
      </c>
      <c r="H1101" s="71"/>
      <c r="I1101" s="71"/>
      <c r="J1101" s="71"/>
      <c r="K1101" s="71"/>
      <c r="L1101" s="71" t="str">
        <f>Annex!C835</f>
        <v xml:space="preserve">NCID </v>
      </c>
      <c r="M1101" s="87" t="s">
        <v>1444</v>
      </c>
    </row>
    <row r="1102" spans="1:13" ht="13.8" customHeight="1" x14ac:dyDescent="0.3">
      <c r="A1102" s="71">
        <f>Annex!A836</f>
        <v>1101</v>
      </c>
      <c r="B1102" s="71" t="str">
        <f>IF(LEFT(Annex!H836,5)="Local","Local Transmission",Annex!H836)</f>
        <v>Local Transmission</v>
      </c>
      <c r="C1102" s="71" t="str">
        <f>Annex!J836</f>
        <v>Male</v>
      </c>
      <c r="D1102" s="71">
        <f>Annex!D836</f>
        <v>32</v>
      </c>
      <c r="E1102" s="71" t="str">
        <f>Annex!K836</f>
        <v>Bangladesh</v>
      </c>
      <c r="F1102" s="71" t="str">
        <f>Annex!L836</f>
        <v>Case 1101 is a Local linked  case, 32 years old male Bangladesh (Singapore Work Pass holder)  and has not been overseas. He is currently admitted at NCID . Westlite Toh Guan</v>
      </c>
      <c r="G1102" s="79">
        <v>43924</v>
      </c>
      <c r="H1102" s="71"/>
      <c r="I1102" s="71"/>
      <c r="J1102" s="71"/>
      <c r="K1102" s="71"/>
      <c r="L1102" s="71" t="str">
        <f>Annex!C836</f>
        <v xml:space="preserve">NCID </v>
      </c>
      <c r="M1102" s="87" t="s">
        <v>1444</v>
      </c>
    </row>
    <row r="1103" spans="1:13" ht="13.8" customHeight="1" x14ac:dyDescent="0.3">
      <c r="A1103" s="71">
        <f>Annex!A837</f>
        <v>1102</v>
      </c>
      <c r="B1103" s="71" t="str">
        <f>IF(LEFT(Annex!H837,5)="Local","Local Transmission",Annex!H837)</f>
        <v>Local Transmission</v>
      </c>
      <c r="C1103" s="71" t="str">
        <f>Annex!J837</f>
        <v>Male</v>
      </c>
      <c r="D1103" s="71">
        <f>Annex!D837</f>
        <v>30</v>
      </c>
      <c r="E1103" s="71" t="str">
        <f>Annex!K837</f>
        <v>Singaporean</v>
      </c>
      <c r="F1103" s="71" t="str">
        <f>Annex!L837</f>
        <v xml:space="preserve">Case 1102 is a Local unlinked  case, 30 years old male Singapore Citizen  and has not been overseas. He is currently admitted at NCID . </v>
      </c>
      <c r="G1103" s="79">
        <v>43924</v>
      </c>
      <c r="H1103" s="71"/>
      <c r="I1103" s="71"/>
      <c r="J1103" s="71"/>
      <c r="K1103" s="71"/>
      <c r="L1103" s="71" t="str">
        <f>Annex!C837</f>
        <v xml:space="preserve">NCID </v>
      </c>
      <c r="M1103" s="87" t="s">
        <v>1444</v>
      </c>
    </row>
    <row r="1104" spans="1:13" ht="13.8" customHeight="1" x14ac:dyDescent="0.3">
      <c r="A1104" s="71">
        <f>Annex!A838</f>
        <v>1103</v>
      </c>
      <c r="B1104" s="71" t="str">
        <f>IF(LEFT(Annex!H838,5)="Local","Local Transmission",Annex!H838)</f>
        <v>Local Transmission</v>
      </c>
      <c r="C1104" s="71" t="str">
        <f>Annex!J838</f>
        <v>Female</v>
      </c>
      <c r="D1104" s="71">
        <f>Annex!D838</f>
        <v>42</v>
      </c>
      <c r="E1104" s="71" t="str">
        <f>Annex!K838</f>
        <v>Singaporean</v>
      </c>
      <c r="F1104" s="71" t="str">
        <f>Annex!L838</f>
        <v xml:space="preserve">Case 1103 is a Local linked  case, 42 years old female Singapore Citizen  and has not been overseas. She is currently admitted at NCID . Contact of Case 1031 </v>
      </c>
      <c r="G1104" s="79">
        <v>43924</v>
      </c>
      <c r="H1104" s="71"/>
      <c r="I1104" s="71"/>
      <c r="J1104" s="71"/>
      <c r="K1104" s="71"/>
      <c r="L1104" s="71" t="str">
        <f>Annex!C838</f>
        <v xml:space="preserve">NCID </v>
      </c>
      <c r="M1104" s="87" t="s">
        <v>1444</v>
      </c>
    </row>
    <row r="1105" spans="1:13" ht="13.8" customHeight="1" x14ac:dyDescent="0.3">
      <c r="A1105" s="71">
        <f>Annex!A839</f>
        <v>1104</v>
      </c>
      <c r="B1105" s="71" t="str">
        <f>IF(LEFT(Annex!H839,5)="Local","Local Transmission",Annex!H839)</f>
        <v>Local Transmission</v>
      </c>
      <c r="C1105" s="71" t="str">
        <f>Annex!J839</f>
        <v>Male</v>
      </c>
      <c r="D1105" s="71">
        <f>Annex!D839</f>
        <v>23</v>
      </c>
      <c r="E1105" s="71" t="str">
        <f>Annex!K839</f>
        <v>Bangladesh</v>
      </c>
      <c r="F1105" s="71" t="str">
        <f>Annex!L839</f>
        <v>Case 1104 is a Local linked  case, 23 years old male Bangladesh (Long Term Pass holder)  and has not been overseas. He is currently admitted at NCID . Project Glory</v>
      </c>
      <c r="G1105" s="79">
        <v>43924</v>
      </c>
      <c r="H1105" s="71"/>
      <c r="I1105" s="71"/>
      <c r="J1105" s="71"/>
      <c r="K1105" s="71"/>
      <c r="L1105" s="71" t="str">
        <f>Annex!C839</f>
        <v xml:space="preserve">NCID </v>
      </c>
      <c r="M1105" s="87" t="s">
        <v>1444</v>
      </c>
    </row>
    <row r="1106" spans="1:13" ht="13.8" customHeight="1" x14ac:dyDescent="0.3">
      <c r="A1106" s="71">
        <f>Annex!A840</f>
        <v>1105</v>
      </c>
      <c r="B1106" s="71" t="str">
        <f>IF(LEFT(Annex!H840,5)="Local","Local Transmission",Annex!H840)</f>
        <v>Local Transmission</v>
      </c>
      <c r="C1106" s="71" t="str">
        <f>Annex!J840</f>
        <v>Female</v>
      </c>
      <c r="D1106" s="71">
        <f>Annex!D840</f>
        <v>55</v>
      </c>
      <c r="E1106" s="71" t="str">
        <f>Annex!K840</f>
        <v>Singaporean</v>
      </c>
      <c r="F1106" s="71" t="str">
        <f>Annex!L840</f>
        <v>Case 1105 is a Local linked  case, 55 years old female Singapore Permanent Resident  and has not been overseas. She is currently admitted at NCID . Contact of Case 887</v>
      </c>
      <c r="G1106" s="79">
        <v>43924</v>
      </c>
      <c r="H1106" s="71"/>
      <c r="I1106" s="71"/>
      <c r="J1106" s="71"/>
      <c r="K1106" s="71"/>
      <c r="L1106" s="71" t="str">
        <f>Annex!C840</f>
        <v xml:space="preserve">NCID </v>
      </c>
      <c r="M1106" s="87" t="s">
        <v>1444</v>
      </c>
    </row>
    <row r="1107" spans="1:13" ht="13.8" customHeight="1" x14ac:dyDescent="0.3">
      <c r="A1107" s="71">
        <f>Annex!A841</f>
        <v>1106</v>
      </c>
      <c r="B1107" s="71" t="str">
        <f>IF(LEFT(Annex!H841,5)="Local","Local Transmission",Annex!H841)</f>
        <v>Local Transmission</v>
      </c>
      <c r="C1107" s="71" t="str">
        <f>Annex!J841</f>
        <v>Male</v>
      </c>
      <c r="D1107" s="71">
        <f>Annex!D841</f>
        <v>27</v>
      </c>
      <c r="E1107" s="71" t="str">
        <f>Annex!K841</f>
        <v>Bangladesh</v>
      </c>
      <c r="F1107" s="71" t="str">
        <f>Annex!L841</f>
        <v>Case 1106 is a Local linked  case, 27 years old male Bangladesh (Long Term Pass holder)  and has not been overseas. He is currently admitted at NCID . Westlite Toh Guan</v>
      </c>
      <c r="G1107" s="79">
        <v>43924</v>
      </c>
      <c r="H1107" s="71"/>
      <c r="I1107" s="71"/>
      <c r="J1107" s="71"/>
      <c r="K1107" s="71"/>
      <c r="L1107" s="71" t="str">
        <f>Annex!C841</f>
        <v xml:space="preserve">NCID </v>
      </c>
      <c r="M1107" s="87" t="s">
        <v>1444</v>
      </c>
    </row>
    <row r="1108" spans="1:13" ht="13.8" customHeight="1" x14ac:dyDescent="0.3">
      <c r="A1108" s="71">
        <f>Annex!A842</f>
        <v>1107</v>
      </c>
      <c r="B1108" s="71" t="str">
        <f>IF(LEFT(Annex!H842,5)="Local","Local Transmission",Annex!H842)</f>
        <v>Local Transmission</v>
      </c>
      <c r="C1108" s="71" t="str">
        <f>Annex!J842</f>
        <v>Male</v>
      </c>
      <c r="D1108" s="71">
        <f>Annex!D842</f>
        <v>23</v>
      </c>
      <c r="E1108" s="71" t="str">
        <f>Annex!K842</f>
        <v>India</v>
      </c>
      <c r="F1108" s="71" t="str">
        <f>Annex!L842</f>
        <v>Case 1107 is a Local linked  case, 23 years old male India (Long Term Pass holder)  and has not been overseas. He is currently admitted at KTPH . S11 Dormitory</v>
      </c>
      <c r="G1108" s="79">
        <v>43924</v>
      </c>
      <c r="H1108" s="71"/>
      <c r="I1108" s="71"/>
      <c r="J1108" s="71"/>
      <c r="K1108" s="71"/>
      <c r="L1108" s="71" t="str">
        <f>Annex!C842</f>
        <v xml:space="preserve">KTPH </v>
      </c>
      <c r="M1108" s="87" t="s">
        <v>1444</v>
      </c>
    </row>
    <row r="1109" spans="1:13" ht="13.8" customHeight="1" x14ac:dyDescent="0.3">
      <c r="A1109" s="71">
        <f>Annex!A843</f>
        <v>1108</v>
      </c>
      <c r="B1109" s="71" t="str">
        <f>IF(LEFT(Annex!H843,5)="Local","Local Transmission",Annex!H843)</f>
        <v>Local Transmission</v>
      </c>
      <c r="C1109" s="71" t="str">
        <f>Annex!J843</f>
        <v>Male</v>
      </c>
      <c r="D1109" s="71">
        <f>Annex!D843</f>
        <v>24</v>
      </c>
      <c r="E1109" s="71" t="str">
        <f>Annex!K843</f>
        <v>Bangladesh</v>
      </c>
      <c r="F1109" s="71" t="str">
        <f>Annex!L843</f>
        <v>Case 1108 is a Local linked  case, 24 years old male Bangladesh (Long Term Pass holder)  and has not been overseas. He is currently admitted at KTPH . S11 Dormitory</v>
      </c>
      <c r="G1109" s="79">
        <v>43924</v>
      </c>
      <c r="H1109" s="71"/>
      <c r="I1109" s="71"/>
      <c r="J1109" s="71"/>
      <c r="K1109" s="71"/>
      <c r="L1109" s="71" t="str">
        <f>Annex!C843</f>
        <v xml:space="preserve">KTPH </v>
      </c>
      <c r="M1109" s="87" t="s">
        <v>1444</v>
      </c>
    </row>
    <row r="1110" spans="1:13" ht="13.8" customHeight="1" x14ac:dyDescent="0.3">
      <c r="A1110" s="71">
        <f>Annex!A844</f>
        <v>1109</v>
      </c>
      <c r="B1110" s="71" t="str">
        <f>IF(LEFT(Annex!H844,5)="Local","Local Transmission",Annex!H844)</f>
        <v xml:space="preserve">Imported </v>
      </c>
      <c r="C1110" s="71" t="str">
        <f>Annex!J844</f>
        <v>Male</v>
      </c>
      <c r="D1110" s="71">
        <f>Annex!D844</f>
        <v>72</v>
      </c>
      <c r="E1110" s="71" t="str">
        <f>Annex!K844</f>
        <v>Indonesia</v>
      </c>
      <c r="F1110" s="71" t="str">
        <f>Annex!L844</f>
        <v>Case 1109 is a Imported  case, 72 years old male Indonesia (Long Term Pass holder)  and has been to Indonesia . He is currently admitted at AH . Family member of Case 928</v>
      </c>
      <c r="G1110" s="79">
        <v>43924</v>
      </c>
      <c r="H1110" s="71"/>
      <c r="I1110" s="71"/>
      <c r="J1110" s="71"/>
      <c r="K1110" s="71"/>
      <c r="L1110" s="71" t="str">
        <f>Annex!C844</f>
        <v xml:space="preserve">AH </v>
      </c>
      <c r="M1110" s="87" t="s">
        <v>1444</v>
      </c>
    </row>
    <row r="1111" spans="1:13" ht="13.8" customHeight="1" x14ac:dyDescent="0.3">
      <c r="A1111" s="71">
        <f>Annex!A845</f>
        <v>1110</v>
      </c>
      <c r="B1111" s="71" t="str">
        <f>IF(LEFT(Annex!H845,5)="Local","Local Transmission",Annex!H845)</f>
        <v>Local Transmission</v>
      </c>
      <c r="C1111" s="71" t="str">
        <f>Annex!J845</f>
        <v>Male</v>
      </c>
      <c r="D1111" s="71">
        <f>Annex!D845</f>
        <v>27</v>
      </c>
      <c r="E1111" s="71" t="str">
        <f>Annex!K845</f>
        <v>Bangladesh</v>
      </c>
      <c r="F1111" s="71" t="str">
        <f>Annex!L845</f>
        <v>Case 1110 is a Local linked  case, 27 years old male Bangladesh (Long Term Pass holder)  and has not been overseas. He is currently admitted at KTPH . S11 Dormitory</v>
      </c>
      <c r="G1111" s="79">
        <v>43924</v>
      </c>
      <c r="H1111" s="71"/>
      <c r="I1111" s="71"/>
      <c r="J1111" s="71"/>
      <c r="K1111" s="71"/>
      <c r="L1111" s="71" t="str">
        <f>Annex!C845</f>
        <v xml:space="preserve">KTPH </v>
      </c>
      <c r="M1111" s="87" t="s">
        <v>1444</v>
      </c>
    </row>
    <row r="1112" spans="1:13" ht="13.8" customHeight="1" x14ac:dyDescent="0.3">
      <c r="A1112" s="71">
        <f>Annex!A846</f>
        <v>1111</v>
      </c>
      <c r="B1112" s="71" t="str">
        <f>IF(LEFT(Annex!H846,5)="Local","Local Transmission",Annex!H846)</f>
        <v>Local Transmission</v>
      </c>
      <c r="C1112" s="71" t="str">
        <f>Annex!J846</f>
        <v>Male</v>
      </c>
      <c r="D1112" s="71">
        <f>Annex!D846</f>
        <v>29</v>
      </c>
      <c r="E1112" s="71" t="str">
        <f>Annex!K846</f>
        <v>Myanmar</v>
      </c>
      <c r="F1112" s="71" t="str">
        <f>Annex!L846</f>
        <v>Case 1111 is a Local linked  case, 29 years old male Myanmar (Long Term Pass holder)  and has not been overseas. He is currently admitted at KTPH . S11 Dormitory</v>
      </c>
      <c r="G1112" s="79">
        <v>43924</v>
      </c>
      <c r="H1112" s="71"/>
      <c r="I1112" s="71"/>
      <c r="J1112" s="71"/>
      <c r="K1112" s="71"/>
      <c r="L1112" s="71" t="str">
        <f>Annex!C846</f>
        <v xml:space="preserve">KTPH </v>
      </c>
      <c r="M1112" s="87" t="s">
        <v>1444</v>
      </c>
    </row>
    <row r="1113" spans="1:13" ht="13.8" customHeight="1" x14ac:dyDescent="0.3">
      <c r="A1113" s="71">
        <f>Annex!A847</f>
        <v>1112</v>
      </c>
      <c r="B1113" s="71" t="str">
        <f>IF(LEFT(Annex!H847,5)="Local","Local Transmission",Annex!H847)</f>
        <v>Local Transmission</v>
      </c>
      <c r="C1113" s="71" t="str">
        <f>Annex!J847</f>
        <v>Male</v>
      </c>
      <c r="D1113" s="71">
        <f>Annex!D847</f>
        <v>32</v>
      </c>
      <c r="E1113" s="71" t="str">
        <f>Annex!K847</f>
        <v>Myanmar</v>
      </c>
      <c r="F1113" s="71" t="str">
        <f>Annex!L847</f>
        <v>Case 1112 is a Local linked  case, 32 years old male Myanmar (Long Term Pass holder)  and has not been overseas. He is currently admitted at KTPH . S11 Dormitory</v>
      </c>
      <c r="G1113" s="79">
        <v>43924</v>
      </c>
      <c r="H1113" s="71"/>
      <c r="I1113" s="71"/>
      <c r="J1113" s="71"/>
      <c r="K1113" s="71"/>
      <c r="L1113" s="71" t="str">
        <f>Annex!C847</f>
        <v xml:space="preserve">KTPH </v>
      </c>
      <c r="M1113" s="87" t="s">
        <v>1444</v>
      </c>
    </row>
    <row r="1114" spans="1:13" ht="13.8" customHeight="1" x14ac:dyDescent="0.3">
      <c r="A1114" s="71">
        <f>Annex!A848</f>
        <v>1113</v>
      </c>
      <c r="B1114" s="71" t="str">
        <f>IF(LEFT(Annex!H848,5)="Local","Local Transmission",Annex!H848)</f>
        <v>Local Transmission</v>
      </c>
      <c r="C1114" s="71" t="str">
        <f>Annex!J848</f>
        <v>Male</v>
      </c>
      <c r="D1114" s="71">
        <f>Annex!D848</f>
        <v>42</v>
      </c>
      <c r="E1114" s="71" t="str">
        <f>Annex!K848</f>
        <v>Bangladesh</v>
      </c>
      <c r="F1114" s="71" t="str">
        <f>Annex!L848</f>
        <v>Case 1113 is a Local linked  case, 42 years old male Bangladesh (Singapore Work Pass holder)  and has not been overseas. He is currently admitted at NTFGH . Westlite Toh Guan</v>
      </c>
      <c r="G1114" s="79">
        <v>43924</v>
      </c>
      <c r="H1114" s="71"/>
      <c r="I1114" s="71"/>
      <c r="J1114" s="71"/>
      <c r="K1114" s="71"/>
      <c r="L1114" s="71" t="str">
        <f>Annex!C848</f>
        <v xml:space="preserve">NTFGH </v>
      </c>
      <c r="M1114" s="87" t="s">
        <v>1444</v>
      </c>
    </row>
    <row r="1115" spans="1:13" ht="13.8" customHeight="1" x14ac:dyDescent="0.3">
      <c r="A1115" s="71">
        <f>Annex!A849</f>
        <v>1114</v>
      </c>
      <c r="B1115" s="71" t="str">
        <f>IF(LEFT(Annex!H849,5)="Local","Local Transmission",Annex!H849)</f>
        <v>Local Transmission</v>
      </c>
      <c r="C1115" s="71" t="str">
        <f>Annex!J849</f>
        <v>Male</v>
      </c>
      <c r="D1115" s="71">
        <f>Annex!D849</f>
        <v>28</v>
      </c>
      <c r="E1115" s="71" t="str">
        <f>Annex!K849</f>
        <v>Singaporean</v>
      </c>
      <c r="F1115" s="71" t="str">
        <f>Annex!L849</f>
        <v xml:space="preserve">Case 1114 is a Local unlinked case, 28 years old male Singapore Citizen  and has not been overseas. He is currently admitted at CGH . </v>
      </c>
      <c r="G1115" s="79">
        <v>43924</v>
      </c>
      <c r="H1115" s="71"/>
      <c r="I1115" s="71"/>
      <c r="J1115" s="71"/>
      <c r="K1115" s="71"/>
      <c r="L1115" s="71" t="str">
        <f>Annex!C849</f>
        <v xml:space="preserve">CGH </v>
      </c>
      <c r="M1115" s="87" t="s">
        <v>1444</v>
      </c>
    </row>
    <row r="1116" spans="1:13" ht="13.8" customHeight="1" x14ac:dyDescent="0.3">
      <c r="A1116" s="76">
        <f>Annex!A850</f>
        <v>1115</v>
      </c>
      <c r="B1116" s="76" t="str">
        <f>IF(LEFT(Annex!H850,5)="Local","Local Transmission",Annex!H850)</f>
        <v>Local Transmission</v>
      </c>
      <c r="C1116" s="76" t="str">
        <f>Annex!J850</f>
        <v>Female</v>
      </c>
      <c r="D1116" s="76">
        <f>Annex!D850</f>
        <v>66</v>
      </c>
      <c r="E1116" s="76" t="str">
        <f>Annex!K850</f>
        <v>Singaporean</v>
      </c>
      <c r="F1116" s="76" t="str">
        <f>Annex!L850</f>
        <v>Case 1115 is a Local linked  case, 66 years old female Singapore Citizen  and has not been overseas. She is currently admitted at NCID . Orange Ballroom</v>
      </c>
      <c r="G1116" s="78">
        <v>43925</v>
      </c>
      <c r="H1116" s="76"/>
      <c r="I1116" s="76"/>
      <c r="J1116" s="76"/>
      <c r="K1116" s="76"/>
      <c r="L1116" s="76" t="str">
        <f>Annex!C850</f>
        <v xml:space="preserve">NCID </v>
      </c>
      <c r="M1116" s="88" t="s">
        <v>1445</v>
      </c>
    </row>
    <row r="1117" spans="1:13" ht="13.8" customHeight="1" x14ac:dyDescent="0.3">
      <c r="A1117" s="76">
        <f>Annex!A851</f>
        <v>1116</v>
      </c>
      <c r="B1117" s="76" t="str">
        <f>IF(LEFT(Annex!H851,5)="Local","Local Transmission",Annex!H851)</f>
        <v>Local Transmission</v>
      </c>
      <c r="C1117" s="76" t="str">
        <f>Annex!J851</f>
        <v>Male</v>
      </c>
      <c r="D1117" s="76">
        <f>Annex!D851</f>
        <v>18</v>
      </c>
      <c r="E1117" s="76" t="str">
        <f>Annex!K851</f>
        <v>Singaporean</v>
      </c>
      <c r="F1117" s="76" t="str">
        <f>Annex!L851</f>
        <v>Case 1116 is a Local linked  case, 18 years old male Singapore Citizen  and has not been overseas. He is currently admitted at NCID . Contact of Case 999</v>
      </c>
      <c r="G1117" s="78">
        <v>43925</v>
      </c>
      <c r="H1117" s="76"/>
      <c r="I1117" s="76"/>
      <c r="J1117" s="76"/>
      <c r="K1117" s="76"/>
      <c r="L1117" s="76" t="str">
        <f>Annex!C851</f>
        <v xml:space="preserve">NCID </v>
      </c>
      <c r="M1117" s="88" t="s">
        <v>1445</v>
      </c>
    </row>
    <row r="1118" spans="1:13" ht="13.8" customHeight="1" x14ac:dyDescent="0.3">
      <c r="A1118" s="76">
        <f>Annex!A852</f>
        <v>1117</v>
      </c>
      <c r="B1118" s="76" t="str">
        <f>IF(LEFT(Annex!H852,5)="Local","Local Transmission",Annex!H852)</f>
        <v>Local Transmission</v>
      </c>
      <c r="C1118" s="76" t="str">
        <f>Annex!J852</f>
        <v>Male</v>
      </c>
      <c r="D1118" s="76">
        <f>Annex!D852</f>
        <v>24</v>
      </c>
      <c r="E1118" s="76" t="str">
        <f>Annex!K852</f>
        <v>Bangladesh</v>
      </c>
      <c r="F1118" s="76" t="str">
        <f>Annex!L852</f>
        <v>Case 1117 is a Local linked  case, 24 years old male Bangladesh (Long Term Pass holder)  and has not been overseas. He is currently admitted at SKH . S11 Dormitory</v>
      </c>
      <c r="G1118" s="78">
        <v>43925</v>
      </c>
      <c r="H1118" s="76"/>
      <c r="I1118" s="76"/>
      <c r="J1118" s="76"/>
      <c r="K1118" s="76"/>
      <c r="L1118" s="76" t="str">
        <f>Annex!C852</f>
        <v xml:space="preserve">SKH </v>
      </c>
      <c r="M1118" s="88" t="s">
        <v>1445</v>
      </c>
    </row>
    <row r="1119" spans="1:13" ht="13.8" customHeight="1" x14ac:dyDescent="0.3">
      <c r="A1119" s="76">
        <f>Annex!A853</f>
        <v>1118</v>
      </c>
      <c r="B1119" s="76" t="str">
        <f>IF(LEFT(Annex!H853,5)="Local","Local Transmission",Annex!H853)</f>
        <v>Local Transmission</v>
      </c>
      <c r="C1119" s="76" t="str">
        <f>Annex!J853</f>
        <v>Male</v>
      </c>
      <c r="D1119" s="76">
        <f>Annex!D853</f>
        <v>26</v>
      </c>
      <c r="E1119" s="76" t="str">
        <f>Annex!K853</f>
        <v>Bangladesh</v>
      </c>
      <c r="F1119" s="76" t="str">
        <f>Annex!L853</f>
        <v>Case 1118 is a Local linked  case, 26 years old male Bangladesh (Long Term Pass holder)  and has not been overseas. He is currently admitted at SKH . S11 Dormitory</v>
      </c>
      <c r="G1119" s="78">
        <v>43925</v>
      </c>
      <c r="H1119" s="76"/>
      <c r="I1119" s="76"/>
      <c r="J1119" s="76"/>
      <c r="K1119" s="76"/>
      <c r="L1119" s="76" t="str">
        <f>Annex!C853</f>
        <v xml:space="preserve">SKH </v>
      </c>
      <c r="M1119" s="88" t="s">
        <v>1445</v>
      </c>
    </row>
    <row r="1120" spans="1:13" ht="13.8" customHeight="1" x14ac:dyDescent="0.3">
      <c r="A1120" s="76">
        <f>Annex!A854</f>
        <v>1119</v>
      </c>
      <c r="B1120" s="76" t="str">
        <f>IF(LEFT(Annex!H854,5)="Local","Local Transmission",Annex!H854)</f>
        <v>Local Transmission</v>
      </c>
      <c r="C1120" s="76" t="str">
        <f>Annex!J854</f>
        <v>Male</v>
      </c>
      <c r="D1120" s="76">
        <f>Annex!D854</f>
        <v>23</v>
      </c>
      <c r="E1120" s="76" t="str">
        <f>Annex!K854</f>
        <v>Bangladesh</v>
      </c>
      <c r="F1120" s="76" t="str">
        <f>Annex!L854</f>
        <v>Case 1119 is a Local linked  case, 23 years old male Bangladesh (Long Term Pass holder)  and has not been overseas. He is currently admitted at SKH . S11 Dormitory</v>
      </c>
      <c r="G1120" s="78">
        <v>43925</v>
      </c>
      <c r="H1120" s="76"/>
      <c r="I1120" s="76"/>
      <c r="J1120" s="76"/>
      <c r="K1120" s="76"/>
      <c r="L1120" s="76" t="str">
        <f>Annex!C854</f>
        <v xml:space="preserve">SKH </v>
      </c>
      <c r="M1120" s="88" t="s">
        <v>1445</v>
      </c>
    </row>
    <row r="1121" spans="1:13" ht="13.8" customHeight="1" x14ac:dyDescent="0.3">
      <c r="A1121" s="76">
        <f>Annex!A855</f>
        <v>1120</v>
      </c>
      <c r="B1121" s="76" t="str">
        <f>IF(LEFT(Annex!H855,5)="Local","Local Transmission",Annex!H855)</f>
        <v>Local Transmission</v>
      </c>
      <c r="C1121" s="76" t="str">
        <f>Annex!J855</f>
        <v>Male</v>
      </c>
      <c r="D1121" s="76">
        <f>Annex!D855</f>
        <v>25</v>
      </c>
      <c r="E1121" s="76" t="str">
        <f>Annex!K855</f>
        <v>Bangladesh</v>
      </c>
      <c r="F1121" s="76" t="str">
        <f>Annex!L855</f>
        <v>Case 1120 is a Local linked  case, 25 years old male Bangladesh (Long Term Pass holder)  and has not been overseas. He is currently admitted at NCID . Project Glory</v>
      </c>
      <c r="G1121" s="78">
        <v>43925</v>
      </c>
      <c r="H1121" s="76"/>
      <c r="I1121" s="76"/>
      <c r="J1121" s="76"/>
      <c r="K1121" s="76"/>
      <c r="L1121" s="76" t="str">
        <f>Annex!C855</f>
        <v xml:space="preserve">NCID </v>
      </c>
      <c r="M1121" s="88" t="s">
        <v>1445</v>
      </c>
    </row>
    <row r="1122" spans="1:13" ht="13.8" customHeight="1" x14ac:dyDescent="0.3">
      <c r="A1122" s="76">
        <f>Annex!A856</f>
        <v>1121</v>
      </c>
      <c r="B1122" s="76" t="str">
        <f>IF(LEFT(Annex!H856,5)="Local","Local Transmission",Annex!H856)</f>
        <v xml:space="preserve">Imported </v>
      </c>
      <c r="C1122" s="76" t="str">
        <f>Annex!J856</f>
        <v>Male</v>
      </c>
      <c r="D1122" s="76">
        <f>Annex!D856</f>
        <v>66</v>
      </c>
      <c r="E1122" s="76" t="str">
        <f>Annex!K856</f>
        <v>Singaporean</v>
      </c>
      <c r="F1122" s="76" t="str">
        <f>Annex!L856</f>
        <v>Case 1121 is a Imported  case, 66 years old male Singapore Citizen  and has been to Argentina, Hungary, Chile, US . He is currently admitted at NCID . Family member of Case 1060</v>
      </c>
      <c r="G1122" s="78">
        <v>43925</v>
      </c>
      <c r="H1122" s="76"/>
      <c r="I1122" s="76"/>
      <c r="J1122" s="76"/>
      <c r="K1122" s="76"/>
      <c r="L1122" s="76" t="str">
        <f>Annex!C856</f>
        <v xml:space="preserve">NCID </v>
      </c>
      <c r="M1122" s="88" t="s">
        <v>1445</v>
      </c>
    </row>
    <row r="1123" spans="1:13" ht="13.8" customHeight="1" x14ac:dyDescent="0.3">
      <c r="A1123" s="76">
        <f>Annex!A857</f>
        <v>1122</v>
      </c>
      <c r="B1123" s="76" t="str">
        <f>IF(LEFT(Annex!H857,5)="Local","Local Transmission",Annex!H857)</f>
        <v>Imported</v>
      </c>
      <c r="C1123" s="76" t="str">
        <f>Annex!J857</f>
        <v>Male</v>
      </c>
      <c r="D1123" s="76">
        <f>Annex!D857</f>
        <v>29</v>
      </c>
      <c r="E1123" s="76" t="str">
        <f>Annex!K857</f>
        <v>France</v>
      </c>
      <c r="F1123" s="76" t="str">
        <f>Annex!L857</f>
        <v xml:space="preserve">Case 1122 is a Imported case, 29 years old male France (Long Term Pass holder)  and has been to France, Spain . He is currently admitted at NCID . </v>
      </c>
      <c r="G1123" s="78">
        <v>43925</v>
      </c>
      <c r="H1123" s="76"/>
      <c r="I1123" s="76"/>
      <c r="J1123" s="76"/>
      <c r="K1123" s="76"/>
      <c r="L1123" s="76" t="str">
        <f>Annex!C857</f>
        <v xml:space="preserve">NCID </v>
      </c>
      <c r="M1123" s="88" t="s">
        <v>1445</v>
      </c>
    </row>
    <row r="1124" spans="1:13" ht="13.8" customHeight="1" x14ac:dyDescent="0.3">
      <c r="A1124" s="76">
        <f>Annex!A858</f>
        <v>1123</v>
      </c>
      <c r="B1124" s="76" t="str">
        <f>IF(LEFT(Annex!H858,5)="Local","Local Transmission",Annex!H858)</f>
        <v>Local Transmission</v>
      </c>
      <c r="C1124" s="76" t="str">
        <f>Annex!J858</f>
        <v>Female</v>
      </c>
      <c r="D1124" s="76">
        <f>Annex!D858</f>
        <v>9</v>
      </c>
      <c r="E1124" s="76" t="str">
        <f>Annex!K858</f>
        <v>Singaporean</v>
      </c>
      <c r="F1124" s="76" t="str">
        <f>Annex!L858</f>
        <v>Case 1123 is a Local linked  case, 9 years old female Singapore Permanent Resident  and has not been overseas. She is currently admitted at KKH . Family member of Case 884</v>
      </c>
      <c r="G1124" s="78">
        <v>43925</v>
      </c>
      <c r="H1124" s="76"/>
      <c r="I1124" s="76"/>
      <c r="J1124" s="76"/>
      <c r="K1124" s="76"/>
      <c r="L1124" s="76" t="str">
        <f>Annex!C858</f>
        <v xml:space="preserve">KKH </v>
      </c>
      <c r="M1124" s="88" t="s">
        <v>1445</v>
      </c>
    </row>
    <row r="1125" spans="1:13" ht="13.8" customHeight="1" x14ac:dyDescent="0.3">
      <c r="A1125" s="76">
        <f>Annex!A859</f>
        <v>1124</v>
      </c>
      <c r="B1125" s="76" t="str">
        <f>IF(LEFT(Annex!H859,5)="Local","Local Transmission",Annex!H859)</f>
        <v>Local Transmission</v>
      </c>
      <c r="C1125" s="76" t="str">
        <f>Annex!J859</f>
        <v>Male</v>
      </c>
      <c r="D1125" s="76">
        <f>Annex!D859</f>
        <v>26</v>
      </c>
      <c r="E1125" s="76" t="str">
        <f>Annex!K859</f>
        <v>India</v>
      </c>
      <c r="F1125" s="76" t="str">
        <f>Annex!L859</f>
        <v>Case 1124 is a Local linked  case, 26 years old male India (Singapore Work Pass holder)  and has not been overseas. He is currently admitted at NCID . Project Glory and Sungei Tengah Lodge</v>
      </c>
      <c r="G1125" s="78">
        <v>43925</v>
      </c>
      <c r="H1125" s="76"/>
      <c r="I1125" s="76"/>
      <c r="J1125" s="76"/>
      <c r="K1125" s="76"/>
      <c r="L1125" s="76" t="str">
        <f>Annex!C859</f>
        <v xml:space="preserve">NCID </v>
      </c>
      <c r="M1125" s="88" t="s">
        <v>1445</v>
      </c>
    </row>
    <row r="1126" spans="1:13" ht="13.8" customHeight="1" x14ac:dyDescent="0.3">
      <c r="A1126" s="76">
        <f>Annex!A860</f>
        <v>1125</v>
      </c>
      <c r="B1126" s="76" t="str">
        <f>IF(LEFT(Annex!H860,5)="Local","Local Transmission",Annex!H860)</f>
        <v>Local Transmission</v>
      </c>
      <c r="C1126" s="76" t="str">
        <f>Annex!J860</f>
        <v>Male</v>
      </c>
      <c r="D1126" s="76">
        <f>Annex!D860</f>
        <v>42</v>
      </c>
      <c r="E1126" s="76" t="str">
        <f>Annex!K860</f>
        <v>Bangladesh</v>
      </c>
      <c r="F1126" s="76" t="str">
        <f>Annex!L860</f>
        <v xml:space="preserve">Case 1125 is a Local unlinked case, 42 years old male Bangladesh (Singapore Work Pass holder)  and has not been overseas. He is currently admitted at NCID . </v>
      </c>
      <c r="G1126" s="78">
        <v>43925</v>
      </c>
      <c r="H1126" s="76"/>
      <c r="I1126" s="76"/>
      <c r="J1126" s="76"/>
      <c r="K1126" s="76"/>
      <c r="L1126" s="76" t="str">
        <f>Annex!C860</f>
        <v xml:space="preserve">NCID </v>
      </c>
      <c r="M1126" s="88" t="s">
        <v>1445</v>
      </c>
    </row>
    <row r="1127" spans="1:13" ht="13.8" customHeight="1" x14ac:dyDescent="0.3">
      <c r="A1127" s="76">
        <f>Annex!A861</f>
        <v>1126</v>
      </c>
      <c r="B1127" s="76" t="str">
        <f>IF(LEFT(Annex!H861,5)="Local","Local Transmission",Annex!H861)</f>
        <v>Local Transmission</v>
      </c>
      <c r="C1127" s="76" t="str">
        <f>Annex!J861</f>
        <v>Male</v>
      </c>
      <c r="D1127" s="76">
        <f>Annex!D861</f>
        <v>25</v>
      </c>
      <c r="E1127" s="76" t="str">
        <f>Annex!K861</f>
        <v>Bangladesh</v>
      </c>
      <c r="F1127" s="76" t="str">
        <f>Annex!L861</f>
        <v>Case 1126 is a Local linked  case, 25 years old male Bangladesh (Long Term Pass holder)  and has not been overseas. He is currently admitted at SKH . S11 Dormitory</v>
      </c>
      <c r="G1127" s="78">
        <v>43925</v>
      </c>
      <c r="H1127" s="76"/>
      <c r="I1127" s="76"/>
      <c r="J1127" s="76"/>
      <c r="K1127" s="76"/>
      <c r="L1127" s="76" t="str">
        <f>Annex!C861</f>
        <v xml:space="preserve">SKH </v>
      </c>
      <c r="M1127" s="88" t="s">
        <v>1445</v>
      </c>
    </row>
    <row r="1128" spans="1:13" ht="13.8" customHeight="1" x14ac:dyDescent="0.3">
      <c r="A1128" s="76">
        <f>Annex!A862</f>
        <v>1127</v>
      </c>
      <c r="B1128" s="76" t="str">
        <f>IF(LEFT(Annex!H862,5)="Local","Local Transmission",Annex!H862)</f>
        <v>Local Transmission</v>
      </c>
      <c r="C1128" s="76" t="str">
        <f>Annex!J862</f>
        <v>Female</v>
      </c>
      <c r="D1128" s="76">
        <f>Annex!D862</f>
        <v>46</v>
      </c>
      <c r="E1128" s="76" t="str">
        <f>Annex!K862</f>
        <v>India</v>
      </c>
      <c r="F1128" s="76" t="str">
        <f>Annex!L862</f>
        <v>Case 1127 is a Local linked  case, 46 years old female India (Singapore Work Pass holder)  and has not been overseas. She is currently admitted at SKH . Mustafa Centre</v>
      </c>
      <c r="G1128" s="78">
        <v>43925</v>
      </c>
      <c r="H1128" s="76"/>
      <c r="I1128" s="76"/>
      <c r="J1128" s="76"/>
      <c r="K1128" s="76"/>
      <c r="L1128" s="76" t="str">
        <f>Annex!C862</f>
        <v xml:space="preserve">SKH </v>
      </c>
      <c r="M1128" s="88" t="s">
        <v>1445</v>
      </c>
    </row>
    <row r="1129" spans="1:13" ht="13.8" customHeight="1" x14ac:dyDescent="0.3">
      <c r="A1129" s="76">
        <f>Annex!A863</f>
        <v>1128</v>
      </c>
      <c r="B1129" s="76" t="str">
        <f>IF(LEFT(Annex!H863,5)="Local","Local Transmission",Annex!H863)</f>
        <v>Local Transmission</v>
      </c>
      <c r="C1129" s="76" t="str">
        <f>Annex!J863</f>
        <v>Male</v>
      </c>
      <c r="D1129" s="76">
        <f>Annex!D863</f>
        <v>37</v>
      </c>
      <c r="E1129" s="76" t="str">
        <f>Annex!K863</f>
        <v>Venezuela</v>
      </c>
      <c r="F1129" s="76" t="str">
        <f>Annex!L863</f>
        <v xml:space="preserve">Case 1128 is a Local unlinked case, 37 years old male Venezuela (Long Term Pass holder)  and has not been overseas. He is currently admitted at SGH . </v>
      </c>
      <c r="G1129" s="78">
        <v>43925</v>
      </c>
      <c r="H1129" s="76"/>
      <c r="I1129" s="76"/>
      <c r="J1129" s="76"/>
      <c r="K1129" s="76"/>
      <c r="L1129" s="76" t="str">
        <f>Annex!C863</f>
        <v xml:space="preserve">SGH </v>
      </c>
      <c r="M1129" s="88" t="s">
        <v>1445</v>
      </c>
    </row>
    <row r="1130" spans="1:13" ht="13.8" customHeight="1" x14ac:dyDescent="0.3">
      <c r="A1130" s="76">
        <f>Annex!A864</f>
        <v>1129</v>
      </c>
      <c r="B1130" s="76" t="str">
        <f>IF(LEFT(Annex!H864,5)="Local","Local Transmission",Annex!H864)</f>
        <v>Local Transmission</v>
      </c>
      <c r="C1130" s="76" t="str">
        <f>Annex!J864</f>
        <v>Female</v>
      </c>
      <c r="D1130" s="76">
        <f>Annex!D864</f>
        <v>55</v>
      </c>
      <c r="E1130" s="76" t="str">
        <f>Annex!K864</f>
        <v>Singaporean</v>
      </c>
      <c r="F1130" s="76" t="str">
        <f>Annex!L864</f>
        <v xml:space="preserve">Case 1129 is a Local unlinked case, 55 years old female Singapore Citizen  and has not been overseas. She is currently admitted at CGH . </v>
      </c>
      <c r="G1130" s="78">
        <v>43925</v>
      </c>
      <c r="H1130" s="76"/>
      <c r="I1130" s="76"/>
      <c r="J1130" s="76"/>
      <c r="K1130" s="76"/>
      <c r="L1130" s="76" t="str">
        <f>Annex!C864</f>
        <v xml:space="preserve">CGH </v>
      </c>
      <c r="M1130" s="88" t="s">
        <v>1445</v>
      </c>
    </row>
    <row r="1131" spans="1:13" ht="13.8" customHeight="1" x14ac:dyDescent="0.3">
      <c r="A1131" s="76">
        <f>Annex!A865</f>
        <v>1130</v>
      </c>
      <c r="B1131" s="76" t="str">
        <f>IF(LEFT(Annex!H865,5)="Local","Local Transmission",Annex!H865)</f>
        <v>Local Transmission</v>
      </c>
      <c r="C1131" s="76" t="str">
        <f>Annex!J865</f>
        <v>Female</v>
      </c>
      <c r="D1131" s="76">
        <f>Annex!D865</f>
        <v>43</v>
      </c>
      <c r="E1131" s="76" t="str">
        <f>Annex!K865</f>
        <v>Singaporean</v>
      </c>
      <c r="F1131" s="76" t="str">
        <f>Annex!L865</f>
        <v>Case 1130 is a Local linked  case, 43 years old female Singapore Citizen  and has not been overseas. She is currently admitted at NCID . Family member of Case 352</v>
      </c>
      <c r="G1131" s="78">
        <v>43925</v>
      </c>
      <c r="H1131" s="76"/>
      <c r="I1131" s="76"/>
      <c r="J1131" s="76"/>
      <c r="K1131" s="76"/>
      <c r="L1131" s="76" t="str">
        <f>Annex!C865</f>
        <v xml:space="preserve">NCID </v>
      </c>
      <c r="M1131" s="88" t="s">
        <v>1445</v>
      </c>
    </row>
    <row r="1132" spans="1:13" ht="13.8" customHeight="1" x14ac:dyDescent="0.3">
      <c r="A1132" s="76">
        <f>Annex!A866</f>
        <v>1131</v>
      </c>
      <c r="B1132" s="76" t="str">
        <f>IF(LEFT(Annex!H866,5)="Local","Local Transmission",Annex!H866)</f>
        <v>Local Transmission</v>
      </c>
      <c r="C1132" s="76" t="str">
        <f>Annex!J866</f>
        <v>Female</v>
      </c>
      <c r="D1132" s="76">
        <f>Annex!D866</f>
        <v>30</v>
      </c>
      <c r="E1132" s="76" t="str">
        <f>Annex!K866</f>
        <v>Singaporean</v>
      </c>
      <c r="F1132" s="76" t="str">
        <f>Annex!L866</f>
        <v xml:space="preserve">Case 1131 is a Local unlinked case, 30 years old female Singapore Citizen  and has not been overseas. She is currently admitted at NCID . </v>
      </c>
      <c r="G1132" s="78">
        <v>43925</v>
      </c>
      <c r="H1132" s="76"/>
      <c r="I1132" s="76"/>
      <c r="J1132" s="76"/>
      <c r="K1132" s="76"/>
      <c r="L1132" s="76" t="str">
        <f>Annex!C866</f>
        <v xml:space="preserve">NCID </v>
      </c>
      <c r="M1132" s="88" t="s">
        <v>1445</v>
      </c>
    </row>
    <row r="1133" spans="1:13" ht="13.8" customHeight="1" x14ac:dyDescent="0.3">
      <c r="A1133" s="76">
        <f>Annex!A867</f>
        <v>1132</v>
      </c>
      <c r="B1133" s="76" t="str">
        <f>IF(LEFT(Annex!H867,5)="Local","Local Transmission",Annex!H867)</f>
        <v>Local Transmission</v>
      </c>
      <c r="C1133" s="76" t="str">
        <f>Annex!J867</f>
        <v>Male</v>
      </c>
      <c r="D1133" s="76">
        <f>Annex!D867</f>
        <v>74</v>
      </c>
      <c r="E1133" s="76" t="str">
        <f>Annex!K867</f>
        <v>Singaporean</v>
      </c>
      <c r="F1133" s="76" t="str">
        <f>Annex!L867</f>
        <v xml:space="preserve">Case 1132 is a Local unlinked case, 74 years old male Singapore Citizen  and has not been overseas. He is currently admitted at MAH . </v>
      </c>
      <c r="G1133" s="78">
        <v>43925</v>
      </c>
      <c r="H1133" s="76"/>
      <c r="I1133" s="76"/>
      <c r="J1133" s="76"/>
      <c r="K1133" s="76"/>
      <c r="L1133" s="76" t="str">
        <f>Annex!C867</f>
        <v xml:space="preserve">MAH </v>
      </c>
      <c r="M1133" s="88" t="s">
        <v>1445</v>
      </c>
    </row>
    <row r="1134" spans="1:13" ht="13.8" customHeight="1" x14ac:dyDescent="0.3">
      <c r="A1134" s="76">
        <f>Annex!A868</f>
        <v>1133</v>
      </c>
      <c r="B1134" s="76" t="str">
        <f>IF(LEFT(Annex!H868,5)="Local","Local Transmission",Annex!H868)</f>
        <v>Local Transmission</v>
      </c>
      <c r="C1134" s="76" t="str">
        <f>Annex!J868</f>
        <v>Female</v>
      </c>
      <c r="D1134" s="76">
        <f>Annex!D868</f>
        <v>26</v>
      </c>
      <c r="E1134" s="76" t="str">
        <f>Annex!K868</f>
        <v>Singaporean</v>
      </c>
      <c r="F1134" s="76" t="str">
        <f>Annex!L868</f>
        <v xml:space="preserve">Case 1133 is a Local unlinked case, 26 years old female Singapore Citizen  and has not been overseas. She is currently admitted at NCID . </v>
      </c>
      <c r="G1134" s="78">
        <v>43925</v>
      </c>
      <c r="H1134" s="76"/>
      <c r="I1134" s="76"/>
      <c r="J1134" s="76"/>
      <c r="K1134" s="76"/>
      <c r="L1134" s="76" t="str">
        <f>Annex!C868</f>
        <v xml:space="preserve">NCID </v>
      </c>
      <c r="M1134" s="88" t="s">
        <v>1445</v>
      </c>
    </row>
    <row r="1135" spans="1:13" ht="13.8" customHeight="1" x14ac:dyDescent="0.3">
      <c r="A1135" s="76">
        <f>Annex!A869</f>
        <v>1134</v>
      </c>
      <c r="B1135" s="76" t="str">
        <f>IF(LEFT(Annex!H869,5)="Local","Local Transmission",Annex!H869)</f>
        <v>Local Transmission</v>
      </c>
      <c r="C1135" s="76" t="str">
        <f>Annex!J869</f>
        <v>Female</v>
      </c>
      <c r="D1135" s="76">
        <f>Annex!D869</f>
        <v>29</v>
      </c>
      <c r="E1135" s="76" t="str">
        <f>Annex!K869</f>
        <v xml:space="preserve">Indonesia </v>
      </c>
      <c r="F1135" s="76" t="str">
        <f>Annex!L869</f>
        <v>Case 1134 is a Local linked case, 29 years old female Indonesia  and has not been overseas. She is currently admitted at NUH . Family member of Case 1080</v>
      </c>
      <c r="G1135" s="78">
        <v>43925</v>
      </c>
      <c r="H1135" s="76"/>
      <c r="I1135" s="76"/>
      <c r="J1135" s="76"/>
      <c r="K1135" s="76"/>
      <c r="L1135" s="76" t="str">
        <f>Annex!C869</f>
        <v xml:space="preserve">NUH </v>
      </c>
      <c r="M1135" s="88" t="s">
        <v>1445</v>
      </c>
    </row>
    <row r="1136" spans="1:13" ht="13.8" customHeight="1" x14ac:dyDescent="0.3">
      <c r="A1136" s="76">
        <f>Annex!A870</f>
        <v>1135</v>
      </c>
      <c r="B1136" s="76" t="str">
        <f>IF(LEFT(Annex!H870,5)="Local","Local Transmission",Annex!H870)</f>
        <v>Local Transmission</v>
      </c>
      <c r="C1136" s="76" t="str">
        <f>Annex!J870</f>
        <v>Male</v>
      </c>
      <c r="D1136" s="76">
        <f>Annex!D870</f>
        <v>33</v>
      </c>
      <c r="E1136" s="76" t="str">
        <f>Annex!K870</f>
        <v>Bangladesh</v>
      </c>
      <c r="F1136" s="76" t="str">
        <f>Annex!L870</f>
        <v>Case 1135 is a Local linked  case, 33 years old male Bangladesh (Singapore Work Pass holder)  and has not been overseas. He is currently admitted at NCID . S11 Dormitory</v>
      </c>
      <c r="G1136" s="78">
        <v>43925</v>
      </c>
      <c r="H1136" s="76"/>
      <c r="I1136" s="76"/>
      <c r="J1136" s="76"/>
      <c r="K1136" s="76"/>
      <c r="L1136" s="76" t="str">
        <f>Annex!C870</f>
        <v xml:space="preserve">NCID </v>
      </c>
      <c r="M1136" s="88" t="s">
        <v>1445</v>
      </c>
    </row>
    <row r="1137" spans="1:13" ht="13.8" customHeight="1" x14ac:dyDescent="0.3">
      <c r="A1137" s="76">
        <f>Annex!A871</f>
        <v>1136</v>
      </c>
      <c r="B1137" s="76" t="str">
        <f>IF(LEFT(Annex!H871,5)="Local","Local Transmission",Annex!H871)</f>
        <v>Local Transmission</v>
      </c>
      <c r="C1137" s="76" t="str">
        <f>Annex!J871</f>
        <v>Male</v>
      </c>
      <c r="D1137" s="76">
        <f>Annex!D871</f>
        <v>7</v>
      </c>
      <c r="E1137" s="76" t="str">
        <f>Annex!K871</f>
        <v>Singaporean</v>
      </c>
      <c r="F1137" s="76" t="str">
        <f>Annex!L871</f>
        <v>Case 1136 is a Local linked  case, 7 years old male Singapore Citizen  and has not been overseas. He is currently admitted at KKH . Family member of Case 850</v>
      </c>
      <c r="G1137" s="78">
        <v>43925</v>
      </c>
      <c r="H1137" s="76"/>
      <c r="I1137" s="76"/>
      <c r="J1137" s="76"/>
      <c r="K1137" s="76"/>
      <c r="L1137" s="76" t="str">
        <f>Annex!C871</f>
        <v xml:space="preserve">KKH </v>
      </c>
      <c r="M1137" s="88" t="s">
        <v>1445</v>
      </c>
    </row>
    <row r="1138" spans="1:13" ht="13.8" customHeight="1" x14ac:dyDescent="0.3">
      <c r="A1138" s="76">
        <f>Annex!A872</f>
        <v>1137</v>
      </c>
      <c r="B1138" s="76" t="str">
        <f>IF(LEFT(Annex!H872,5)="Local","Local Transmission",Annex!H872)</f>
        <v>Local Transmission</v>
      </c>
      <c r="C1138" s="76" t="str">
        <f>Annex!J872</f>
        <v>Female</v>
      </c>
      <c r="D1138" s="76">
        <f>Annex!D872</f>
        <v>24</v>
      </c>
      <c r="E1138" s="76" t="str">
        <f>Annex!K872</f>
        <v>Malaysia</v>
      </c>
      <c r="F1138" s="76" t="str">
        <f>Annex!L872</f>
        <v>Case 1137 is a Local linked  case, 24 years old female Malaysia (Long Term Pass holder)  and has not been overseas. She is currently admitted at NCID . Contact of Case 853</v>
      </c>
      <c r="G1138" s="78">
        <v>43925</v>
      </c>
      <c r="H1138" s="76"/>
      <c r="I1138" s="76"/>
      <c r="J1138" s="76"/>
      <c r="K1138" s="76"/>
      <c r="L1138" s="76" t="str">
        <f>Annex!C872</f>
        <v xml:space="preserve">NCID </v>
      </c>
      <c r="M1138" s="88" t="s">
        <v>1445</v>
      </c>
    </row>
    <row r="1139" spans="1:13" ht="13.8" customHeight="1" x14ac:dyDescent="0.3">
      <c r="A1139" s="76">
        <f>Annex!A873</f>
        <v>1138</v>
      </c>
      <c r="B1139" s="76" t="str">
        <f>IF(LEFT(Annex!H873,5)="Local","Local Transmission",Annex!H873)</f>
        <v>Local Transmission</v>
      </c>
      <c r="C1139" s="76" t="str">
        <f>Annex!J873</f>
        <v>Male</v>
      </c>
      <c r="D1139" s="76">
        <f>Annex!D873</f>
        <v>22</v>
      </c>
      <c r="E1139" s="76" t="str">
        <f>Annex!K873</f>
        <v>India</v>
      </c>
      <c r="F1139" s="76" t="str">
        <f>Annex!L873</f>
        <v>Case 1138 is a Local linked  case, 22 years old male India (Long Term Pass holder)  and has not been overseas. He is currently admitted at NCID . S11 Dormitory</v>
      </c>
      <c r="G1139" s="78">
        <v>43925</v>
      </c>
      <c r="H1139" s="76"/>
      <c r="I1139" s="76"/>
      <c r="J1139" s="76"/>
      <c r="K1139" s="76"/>
      <c r="L1139" s="76" t="str">
        <f>Annex!C873</f>
        <v xml:space="preserve">NCID </v>
      </c>
      <c r="M1139" s="88" t="s">
        <v>1445</v>
      </c>
    </row>
    <row r="1140" spans="1:13" ht="13.8" customHeight="1" x14ac:dyDescent="0.3">
      <c r="A1140" s="76">
        <f>Annex!A874</f>
        <v>1139</v>
      </c>
      <c r="B1140" s="76" t="str">
        <f>IF(LEFT(Annex!H874,5)="Local","Local Transmission",Annex!H874)</f>
        <v>Local Transmission</v>
      </c>
      <c r="C1140" s="76" t="str">
        <f>Annex!J874</f>
        <v>Female</v>
      </c>
      <c r="D1140" s="76">
        <f>Annex!D874</f>
        <v>67</v>
      </c>
      <c r="E1140" s="76" t="str">
        <f>Annex!K874</f>
        <v>Singaporean</v>
      </c>
      <c r="F1140" s="76" t="str">
        <f>Annex!L874</f>
        <v xml:space="preserve">Case 1139 is a Local unlinked case, 67 years old female Singapore Citizen  and has not been overseas. She is currently admitted at CGH . </v>
      </c>
      <c r="G1140" s="78">
        <v>43925</v>
      </c>
      <c r="H1140" s="76"/>
      <c r="I1140" s="76"/>
      <c r="J1140" s="76"/>
      <c r="K1140" s="76"/>
      <c r="L1140" s="76" t="str">
        <f>Annex!C874</f>
        <v xml:space="preserve">CGH </v>
      </c>
      <c r="M1140" s="88" t="s">
        <v>1445</v>
      </c>
    </row>
    <row r="1141" spans="1:13" ht="13.8" customHeight="1" x14ac:dyDescent="0.3">
      <c r="A1141" s="76">
        <f>Annex!A875</f>
        <v>1140</v>
      </c>
      <c r="B1141" s="76" t="str">
        <f>IF(LEFT(Annex!H875,5)="Local","Local Transmission",Annex!H875)</f>
        <v>Local Transmission</v>
      </c>
      <c r="C1141" s="76" t="str">
        <f>Annex!J875</f>
        <v>Male</v>
      </c>
      <c r="D1141" s="76">
        <f>Annex!D875</f>
        <v>30</v>
      </c>
      <c r="E1141" s="76" t="str">
        <f>Annex!K875</f>
        <v>Bangladesh</v>
      </c>
      <c r="F1141" s="76" t="str">
        <f>Annex!L875</f>
        <v xml:space="preserve">Case 1140 is a Local unlinked case, 30 years old male Bangladesh (Singapore Work Pass Holder)  and has not been overseas. He is currently admitted at CGH . </v>
      </c>
      <c r="G1141" s="78">
        <v>43925</v>
      </c>
      <c r="H1141" s="76"/>
      <c r="I1141" s="76"/>
      <c r="J1141" s="76"/>
      <c r="K1141" s="76"/>
      <c r="L1141" s="76" t="str">
        <f>Annex!C875</f>
        <v xml:space="preserve">CGH </v>
      </c>
      <c r="M1141" s="88" t="s">
        <v>1445</v>
      </c>
    </row>
    <row r="1142" spans="1:13" ht="13.8" customHeight="1" x14ac:dyDescent="0.3">
      <c r="A1142" s="76">
        <f>Annex!A876</f>
        <v>1141</v>
      </c>
      <c r="B1142" s="76" t="str">
        <f>IF(LEFT(Annex!H876,5)="Local","Local Transmission",Annex!H876)</f>
        <v>Local Transmission</v>
      </c>
      <c r="C1142" s="76" t="str">
        <f>Annex!J876</f>
        <v>Male</v>
      </c>
      <c r="D1142" s="76">
        <f>Annex!D876</f>
        <v>37</v>
      </c>
      <c r="E1142" s="76" t="str">
        <f>Annex!K876</f>
        <v>Singaporean</v>
      </c>
      <c r="F1142" s="76" t="str">
        <f>Annex!L876</f>
        <v xml:space="preserve">Case 1141 is a Local unlinked case, 37 years old male Singapore Citizen  and has not been overseas. He is currently admitted at CGH . </v>
      </c>
      <c r="G1142" s="78">
        <v>43925</v>
      </c>
      <c r="H1142" s="76"/>
      <c r="I1142" s="76"/>
      <c r="J1142" s="76"/>
      <c r="K1142" s="76"/>
      <c r="L1142" s="76" t="str">
        <f>Annex!C876</f>
        <v xml:space="preserve">CGH </v>
      </c>
      <c r="M1142" s="88" t="s">
        <v>1445</v>
      </c>
    </row>
    <row r="1143" spans="1:13" ht="13.8" customHeight="1" x14ac:dyDescent="0.3">
      <c r="A1143" s="76">
        <f>Annex!A877</f>
        <v>1142</v>
      </c>
      <c r="B1143" s="76" t="str">
        <f>IF(LEFT(Annex!H877,5)="Local","Local Transmission",Annex!H877)</f>
        <v>Local Transmission</v>
      </c>
      <c r="C1143" s="76" t="str">
        <f>Annex!J877</f>
        <v>Male</v>
      </c>
      <c r="D1143" s="76">
        <f>Annex!D877</f>
        <v>90</v>
      </c>
      <c r="E1143" s="76" t="str">
        <f>Annex!K877</f>
        <v>Singaporean</v>
      </c>
      <c r="F1143" s="76" t="str">
        <f>Annex!L877</f>
        <v xml:space="preserve">Case 1142 is a Local unlinked case, 90 years old male Singapore Citizen  and has not been overseas. He is currently admitted at NCID . </v>
      </c>
      <c r="G1143" s="78">
        <v>43925</v>
      </c>
      <c r="H1143" s="76"/>
      <c r="I1143" s="76"/>
      <c r="J1143" s="76"/>
      <c r="K1143" s="76"/>
      <c r="L1143" s="76" t="str">
        <f>Annex!C877</f>
        <v xml:space="preserve">NCID </v>
      </c>
      <c r="M1143" s="88" t="s">
        <v>1445</v>
      </c>
    </row>
    <row r="1144" spans="1:13" ht="13.8" customHeight="1" x14ac:dyDescent="0.3">
      <c r="A1144" s="76">
        <f>Annex!A878</f>
        <v>1143</v>
      </c>
      <c r="B1144" s="76" t="str">
        <f>IF(LEFT(Annex!H878,5)="Local","Local Transmission",Annex!H878)</f>
        <v xml:space="preserve">Imported </v>
      </c>
      <c r="C1144" s="76" t="str">
        <f>Annex!J878</f>
        <v>Female</v>
      </c>
      <c r="D1144" s="76">
        <f>Annex!D878</f>
        <v>42</v>
      </c>
      <c r="E1144" s="76" t="str">
        <f>Annex!K878</f>
        <v>Singaporean</v>
      </c>
      <c r="F1144" s="76" t="str">
        <f>Annex!L878</f>
        <v>Case 1143 is a Imported  case, 42 years old female Singapore Citizen  and has been to UK . She is currently admitted at NCID . Family member of Case 932</v>
      </c>
      <c r="G1144" s="78">
        <v>43925</v>
      </c>
      <c r="H1144" s="76"/>
      <c r="I1144" s="76"/>
      <c r="J1144" s="76"/>
      <c r="K1144" s="76"/>
      <c r="L1144" s="76" t="str">
        <f>Annex!C878</f>
        <v xml:space="preserve">NCID </v>
      </c>
      <c r="M1144" s="88" t="s">
        <v>1445</v>
      </c>
    </row>
    <row r="1145" spans="1:13" ht="13.8" customHeight="1" x14ac:dyDescent="0.3">
      <c r="A1145" s="76">
        <f>Annex!A879</f>
        <v>1144</v>
      </c>
      <c r="B1145" s="76" t="str">
        <f>IF(LEFT(Annex!H879,5)="Local","Local Transmission",Annex!H879)</f>
        <v>Local Transmission</v>
      </c>
      <c r="C1145" s="76" t="str">
        <f>Annex!J879</f>
        <v>Male</v>
      </c>
      <c r="D1145" s="76">
        <f>Annex!D879</f>
        <v>41</v>
      </c>
      <c r="E1145" s="76" t="str">
        <f>Annex!K879</f>
        <v>India</v>
      </c>
      <c r="F1145" s="76" t="str">
        <f>Annex!L879</f>
        <v xml:space="preserve">Case 1144 is a Local unlinked case, 41 years old male India (Long Term Pass holder)  and has not been overseas. He is currently admitted at NCID . </v>
      </c>
      <c r="G1145" s="78">
        <v>43925</v>
      </c>
      <c r="H1145" s="76"/>
      <c r="I1145" s="76"/>
      <c r="J1145" s="76"/>
      <c r="K1145" s="76"/>
      <c r="L1145" s="76" t="str">
        <f>Annex!C879</f>
        <v xml:space="preserve">NCID </v>
      </c>
      <c r="M1145" s="88" t="s">
        <v>1445</v>
      </c>
    </row>
    <row r="1146" spans="1:13" ht="13.8" customHeight="1" x14ac:dyDescent="0.3">
      <c r="A1146" s="76">
        <f>Annex!A880</f>
        <v>1145</v>
      </c>
      <c r="B1146" s="76" t="str">
        <f>IF(LEFT(Annex!H880,5)="Local","Local Transmission",Annex!H880)</f>
        <v>Local Transmission</v>
      </c>
      <c r="C1146" s="76" t="str">
        <f>Annex!J880</f>
        <v>Male</v>
      </c>
      <c r="D1146" s="76">
        <f>Annex!D880</f>
        <v>20</v>
      </c>
      <c r="E1146" s="76" t="str">
        <f>Annex!K880</f>
        <v>Banglades</v>
      </c>
      <c r="F1146" s="76" t="str">
        <f>Annex!L880</f>
        <v xml:space="preserve">Case 1145 is a Local linked  case, 20 years old male Bangladesh(Long Term Pass holder)  and has not been overseas. He is currently admitted at SKH . S11 Dormitory </v>
      </c>
      <c r="G1146" s="78">
        <v>43925</v>
      </c>
      <c r="H1146" s="76"/>
      <c r="I1146" s="76"/>
      <c r="J1146" s="76"/>
      <c r="K1146" s="76"/>
      <c r="L1146" s="76" t="str">
        <f>Annex!C880</f>
        <v xml:space="preserve">SKH </v>
      </c>
      <c r="M1146" s="88" t="s">
        <v>1445</v>
      </c>
    </row>
    <row r="1147" spans="1:13" ht="13.8" customHeight="1" x14ac:dyDescent="0.3">
      <c r="A1147" s="76">
        <f>Annex!A881</f>
        <v>1146</v>
      </c>
      <c r="B1147" s="76" t="str">
        <f>IF(LEFT(Annex!H881,5)="Local","Local Transmission",Annex!H881)</f>
        <v>Local Transmission</v>
      </c>
      <c r="C1147" s="76" t="str">
        <f>Annex!J881</f>
        <v>Male</v>
      </c>
      <c r="D1147" s="76">
        <f>Annex!D881</f>
        <v>33</v>
      </c>
      <c r="E1147" s="76" t="str">
        <f>Annex!K881</f>
        <v>Bangladesh</v>
      </c>
      <c r="F1147" s="76" t="str">
        <f>Annex!L881</f>
        <v xml:space="preserve">Case 1146 is a Local unlinked case, 33 years old male Bangladesh (Singapore Work Pass holder)  and has not been overseas. He is currently admitted at NCID . </v>
      </c>
      <c r="G1147" s="78">
        <v>43925</v>
      </c>
      <c r="H1147" s="76"/>
      <c r="I1147" s="76"/>
      <c r="J1147" s="76"/>
      <c r="K1147" s="76"/>
      <c r="L1147" s="76" t="str">
        <f>Annex!C881</f>
        <v xml:space="preserve">NCID </v>
      </c>
      <c r="M1147" s="88" t="s">
        <v>1445</v>
      </c>
    </row>
    <row r="1148" spans="1:13" ht="13.8" customHeight="1" x14ac:dyDescent="0.3">
      <c r="A1148" s="76">
        <f>Annex!A882</f>
        <v>1147</v>
      </c>
      <c r="B1148" s="76" t="str">
        <f>IF(LEFT(Annex!H882,5)="Local","Local Transmission",Annex!H882)</f>
        <v>Local Transmission</v>
      </c>
      <c r="C1148" s="76" t="str">
        <f>Annex!J882</f>
        <v>Male</v>
      </c>
      <c r="D1148" s="76">
        <f>Annex!D882</f>
        <v>46</v>
      </c>
      <c r="E1148" s="76" t="str">
        <f>Annex!K882</f>
        <v>Singaporean</v>
      </c>
      <c r="F1148" s="76" t="str">
        <f>Annex!L882</f>
        <v xml:space="preserve">Case 1147 is a Local unlinked case, 46 years old male Singapore Citizen  and has not been overseas. He is currently admitted at NCID . </v>
      </c>
      <c r="G1148" s="78">
        <v>43925</v>
      </c>
      <c r="H1148" s="76"/>
      <c r="I1148" s="76"/>
      <c r="J1148" s="76"/>
      <c r="K1148" s="76"/>
      <c r="L1148" s="76" t="str">
        <f>Annex!C882</f>
        <v xml:space="preserve">NCID </v>
      </c>
      <c r="M1148" s="88" t="s">
        <v>1445</v>
      </c>
    </row>
    <row r="1149" spans="1:13" ht="13.8" customHeight="1" x14ac:dyDescent="0.3">
      <c r="A1149" s="76">
        <f>Annex!A883</f>
        <v>1148</v>
      </c>
      <c r="B1149" s="76" t="str">
        <f>IF(LEFT(Annex!H883,5)="Local","Local Transmission",Annex!H883)</f>
        <v>Local Transmission</v>
      </c>
      <c r="C1149" s="76" t="str">
        <f>Annex!J883</f>
        <v>Male</v>
      </c>
      <c r="D1149" s="76">
        <f>Annex!D883</f>
        <v>28</v>
      </c>
      <c r="E1149" s="76" t="str">
        <f>Annex!K883</f>
        <v>Bangladesh</v>
      </c>
      <c r="F1149" s="76" t="str">
        <f>Annex!L883</f>
        <v>Case 1148 is a Local linked  case, 28 years old male Bangladesh (Long Term Pass holder)  and has not been overseas. He is currently admitted at NTFGH . Toh Guan Dormitory</v>
      </c>
      <c r="G1149" s="78">
        <v>43925</v>
      </c>
      <c r="H1149" s="76"/>
      <c r="I1149" s="76"/>
      <c r="J1149" s="76"/>
      <c r="K1149" s="76"/>
      <c r="L1149" s="76" t="str">
        <f>Annex!C883</f>
        <v xml:space="preserve">NTFGH </v>
      </c>
      <c r="M1149" s="88" t="s">
        <v>1445</v>
      </c>
    </row>
    <row r="1150" spans="1:13" ht="13.8" customHeight="1" x14ac:dyDescent="0.3">
      <c r="A1150" s="76">
        <f>Annex!A884</f>
        <v>1149</v>
      </c>
      <c r="B1150" s="76" t="str">
        <f>IF(LEFT(Annex!H884,5)="Local","Local Transmission",Annex!H884)</f>
        <v>Local Transmission</v>
      </c>
      <c r="C1150" s="76" t="str">
        <f>Annex!J884</f>
        <v>Male</v>
      </c>
      <c r="D1150" s="76">
        <f>Annex!D884</f>
        <v>48</v>
      </c>
      <c r="E1150" s="76" t="str">
        <f>Annex!K884</f>
        <v>Philippines</v>
      </c>
      <c r="F1150" s="76" t="str">
        <f>Annex!L884</f>
        <v>Case 1149 is a Local linked  case, 48 years old male Philippines (Singapore Work Pass holder)  and has not been overseas. He is currently admitted at NTFGH . Project Glory</v>
      </c>
      <c r="G1150" s="78">
        <v>43925</v>
      </c>
      <c r="H1150" s="76"/>
      <c r="I1150" s="76"/>
      <c r="J1150" s="76"/>
      <c r="K1150" s="76"/>
      <c r="L1150" s="76" t="str">
        <f>Annex!C884</f>
        <v xml:space="preserve">NTFGH </v>
      </c>
      <c r="M1150" s="88" t="s">
        <v>1445</v>
      </c>
    </row>
    <row r="1151" spans="1:13" ht="13.8" customHeight="1" x14ac:dyDescent="0.3">
      <c r="A1151" s="76">
        <f>Annex!A885</f>
        <v>1150</v>
      </c>
      <c r="B1151" s="76" t="str">
        <f>IF(LEFT(Annex!H885,5)="Local","Local Transmission",Annex!H885)</f>
        <v>Local Transmission</v>
      </c>
      <c r="C1151" s="76" t="str">
        <f>Annex!J885</f>
        <v>Male</v>
      </c>
      <c r="D1151" s="76">
        <f>Annex!D885</f>
        <v>32</v>
      </c>
      <c r="E1151" s="76" t="str">
        <f>Annex!K885</f>
        <v>Bangladesh</v>
      </c>
      <c r="F1151" s="76" t="str">
        <f>Annex!L885</f>
        <v>Case 1150 is a Local linked  case, 32 years old male Bangladesh (Long Term Pass holder)  and has not been overseas. He is currently admitted at NTFGH . Toh Guan Dormitory</v>
      </c>
      <c r="G1151" s="78">
        <v>43925</v>
      </c>
      <c r="H1151" s="76"/>
      <c r="I1151" s="76"/>
      <c r="J1151" s="76"/>
      <c r="K1151" s="76"/>
      <c r="L1151" s="76" t="str">
        <f>Annex!C885</f>
        <v xml:space="preserve">NTFGH </v>
      </c>
      <c r="M1151" s="88" t="s">
        <v>1445</v>
      </c>
    </row>
    <row r="1152" spans="1:13" ht="13.8" customHeight="1" x14ac:dyDescent="0.3">
      <c r="A1152" s="76">
        <f>Annex!A886</f>
        <v>1151</v>
      </c>
      <c r="B1152" s="76" t="str">
        <f>IF(LEFT(Annex!H886,5)="Local","Local Transmission",Annex!H886)</f>
        <v>Local Transmission</v>
      </c>
      <c r="C1152" s="76" t="str">
        <f>Annex!J886</f>
        <v>Female</v>
      </c>
      <c r="D1152" s="76">
        <f>Annex!D886</f>
        <v>20</v>
      </c>
      <c r="E1152" s="76" t="str">
        <f>Annex!K886</f>
        <v>Malaysia</v>
      </c>
      <c r="F1152" s="76" t="str">
        <f>Annex!L886</f>
        <v xml:space="preserve">Case 1151 is a Local unlinked  case, 20 years old female Malaysia (Singapore Work Pass holder)  and has not been overseas. She is currently admitted at SKH . </v>
      </c>
      <c r="G1152" s="78">
        <v>43925</v>
      </c>
      <c r="H1152" s="76"/>
      <c r="I1152" s="76"/>
      <c r="J1152" s="76"/>
      <c r="K1152" s="76"/>
      <c r="L1152" s="76" t="str">
        <f>Annex!C886</f>
        <v xml:space="preserve">SKH </v>
      </c>
      <c r="M1152" s="88" t="s">
        <v>1445</v>
      </c>
    </row>
    <row r="1153" spans="1:13" ht="13.8" customHeight="1" x14ac:dyDescent="0.3">
      <c r="A1153" s="76">
        <f>Annex!A887</f>
        <v>1152</v>
      </c>
      <c r="B1153" s="76" t="str">
        <f>IF(LEFT(Annex!H887,5)="Local","Local Transmission",Annex!H887)</f>
        <v>Local Transmission</v>
      </c>
      <c r="C1153" s="76" t="str">
        <f>Annex!J887</f>
        <v>Male</v>
      </c>
      <c r="D1153" s="76">
        <f>Annex!D887</f>
        <v>65</v>
      </c>
      <c r="E1153" s="76" t="str">
        <f>Annex!K887</f>
        <v>Singaporean</v>
      </c>
      <c r="F1153" s="76" t="str">
        <f>Annex!L887</f>
        <v xml:space="preserve">Case 1152 is a Local unlinked  case, 65 years old male Singapore Citizen  and has not been overseas. He is currently admitted at SGH . </v>
      </c>
      <c r="G1153" s="78">
        <v>43925</v>
      </c>
      <c r="H1153" s="76"/>
      <c r="I1153" s="76"/>
      <c r="J1153" s="76"/>
      <c r="K1153" s="76"/>
      <c r="L1153" s="76" t="str">
        <f>Annex!C887</f>
        <v xml:space="preserve">SGH </v>
      </c>
      <c r="M1153" s="88" t="s">
        <v>1445</v>
      </c>
    </row>
    <row r="1154" spans="1:13" ht="13.8" customHeight="1" x14ac:dyDescent="0.3">
      <c r="A1154" s="76">
        <f>Annex!A888</f>
        <v>1153</v>
      </c>
      <c r="B1154" s="76" t="str">
        <f>IF(LEFT(Annex!H888,5)="Local","Local Transmission",Annex!H888)</f>
        <v>Local Transmission</v>
      </c>
      <c r="C1154" s="76" t="str">
        <f>Annex!J888</f>
        <v>Male</v>
      </c>
      <c r="D1154" s="76">
        <f>Annex!D888</f>
        <v>28</v>
      </c>
      <c r="E1154" s="76" t="str">
        <f>Annex!K888</f>
        <v>Bangladesh</v>
      </c>
      <c r="F1154" s="76" t="str">
        <f>Annex!L888</f>
        <v>Case 1153 is a Local linked  case, 28 years old male Bangladesh (Long Term Pass holder)  and has not been overseas. He is currently admitted at SGH . S11 Dormitory</v>
      </c>
      <c r="G1154" s="78">
        <v>43925</v>
      </c>
      <c r="H1154" s="76"/>
      <c r="I1154" s="76"/>
      <c r="J1154" s="76"/>
      <c r="K1154" s="76"/>
      <c r="L1154" s="76" t="str">
        <f>Annex!C888</f>
        <v xml:space="preserve">SGH </v>
      </c>
      <c r="M1154" s="88" t="s">
        <v>1445</v>
      </c>
    </row>
    <row r="1155" spans="1:13" ht="13.8" customHeight="1" x14ac:dyDescent="0.3">
      <c r="A1155" s="76">
        <f>Annex!A889</f>
        <v>1154</v>
      </c>
      <c r="B1155" s="76" t="str">
        <f>IF(LEFT(Annex!H889,5)="Local","Local Transmission",Annex!H889)</f>
        <v>Local Transmission</v>
      </c>
      <c r="C1155" s="76" t="str">
        <f>Annex!J889</f>
        <v>Female</v>
      </c>
      <c r="D1155" s="76">
        <f>Annex!D889</f>
        <v>60</v>
      </c>
      <c r="E1155" s="76" t="str">
        <f>Annex!K889</f>
        <v>Singaporean</v>
      </c>
      <c r="F1155" s="76" t="str">
        <f>Annex!L889</f>
        <v xml:space="preserve">Case 1154 is a Local unlinked case, 60 years old female Singapore Citizen  and has not been overseas. She is currently admitted at SGH . </v>
      </c>
      <c r="G1155" s="78">
        <v>43925</v>
      </c>
      <c r="H1155" s="76"/>
      <c r="I1155" s="76"/>
      <c r="J1155" s="76"/>
      <c r="K1155" s="76"/>
      <c r="L1155" s="76" t="str">
        <f>Annex!C889</f>
        <v xml:space="preserve">SGH </v>
      </c>
      <c r="M1155" s="88" t="s">
        <v>1445</v>
      </c>
    </row>
    <row r="1156" spans="1:13" ht="13.8" customHeight="1" x14ac:dyDescent="0.3">
      <c r="A1156" s="76">
        <f>Annex!A890</f>
        <v>1155</v>
      </c>
      <c r="B1156" s="76" t="str">
        <f>IF(LEFT(Annex!H890,5)="Local","Local Transmission",Annex!H890)</f>
        <v>Local Transmission</v>
      </c>
      <c r="C1156" s="76" t="str">
        <f>Annex!J890</f>
        <v>Male</v>
      </c>
      <c r="D1156" s="76">
        <f>Annex!D890</f>
        <v>32</v>
      </c>
      <c r="E1156" s="76" t="str">
        <f>Annex!K890</f>
        <v>Bangladesh</v>
      </c>
      <c r="F1156" s="76" t="str">
        <f>Annex!L890</f>
        <v>Case 1155 is a Local linked  case, 32 years old male Bangladesh (Long Term Pass holder)  and has not been overseas. He is currently admitted at SGH . S11 Dormitory</v>
      </c>
      <c r="G1156" s="78">
        <v>43925</v>
      </c>
      <c r="H1156" s="76"/>
      <c r="I1156" s="76"/>
      <c r="J1156" s="76"/>
      <c r="K1156" s="76"/>
      <c r="L1156" s="76" t="str">
        <f>Annex!C890</f>
        <v xml:space="preserve">SGH </v>
      </c>
      <c r="M1156" s="88" t="s">
        <v>1445</v>
      </c>
    </row>
    <row r="1157" spans="1:13" ht="13.8" customHeight="1" x14ac:dyDescent="0.3">
      <c r="A1157" s="76">
        <f>Annex!A891</f>
        <v>1156</v>
      </c>
      <c r="B1157" s="76" t="str">
        <f>IF(LEFT(Annex!H891,5)="Local","Local Transmission",Annex!H891)</f>
        <v>Local Transmission</v>
      </c>
      <c r="C1157" s="76" t="str">
        <f>Annex!J891</f>
        <v>Male</v>
      </c>
      <c r="D1157" s="76">
        <f>Annex!D891</f>
        <v>28</v>
      </c>
      <c r="E1157" s="76" t="str">
        <f>Annex!K891</f>
        <v>Bangladesh</v>
      </c>
      <c r="F1157" s="76" t="str">
        <f>Annex!L891</f>
        <v>Case 1156 is a Local linked  case, 28 years old male Bangladesh (Long Term Pass holder)  and has not been overseas. He is currently admitted at SGH . S11 Dormitory</v>
      </c>
      <c r="G1157" s="78">
        <v>43925</v>
      </c>
      <c r="H1157" s="76"/>
      <c r="I1157" s="76"/>
      <c r="J1157" s="76"/>
      <c r="K1157" s="76"/>
      <c r="L1157" s="76" t="str">
        <f>Annex!C891</f>
        <v xml:space="preserve">SGH </v>
      </c>
      <c r="M1157" s="88" t="s">
        <v>1445</v>
      </c>
    </row>
    <row r="1158" spans="1:13" ht="13.8" customHeight="1" x14ac:dyDescent="0.3">
      <c r="A1158" s="76">
        <f>Annex!A892</f>
        <v>1157</v>
      </c>
      <c r="B1158" s="76" t="str">
        <f>IF(LEFT(Annex!H892,5)="Local","Local Transmission",Annex!H892)</f>
        <v>Local Transmission</v>
      </c>
      <c r="C1158" s="76" t="str">
        <f>Annex!J892</f>
        <v>Male</v>
      </c>
      <c r="D1158" s="76">
        <f>Annex!D892</f>
        <v>20</v>
      </c>
      <c r="E1158" s="76" t="str">
        <f>Annex!K892</f>
        <v>Singaporean</v>
      </c>
      <c r="F1158" s="76" t="str">
        <f>Annex!L892</f>
        <v xml:space="preserve">Case 1157 is a Local unlinked case, 20 years old male Singapore Citizen  and has not been overseas. He is currently admitted at KKH . </v>
      </c>
      <c r="G1158" s="78">
        <v>43925</v>
      </c>
      <c r="H1158" s="76"/>
      <c r="I1158" s="76"/>
      <c r="J1158" s="76"/>
      <c r="K1158" s="76"/>
      <c r="L1158" s="76" t="str">
        <f>Annex!C892</f>
        <v xml:space="preserve">KKH </v>
      </c>
      <c r="M1158" s="88" t="s">
        <v>1445</v>
      </c>
    </row>
    <row r="1159" spans="1:13" ht="13.8" customHeight="1" x14ac:dyDescent="0.3">
      <c r="A1159" s="76">
        <f>Annex!A893</f>
        <v>1158</v>
      </c>
      <c r="B1159" s="76" t="str">
        <f>IF(LEFT(Annex!H893,5)="Local","Local Transmission",Annex!H893)</f>
        <v>Local Transmission</v>
      </c>
      <c r="C1159" s="76" t="str">
        <f>Annex!J893</f>
        <v>Male</v>
      </c>
      <c r="D1159" s="76">
        <f>Annex!D893</f>
        <v>62</v>
      </c>
      <c r="E1159" s="76" t="str">
        <f>Annex!K893</f>
        <v>Singaporean</v>
      </c>
      <c r="F1159" s="76" t="str">
        <f>Annex!L893</f>
        <v>Case 1158 is a Local linked  case, 62 years old male Singapore Citizen  and has not been overseas. He is currently admitted at NUH . Keppel Shipyard</v>
      </c>
      <c r="G1159" s="78">
        <v>43925</v>
      </c>
      <c r="H1159" s="76"/>
      <c r="I1159" s="76"/>
      <c r="J1159" s="76"/>
      <c r="K1159" s="76"/>
      <c r="L1159" s="76" t="str">
        <f>Annex!C893</f>
        <v xml:space="preserve">NUH </v>
      </c>
      <c r="M1159" s="88" t="s">
        <v>1445</v>
      </c>
    </row>
    <row r="1160" spans="1:13" ht="13.8" customHeight="1" x14ac:dyDescent="0.3">
      <c r="A1160" s="76">
        <f>Annex!A894</f>
        <v>1159</v>
      </c>
      <c r="B1160" s="76" t="str">
        <f>IF(LEFT(Annex!H894,5)="Local","Local Transmission",Annex!H894)</f>
        <v>Local Transmission</v>
      </c>
      <c r="C1160" s="76" t="str">
        <f>Annex!J894</f>
        <v>Female</v>
      </c>
      <c r="D1160" s="76">
        <f>Annex!D894</f>
        <v>33</v>
      </c>
      <c r="E1160" s="76" t="str">
        <f>Annex!K894</f>
        <v>Singaporean</v>
      </c>
      <c r="F1160" s="76" t="str">
        <f>Annex!L894</f>
        <v xml:space="preserve">Case 1159 is a Local unlinked case, 33 years old female Singapore Citizen  and has not been overseas. She is currently admitted at NCID . </v>
      </c>
      <c r="G1160" s="78">
        <v>43925</v>
      </c>
      <c r="H1160" s="76"/>
      <c r="I1160" s="76"/>
      <c r="J1160" s="76"/>
      <c r="K1160" s="76"/>
      <c r="L1160" s="76" t="str">
        <f>Annex!C894</f>
        <v xml:space="preserve">NCID </v>
      </c>
      <c r="M1160" s="88" t="s">
        <v>1445</v>
      </c>
    </row>
    <row r="1161" spans="1:13" ht="13.8" customHeight="1" x14ac:dyDescent="0.3">
      <c r="A1161" s="76">
        <f>Annex!A895</f>
        <v>1160</v>
      </c>
      <c r="B1161" s="76" t="str">
        <f>IF(LEFT(Annex!H895,5)="Local","Local Transmission",Annex!H895)</f>
        <v>Local Transmission</v>
      </c>
      <c r="C1161" s="76" t="str">
        <f>Annex!J895</f>
        <v>Male</v>
      </c>
      <c r="D1161" s="76">
        <f>Annex!D895</f>
        <v>55</v>
      </c>
      <c r="E1161" s="76" t="str">
        <f>Annex!K895</f>
        <v>Singaporean</v>
      </c>
      <c r="F1161" s="76" t="str">
        <f>Annex!L895</f>
        <v xml:space="preserve">Case 1160 is a Local unlinked case, 55 years old male Singapore Citizen  and has not been overseas. He is currently admitted at NCID . </v>
      </c>
      <c r="G1161" s="78">
        <v>43925</v>
      </c>
      <c r="H1161" s="76"/>
      <c r="I1161" s="76"/>
      <c r="J1161" s="76"/>
      <c r="K1161" s="76"/>
      <c r="L1161" s="76" t="str">
        <f>Annex!C895</f>
        <v xml:space="preserve">NCID </v>
      </c>
      <c r="M1161" s="88" t="s">
        <v>1445</v>
      </c>
    </row>
    <row r="1162" spans="1:13" ht="13.8" customHeight="1" x14ac:dyDescent="0.3">
      <c r="A1162" s="76">
        <f>Annex!A896</f>
        <v>1161</v>
      </c>
      <c r="B1162" s="76" t="str">
        <f>IF(LEFT(Annex!H896,5)="Local","Local Transmission",Annex!H896)</f>
        <v>Local Transmission</v>
      </c>
      <c r="C1162" s="76" t="str">
        <f>Annex!J896</f>
        <v>Male</v>
      </c>
      <c r="D1162" s="76">
        <f>Annex!D896</f>
        <v>19</v>
      </c>
      <c r="E1162" s="76" t="str">
        <f>Annex!K896</f>
        <v>Singaporean</v>
      </c>
      <c r="F1162" s="76" t="str">
        <f>Annex!L896</f>
        <v xml:space="preserve">Case 1161 is a Local unlinked case, 19 years old male Singapore Citizen  and has not been overseas. He is currently admitted at NCID . </v>
      </c>
      <c r="G1162" s="78">
        <v>43925</v>
      </c>
      <c r="H1162" s="76"/>
      <c r="I1162" s="76"/>
      <c r="J1162" s="76"/>
      <c r="K1162" s="76"/>
      <c r="L1162" s="76" t="str">
        <f>Annex!C896</f>
        <v xml:space="preserve">NCID </v>
      </c>
      <c r="M1162" s="88" t="s">
        <v>1445</v>
      </c>
    </row>
    <row r="1163" spans="1:13" ht="13.8" customHeight="1" x14ac:dyDescent="0.3">
      <c r="A1163" s="76">
        <f>Annex!A897</f>
        <v>1162</v>
      </c>
      <c r="B1163" s="76" t="str">
        <f>IF(LEFT(Annex!H897,5)="Local","Local Transmission",Annex!H897)</f>
        <v>Local Transmission</v>
      </c>
      <c r="C1163" s="76" t="str">
        <f>Annex!J897</f>
        <v>Male</v>
      </c>
      <c r="D1163" s="76">
        <f>Annex!D897</f>
        <v>35</v>
      </c>
      <c r="E1163" s="76" t="str">
        <f>Annex!K897</f>
        <v>Bangladesh</v>
      </c>
      <c r="F1163" s="76" t="str">
        <f>Annex!L897</f>
        <v>Case 1162 is a Local linked  case, 35 years old male Bangladesh (Singapore Work Pass holder)  and has not been overseas. He is currently admitted at NCID . Contact of Case 1078</v>
      </c>
      <c r="G1163" s="78">
        <v>43925</v>
      </c>
      <c r="H1163" s="76"/>
      <c r="I1163" s="76"/>
      <c r="J1163" s="76"/>
      <c r="K1163" s="76"/>
      <c r="L1163" s="76" t="str">
        <f>Annex!C897</f>
        <v xml:space="preserve">NCID </v>
      </c>
      <c r="M1163" s="88" t="s">
        <v>1445</v>
      </c>
    </row>
    <row r="1164" spans="1:13" ht="13.8" customHeight="1" x14ac:dyDescent="0.3">
      <c r="A1164" s="76">
        <f>Annex!A898</f>
        <v>1163</v>
      </c>
      <c r="B1164" s="76" t="str">
        <f>IF(LEFT(Annex!H898,5)="Local","Local Transmission",Annex!H898)</f>
        <v>Local Transmission</v>
      </c>
      <c r="C1164" s="76" t="str">
        <f>Annex!J898</f>
        <v>Male</v>
      </c>
      <c r="D1164" s="76">
        <f>Annex!D898</f>
        <v>52</v>
      </c>
      <c r="E1164" s="76" t="str">
        <f>Annex!K898</f>
        <v>India</v>
      </c>
      <c r="F1164" s="76" t="str">
        <f>Annex!L898</f>
        <v xml:space="preserve">Case 1163 is a Local unlinked case, 52 years old male India (Singapore Work Pass holder)  and has not been overseas. He is currently admitted at NCID . </v>
      </c>
      <c r="G1164" s="78">
        <v>43925</v>
      </c>
      <c r="H1164" s="76"/>
      <c r="I1164" s="76"/>
      <c r="J1164" s="76"/>
      <c r="K1164" s="76"/>
      <c r="L1164" s="76" t="str">
        <f>Annex!C898</f>
        <v xml:space="preserve">NCID </v>
      </c>
      <c r="M1164" s="88" t="s">
        <v>1445</v>
      </c>
    </row>
    <row r="1165" spans="1:13" ht="13.8" customHeight="1" x14ac:dyDescent="0.3">
      <c r="A1165" s="76">
        <f>Annex!A899</f>
        <v>1164</v>
      </c>
      <c r="B1165" s="76" t="str">
        <f>IF(LEFT(Annex!H899,5)="Local","Local Transmission",Annex!H899)</f>
        <v>Local Transmission</v>
      </c>
      <c r="C1165" s="76" t="str">
        <f>Annex!J899</f>
        <v>Male</v>
      </c>
      <c r="D1165" s="76">
        <f>Annex!D899</f>
        <v>27</v>
      </c>
      <c r="E1165" s="76" t="str">
        <f>Annex!K899</f>
        <v>Bangladesh</v>
      </c>
      <c r="F1165" s="76" t="str">
        <f>Annex!L899</f>
        <v xml:space="preserve">Case 1164 is a Local unlinked case, 27 years old male Bangladesh (Long Term Pass holder)  and has not been overseas. He is currently admitted at NCID . </v>
      </c>
      <c r="G1165" s="78">
        <v>43925</v>
      </c>
      <c r="H1165" s="76"/>
      <c r="I1165" s="76"/>
      <c r="J1165" s="76"/>
      <c r="K1165" s="76"/>
      <c r="L1165" s="76" t="str">
        <f>Annex!C899</f>
        <v xml:space="preserve">NCID </v>
      </c>
      <c r="M1165" s="88" t="s">
        <v>1445</v>
      </c>
    </row>
    <row r="1166" spans="1:13" ht="13.8" customHeight="1" x14ac:dyDescent="0.3">
      <c r="A1166" s="76">
        <f>Annex!A900</f>
        <v>1165</v>
      </c>
      <c r="B1166" s="76" t="str">
        <f>IF(LEFT(Annex!H900,5)="Local","Local Transmission",Annex!H900)</f>
        <v>Imported</v>
      </c>
      <c r="C1166" s="76" t="str">
        <f>Annex!J900</f>
        <v>Male</v>
      </c>
      <c r="D1166" s="76">
        <f>Annex!D900</f>
        <v>60</v>
      </c>
      <c r="E1166" s="76" t="str">
        <f>Annex!K900</f>
        <v>Singaporean</v>
      </c>
      <c r="F1166" s="76" t="str">
        <f>Annex!L900</f>
        <v xml:space="preserve">Case 1165 is a Imported case, 60 years old male Singapore Citizen  and has been to Turkey . He is currently admitted at NCID . </v>
      </c>
      <c r="G1166" s="78">
        <v>43925</v>
      </c>
      <c r="H1166" s="76"/>
      <c r="I1166" s="76"/>
      <c r="J1166" s="76"/>
      <c r="K1166" s="76"/>
      <c r="L1166" s="76" t="str">
        <f>Annex!C900</f>
        <v xml:space="preserve">NCID </v>
      </c>
      <c r="M1166" s="88" t="s">
        <v>1445</v>
      </c>
    </row>
    <row r="1167" spans="1:13" ht="13.8" customHeight="1" x14ac:dyDescent="0.3">
      <c r="A1167" s="76">
        <f>Annex!A901</f>
        <v>1166</v>
      </c>
      <c r="B1167" s="76" t="str">
        <f>IF(LEFT(Annex!H901,5)="Local","Local Transmission",Annex!H901)</f>
        <v>Local Transmission</v>
      </c>
      <c r="C1167" s="76" t="str">
        <f>Annex!J901</f>
        <v>Male</v>
      </c>
      <c r="D1167" s="76">
        <f>Annex!D901</f>
        <v>62</v>
      </c>
      <c r="E1167" s="76" t="str">
        <f>Annex!K901</f>
        <v>UK</v>
      </c>
      <c r="F1167" s="76" t="str">
        <f>Annex!L901</f>
        <v xml:space="preserve">Case 1166 is a Local unlinked case, 62 years old male UK (Singapore Work Pass holder)  and has not been overseas. He is currently admitted at NCID . </v>
      </c>
      <c r="G1167" s="78">
        <v>43925</v>
      </c>
      <c r="H1167" s="76"/>
      <c r="I1167" s="76"/>
      <c r="J1167" s="76"/>
      <c r="K1167" s="76"/>
      <c r="L1167" s="76" t="str">
        <f>Annex!C901</f>
        <v xml:space="preserve">NCID </v>
      </c>
      <c r="M1167" s="88" t="s">
        <v>1445</v>
      </c>
    </row>
    <row r="1168" spans="1:13" ht="13.8" customHeight="1" x14ac:dyDescent="0.3">
      <c r="A1168" s="76">
        <f>Annex!A902</f>
        <v>1167</v>
      </c>
      <c r="B1168" s="76" t="str">
        <f>IF(LEFT(Annex!H902,5)="Local","Local Transmission",Annex!H902)</f>
        <v>Local Transmission</v>
      </c>
      <c r="C1168" s="76" t="str">
        <f>Annex!J902</f>
        <v>Female</v>
      </c>
      <c r="D1168" s="76">
        <f>Annex!D902</f>
        <v>58</v>
      </c>
      <c r="E1168" s="76" t="str">
        <f>Annex!K902</f>
        <v>Singaporean</v>
      </c>
      <c r="F1168" s="76" t="str">
        <f>Annex!L902</f>
        <v xml:space="preserve">Case 1167 is a Local unlinked case, 58 years old female Singapore Citizen  and has not been overseas. She is currently admitted at NCID . </v>
      </c>
      <c r="G1168" s="78">
        <v>43925</v>
      </c>
      <c r="H1168" s="76"/>
      <c r="I1168" s="76"/>
      <c r="J1168" s="76"/>
      <c r="K1168" s="76"/>
      <c r="L1168" s="76" t="str">
        <f>Annex!C902</f>
        <v xml:space="preserve">NCID </v>
      </c>
      <c r="M1168" s="88" t="s">
        <v>1445</v>
      </c>
    </row>
    <row r="1169" spans="1:13" ht="13.8" customHeight="1" x14ac:dyDescent="0.3">
      <c r="A1169" s="76">
        <f>Annex!A903</f>
        <v>1168</v>
      </c>
      <c r="B1169" s="76" t="str">
        <f>IF(LEFT(Annex!H903,5)="Local","Local Transmission",Annex!H903)</f>
        <v>Local Transmission</v>
      </c>
      <c r="C1169" s="76" t="str">
        <f>Annex!J903</f>
        <v>Female</v>
      </c>
      <c r="D1169" s="76">
        <f>Annex!D903</f>
        <v>60</v>
      </c>
      <c r="E1169" s="76" t="str">
        <f>Annex!K903</f>
        <v>Singaporean</v>
      </c>
      <c r="F1169" s="76" t="str">
        <f>Annex!L903</f>
        <v>Case 1168 is a Local linked  case, 60 years old female Singapore Citizen  and has not been overseas. She is currently admitted at NCID . Family member of Case 933</v>
      </c>
      <c r="G1169" s="78">
        <v>43925</v>
      </c>
      <c r="H1169" s="76"/>
      <c r="I1169" s="76"/>
      <c r="J1169" s="76"/>
      <c r="K1169" s="76"/>
      <c r="L1169" s="76" t="str">
        <f>Annex!C903</f>
        <v xml:space="preserve">NCID </v>
      </c>
      <c r="M1169" s="88" t="s">
        <v>1445</v>
      </c>
    </row>
    <row r="1170" spans="1:13" ht="13.8" customHeight="1" x14ac:dyDescent="0.3">
      <c r="A1170" s="76">
        <f>Annex!A904</f>
        <v>1169</v>
      </c>
      <c r="B1170" s="76" t="str">
        <f>IF(LEFT(Annex!H904,5)="Local","Local Transmission",Annex!H904)</f>
        <v>Local Transmission</v>
      </c>
      <c r="C1170" s="76" t="str">
        <f>Annex!J904</f>
        <v>Male</v>
      </c>
      <c r="D1170" s="76">
        <f>Annex!D904</f>
        <v>55</v>
      </c>
      <c r="E1170" s="76" t="str">
        <f>Annex!K904</f>
        <v>Singaporean</v>
      </c>
      <c r="F1170" s="76" t="str">
        <f>Annex!L904</f>
        <v xml:space="preserve">Case 1169 is a Local unlinked case, 55 years old male Singapore Citizen  and has not been overseas. He is currently admitted at NCID . </v>
      </c>
      <c r="G1170" s="78">
        <v>43925</v>
      </c>
      <c r="H1170" s="76"/>
      <c r="I1170" s="76"/>
      <c r="J1170" s="76"/>
      <c r="K1170" s="76"/>
      <c r="L1170" s="76" t="str">
        <f>Annex!C904</f>
        <v xml:space="preserve">NCID </v>
      </c>
      <c r="M1170" s="88" t="s">
        <v>1445</v>
      </c>
    </row>
    <row r="1171" spans="1:13" ht="13.8" customHeight="1" x14ac:dyDescent="0.3">
      <c r="A1171" s="76">
        <f>Annex!A905</f>
        <v>1170</v>
      </c>
      <c r="B1171" s="76" t="str">
        <f>IF(LEFT(Annex!H905,5)="Local","Local Transmission",Annex!H905)</f>
        <v>Local Transmission</v>
      </c>
      <c r="C1171" s="76" t="str">
        <f>Annex!J905</f>
        <v>Female</v>
      </c>
      <c r="D1171" s="76">
        <f>Annex!D905</f>
        <v>54</v>
      </c>
      <c r="E1171" s="76" t="str">
        <f>Annex!K905</f>
        <v>Singaporean</v>
      </c>
      <c r="F1171" s="76" t="str">
        <f>Annex!L905</f>
        <v>Case 1170 is a Local linked  case, 54 years old female Singapore Permanent Resident  and has not been overseas. She is currently admitted at NCID . Family member of Case 953</v>
      </c>
      <c r="G1171" s="78">
        <v>43925</v>
      </c>
      <c r="H1171" s="76"/>
      <c r="I1171" s="76"/>
      <c r="J1171" s="76"/>
      <c r="K1171" s="76"/>
      <c r="L1171" s="76" t="str">
        <f>Annex!C905</f>
        <v xml:space="preserve">NCID </v>
      </c>
      <c r="M1171" s="88" t="s">
        <v>1445</v>
      </c>
    </row>
    <row r="1172" spans="1:13" ht="13.8" customHeight="1" x14ac:dyDescent="0.3">
      <c r="A1172" s="76">
        <f>Annex!A906</f>
        <v>1171</v>
      </c>
      <c r="B1172" s="76" t="str">
        <f>IF(LEFT(Annex!H906,5)="Local","Local Transmission",Annex!H906)</f>
        <v>Local Transmission</v>
      </c>
      <c r="C1172" s="76" t="str">
        <f>Annex!J906</f>
        <v>Male</v>
      </c>
      <c r="D1172" s="76">
        <f>Annex!D906</f>
        <v>35</v>
      </c>
      <c r="E1172" s="76" t="str">
        <f>Annex!K906</f>
        <v xml:space="preserve">Bangladesh </v>
      </c>
      <c r="F1172" s="76" t="str">
        <f>Annex!L906</f>
        <v xml:space="preserve">Case 1171 is a Local linked  case, 35 years old male Bangladesh  (Singapore Work Pass holder)  and has not been overseas. He is currently admitted at NCID . S11 Dormitory </v>
      </c>
      <c r="G1172" s="78">
        <v>43925</v>
      </c>
      <c r="H1172" s="76"/>
      <c r="I1172" s="76"/>
      <c r="J1172" s="76"/>
      <c r="K1172" s="76"/>
      <c r="L1172" s="76" t="str">
        <f>Annex!C906</f>
        <v xml:space="preserve">NCID </v>
      </c>
      <c r="M1172" s="88" t="s">
        <v>1445</v>
      </c>
    </row>
    <row r="1173" spans="1:13" ht="13.8" customHeight="1" x14ac:dyDescent="0.3">
      <c r="A1173" s="76">
        <f>Annex!A907</f>
        <v>1172</v>
      </c>
      <c r="B1173" s="76" t="str">
        <f>IF(LEFT(Annex!H907,5)="Local","Local Transmission",Annex!H907)</f>
        <v>Local Transmission</v>
      </c>
      <c r="C1173" s="76" t="str">
        <f>Annex!J907</f>
        <v>Male</v>
      </c>
      <c r="D1173" s="76">
        <f>Annex!D907</f>
        <v>64</v>
      </c>
      <c r="E1173" s="76" t="str">
        <f>Annex!K907</f>
        <v>Singaporean</v>
      </c>
      <c r="F1173" s="76" t="str">
        <f>Annex!L907</f>
        <v>Case 1172 is a Local linked  case, 64 years old male Singapore Citizen  and has not been overseas. He is currently admitted at NCID . Keppel Shipyard</v>
      </c>
      <c r="G1173" s="78">
        <v>43925</v>
      </c>
      <c r="H1173" s="76"/>
      <c r="I1173" s="76"/>
      <c r="J1173" s="76"/>
      <c r="K1173" s="76"/>
      <c r="L1173" s="76" t="str">
        <f>Annex!C907</f>
        <v xml:space="preserve">NCID </v>
      </c>
      <c r="M1173" s="88" t="s">
        <v>1445</v>
      </c>
    </row>
    <row r="1174" spans="1:13" ht="13.8" customHeight="1" x14ac:dyDescent="0.3">
      <c r="A1174" s="76">
        <f>Annex!A908</f>
        <v>1173</v>
      </c>
      <c r="B1174" s="76" t="str">
        <f>IF(LEFT(Annex!H908,5)="Local","Local Transmission",Annex!H908)</f>
        <v>Local Transmission</v>
      </c>
      <c r="C1174" s="76" t="str">
        <f>Annex!J908</f>
        <v>Male</v>
      </c>
      <c r="D1174" s="76">
        <f>Annex!D908</f>
        <v>35</v>
      </c>
      <c r="E1174" s="76" t="str">
        <f>Annex!K908</f>
        <v>Bangladesh</v>
      </c>
      <c r="F1174" s="76" t="str">
        <f>Annex!L908</f>
        <v>Case 1173 is a Local linked  case, 35 years old male Bangladesh (Singapore Work Pass holder)  and has not been overseas. He is currently admitted at NCID . S11 Dormitory</v>
      </c>
      <c r="G1174" s="78">
        <v>43925</v>
      </c>
      <c r="H1174" s="76"/>
      <c r="I1174" s="76"/>
      <c r="J1174" s="76"/>
      <c r="K1174" s="76"/>
      <c r="L1174" s="76" t="str">
        <f>Annex!C908</f>
        <v xml:space="preserve">NCID </v>
      </c>
      <c r="M1174" s="88" t="s">
        <v>1445</v>
      </c>
    </row>
    <row r="1175" spans="1:13" ht="13.8" customHeight="1" x14ac:dyDescent="0.3">
      <c r="A1175" s="76">
        <f>Annex!A909</f>
        <v>1174</v>
      </c>
      <c r="B1175" s="76" t="str">
        <f>IF(LEFT(Annex!H909,5)="Local","Local Transmission",Annex!H909)</f>
        <v>Local Transmission</v>
      </c>
      <c r="C1175" s="76" t="str">
        <f>Annex!J909</f>
        <v>Male</v>
      </c>
      <c r="D1175" s="76">
        <f>Annex!D909</f>
        <v>40</v>
      </c>
      <c r="E1175" s="76" t="str">
        <f>Annex!K909</f>
        <v>India</v>
      </c>
      <c r="F1175" s="76" t="str">
        <f>Annex!L909</f>
        <v>Case 1174 is a Local linked  case, 40 years old male India (Long Term Pass holder)  and has not been overseas. He is currently admitted at NCID . S11 Dormitory</v>
      </c>
      <c r="G1175" s="78">
        <v>43925</v>
      </c>
      <c r="H1175" s="76"/>
      <c r="I1175" s="76"/>
      <c r="J1175" s="76"/>
      <c r="K1175" s="76"/>
      <c r="L1175" s="76" t="str">
        <f>Annex!C909</f>
        <v xml:space="preserve">NCID </v>
      </c>
      <c r="M1175" s="88" t="s">
        <v>1445</v>
      </c>
    </row>
    <row r="1176" spans="1:13" ht="13.8" customHeight="1" x14ac:dyDescent="0.3">
      <c r="A1176" s="76">
        <f>Annex!A910</f>
        <v>1175</v>
      </c>
      <c r="B1176" s="76" t="str">
        <f>IF(LEFT(Annex!H910,5)="Local","Local Transmission",Annex!H910)</f>
        <v>Imported</v>
      </c>
      <c r="C1176" s="76" t="str">
        <f>Annex!J910</f>
        <v>Male</v>
      </c>
      <c r="D1176" s="76">
        <f>Annex!D910</f>
        <v>32</v>
      </c>
      <c r="E1176" s="76" t="str">
        <f>Annex!K910</f>
        <v>Malaysia</v>
      </c>
      <c r="F1176" s="76" t="str">
        <f>Annex!L910</f>
        <v xml:space="preserve">Case 1175 is a Imported case, 32 years old male Malaysia (Singapore Work Pass holder)  and has been to Malaysia . He is currently admitted at NCID . </v>
      </c>
      <c r="G1176" s="78">
        <v>43925</v>
      </c>
      <c r="H1176" s="76"/>
      <c r="I1176" s="76"/>
      <c r="J1176" s="76"/>
      <c r="K1176" s="76"/>
      <c r="L1176" s="76" t="str">
        <f>Annex!C910</f>
        <v xml:space="preserve">NCID </v>
      </c>
      <c r="M1176" s="88" t="s">
        <v>1445</v>
      </c>
    </row>
    <row r="1177" spans="1:13" ht="13.8" customHeight="1" x14ac:dyDescent="0.3">
      <c r="A1177" s="76">
        <f>Annex!A911</f>
        <v>1176</v>
      </c>
      <c r="B1177" s="76" t="str">
        <f>IF(LEFT(Annex!H911,5)="Local","Local Transmission",Annex!H911)</f>
        <v>Local Transmission</v>
      </c>
      <c r="C1177" s="76" t="str">
        <f>Annex!J911</f>
        <v>Male</v>
      </c>
      <c r="D1177" s="76">
        <f>Annex!D911</f>
        <v>33</v>
      </c>
      <c r="E1177" s="76" t="str">
        <f>Annex!K911</f>
        <v>Bangladesh</v>
      </c>
      <c r="F1177" s="76" t="str">
        <f>Annex!L911</f>
        <v>Case 1176 is a Local linked  case, 33 years old male Bangladesh (Long Term Pass holder)  and has not been overseas. He is currently admitted at NCID . Westlite Toh Guan</v>
      </c>
      <c r="G1177" s="78">
        <v>43925</v>
      </c>
      <c r="H1177" s="76"/>
      <c r="I1177" s="76"/>
      <c r="J1177" s="76"/>
      <c r="K1177" s="76"/>
      <c r="L1177" s="76" t="str">
        <f>Annex!C911</f>
        <v xml:space="preserve">NCID </v>
      </c>
      <c r="M1177" s="88" t="s">
        <v>1445</v>
      </c>
    </row>
    <row r="1178" spans="1:13" ht="13.8" customHeight="1" x14ac:dyDescent="0.3">
      <c r="A1178" s="76">
        <f>Annex!A912</f>
        <v>1177</v>
      </c>
      <c r="B1178" s="76" t="str">
        <f>IF(LEFT(Annex!H912,5)="Local","Local Transmission",Annex!H912)</f>
        <v>Imported</v>
      </c>
      <c r="C1178" s="76" t="str">
        <f>Annex!J912</f>
        <v>Male</v>
      </c>
      <c r="D1178" s="76">
        <f>Annex!D912</f>
        <v>25</v>
      </c>
      <c r="E1178" s="76" t="str">
        <f>Annex!K912</f>
        <v>Singaporean</v>
      </c>
      <c r="F1178" s="76" t="str">
        <f>Annex!L912</f>
        <v xml:space="preserve">Case 1177 is a Imported case, 25 years old male Singapore Citizen  and has been to UK . He is currently admitted at NCID . </v>
      </c>
      <c r="G1178" s="78">
        <v>43925</v>
      </c>
      <c r="H1178" s="76"/>
      <c r="I1178" s="76"/>
      <c r="J1178" s="76"/>
      <c r="K1178" s="76"/>
      <c r="L1178" s="76" t="str">
        <f>Annex!C912</f>
        <v xml:space="preserve">NCID </v>
      </c>
      <c r="M1178" s="88" t="s">
        <v>1445</v>
      </c>
    </row>
    <row r="1179" spans="1:13" ht="13.8" customHeight="1" x14ac:dyDescent="0.3">
      <c r="A1179" s="76">
        <f>Annex!A913</f>
        <v>1178</v>
      </c>
      <c r="B1179" s="76" t="str">
        <f>IF(LEFT(Annex!H913,5)="Local","Local Transmission",Annex!H913)</f>
        <v>Local Transmission</v>
      </c>
      <c r="C1179" s="76" t="str">
        <f>Annex!J913</f>
        <v>Male</v>
      </c>
      <c r="D1179" s="76">
        <f>Annex!D913</f>
        <v>24</v>
      </c>
      <c r="E1179" s="76" t="str">
        <f>Annex!K913</f>
        <v>Bangladesh</v>
      </c>
      <c r="F1179" s="76" t="str">
        <f>Annex!L913</f>
        <v xml:space="preserve">Case 1178 is a Local unlinked case, 24 years old male Bangladesh (Singapore Work Pass holder)  and has not been overseas. He is currently admitted at NCID . </v>
      </c>
      <c r="G1179" s="78">
        <v>43925</v>
      </c>
      <c r="H1179" s="76"/>
      <c r="I1179" s="76"/>
      <c r="J1179" s="76"/>
      <c r="K1179" s="76"/>
      <c r="L1179" s="76" t="str">
        <f>Annex!C913</f>
        <v xml:space="preserve">NCID </v>
      </c>
      <c r="M1179" s="88" t="s">
        <v>1445</v>
      </c>
    </row>
    <row r="1180" spans="1:13" ht="13.8" customHeight="1" x14ac:dyDescent="0.3">
      <c r="A1180" s="76">
        <f>Annex!A914</f>
        <v>1179</v>
      </c>
      <c r="B1180" s="76" t="str">
        <f>IF(LEFT(Annex!H914,5)="Local","Local Transmission",Annex!H914)</f>
        <v>Local Transmission</v>
      </c>
      <c r="C1180" s="76" t="str">
        <f>Annex!J914</f>
        <v>Female</v>
      </c>
      <c r="D1180" s="76">
        <f>Annex!D914</f>
        <v>23</v>
      </c>
      <c r="E1180" s="76" t="str">
        <f>Annex!K914</f>
        <v>Singaporean</v>
      </c>
      <c r="F1180" s="76" t="str">
        <f>Annex!L914</f>
        <v xml:space="preserve">Case 1179 is a Local unlinked case, 23 years old female Singapore Citizen  and has not been overseas. She is currently admitted at NCID . </v>
      </c>
      <c r="G1180" s="78">
        <v>43925</v>
      </c>
      <c r="H1180" s="76"/>
      <c r="I1180" s="76"/>
      <c r="J1180" s="76"/>
      <c r="K1180" s="76"/>
      <c r="L1180" s="76" t="str">
        <f>Annex!C914</f>
        <v xml:space="preserve">NCID </v>
      </c>
      <c r="M1180" s="88" t="s">
        <v>1445</v>
      </c>
    </row>
    <row r="1181" spans="1:13" ht="13.8" customHeight="1" x14ac:dyDescent="0.3">
      <c r="A1181" s="76">
        <f>Annex!A915</f>
        <v>1180</v>
      </c>
      <c r="B1181" s="76" t="str">
        <f>IF(LEFT(Annex!H915,5)="Local","Local Transmission",Annex!H915)</f>
        <v>Local Transmission</v>
      </c>
      <c r="C1181" s="76" t="str">
        <f>Annex!J915</f>
        <v>Male</v>
      </c>
      <c r="D1181" s="76">
        <f>Annex!D915</f>
        <v>42</v>
      </c>
      <c r="E1181" s="76" t="str">
        <f>Annex!K915</f>
        <v>Singaporean</v>
      </c>
      <c r="F1181" s="76" t="str">
        <f>Annex!L915</f>
        <v>Case 1180 is a Local linked  case, 42 years old male Singapore Citizen  and has not been overseas. He is currently admitted at NCID . Mustafa Centre</v>
      </c>
      <c r="G1181" s="78">
        <v>43925</v>
      </c>
      <c r="H1181" s="76"/>
      <c r="I1181" s="76"/>
      <c r="J1181" s="76"/>
      <c r="K1181" s="76"/>
      <c r="L1181" s="76" t="str">
        <f>Annex!C915</f>
        <v xml:space="preserve">NCID </v>
      </c>
      <c r="M1181" s="88" t="s">
        <v>1445</v>
      </c>
    </row>
    <row r="1182" spans="1:13" ht="13.8" customHeight="1" x14ac:dyDescent="0.3">
      <c r="A1182" s="76">
        <f>Annex!A916</f>
        <v>1181</v>
      </c>
      <c r="B1182" s="76" t="str">
        <f>IF(LEFT(Annex!H916,5)="Local","Local Transmission",Annex!H916)</f>
        <v>Local Transmission</v>
      </c>
      <c r="C1182" s="76" t="str">
        <f>Annex!J916</f>
        <v>Male</v>
      </c>
      <c r="D1182" s="76">
        <f>Annex!D916</f>
        <v>31</v>
      </c>
      <c r="E1182" s="76" t="str">
        <f>Annex!K916</f>
        <v>Bangladesh</v>
      </c>
      <c r="F1182" s="76" t="str">
        <f>Annex!L916</f>
        <v xml:space="preserve">Case 1181 is a Local unlinked case, 31 years old male Bangladesh (Long Term Pass holder)  and has not been overseas. He is currently admitted at NCID . </v>
      </c>
      <c r="G1182" s="78">
        <v>43925</v>
      </c>
      <c r="H1182" s="76"/>
      <c r="I1182" s="76"/>
      <c r="J1182" s="76"/>
      <c r="K1182" s="76"/>
      <c r="L1182" s="76" t="str">
        <f>Annex!C916</f>
        <v xml:space="preserve">NCID </v>
      </c>
      <c r="M1182" s="88" t="s">
        <v>1445</v>
      </c>
    </row>
    <row r="1183" spans="1:13" ht="13.8" customHeight="1" x14ac:dyDescent="0.3">
      <c r="A1183" s="76">
        <f>Annex!A917</f>
        <v>1182</v>
      </c>
      <c r="B1183" s="76" t="str">
        <f>IF(LEFT(Annex!H917,5)="Local","Local Transmission",Annex!H917)</f>
        <v>Local Transmission</v>
      </c>
      <c r="C1183" s="76" t="str">
        <f>Annex!J917</f>
        <v>Female</v>
      </c>
      <c r="D1183" s="76">
        <f>Annex!D917</f>
        <v>26</v>
      </c>
      <c r="E1183" s="76" t="str">
        <f>Annex!K917</f>
        <v>Singaporean</v>
      </c>
      <c r="F1183" s="76" t="str">
        <f>Annex!L917</f>
        <v xml:space="preserve">Case 1182 is a Local unlinked case, 26 years old female Singapore Citizen  and has not been overseas. She is currently admitted at NCID . </v>
      </c>
      <c r="G1183" s="78">
        <v>43925</v>
      </c>
      <c r="H1183" s="76"/>
      <c r="I1183" s="76"/>
      <c r="J1183" s="76"/>
      <c r="K1183" s="76"/>
      <c r="L1183" s="76" t="str">
        <f>Annex!C917</f>
        <v xml:space="preserve">NCID </v>
      </c>
      <c r="M1183" s="88" t="s">
        <v>1445</v>
      </c>
    </row>
    <row r="1184" spans="1:13" ht="13.8" customHeight="1" x14ac:dyDescent="0.3">
      <c r="A1184" s="76">
        <f>Annex!A918</f>
        <v>1183</v>
      </c>
      <c r="B1184" s="76" t="str">
        <f>IF(LEFT(Annex!H918,5)="Local","Local Transmission",Annex!H918)</f>
        <v>Local Transmission</v>
      </c>
      <c r="C1184" s="76" t="str">
        <f>Annex!J918</f>
        <v>Male</v>
      </c>
      <c r="D1184" s="76">
        <f>Annex!D918</f>
        <v>35</v>
      </c>
      <c r="E1184" s="76" t="str">
        <f>Annex!K918</f>
        <v>Bangladesh</v>
      </c>
      <c r="F1184" s="76" t="str">
        <f>Annex!L918</f>
        <v>Case 1183 is a Local linked  case, 35 years old male Bangladesh (Singapore Work Pass holder)  and has not been overseas. He is currently admitted at NCID . Contact of Case 1049</v>
      </c>
      <c r="G1184" s="78">
        <v>43925</v>
      </c>
      <c r="H1184" s="76"/>
      <c r="I1184" s="76"/>
      <c r="J1184" s="76"/>
      <c r="K1184" s="76"/>
      <c r="L1184" s="76" t="str">
        <f>Annex!C918</f>
        <v xml:space="preserve">NCID </v>
      </c>
      <c r="M1184" s="88" t="s">
        <v>1445</v>
      </c>
    </row>
    <row r="1185" spans="1:13" ht="13.8" customHeight="1" x14ac:dyDescent="0.3">
      <c r="A1185" s="76">
        <f>Annex!A919</f>
        <v>1184</v>
      </c>
      <c r="B1185" s="76" t="str">
        <f>IF(LEFT(Annex!H919,5)="Local","Local Transmission",Annex!H919)</f>
        <v>Local Transmission</v>
      </c>
      <c r="C1185" s="76" t="str">
        <f>Annex!J919</f>
        <v>Male</v>
      </c>
      <c r="D1185" s="76">
        <f>Annex!D919</f>
        <v>29</v>
      </c>
      <c r="E1185" s="76" t="str">
        <f>Annex!K919</f>
        <v>Bangladesh</v>
      </c>
      <c r="F1185" s="76" t="str">
        <f>Annex!L919</f>
        <v>Case 1184 is a Local linked  case, 29 years old male Bangladesh (Long Term Pass holder)  and has not been overseas. He is currently admitted at NCID . Contact of Case 1049</v>
      </c>
      <c r="G1185" s="78">
        <v>43925</v>
      </c>
      <c r="H1185" s="76"/>
      <c r="I1185" s="76"/>
      <c r="J1185" s="76"/>
      <c r="K1185" s="76"/>
      <c r="L1185" s="76" t="str">
        <f>Annex!C919</f>
        <v xml:space="preserve">NCID </v>
      </c>
      <c r="M1185" s="88" t="s">
        <v>1445</v>
      </c>
    </row>
    <row r="1186" spans="1:13" ht="13.8" customHeight="1" x14ac:dyDescent="0.3">
      <c r="A1186" s="76">
        <f>Annex!A920</f>
        <v>1185</v>
      </c>
      <c r="B1186" s="76" t="str">
        <f>IF(LEFT(Annex!H920,5)="Local","Local Transmission",Annex!H920)</f>
        <v>Local Transmission</v>
      </c>
      <c r="C1186" s="76" t="str">
        <f>Annex!J920</f>
        <v>Male</v>
      </c>
      <c r="D1186" s="76">
        <f>Annex!D920</f>
        <v>18</v>
      </c>
      <c r="E1186" s="76" t="str">
        <f>Annex!K920</f>
        <v>India</v>
      </c>
      <c r="F1186" s="76" t="str">
        <f>Annex!L920</f>
        <v>Case 1185 is a Local linked  case, 18 years old male India (Long Term Pass holder)  and has not been overseas. He is currently admitted at NCID . S11 Dormitory</v>
      </c>
      <c r="G1186" s="78">
        <v>43925</v>
      </c>
      <c r="H1186" s="76"/>
      <c r="I1186" s="76"/>
      <c r="J1186" s="76"/>
      <c r="K1186" s="76"/>
      <c r="L1186" s="76" t="str">
        <f>Annex!C920</f>
        <v xml:space="preserve">NCID </v>
      </c>
      <c r="M1186" s="88" t="s">
        <v>1445</v>
      </c>
    </row>
    <row r="1187" spans="1:13" ht="13.8" customHeight="1" x14ac:dyDescent="0.3">
      <c r="A1187" s="76">
        <f>Annex!A921</f>
        <v>1186</v>
      </c>
      <c r="B1187" s="76" t="str">
        <f>IF(LEFT(Annex!H921,5)="Local","Local Transmission",Annex!H921)</f>
        <v>Local Transmission</v>
      </c>
      <c r="C1187" s="76" t="str">
        <f>Annex!J921</f>
        <v>Male</v>
      </c>
      <c r="D1187" s="76">
        <f>Annex!D921</f>
        <v>32</v>
      </c>
      <c r="E1187" s="76" t="str">
        <f>Annex!K921</f>
        <v>Bangladesh</v>
      </c>
      <c r="F1187" s="76" t="str">
        <f>Annex!L921</f>
        <v>Case 1186 is a Local linked  case, 32 years old male Bangladesh (Long Term Pass holder)  and has not been overseas. He is currently admitted at NCID . S11 Dormitory</v>
      </c>
      <c r="G1187" s="78">
        <v>43925</v>
      </c>
      <c r="H1187" s="76"/>
      <c r="I1187" s="76"/>
      <c r="J1187" s="76"/>
      <c r="K1187" s="76"/>
      <c r="L1187" s="76" t="str">
        <f>Annex!C921</f>
        <v xml:space="preserve">NCID </v>
      </c>
      <c r="M1187" s="88" t="s">
        <v>1445</v>
      </c>
    </row>
    <row r="1188" spans="1:13" ht="13.8" customHeight="1" x14ac:dyDescent="0.3">
      <c r="A1188" s="76">
        <f>Annex!A922</f>
        <v>1187</v>
      </c>
      <c r="B1188" s="76" t="str">
        <f>IF(LEFT(Annex!H922,5)="Local","Local Transmission",Annex!H922)</f>
        <v>Local Transmission</v>
      </c>
      <c r="C1188" s="76" t="str">
        <f>Annex!J922</f>
        <v>Male</v>
      </c>
      <c r="D1188" s="76">
        <f>Annex!D922</f>
        <v>25</v>
      </c>
      <c r="E1188" s="76" t="str">
        <f>Annex!K922</f>
        <v>Bangladesh</v>
      </c>
      <c r="F1188" s="76" t="str">
        <f>Annex!L922</f>
        <v>Case 1187 is a Local linked  case, 25 years old male Bangladesh (Singapore Work Pass holder)  and has not been overseas. He is currently admitted at KTPH . S11 Dormitory</v>
      </c>
      <c r="G1188" s="78">
        <v>43925</v>
      </c>
      <c r="H1188" s="76"/>
      <c r="I1188" s="76"/>
      <c r="J1188" s="76"/>
      <c r="K1188" s="76"/>
      <c r="L1188" s="76" t="str">
        <f>Annex!C922</f>
        <v xml:space="preserve">KTPH </v>
      </c>
      <c r="M1188" s="88" t="s">
        <v>1445</v>
      </c>
    </row>
    <row r="1189" spans="1:13" ht="13.8" customHeight="1" x14ac:dyDescent="0.3">
      <c r="A1189" s="76">
        <f>Annex!A923</f>
        <v>1188</v>
      </c>
      <c r="B1189" s="76" t="str">
        <f>IF(LEFT(Annex!H923,5)="Local","Local Transmission",Annex!H923)</f>
        <v>Local Transmission</v>
      </c>
      <c r="C1189" s="76" t="str">
        <f>Annex!J923</f>
        <v>Male</v>
      </c>
      <c r="D1189" s="76">
        <f>Annex!D923</f>
        <v>54</v>
      </c>
      <c r="E1189" s="76" t="str">
        <f>Annex!K923</f>
        <v>Singaporean</v>
      </c>
      <c r="F1189" s="76" t="str">
        <f>Annex!L923</f>
        <v>Case 1188 is a Local linked  case, 54 years old male Singapore Citizen  and has not been overseas. He is currently admitted at KTPH . Mustafa Centre</v>
      </c>
      <c r="G1189" s="78">
        <v>43925</v>
      </c>
      <c r="H1189" s="76"/>
      <c r="I1189" s="76"/>
      <c r="J1189" s="76"/>
      <c r="K1189" s="76"/>
      <c r="L1189" s="76" t="str">
        <f>Annex!C923</f>
        <v xml:space="preserve">KTPH </v>
      </c>
      <c r="M1189" s="88" t="s">
        <v>1445</v>
      </c>
    </row>
    <row r="1190" spans="1:13" ht="13.8" customHeight="1" x14ac:dyDescent="0.3">
      <c r="A1190" s="76">
        <f>Annex!A924</f>
        <v>1189</v>
      </c>
      <c r="B1190" s="76" t="str">
        <f>IF(LEFT(Annex!H924,5)="Local","Local Transmission",Annex!H924)</f>
        <v>Local Transmission</v>
      </c>
      <c r="C1190" s="76" t="str">
        <f>Annex!J924</f>
        <v>Female</v>
      </c>
      <c r="D1190" s="76">
        <f>Annex!D924</f>
        <v>15</v>
      </c>
      <c r="E1190" s="76" t="str">
        <f>Annex!K924</f>
        <v>Singaporean</v>
      </c>
      <c r="F1190" s="76" t="str">
        <f>Annex!L924</f>
        <v>Case 1189 is a Local linked  case, 15 years old female Singapore Citizen  and has not been overseas. She is currently admitted at KTPH . Mustafa Centre</v>
      </c>
      <c r="G1190" s="78">
        <v>43925</v>
      </c>
      <c r="H1190" s="76"/>
      <c r="I1190" s="76"/>
      <c r="J1190" s="76"/>
      <c r="K1190" s="76"/>
      <c r="L1190" s="76" t="str">
        <f>Annex!C924</f>
        <v xml:space="preserve">KTPH </v>
      </c>
      <c r="M1190" s="88" t="s">
        <v>1445</v>
      </c>
    </row>
  </sheetData>
  <autoFilter ref="A1:M1051" xr:uid="{B4B1FAEE-450F-477A-BE8A-B1F98D96BD45}"/>
  <hyperlinks>
    <hyperlink ref="M32" r:id="rId1" xr:uid="{EFB591B9-7371-4250-8C62-5651A1730A9B}"/>
    <hyperlink ref="M33" r:id="rId2" xr:uid="{39BDCF3E-9CBB-426E-9DC7-8C9DBCFA5ADA}"/>
    <hyperlink ref="M34" r:id="rId3" xr:uid="{77D68FE3-D88D-412A-AD4E-E6F1365D96D3}"/>
    <hyperlink ref="M31" r:id="rId4" xr:uid="{6E5CC3B3-FF5E-4C52-B106-CE80B4D0F3E8}"/>
    <hyperlink ref="M42" r:id="rId5" xr:uid="{DB60E76E-EEB2-4639-A5A8-8C6607A298FD}"/>
    <hyperlink ref="M43" r:id="rId6" xr:uid="{16152A42-AE1C-4860-BC9F-18A1375B42D3}"/>
    <hyperlink ref="M44" r:id="rId7" xr:uid="{514A44E5-67E2-432C-A212-539BB420849F}"/>
    <hyperlink ref="M45" r:id="rId8" xr:uid="{D462DED1-F111-4779-ACFD-A77111CCB953}"/>
    <hyperlink ref="M46" r:id="rId9" xr:uid="{6A25B273-11B5-4876-A6B0-D3B7A95D2FA5}"/>
    <hyperlink ref="M35" r:id="rId10" xr:uid="{1F99ADDB-FC2E-4C82-BABC-31A34A5678F3}"/>
    <hyperlink ref="M36" r:id="rId11" xr:uid="{F6B67785-3CAD-477A-9B87-A0007E9A80D2}"/>
    <hyperlink ref="M37" r:id="rId12" xr:uid="{7AA415A2-7E11-4121-9A8C-3E19381B5742}"/>
    <hyperlink ref="M38" r:id="rId13" xr:uid="{D03A9887-73C7-4073-BDA7-E22ED356004C}"/>
    <hyperlink ref="M39" r:id="rId14" xr:uid="{7C52CCB3-00D4-4381-A6C6-157FEF8A75C3}"/>
    <hyperlink ref="M40" r:id="rId15" xr:uid="{013728CF-DCF3-4A10-8DCA-61C5EEFB1758}"/>
    <hyperlink ref="M41" r:id="rId16" xr:uid="{BC622A11-A815-4C27-96DB-E59D64A694C4}"/>
    <hyperlink ref="M47" r:id="rId17" xr:uid="{5D28CD03-0B39-469E-8DE6-DCD8BB4209CF}"/>
    <hyperlink ref="M48" r:id="rId18" xr:uid="{EA337B42-5B24-4637-AC9B-33172C74C5AE}"/>
    <hyperlink ref="M20" r:id="rId19" xr:uid="{B86C7A5E-FF28-4287-B1B6-FB5AD370A42D}"/>
    <hyperlink ref="M21" r:id="rId20" xr:uid="{240FA270-903E-435A-9D34-947B99668438}"/>
    <hyperlink ref="M22" r:id="rId21" xr:uid="{E1668338-8FAE-40F6-A63D-C622AC8147E2}"/>
    <hyperlink ref="M23" r:id="rId22" xr:uid="{2CFBAE3D-3353-480D-B4CA-04200DA843FB}"/>
    <hyperlink ref="M24" r:id="rId23" xr:uid="{CA299B73-7DE7-44DD-A576-FB3C31B0CE18}"/>
    <hyperlink ref="M25" r:id="rId24" xr:uid="{22771273-0BA9-4D80-B787-6322F6DCA92F}"/>
    <hyperlink ref="M26" r:id="rId25" xr:uid="{0E6983AF-4368-4292-90BE-3CD95242747C}"/>
    <hyperlink ref="M27" r:id="rId26" xr:uid="{FBAA27E7-F2F5-49C4-84D6-6A38FDB3D299}"/>
    <hyperlink ref="M28" r:id="rId27" xr:uid="{DD376E5A-3307-4DAF-8384-79B379DAAD12}"/>
    <hyperlink ref="M29" r:id="rId28" xr:uid="{87BC7281-90D4-4E27-91B8-4DE53B199B42}"/>
    <hyperlink ref="M30" r:id="rId29" xr:uid="{9B6CB6EA-F3E1-47B1-8D82-8E3390D4CFCB}"/>
    <hyperlink ref="M49" r:id="rId30" xr:uid="{EC09659E-8517-4D65-B7BC-E0CC7D1E5815}"/>
    <hyperlink ref="M50" r:id="rId31" xr:uid="{534D9DF4-4FD8-47C0-9A87-1885A48838DE}"/>
    <hyperlink ref="M51" r:id="rId32" xr:uid="{87481290-E20E-4A36-AEE9-4BF692874A1D}"/>
    <hyperlink ref="M60" r:id="rId33" xr:uid="{277F45DA-1232-44F5-AFF5-C1B219B6324D}"/>
    <hyperlink ref="M61" r:id="rId34" xr:uid="{D0969A87-F018-4D46-B445-8AAD978AA986}"/>
    <hyperlink ref="M62" r:id="rId35" xr:uid="{B2FBCA98-0F61-44C5-BF7D-CCC1929C2333}"/>
    <hyperlink ref="M63" r:id="rId36" xr:uid="{099E6598-B051-4ACB-8AA4-ACD648224A2F}"/>
    <hyperlink ref="M64" r:id="rId37" xr:uid="{41863FCA-FCA4-48A2-8BA8-CCFC3670F077}"/>
    <hyperlink ref="M65" r:id="rId38" xr:uid="{91B7855B-69EB-4164-96A6-8D92F5FE565C}"/>
    <hyperlink ref="M66" r:id="rId39" xr:uid="{1B53526A-7EEC-4752-9C07-13EE2CDA7491}"/>
    <hyperlink ref="M67" r:id="rId40" xr:uid="{7DB93D72-620F-45FA-8145-3AD7E3D41E42}"/>
    <hyperlink ref="M68" r:id="rId41" xr:uid="{9E3A73E8-D986-4A95-83C0-84841257E527}"/>
    <hyperlink ref="M69" r:id="rId42" xr:uid="{290F6E81-5985-447D-BA9F-93C6ADB44861}"/>
    <hyperlink ref="M70" r:id="rId43" xr:uid="{027746E8-12FC-450A-A9C9-70761DBAF356}"/>
    <hyperlink ref="M71" r:id="rId44" xr:uid="{93079146-DADB-488E-9F75-E1BAA76AB2BD}"/>
    <hyperlink ref="M72" r:id="rId45" xr:uid="{01139638-21B2-408B-9839-29C5AFB2A17B}"/>
    <hyperlink ref="M73" r:id="rId46" xr:uid="{7C878684-109A-47EE-B88C-088B30408FB5}"/>
    <hyperlink ref="M74" r:id="rId47" xr:uid="{A2C1C47C-14CB-416D-B9DF-81310BB53AEC}"/>
    <hyperlink ref="M75" r:id="rId48" xr:uid="{5CA4D625-4631-4A60-A705-0B9ED234CACA}"/>
    <hyperlink ref="M76" r:id="rId49" xr:uid="{407B85EB-B561-4920-BA3A-DBADDAD614B0}"/>
    <hyperlink ref="M77" r:id="rId50" xr:uid="{9CE5DC14-BD75-4124-805C-A4F08A707201}"/>
    <hyperlink ref="M78" r:id="rId51" xr:uid="{B64F761F-1A25-407C-809E-E0A6AD4FE58C}"/>
    <hyperlink ref="M79" r:id="rId52" xr:uid="{E798519E-49D1-4936-A237-515952AB2EDE}"/>
    <hyperlink ref="M80" r:id="rId53" xr:uid="{75C42458-B313-48FB-BFD1-AA3BE8B41973}"/>
    <hyperlink ref="M81" r:id="rId54" xr:uid="{25281B51-5D5C-46A3-8FD1-2B1625837512}"/>
    <hyperlink ref="M82" r:id="rId55" xr:uid="{19B2F2CA-BA3D-4932-9494-2498A7998C82}"/>
    <hyperlink ref="M83" r:id="rId56" xr:uid="{49E31C79-FE1C-4BE0-B727-4B813955C7BE}"/>
    <hyperlink ref="M84" r:id="rId57" xr:uid="{D0DD7EC0-2F3A-47DC-B239-4A1D5FAC372F}"/>
    <hyperlink ref="M85" r:id="rId58" xr:uid="{B6748C5E-E63C-48BA-AD64-844611E0E2D5}"/>
    <hyperlink ref="M86" r:id="rId59" xr:uid="{DCD10D03-A92F-4B34-84E2-78420A3DB256}"/>
    <hyperlink ref="M87" r:id="rId60" xr:uid="{19D10A7A-F936-48BD-B78D-BDD03A205256}"/>
    <hyperlink ref="M88" r:id="rId61" xr:uid="{F07A8930-A485-4D32-B8F8-C061538F42FD}"/>
    <hyperlink ref="M89" r:id="rId62" xr:uid="{1EDA0780-F1DC-4359-98E6-960143647081}"/>
    <hyperlink ref="M90" r:id="rId63" xr:uid="{34152B56-0E35-407A-8784-9E785E682D63}"/>
    <hyperlink ref="M91" r:id="rId64" xr:uid="{74CC21D3-E61D-43D5-A4B4-66AEB10AA62B}"/>
    <hyperlink ref="M92" r:id="rId65" xr:uid="{5EDC8036-ECDC-4E37-AA54-E82FECAD9C1D}"/>
    <hyperlink ref="M93" r:id="rId66" xr:uid="{178FD449-C08B-4893-88DE-0D1B65F4AC2A}"/>
    <hyperlink ref="M94" r:id="rId67" xr:uid="{7F2962AC-73BE-4C23-9085-2366F7784E50}"/>
    <hyperlink ref="M95" r:id="rId68" xr:uid="{6611DB5F-D407-4F20-A681-869AB0DAF1A8}"/>
    <hyperlink ref="M96" r:id="rId69" xr:uid="{44C80B7F-4E7D-4791-9F49-65D432610339}"/>
    <hyperlink ref="M97" r:id="rId70" xr:uid="{2826E595-DFBB-4C8B-8290-A0AC9E6D477A}"/>
    <hyperlink ref="M98" r:id="rId71" xr:uid="{BD2F26A7-BE6D-45CD-AD7C-92558A7B49F6}"/>
    <hyperlink ref="M99" r:id="rId72" xr:uid="{5B0A8B5D-D6D6-4D6D-A02A-5C6C3958FD73}"/>
    <hyperlink ref="M100" r:id="rId73" xr:uid="{B403A384-025B-449A-A9F5-F3BD410A929F}"/>
    <hyperlink ref="M101" r:id="rId74" xr:uid="{B2C419E1-136E-42F3-BD62-DE3D0E508C17}"/>
    <hyperlink ref="M102" r:id="rId75" xr:uid="{2338C51E-10E3-43AB-B91E-8667C64A8A36}"/>
    <hyperlink ref="M103" r:id="rId76" xr:uid="{4C8D082D-9CD8-4F64-A0F6-2A53F6E4A4A2}"/>
    <hyperlink ref="M104" r:id="rId77" xr:uid="{8B3A1C04-EECB-4CDE-8B96-F5FB8EB2C91B}"/>
    <hyperlink ref="M105" r:id="rId78" xr:uid="{F42E1B9A-967F-4B35-91C2-7250A1D018ED}"/>
    <hyperlink ref="M106" r:id="rId79" xr:uid="{C5A3DBD4-99D8-42DD-A478-CBBCB75A2313}"/>
    <hyperlink ref="M107" r:id="rId80" xr:uid="{2BDEB90A-0045-4514-939D-B022CC53744B}"/>
    <hyperlink ref="M108" r:id="rId81" xr:uid="{95734672-80F4-431A-9140-61B8D44D2D5E}"/>
    <hyperlink ref="M109" r:id="rId82" xr:uid="{C13EDBF9-BA6A-4471-8311-2A65804C55DE}"/>
    <hyperlink ref="M110" r:id="rId83" xr:uid="{9A1EBEE0-F0FA-4989-95FE-7ECECC88B204}"/>
    <hyperlink ref="M111" r:id="rId84" xr:uid="{C41FAA39-42B1-4417-9DCA-F3615277A31E}"/>
    <hyperlink ref="M112" r:id="rId85" xr:uid="{30FD5323-2709-4743-9E30-633802EE6086}"/>
    <hyperlink ref="M113" r:id="rId86" xr:uid="{3AA2DCD7-1E9B-41BD-96BB-1F007537CF95}"/>
    <hyperlink ref="M114" r:id="rId87" xr:uid="{7ADE9FCE-4277-4BD7-8910-6BDB344A0858}"/>
    <hyperlink ref="M115" r:id="rId88" xr:uid="{CC2AE5A1-DFFF-4DE4-8401-85CB01220197}"/>
    <hyperlink ref="M116" r:id="rId89" xr:uid="{C79D869D-F7D1-43A7-AEF3-6E7D21373670}"/>
    <hyperlink ref="M117" r:id="rId90" xr:uid="{7C678B35-908A-4790-BE78-48E4D56D4B31}"/>
    <hyperlink ref="M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dimension ref="A1:P924"/>
  <sheetViews>
    <sheetView topLeftCell="A378" workbookViewId="0">
      <selection activeCell="O378" sqref="O378"/>
    </sheetView>
  </sheetViews>
  <sheetFormatPr defaultRowHeight="14.4" x14ac:dyDescent="0.3"/>
  <cols>
    <col min="6" max="6" width="21.109375" customWidth="1"/>
    <col min="7" max="7" width="19.77734375" customWidth="1"/>
    <col min="8" max="8" width="12.88671875" bestFit="1" customWidth="1"/>
    <col min="9" max="9" width="23.33203125" customWidth="1"/>
    <col min="10" max="11" width="11.33203125" customWidth="1"/>
  </cols>
  <sheetData>
    <row r="1" spans="1:12" x14ac:dyDescent="0.3">
      <c r="A1" t="s">
        <v>923</v>
      </c>
      <c r="B1" t="s">
        <v>924</v>
      </c>
      <c r="C1" t="s">
        <v>925</v>
      </c>
      <c r="D1" t="s">
        <v>926</v>
      </c>
      <c r="E1" t="s">
        <v>91</v>
      </c>
      <c r="F1" t="s">
        <v>667</v>
      </c>
      <c r="G1" t="s">
        <v>927</v>
      </c>
      <c r="H1" t="s">
        <v>928</v>
      </c>
      <c r="I1" t="s">
        <v>929</v>
      </c>
      <c r="J1" t="s">
        <v>18</v>
      </c>
      <c r="K1" s="24"/>
    </row>
    <row r="2" spans="1:12" x14ac:dyDescent="0.3">
      <c r="A2">
        <v>267</v>
      </c>
      <c r="B2">
        <v>43907</v>
      </c>
      <c r="C2" t="s">
        <v>137</v>
      </c>
      <c r="D2">
        <v>72</v>
      </c>
      <c r="E2" t="s">
        <v>930</v>
      </c>
      <c r="F2" t="s">
        <v>931</v>
      </c>
      <c r="G2" t="s">
        <v>437</v>
      </c>
      <c r="H2" t="s">
        <v>77</v>
      </c>
      <c r="K2" s="25"/>
      <c r="L2" t="str">
        <f t="shared" ref="L2:L48" si="0">"Case "&amp;A2&amp;" is a "&amp;H2&amp;" case, "&amp;D2&amp;" years old "&amp;IF(E2="F","female",IF(E2="M","male"))&amp;" "&amp;F2 &amp;IF(G2=""," and has not been overseas"," and has been to "&amp;G2)&amp;". "&amp;IF(E2="F","She",IF(E2="M","He"))&amp;" is currently admitted at "&amp;C2&amp;". "&amp;I2</f>
        <v xml:space="preserve">Case 267 is a Imported case, 72 years old female Singapore Citizen and has been to Indonesia. She is currently admitted at KTPH. </v>
      </c>
    </row>
    <row r="3" spans="1:12" x14ac:dyDescent="0.3">
      <c r="A3">
        <v>268</v>
      </c>
      <c r="B3">
        <v>43907</v>
      </c>
      <c r="C3" t="s">
        <v>133</v>
      </c>
      <c r="D3">
        <v>64</v>
      </c>
      <c r="E3" t="s">
        <v>932</v>
      </c>
      <c r="F3" t="s">
        <v>650</v>
      </c>
      <c r="G3" t="s">
        <v>933</v>
      </c>
      <c r="H3" t="s">
        <v>77</v>
      </c>
      <c r="K3" s="25"/>
      <c r="L3" t="str">
        <f t="shared" si="0"/>
        <v xml:space="preserve">Case 268 is a Imported case, 64 years old male British and has been to Switzerland, UK. He is currently admitted at NCID. </v>
      </c>
    </row>
    <row r="4" spans="1:12" x14ac:dyDescent="0.3">
      <c r="A4">
        <v>269</v>
      </c>
      <c r="B4">
        <v>43907</v>
      </c>
      <c r="C4" t="s">
        <v>133</v>
      </c>
      <c r="D4">
        <v>19</v>
      </c>
      <c r="E4" t="s">
        <v>930</v>
      </c>
      <c r="F4" t="s">
        <v>931</v>
      </c>
      <c r="G4" t="s">
        <v>356</v>
      </c>
      <c r="H4" t="s">
        <v>77</v>
      </c>
      <c r="K4" s="25"/>
      <c r="L4" t="str">
        <f t="shared" si="0"/>
        <v xml:space="preserve">Case 269 is a Imported case, 19 years old female Singapore Citizen and has been to UK. She is currently admitted at NCID. </v>
      </c>
    </row>
    <row r="5" spans="1:12" x14ac:dyDescent="0.3">
      <c r="A5">
        <v>270</v>
      </c>
      <c r="B5">
        <v>43907</v>
      </c>
      <c r="C5" t="s">
        <v>142</v>
      </c>
      <c r="D5">
        <v>62</v>
      </c>
      <c r="E5" t="s">
        <v>930</v>
      </c>
      <c r="F5" t="s">
        <v>931</v>
      </c>
      <c r="G5" t="s">
        <v>934</v>
      </c>
      <c r="H5" t="s">
        <v>77</v>
      </c>
      <c r="I5" t="s">
        <v>975</v>
      </c>
      <c r="K5" s="25"/>
      <c r="L5" t="str">
        <f t="shared" si="0"/>
        <v>Case 270 is a Imported case, 62 years old female Singapore Citizen and has been to Croatia, Bosnia, Serbia, Slovenia, Austria. She is currently admitted at NTFGH. Case 230 is a family member of Cases 270 and 272. 
Travelled together with Case 309</v>
      </c>
    </row>
    <row r="6" spans="1:12" x14ac:dyDescent="0.3">
      <c r="A6">
        <v>271</v>
      </c>
      <c r="B6">
        <v>43907</v>
      </c>
      <c r="C6" t="s">
        <v>142</v>
      </c>
      <c r="D6">
        <v>29</v>
      </c>
      <c r="E6" t="s">
        <v>932</v>
      </c>
      <c r="F6" t="s">
        <v>931</v>
      </c>
      <c r="G6" t="s">
        <v>356</v>
      </c>
      <c r="H6" t="s">
        <v>77</v>
      </c>
      <c r="K6" s="25"/>
      <c r="L6" t="str">
        <f t="shared" si="0"/>
        <v xml:space="preserve">Case 271 is a Imported case, 29 years old male Singapore Citizen and has been to UK. He is currently admitted at NTFGH. </v>
      </c>
    </row>
    <row r="7" spans="1:12" x14ac:dyDescent="0.3">
      <c r="A7">
        <v>272</v>
      </c>
      <c r="B7">
        <v>43907</v>
      </c>
      <c r="C7" t="s">
        <v>142</v>
      </c>
      <c r="D7">
        <v>65</v>
      </c>
      <c r="E7" t="s">
        <v>932</v>
      </c>
      <c r="F7" t="s">
        <v>931</v>
      </c>
      <c r="G7" t="s">
        <v>935</v>
      </c>
      <c r="H7" t="s">
        <v>77</v>
      </c>
      <c r="I7" t="s">
        <v>976</v>
      </c>
      <c r="K7" s="25"/>
      <c r="L7" t="str">
        <f t="shared" si="0"/>
        <v>Case 272 is a Imported case, 65 years old male Singapore Citizen and has been to Eastern Europe. He is currently admitted at NTFGH. Case 230 is son of Cases 270 and 272. 
Travelled together with Case 309</v>
      </c>
    </row>
    <row r="8" spans="1:12" x14ac:dyDescent="0.3">
      <c r="A8">
        <v>273</v>
      </c>
      <c r="B8">
        <v>43907</v>
      </c>
      <c r="C8" t="s">
        <v>138</v>
      </c>
      <c r="D8">
        <v>69</v>
      </c>
      <c r="E8" t="s">
        <v>932</v>
      </c>
      <c r="F8" t="s">
        <v>931</v>
      </c>
      <c r="H8" t="s">
        <v>936</v>
      </c>
      <c r="K8" s="25"/>
      <c r="L8" t="str">
        <f t="shared" si="0"/>
        <v xml:space="preserve">Case 273 is a Local Unlinked case, 69 years old male Singapore Citizen and has not been overseas. He is currently admitted at NUH. </v>
      </c>
    </row>
    <row r="9" spans="1:12" x14ac:dyDescent="0.3">
      <c r="A9">
        <v>274</v>
      </c>
      <c r="B9">
        <v>43907</v>
      </c>
      <c r="C9" t="s">
        <v>133</v>
      </c>
      <c r="D9">
        <v>50</v>
      </c>
      <c r="E9" t="s">
        <v>932</v>
      </c>
      <c r="F9" t="s">
        <v>967</v>
      </c>
      <c r="G9" t="s">
        <v>937</v>
      </c>
      <c r="H9" t="s">
        <v>77</v>
      </c>
      <c r="K9" s="25"/>
      <c r="L9" t="str">
        <f t="shared" si="0"/>
        <v xml:space="preserve">Case 274 is a Imported case, 50 years old male American
(Singapore Work Pass) and has been to US. He is currently admitted at NCID. </v>
      </c>
    </row>
    <row r="10" spans="1:12" x14ac:dyDescent="0.3">
      <c r="A10">
        <v>275</v>
      </c>
      <c r="B10">
        <v>43907</v>
      </c>
      <c r="C10" t="s">
        <v>142</v>
      </c>
      <c r="D10">
        <v>27</v>
      </c>
      <c r="E10" t="s">
        <v>932</v>
      </c>
      <c r="F10" t="s">
        <v>931</v>
      </c>
      <c r="G10" t="s">
        <v>938</v>
      </c>
      <c r="H10" t="s">
        <v>936</v>
      </c>
      <c r="K10" s="25"/>
      <c r="L10" t="str">
        <f t="shared" si="0"/>
        <v xml:space="preserve">Case 275 is a Local Unlinked case, 27 years old male Singapore Citizen and has been to Indonesia, Malaysia. He is currently admitted at NTFGH. </v>
      </c>
    </row>
    <row r="11" spans="1:12" x14ac:dyDescent="0.3">
      <c r="A11">
        <v>276</v>
      </c>
      <c r="B11">
        <v>43907</v>
      </c>
      <c r="C11" t="s">
        <v>142</v>
      </c>
      <c r="D11">
        <v>21</v>
      </c>
      <c r="E11" t="s">
        <v>932</v>
      </c>
      <c r="F11" t="s">
        <v>931</v>
      </c>
      <c r="G11" t="s">
        <v>356</v>
      </c>
      <c r="H11" t="s">
        <v>77</v>
      </c>
      <c r="K11" s="25"/>
      <c r="L11" t="str">
        <f t="shared" si="0"/>
        <v xml:space="preserve">Case 276 is a Imported case, 21 years old male Singapore Citizen and has been to UK. He is currently admitted at NTFGH. </v>
      </c>
    </row>
    <row r="12" spans="1:12" x14ac:dyDescent="0.3">
      <c r="A12">
        <v>277</v>
      </c>
      <c r="B12">
        <v>43907</v>
      </c>
      <c r="C12" t="s">
        <v>135</v>
      </c>
      <c r="D12">
        <v>55</v>
      </c>
      <c r="E12" t="s">
        <v>932</v>
      </c>
      <c r="F12" t="s">
        <v>931</v>
      </c>
      <c r="G12" t="s">
        <v>937</v>
      </c>
      <c r="H12" t="s">
        <v>77</v>
      </c>
      <c r="K12" s="25"/>
      <c r="L12" t="str">
        <f t="shared" si="0"/>
        <v xml:space="preserve">Case 277 is a Imported case, 55 years old male Singapore Citizen and has been to US. He is currently admitted at CGH. </v>
      </c>
    </row>
    <row r="13" spans="1:12" x14ac:dyDescent="0.3">
      <c r="A13">
        <v>278</v>
      </c>
      <c r="B13">
        <v>43907</v>
      </c>
      <c r="C13" t="s">
        <v>133</v>
      </c>
      <c r="D13">
        <v>48</v>
      </c>
      <c r="E13" t="s">
        <v>930</v>
      </c>
      <c r="F13" t="s">
        <v>777</v>
      </c>
      <c r="G13" t="s">
        <v>939</v>
      </c>
      <c r="H13" t="s">
        <v>77</v>
      </c>
      <c r="K13" s="26"/>
      <c r="L13" t="str">
        <f t="shared" si="0"/>
        <v xml:space="preserve">Case 278 is a Imported case, 48 years old female American and has been to Switzerland, US. She is currently admitted at NCID. </v>
      </c>
    </row>
    <row r="14" spans="1:12" x14ac:dyDescent="0.3">
      <c r="A14">
        <v>279</v>
      </c>
      <c r="B14">
        <v>43907</v>
      </c>
      <c r="C14" t="s">
        <v>133</v>
      </c>
      <c r="D14">
        <v>71</v>
      </c>
      <c r="E14" t="s">
        <v>932</v>
      </c>
      <c r="F14" t="s">
        <v>931</v>
      </c>
      <c r="G14" t="s">
        <v>706</v>
      </c>
      <c r="H14" t="s">
        <v>77</v>
      </c>
      <c r="K14" s="25"/>
      <c r="L14" t="str">
        <f t="shared" si="0"/>
        <v xml:space="preserve">Case 279 is a Imported case, 71 years old male Singapore Citizen and has been to Philippines . He is currently admitted at NCID. </v>
      </c>
    </row>
    <row r="15" spans="1:12" x14ac:dyDescent="0.3">
      <c r="A15">
        <v>280</v>
      </c>
      <c r="B15">
        <v>43907</v>
      </c>
      <c r="C15" t="s">
        <v>133</v>
      </c>
      <c r="D15">
        <v>21</v>
      </c>
      <c r="E15" t="s">
        <v>930</v>
      </c>
      <c r="F15" t="s">
        <v>931</v>
      </c>
      <c r="G15" t="s">
        <v>356</v>
      </c>
      <c r="H15" t="s">
        <v>77</v>
      </c>
      <c r="K15" s="25"/>
      <c r="L15" t="str">
        <f t="shared" si="0"/>
        <v xml:space="preserve">Case 280 is a Imported case, 21 years old female Singapore Citizen and has been to UK. She is currently admitted at NCID. </v>
      </c>
    </row>
    <row r="16" spans="1:12" x14ac:dyDescent="0.3">
      <c r="A16">
        <v>281</v>
      </c>
      <c r="B16">
        <v>43907</v>
      </c>
      <c r="C16" t="s">
        <v>133</v>
      </c>
      <c r="D16">
        <v>46</v>
      </c>
      <c r="E16" t="s">
        <v>932</v>
      </c>
      <c r="F16" t="s">
        <v>931</v>
      </c>
      <c r="G16" t="s">
        <v>940</v>
      </c>
      <c r="H16" t="s">
        <v>77</v>
      </c>
      <c r="K16" s="25"/>
      <c r="L16" t="str">
        <f t="shared" si="0"/>
        <v xml:space="preserve">Case 281 is a Imported case, 46 years old male Singapore Citizen and has been to US, Canada. He is currently admitted at NCID. </v>
      </c>
    </row>
    <row r="17" spans="1:12" x14ac:dyDescent="0.3">
      <c r="A17">
        <v>282</v>
      </c>
      <c r="B17">
        <v>43907</v>
      </c>
      <c r="C17" t="s">
        <v>133</v>
      </c>
      <c r="E17" t="s">
        <v>932</v>
      </c>
      <c r="G17" t="s">
        <v>354</v>
      </c>
      <c r="H17" t="s">
        <v>77</v>
      </c>
      <c r="K17" s="25"/>
      <c r="L17" t="str">
        <f t="shared" si="0"/>
        <v xml:space="preserve">Case 282 is a Imported case,  years old male  and has been to France. He is currently admitted at NCID. </v>
      </c>
    </row>
    <row r="18" spans="1:12" x14ac:dyDescent="0.3">
      <c r="A18">
        <v>283</v>
      </c>
      <c r="B18">
        <v>43907</v>
      </c>
      <c r="C18" t="s">
        <v>133</v>
      </c>
      <c r="D18">
        <v>62</v>
      </c>
      <c r="E18" t="s">
        <v>930</v>
      </c>
      <c r="F18" t="s">
        <v>931</v>
      </c>
      <c r="G18" t="s">
        <v>171</v>
      </c>
      <c r="H18" t="s">
        <v>941</v>
      </c>
      <c r="I18" t="s">
        <v>942</v>
      </c>
      <c r="J18" t="s">
        <v>943</v>
      </c>
      <c r="K18" s="25"/>
      <c r="L18" t="str">
        <f t="shared" si="0"/>
        <v>Case 283 is a Local Linked case, 62 years old female Singapore Citizen and has been to Malaysia. She is currently admitted at NCID. Cases 144,208, 214, 235</v>
      </c>
    </row>
    <row r="19" spans="1:12" x14ac:dyDescent="0.3">
      <c r="A19">
        <v>284</v>
      </c>
      <c r="B19">
        <v>43907</v>
      </c>
      <c r="C19" t="s">
        <v>133</v>
      </c>
      <c r="D19">
        <v>32</v>
      </c>
      <c r="E19" t="s">
        <v>932</v>
      </c>
      <c r="F19" t="s">
        <v>931</v>
      </c>
      <c r="G19" t="s">
        <v>937</v>
      </c>
      <c r="H19" t="s">
        <v>77</v>
      </c>
      <c r="K19" s="25"/>
      <c r="L19" t="str">
        <f t="shared" si="0"/>
        <v xml:space="preserve">Case 284 is a Imported case, 32 years old male Singapore Citizen and has been to US. He is currently admitted at NCID. </v>
      </c>
    </row>
    <row r="20" spans="1:12" x14ac:dyDescent="0.3">
      <c r="A20">
        <v>285</v>
      </c>
      <c r="B20">
        <v>43907</v>
      </c>
      <c r="C20" t="s">
        <v>133</v>
      </c>
      <c r="D20">
        <v>42</v>
      </c>
      <c r="E20" t="s">
        <v>930</v>
      </c>
      <c r="F20" t="s">
        <v>970</v>
      </c>
      <c r="G20" t="s">
        <v>435</v>
      </c>
      <c r="H20" t="s">
        <v>77</v>
      </c>
      <c r="K20" s="25"/>
      <c r="L20" t="str">
        <f t="shared" si="0"/>
        <v xml:space="preserve">Case 285 is a Imported case, 42 years old female Thai (Singapore Work Pass) and has been to Thailand. She is currently admitted at NCID. </v>
      </c>
    </row>
    <row r="21" spans="1:12" x14ac:dyDescent="0.3">
      <c r="A21">
        <v>286</v>
      </c>
      <c r="B21">
        <v>43907</v>
      </c>
      <c r="C21" t="s">
        <v>133</v>
      </c>
      <c r="D21">
        <v>54</v>
      </c>
      <c r="E21" t="s">
        <v>932</v>
      </c>
      <c r="F21" t="s">
        <v>968</v>
      </c>
      <c r="G21" t="s">
        <v>356</v>
      </c>
      <c r="H21" t="s">
        <v>77</v>
      </c>
      <c r="K21" s="25"/>
      <c r="L21" t="str">
        <f t="shared" si="0"/>
        <v xml:space="preserve">Case 286 is a Imported case, 54 years old male British (Singapore Work Pass) and has been to UK. He is currently admitted at NCID. </v>
      </c>
    </row>
    <row r="22" spans="1:12" x14ac:dyDescent="0.3">
      <c r="A22">
        <v>287</v>
      </c>
      <c r="B22">
        <v>43907</v>
      </c>
      <c r="C22" t="s">
        <v>137</v>
      </c>
      <c r="D22">
        <v>26</v>
      </c>
      <c r="E22" t="s">
        <v>932</v>
      </c>
      <c r="F22" t="s">
        <v>931</v>
      </c>
      <c r="H22" t="s">
        <v>941</v>
      </c>
      <c r="I22" t="s">
        <v>945</v>
      </c>
      <c r="K22" s="25"/>
      <c r="L22" t="str">
        <f t="shared" si="0"/>
        <v>Case 287 is a Local Linked case, 26 years old male Singapore Citizen and has not been overseas. He is currently admitted at KTPH. Family member of 267</v>
      </c>
    </row>
    <row r="23" spans="1:12" x14ac:dyDescent="0.3">
      <c r="A23">
        <v>288</v>
      </c>
      <c r="B23">
        <v>43908</v>
      </c>
      <c r="C23" t="s">
        <v>133</v>
      </c>
      <c r="D23">
        <v>71</v>
      </c>
      <c r="E23" t="s">
        <v>932</v>
      </c>
      <c r="F23" t="s">
        <v>931</v>
      </c>
      <c r="G23" t="s">
        <v>171</v>
      </c>
      <c r="H23" t="s">
        <v>936</v>
      </c>
      <c r="K23" s="25"/>
      <c r="L23" t="str">
        <f t="shared" si="0"/>
        <v xml:space="preserve">Case 288 is a Local Unlinked case, 71 years old male Singapore Citizen and has been to Malaysia. He is currently admitted at NCID. </v>
      </c>
    </row>
    <row r="24" spans="1:12" x14ac:dyDescent="0.3">
      <c r="A24">
        <v>289</v>
      </c>
      <c r="B24">
        <v>43908</v>
      </c>
      <c r="C24" t="s">
        <v>133</v>
      </c>
      <c r="D24">
        <v>62</v>
      </c>
      <c r="E24" t="s">
        <v>932</v>
      </c>
      <c r="F24" t="s">
        <v>931</v>
      </c>
      <c r="H24" t="s">
        <v>941</v>
      </c>
      <c r="I24" t="s">
        <v>946</v>
      </c>
      <c r="K24" s="25"/>
      <c r="L24" t="str">
        <f t="shared" si="0"/>
        <v>Case 289 is a Local Linked case, 62 years old male Singapore Citizen and has not been overseas. He is currently admitted at NCID. Contact of Case 212</v>
      </c>
    </row>
    <row r="25" spans="1:12" x14ac:dyDescent="0.3">
      <c r="A25">
        <v>290</v>
      </c>
      <c r="B25">
        <v>43908</v>
      </c>
      <c r="C25" t="s">
        <v>133</v>
      </c>
      <c r="D25">
        <v>69</v>
      </c>
      <c r="E25" t="s">
        <v>932</v>
      </c>
      <c r="F25" t="s">
        <v>931</v>
      </c>
      <c r="H25" t="s">
        <v>941</v>
      </c>
      <c r="K25" s="25"/>
      <c r="L25" t="str">
        <f t="shared" si="0"/>
        <v xml:space="preserve">Case 290 is a Local Linked case, 69 years old male Singapore Citizen and has not been overseas. He is currently admitted at NCID. </v>
      </c>
    </row>
    <row r="26" spans="1:12" x14ac:dyDescent="0.3">
      <c r="A26">
        <v>291</v>
      </c>
      <c r="B26">
        <v>43908</v>
      </c>
      <c r="C26" t="s">
        <v>133</v>
      </c>
      <c r="D26">
        <v>52</v>
      </c>
      <c r="E26" t="s">
        <v>932</v>
      </c>
      <c r="F26" t="s">
        <v>969</v>
      </c>
      <c r="G26" t="s">
        <v>437</v>
      </c>
      <c r="H26" t="s">
        <v>941</v>
      </c>
      <c r="I26" t="s">
        <v>947</v>
      </c>
      <c r="K26" s="25"/>
      <c r="L26" t="str">
        <f t="shared" si="0"/>
        <v>Case 291 is a Local Linked case, 52 years old male Indian (Singapore Long Term Pass) and has been to Indonesia. He is currently admitted at NCID. Family member of 260</v>
      </c>
    </row>
    <row r="27" spans="1:12" x14ac:dyDescent="0.3">
      <c r="A27">
        <v>292</v>
      </c>
      <c r="B27">
        <v>43908</v>
      </c>
      <c r="C27" t="s">
        <v>133</v>
      </c>
      <c r="D27">
        <v>64</v>
      </c>
      <c r="E27" t="s">
        <v>930</v>
      </c>
      <c r="F27" t="s">
        <v>931</v>
      </c>
      <c r="G27" t="s">
        <v>948</v>
      </c>
      <c r="H27" t="s">
        <v>77</v>
      </c>
      <c r="K27" s="25"/>
      <c r="L27" t="str">
        <f t="shared" si="0"/>
        <v xml:space="preserve">Case 292 is a Imported case, 64 years old female Singapore Citizen and has been to Turkey. She is currently admitted at NCID. </v>
      </c>
    </row>
    <row r="28" spans="1:12" x14ac:dyDescent="0.3">
      <c r="A28">
        <v>293</v>
      </c>
      <c r="B28">
        <v>43908</v>
      </c>
      <c r="C28" t="s">
        <v>133</v>
      </c>
      <c r="D28">
        <v>30</v>
      </c>
      <c r="E28" t="s">
        <v>932</v>
      </c>
      <c r="F28" t="s">
        <v>968</v>
      </c>
      <c r="G28" t="s">
        <v>356</v>
      </c>
      <c r="H28" t="s">
        <v>77</v>
      </c>
      <c r="K28" s="25"/>
      <c r="L28" t="str">
        <f t="shared" si="0"/>
        <v xml:space="preserve">Case 293 is a Imported case, 30 years old male British (Singapore Work Pass) and has been to UK. He is currently admitted at NCID. </v>
      </c>
    </row>
    <row r="29" spans="1:12" x14ac:dyDescent="0.3">
      <c r="A29">
        <v>294</v>
      </c>
      <c r="B29">
        <v>43908</v>
      </c>
      <c r="C29" t="s">
        <v>133</v>
      </c>
      <c r="D29">
        <v>58</v>
      </c>
      <c r="E29" t="s">
        <v>930</v>
      </c>
      <c r="F29" t="s">
        <v>949</v>
      </c>
      <c r="G29" t="s">
        <v>437</v>
      </c>
      <c r="H29" t="s">
        <v>941</v>
      </c>
      <c r="I29" t="s">
        <v>950</v>
      </c>
      <c r="K29" s="25"/>
      <c r="L29" t="str">
        <f t="shared" si="0"/>
        <v>Case 294 is a Local Linked case, 58 years old female Singapore Permanent Resident and has been to Indonesia. She is currently admitted at NCID. Contact of Cases 225 and 237</v>
      </c>
    </row>
    <row r="30" spans="1:12" x14ac:dyDescent="0.3">
      <c r="A30">
        <v>295</v>
      </c>
      <c r="B30">
        <v>43908</v>
      </c>
      <c r="C30" t="s">
        <v>133</v>
      </c>
      <c r="D30">
        <v>55</v>
      </c>
      <c r="E30" t="s">
        <v>932</v>
      </c>
      <c r="F30" t="s">
        <v>931</v>
      </c>
      <c r="G30" t="s">
        <v>937</v>
      </c>
      <c r="H30" t="s">
        <v>77</v>
      </c>
      <c r="K30" s="25"/>
      <c r="L30" t="str">
        <f t="shared" si="0"/>
        <v xml:space="preserve">Case 295 is a Imported case, 55 years old male Singapore Citizen and has been to US. He is currently admitted at NCID. </v>
      </c>
    </row>
    <row r="31" spans="1:12" x14ac:dyDescent="0.3">
      <c r="A31">
        <v>296</v>
      </c>
      <c r="B31">
        <v>43908</v>
      </c>
      <c r="C31" t="s">
        <v>133</v>
      </c>
      <c r="D31">
        <v>25</v>
      </c>
      <c r="E31" t="s">
        <v>930</v>
      </c>
      <c r="F31" t="s">
        <v>971</v>
      </c>
      <c r="G31" t="s">
        <v>356</v>
      </c>
      <c r="H31" t="s">
        <v>77</v>
      </c>
      <c r="K31" s="25"/>
      <c r="L31" t="str">
        <f t="shared" si="0"/>
        <v xml:space="preserve">Case 296 is a Imported case, 25 years old female Malaysian (Singapore Work Pass) and has been to UK. She is currently admitted at NCID. </v>
      </c>
    </row>
    <row r="32" spans="1:12" x14ac:dyDescent="0.3">
      <c r="A32">
        <v>297</v>
      </c>
      <c r="B32">
        <v>43908</v>
      </c>
      <c r="C32" t="s">
        <v>133</v>
      </c>
      <c r="D32">
        <v>31</v>
      </c>
      <c r="E32" t="s">
        <v>932</v>
      </c>
      <c r="F32" t="s">
        <v>972</v>
      </c>
      <c r="G32" t="s">
        <v>437</v>
      </c>
      <c r="H32" t="s">
        <v>77</v>
      </c>
      <c r="K32" s="25"/>
      <c r="L32" t="str">
        <f t="shared" si="0"/>
        <v xml:space="preserve">Case 297 is a Imported case, 31 years old male Indonesian (Singapore Work Pass) and has been to Indonesia. He is currently admitted at NCID. </v>
      </c>
    </row>
    <row r="33" spans="1:12" x14ac:dyDescent="0.3">
      <c r="A33">
        <v>298</v>
      </c>
      <c r="B33">
        <v>43908</v>
      </c>
      <c r="C33" t="s">
        <v>133</v>
      </c>
      <c r="D33">
        <v>44</v>
      </c>
      <c r="E33" t="s">
        <v>932</v>
      </c>
      <c r="F33" t="s">
        <v>931</v>
      </c>
      <c r="G33" t="s">
        <v>951</v>
      </c>
      <c r="H33" t="s">
        <v>77</v>
      </c>
      <c r="K33" s="25"/>
      <c r="L33" t="str">
        <f t="shared" si="0"/>
        <v xml:space="preserve">Case 298 is a Imported case, 44 years old male Singapore Citizen and has been to India. He is currently admitted at NCID. </v>
      </c>
    </row>
    <row r="34" spans="1:12" x14ac:dyDescent="0.3">
      <c r="A34">
        <v>299</v>
      </c>
      <c r="B34">
        <v>43908</v>
      </c>
      <c r="C34" t="s">
        <v>133</v>
      </c>
      <c r="D34">
        <v>29</v>
      </c>
      <c r="E34" t="s">
        <v>932</v>
      </c>
      <c r="F34" t="s">
        <v>931</v>
      </c>
      <c r="G34" t="s">
        <v>952</v>
      </c>
      <c r="H34" t="s">
        <v>77</v>
      </c>
      <c r="I34" t="s">
        <v>953</v>
      </c>
      <c r="K34" s="25"/>
      <c r="L34" t="str">
        <f t="shared" si="0"/>
        <v>Case 299 is a Imported case, 29 years old male Singapore Citizen and has been to Philippines. He is currently admitted at NCID. Family member of Case 259</v>
      </c>
    </row>
    <row r="35" spans="1:12" x14ac:dyDescent="0.3">
      <c r="A35">
        <v>300</v>
      </c>
      <c r="B35">
        <v>43908</v>
      </c>
      <c r="C35" t="s">
        <v>133</v>
      </c>
      <c r="D35">
        <v>28</v>
      </c>
      <c r="E35" t="s">
        <v>932</v>
      </c>
      <c r="F35" t="s">
        <v>973</v>
      </c>
      <c r="G35" t="s">
        <v>954</v>
      </c>
      <c r="H35" t="s">
        <v>77</v>
      </c>
      <c r="I35" t="s">
        <v>955</v>
      </c>
      <c r="K35" s="25"/>
      <c r="L35" t="str">
        <f t="shared" si="0"/>
        <v>Case 300 is a Imported case, 28 years old male German (Singapore Work Pass) and has been to Switzerland, Austria. He is currently admitted at NCID. Contact of Case 250</v>
      </c>
    </row>
    <row r="36" spans="1:12" x14ac:dyDescent="0.3">
      <c r="A36">
        <v>301</v>
      </c>
      <c r="B36">
        <v>43908</v>
      </c>
      <c r="C36" t="s">
        <v>133</v>
      </c>
      <c r="D36">
        <v>63</v>
      </c>
      <c r="E36" t="s">
        <v>932</v>
      </c>
      <c r="F36" t="s">
        <v>931</v>
      </c>
      <c r="G36" t="s">
        <v>956</v>
      </c>
      <c r="H36" t="s">
        <v>77</v>
      </c>
      <c r="K36" s="25"/>
      <c r="L36" t="str">
        <f t="shared" si="0"/>
        <v xml:space="preserve">Case 301 is a Imported case, 63 years old male Singapore Citizen and has been to Austria, Switzerland. He is currently admitted at NCID. </v>
      </c>
    </row>
    <row r="37" spans="1:12" x14ac:dyDescent="0.3">
      <c r="A37">
        <v>302</v>
      </c>
      <c r="B37">
        <v>43908</v>
      </c>
      <c r="C37" t="s">
        <v>137</v>
      </c>
      <c r="D37">
        <v>49</v>
      </c>
      <c r="E37" t="s">
        <v>930</v>
      </c>
      <c r="F37" t="s">
        <v>931</v>
      </c>
      <c r="H37" t="s">
        <v>936</v>
      </c>
      <c r="K37" s="25"/>
      <c r="L37" t="str">
        <f t="shared" si="0"/>
        <v xml:space="preserve">Case 302 is a Local Unlinked case, 49 years old female Singapore Citizen and has not been overseas. She is currently admitted at KTPH. </v>
      </c>
    </row>
    <row r="38" spans="1:12" x14ac:dyDescent="0.3">
      <c r="A38">
        <v>303</v>
      </c>
      <c r="B38">
        <v>43908</v>
      </c>
      <c r="C38" t="s">
        <v>133</v>
      </c>
      <c r="D38">
        <v>27</v>
      </c>
      <c r="E38" t="s">
        <v>932</v>
      </c>
      <c r="F38" t="s">
        <v>974</v>
      </c>
      <c r="G38" t="s">
        <v>171</v>
      </c>
      <c r="H38" t="s">
        <v>941</v>
      </c>
      <c r="I38" t="s">
        <v>957</v>
      </c>
      <c r="K38" s="25"/>
      <c r="L38" t="str">
        <f t="shared" si="0"/>
        <v>Case 303 is a Local Linked case, 27 years old male Malaysian (Singapore Long Term Pass) and has been to Malaysia. He is currently admitted at NCID. Family member of Case 248</v>
      </c>
    </row>
    <row r="39" spans="1:12" x14ac:dyDescent="0.3">
      <c r="A39">
        <v>304</v>
      </c>
      <c r="B39">
        <v>43908</v>
      </c>
      <c r="C39" t="s">
        <v>133</v>
      </c>
      <c r="D39">
        <v>27</v>
      </c>
      <c r="E39" t="s">
        <v>930</v>
      </c>
      <c r="F39" t="s">
        <v>931</v>
      </c>
      <c r="G39" t="s">
        <v>958</v>
      </c>
      <c r="H39" t="s">
        <v>77</v>
      </c>
      <c r="K39" s="25"/>
      <c r="L39" t="str">
        <f t="shared" si="0"/>
        <v xml:space="preserve">Case 304 is a Imported case, 27 years old female Singapore Citizen and has been to UK, Switzerland, Austria. She is currently admitted at NCID. </v>
      </c>
    </row>
    <row r="40" spans="1:12" ht="15" x14ac:dyDescent="0.3">
      <c r="A40">
        <v>305</v>
      </c>
      <c r="B40">
        <v>43908</v>
      </c>
      <c r="C40" t="s">
        <v>133</v>
      </c>
      <c r="D40">
        <v>24</v>
      </c>
      <c r="E40" t="s">
        <v>932</v>
      </c>
      <c r="F40" t="s">
        <v>931</v>
      </c>
      <c r="H40" t="s">
        <v>941</v>
      </c>
      <c r="I40" t="s">
        <v>959</v>
      </c>
      <c r="J40" t="s">
        <v>733</v>
      </c>
      <c r="K40" s="27"/>
      <c r="L40" t="str">
        <f t="shared" si="0"/>
        <v xml:space="preserve">Case 305 is a Local Linked case, 24 years old male Singapore Citizen and has not been overseas. He is currently admitted at NCID. Contact of Case 142 </v>
      </c>
    </row>
    <row r="41" spans="1:12" x14ac:dyDescent="0.3">
      <c r="A41">
        <v>306</v>
      </c>
      <c r="B41">
        <v>43908</v>
      </c>
      <c r="C41" t="s">
        <v>133</v>
      </c>
      <c r="D41">
        <v>56</v>
      </c>
      <c r="E41" t="s">
        <v>932</v>
      </c>
      <c r="F41" t="s">
        <v>931</v>
      </c>
      <c r="G41" t="s">
        <v>356</v>
      </c>
      <c r="H41" t="s">
        <v>77</v>
      </c>
      <c r="K41" s="25"/>
      <c r="L41" t="str">
        <f t="shared" si="0"/>
        <v xml:space="preserve">Case 306 is a Imported case, 56 years old male Singapore Citizen and has been to UK. He is currently admitted at NCID. </v>
      </c>
    </row>
    <row r="42" spans="1:12" x14ac:dyDescent="0.3">
      <c r="A42">
        <v>307</v>
      </c>
      <c r="B42">
        <v>43908</v>
      </c>
      <c r="C42" t="s">
        <v>133</v>
      </c>
      <c r="D42">
        <v>22</v>
      </c>
      <c r="E42" t="s">
        <v>930</v>
      </c>
      <c r="F42" t="s">
        <v>931</v>
      </c>
      <c r="G42" t="s">
        <v>952</v>
      </c>
      <c r="H42" t="s">
        <v>77</v>
      </c>
      <c r="K42" s="25"/>
      <c r="L42" t="str">
        <f t="shared" si="0"/>
        <v xml:space="preserve">Case 307 is a Imported case, 22 years old female Singapore Citizen and has been to Philippines. She is currently admitted at NCID. </v>
      </c>
    </row>
    <row r="43" spans="1:12" x14ac:dyDescent="0.3">
      <c r="A43">
        <v>308</v>
      </c>
      <c r="B43">
        <v>43908</v>
      </c>
      <c r="C43" t="s">
        <v>133</v>
      </c>
      <c r="D43">
        <v>59</v>
      </c>
      <c r="E43" t="s">
        <v>932</v>
      </c>
      <c r="F43" t="s">
        <v>931</v>
      </c>
      <c r="G43" t="s">
        <v>937</v>
      </c>
      <c r="H43" t="s">
        <v>77</v>
      </c>
      <c r="I43" t="s">
        <v>960</v>
      </c>
      <c r="K43" s="25"/>
      <c r="L43" t="str">
        <f t="shared" si="0"/>
        <v>Case 308 is a Imported case, 59 years old male Singapore Citizen and has been to US. He is currently admitted at NCID. Contact of Case 277</v>
      </c>
    </row>
    <row r="44" spans="1:12" x14ac:dyDescent="0.3">
      <c r="A44">
        <v>309</v>
      </c>
      <c r="B44">
        <v>43908</v>
      </c>
      <c r="C44" t="s">
        <v>133</v>
      </c>
      <c r="D44">
        <v>60</v>
      </c>
      <c r="E44" t="s">
        <v>932</v>
      </c>
      <c r="F44" t="s">
        <v>931</v>
      </c>
      <c r="G44" t="s">
        <v>961</v>
      </c>
      <c r="H44" t="s">
        <v>77</v>
      </c>
      <c r="I44" t="s">
        <v>962</v>
      </c>
      <c r="K44" s="25"/>
      <c r="L44" t="str">
        <f t="shared" si="0"/>
        <v>Case 309 is a Imported case, 60 years old male Singapore Citizen and has been to Croatia, Austria. He is currently admitted at NCID. Contact of Case 230</v>
      </c>
    </row>
    <row r="45" spans="1:12" x14ac:dyDescent="0.3">
      <c r="A45">
        <v>310</v>
      </c>
      <c r="B45">
        <v>43908</v>
      </c>
      <c r="C45" t="s">
        <v>133</v>
      </c>
      <c r="D45">
        <v>58</v>
      </c>
      <c r="E45" t="s">
        <v>932</v>
      </c>
      <c r="F45" t="s">
        <v>931</v>
      </c>
      <c r="H45" t="s">
        <v>941</v>
      </c>
      <c r="I45" t="s">
        <v>963</v>
      </c>
      <c r="J45" t="s">
        <v>964</v>
      </c>
      <c r="K45" s="25"/>
      <c r="L45" t="str">
        <f t="shared" si="0"/>
        <v>Case 310 is a Local Linked case, 58 years old male Singapore Citizen and has not been overseas. He is currently admitted at NCID. Contact of Cases 183 and 252</v>
      </c>
    </row>
    <row r="46" spans="1:12" x14ac:dyDescent="0.3">
      <c r="A46">
        <v>311</v>
      </c>
      <c r="B46">
        <v>43908</v>
      </c>
      <c r="C46" t="s">
        <v>133</v>
      </c>
      <c r="D46">
        <v>80</v>
      </c>
      <c r="E46" t="s">
        <v>930</v>
      </c>
      <c r="F46" t="s">
        <v>931</v>
      </c>
      <c r="H46" t="s">
        <v>941</v>
      </c>
      <c r="I46" t="s">
        <v>965</v>
      </c>
      <c r="K46" s="25"/>
      <c r="L46" t="str">
        <f t="shared" si="0"/>
        <v>Case 311 is a Local Linked case, 80 years old female Singapore Citizen and has not been overseas. She is currently admitted at NCID. Family member of Case 234</v>
      </c>
    </row>
    <row r="47" spans="1:12" x14ac:dyDescent="0.3">
      <c r="A47">
        <v>312</v>
      </c>
      <c r="B47">
        <v>43908</v>
      </c>
      <c r="C47" t="s">
        <v>133</v>
      </c>
      <c r="D47">
        <v>30</v>
      </c>
      <c r="E47" t="s">
        <v>932</v>
      </c>
      <c r="F47" t="s">
        <v>623</v>
      </c>
      <c r="G47" t="s">
        <v>966</v>
      </c>
      <c r="H47" t="s">
        <v>77</v>
      </c>
      <c r="K47" s="25"/>
      <c r="L47" t="str">
        <f t="shared" si="0"/>
        <v xml:space="preserve">Case 312 is a Imported case, 30 years old male French and has been to France, Germany. He is currently admitted at NCID. </v>
      </c>
    </row>
    <row r="48" spans="1:12" x14ac:dyDescent="0.3">
      <c r="A48">
        <v>313</v>
      </c>
      <c r="B48">
        <v>43908</v>
      </c>
      <c r="C48" t="s">
        <v>133</v>
      </c>
      <c r="D48">
        <v>39</v>
      </c>
      <c r="E48" t="s">
        <v>932</v>
      </c>
      <c r="F48" t="s">
        <v>968</v>
      </c>
      <c r="G48" t="s">
        <v>356</v>
      </c>
      <c r="H48" t="s">
        <v>77</v>
      </c>
      <c r="K48" s="25"/>
      <c r="L48" t="str">
        <f t="shared" si="0"/>
        <v xml:space="preserve">Case 313 is a Imported case, 39 years old male British (Singapore Work Pass) and has been to UK. He is currently admitted at NCID. </v>
      </c>
    </row>
    <row r="49" spans="1:14" x14ac:dyDescent="0.3">
      <c r="A49">
        <v>314</v>
      </c>
      <c r="B49">
        <v>43908</v>
      </c>
      <c r="C49" t="s">
        <v>1058</v>
      </c>
      <c r="D49">
        <v>58</v>
      </c>
      <c r="E49" t="s">
        <v>1059</v>
      </c>
      <c r="F49" t="s">
        <v>1060</v>
      </c>
      <c r="H49" t="s">
        <v>1061</v>
      </c>
      <c r="J49" t="str">
        <f>IF(TRIM(E49)="M","Male",IF(TRIM(E49)="F","Female",""))</f>
        <v>Male</v>
      </c>
      <c r="K49" t="str">
        <f>IF(LEFT(F49,9)="Singapore","Singaporean",LEFT(F49,FIND("(",F49)-2))</f>
        <v>Singaporean</v>
      </c>
      <c r="L49" t="str">
        <f>"Case "&amp;A49&amp;" is a "&amp;H49&amp;" case, "&amp;D49&amp;" years old "&amp;LOWER(J49)&amp;" "&amp;F49 &amp;IF(G49=""," and has not been overseas"," and has been to "&amp;G49)&amp;". "&amp;IF(TRIM(E49)="F","She",IF(TRIM(E49)="M","He"))&amp;" is currently admitted at "&amp;C49&amp;". "&amp;I49</f>
        <v xml:space="preserve">Case 314 is a Local unlinked case, 58 years old male Singapore Citizen  and has not been overseas. He is currently admitted at KTPH . </v>
      </c>
      <c r="M49" t="str">
        <f>IF(G49="","",A49)</f>
        <v/>
      </c>
      <c r="N49" t="str">
        <f>IF(G49="","",G49)</f>
        <v/>
      </c>
    </row>
    <row r="50" spans="1:14" x14ac:dyDescent="0.3">
      <c r="A50" s="22">
        <v>315</v>
      </c>
      <c r="B50" s="23">
        <v>43908</v>
      </c>
      <c r="C50" t="s">
        <v>1062</v>
      </c>
      <c r="D50">
        <v>57</v>
      </c>
      <c r="E50" t="s">
        <v>1059</v>
      </c>
      <c r="F50" t="s">
        <v>1060</v>
      </c>
      <c r="G50" t="s">
        <v>1063</v>
      </c>
      <c r="H50" t="s">
        <v>77</v>
      </c>
      <c r="J50" t="str">
        <f t="shared" ref="J50:J80" si="1">IF(TRIM(E50)="M","Male",IF(TRIM(E50)="F","Female",""))</f>
        <v>Male</v>
      </c>
      <c r="K50" t="str">
        <f t="shared" ref="K50:K80" si="2">IF(LEFT(F50,9)="Singapore","Singaporean",LEFT(F50,FIND("(",F50)-2))</f>
        <v>Singaporean</v>
      </c>
      <c r="L50" t="str">
        <f t="shared" ref="L50:L80" si="3">"Case "&amp;A50&amp;" is a "&amp;H50&amp;" case, "&amp;D50&amp;" years old "&amp;LOWER(J50)&amp;" "&amp;F50 &amp;IF(G50=""," and has not been overseas"," and has been to "&amp;G50)&amp;". "&amp;IF(TRIM(E50)="F","She",IF(TRIM(E50)="M","He"))&amp;" is currently admitted at "&amp;C50&amp;". "&amp;I50</f>
        <v xml:space="preserve">Case 315 is a Imported case, 57 years old male Singapore Citizen  and has been to UK . He is currently admitted at NTFGH . </v>
      </c>
      <c r="M50">
        <f t="shared" ref="M50:M80" si="4">IF(G50="","",A50)</f>
        <v>315</v>
      </c>
      <c r="N50" t="str">
        <f t="shared" ref="N50:N80" si="5">IF(G50="","",G50)</f>
        <v xml:space="preserve">UK </v>
      </c>
    </row>
    <row r="51" spans="1:14" x14ac:dyDescent="0.3">
      <c r="A51" s="22">
        <v>316</v>
      </c>
      <c r="B51" s="23">
        <v>43908</v>
      </c>
      <c r="C51" t="s">
        <v>1064</v>
      </c>
      <c r="D51">
        <v>25</v>
      </c>
      <c r="E51" t="s">
        <v>932</v>
      </c>
      <c r="F51" t="s">
        <v>1065</v>
      </c>
      <c r="G51" t="s">
        <v>360</v>
      </c>
      <c r="H51" t="s">
        <v>77</v>
      </c>
      <c r="J51" t="str">
        <f t="shared" si="1"/>
        <v>Male</v>
      </c>
      <c r="K51" t="str">
        <f t="shared" si="2"/>
        <v>Malaysia</v>
      </c>
      <c r="L51" t="str">
        <f t="shared" si="3"/>
        <v xml:space="preserve">Case 316 is a Imported case, 25 years old male Malaysia (Singapore Work Pass)  and has been to Malaysia . He is currently admitted at CGH . </v>
      </c>
      <c r="M51">
        <f t="shared" si="4"/>
        <v>316</v>
      </c>
      <c r="N51" t="str">
        <f t="shared" si="5"/>
        <v xml:space="preserve">Malaysia </v>
      </c>
    </row>
    <row r="52" spans="1:14" x14ac:dyDescent="0.3">
      <c r="A52" s="22">
        <v>317</v>
      </c>
      <c r="B52" s="23">
        <v>43908</v>
      </c>
      <c r="C52" t="s">
        <v>1066</v>
      </c>
      <c r="D52">
        <v>29</v>
      </c>
      <c r="E52" t="s">
        <v>1059</v>
      </c>
      <c r="F52" t="s">
        <v>1060</v>
      </c>
      <c r="G52" t="s">
        <v>1063</v>
      </c>
      <c r="H52" t="s">
        <v>77</v>
      </c>
      <c r="J52" t="str">
        <f t="shared" si="1"/>
        <v>Male</v>
      </c>
      <c r="K52" t="str">
        <f t="shared" si="2"/>
        <v>Singaporean</v>
      </c>
      <c r="L52" t="str">
        <f t="shared" si="3"/>
        <v xml:space="preserve">Case 317 is a Imported case, 29 years old male Singapore Citizen  and has been to UK . He is currently admitted at SKH . </v>
      </c>
      <c r="M52">
        <f t="shared" si="4"/>
        <v>317</v>
      </c>
      <c r="N52" t="str">
        <f t="shared" si="5"/>
        <v xml:space="preserve">UK </v>
      </c>
    </row>
    <row r="53" spans="1:14" x14ac:dyDescent="0.3">
      <c r="A53" s="22">
        <v>318</v>
      </c>
      <c r="B53" s="23">
        <v>43908</v>
      </c>
      <c r="C53" t="s">
        <v>1066</v>
      </c>
      <c r="D53">
        <v>58</v>
      </c>
      <c r="E53" t="s">
        <v>930</v>
      </c>
      <c r="F53" t="s">
        <v>1067</v>
      </c>
      <c r="H53" t="s">
        <v>1061</v>
      </c>
      <c r="J53" t="str">
        <f t="shared" si="1"/>
        <v>Female</v>
      </c>
      <c r="K53" t="str">
        <f t="shared" si="2"/>
        <v>China</v>
      </c>
      <c r="L53" t="str">
        <f t="shared" si="3"/>
        <v xml:space="preserve">Case 318 is a Local unlinked case, 58 years old female China (Singapore Long Term Pass) and has not been overseas. She is currently admitted at SKH . </v>
      </c>
      <c r="M53" t="str">
        <f t="shared" si="4"/>
        <v/>
      </c>
      <c r="N53" t="str">
        <f t="shared" si="5"/>
        <v/>
      </c>
    </row>
    <row r="54" spans="1:14" x14ac:dyDescent="0.3">
      <c r="A54" s="22">
        <v>319</v>
      </c>
      <c r="B54" s="23">
        <v>43908</v>
      </c>
      <c r="C54" t="s">
        <v>1066</v>
      </c>
      <c r="D54">
        <v>67</v>
      </c>
      <c r="E54" t="s">
        <v>930</v>
      </c>
      <c r="F54" t="s">
        <v>1068</v>
      </c>
      <c r="G54" t="s">
        <v>706</v>
      </c>
      <c r="H54" t="s">
        <v>1069</v>
      </c>
      <c r="I54" t="s">
        <v>1070</v>
      </c>
      <c r="J54" t="str">
        <f t="shared" si="1"/>
        <v>Female</v>
      </c>
      <c r="K54" t="str">
        <f t="shared" si="2"/>
        <v>Philippines</v>
      </c>
      <c r="L54" t="str">
        <f t="shared" si="3"/>
        <v>Case 319 is a Imported  case, 67 years old female Philippines (Singapore Work Pass)  and has been to Philippines . She is currently admitted at SKH . Contact of Case 279</v>
      </c>
      <c r="M54">
        <f t="shared" si="4"/>
        <v>319</v>
      </c>
      <c r="N54" t="str">
        <f t="shared" si="5"/>
        <v xml:space="preserve">Philippines </v>
      </c>
    </row>
    <row r="55" spans="1:14" x14ac:dyDescent="0.3">
      <c r="A55">
        <v>320</v>
      </c>
      <c r="B55" s="23">
        <v>43908</v>
      </c>
      <c r="C55" t="s">
        <v>1071</v>
      </c>
      <c r="D55">
        <v>34</v>
      </c>
      <c r="E55" t="s">
        <v>932</v>
      </c>
      <c r="F55" t="s">
        <v>1072</v>
      </c>
      <c r="G55" t="s">
        <v>1063</v>
      </c>
      <c r="H55" t="s">
        <v>77</v>
      </c>
      <c r="J55" t="str">
        <f t="shared" si="1"/>
        <v>Male</v>
      </c>
      <c r="K55" t="str">
        <f t="shared" si="2"/>
        <v>Singaporean</v>
      </c>
      <c r="L55" t="str">
        <f t="shared" si="3"/>
        <v xml:space="preserve">Case 320 is a Imported case, 34 years old male Singapore Permanent Resident  and has been to UK . He is currently admitted at NCID . </v>
      </c>
      <c r="M55">
        <f t="shared" si="4"/>
        <v>320</v>
      </c>
      <c r="N55" t="str">
        <f t="shared" si="5"/>
        <v xml:space="preserve">UK </v>
      </c>
    </row>
    <row r="56" spans="1:14" x14ac:dyDescent="0.3">
      <c r="A56">
        <v>321</v>
      </c>
      <c r="B56" s="23">
        <v>43908</v>
      </c>
      <c r="C56" t="s">
        <v>343</v>
      </c>
      <c r="D56">
        <v>65</v>
      </c>
      <c r="E56" t="s">
        <v>1073</v>
      </c>
      <c r="F56" t="s">
        <v>1060</v>
      </c>
      <c r="H56" t="s">
        <v>1061</v>
      </c>
      <c r="J56" t="str">
        <f t="shared" si="1"/>
        <v>Female</v>
      </c>
      <c r="K56" t="str">
        <f t="shared" si="2"/>
        <v>Singaporean</v>
      </c>
      <c r="L56" t="str">
        <f t="shared" si="3"/>
        <v xml:space="preserve">Case 321 is a Local unlinked case, 65 years old female Singapore Citizen  and has not been overseas. She is currently admitted at NUH . </v>
      </c>
      <c r="M56" t="str">
        <f t="shared" si="4"/>
        <v/>
      </c>
      <c r="N56" t="str">
        <f t="shared" si="5"/>
        <v/>
      </c>
    </row>
    <row r="57" spans="1:14" x14ac:dyDescent="0.3">
      <c r="A57">
        <v>322</v>
      </c>
      <c r="B57" s="23">
        <v>43908</v>
      </c>
      <c r="C57" t="s">
        <v>1074</v>
      </c>
      <c r="D57">
        <v>46</v>
      </c>
      <c r="E57" t="s">
        <v>930</v>
      </c>
      <c r="F57" t="s">
        <v>949</v>
      </c>
      <c r="G57" t="s">
        <v>1075</v>
      </c>
      <c r="H57" t="s">
        <v>77</v>
      </c>
      <c r="J57" t="str">
        <f t="shared" si="1"/>
        <v>Female</v>
      </c>
      <c r="K57" t="str">
        <f t="shared" si="2"/>
        <v>Singaporean</v>
      </c>
      <c r="L57" t="str">
        <f t="shared" si="3"/>
        <v xml:space="preserve">Case 322 is a Imported case, 46 years old female Singapore Permanent Resident and has been to Switzerland, France . She is currently admitted at AH . </v>
      </c>
      <c r="M57">
        <f t="shared" si="4"/>
        <v>322</v>
      </c>
      <c r="N57" t="str">
        <f t="shared" si="5"/>
        <v xml:space="preserve">Switzerland, France </v>
      </c>
    </row>
    <row r="58" spans="1:14" x14ac:dyDescent="0.3">
      <c r="A58">
        <v>323</v>
      </c>
      <c r="B58" s="23">
        <v>43908</v>
      </c>
      <c r="C58" t="s">
        <v>1071</v>
      </c>
      <c r="D58">
        <v>24</v>
      </c>
      <c r="E58" t="s">
        <v>1059</v>
      </c>
      <c r="F58" t="s">
        <v>1060</v>
      </c>
      <c r="G58" t="s">
        <v>1063</v>
      </c>
      <c r="H58" t="s">
        <v>77</v>
      </c>
      <c r="J58" t="str">
        <f t="shared" si="1"/>
        <v>Male</v>
      </c>
      <c r="K58" t="str">
        <f t="shared" si="2"/>
        <v>Singaporean</v>
      </c>
      <c r="L58" t="str">
        <f t="shared" si="3"/>
        <v xml:space="preserve">Case 323 is a Imported case, 24 years old male Singapore Citizen  and has been to UK . He is currently admitted at NCID . </v>
      </c>
      <c r="M58">
        <f t="shared" si="4"/>
        <v>323</v>
      </c>
      <c r="N58" t="str">
        <f t="shared" si="5"/>
        <v xml:space="preserve">UK </v>
      </c>
    </row>
    <row r="59" spans="1:14" x14ac:dyDescent="0.3">
      <c r="A59">
        <v>324</v>
      </c>
      <c r="B59" s="23">
        <v>43908</v>
      </c>
      <c r="C59" t="s">
        <v>1071</v>
      </c>
      <c r="D59">
        <v>45</v>
      </c>
      <c r="E59" t="s">
        <v>932</v>
      </c>
      <c r="F59" t="s">
        <v>1076</v>
      </c>
      <c r="G59" t="s">
        <v>1063</v>
      </c>
      <c r="H59" t="s">
        <v>77</v>
      </c>
      <c r="J59" t="str">
        <f t="shared" si="1"/>
        <v>Male</v>
      </c>
      <c r="K59" t="str">
        <f t="shared" si="2"/>
        <v>Brazil</v>
      </c>
      <c r="L59" t="str">
        <f t="shared" si="3"/>
        <v xml:space="preserve">Case 324 is a Imported case, 45 years old male Brazil (Singapore Work Pass)  and has been to UK . He is currently admitted at NCID . </v>
      </c>
      <c r="M59">
        <f t="shared" si="4"/>
        <v>324</v>
      </c>
      <c r="N59" t="str">
        <f t="shared" si="5"/>
        <v xml:space="preserve">UK </v>
      </c>
    </row>
    <row r="60" spans="1:14" x14ac:dyDescent="0.3">
      <c r="A60">
        <v>325</v>
      </c>
      <c r="B60" s="23">
        <v>43909</v>
      </c>
      <c r="C60" t="s">
        <v>1071</v>
      </c>
      <c r="D60">
        <v>38</v>
      </c>
      <c r="E60" t="s">
        <v>932</v>
      </c>
      <c r="F60" t="s">
        <v>1068</v>
      </c>
      <c r="G60" t="s">
        <v>1063</v>
      </c>
      <c r="H60" t="s">
        <v>77</v>
      </c>
      <c r="J60" t="str">
        <f t="shared" si="1"/>
        <v>Male</v>
      </c>
      <c r="K60" t="str">
        <f t="shared" si="2"/>
        <v>Philippines</v>
      </c>
      <c r="L60" t="str">
        <f t="shared" si="3"/>
        <v xml:space="preserve">Case 325 is a Imported case, 38 years old male Philippines (Singapore Work Pass)  and has been to UK . He is currently admitted at NCID . </v>
      </c>
      <c r="M60">
        <f t="shared" si="4"/>
        <v>325</v>
      </c>
      <c r="N60" t="str">
        <f t="shared" si="5"/>
        <v xml:space="preserve">UK </v>
      </c>
    </row>
    <row r="61" spans="1:14" x14ac:dyDescent="0.3">
      <c r="A61">
        <v>326</v>
      </c>
      <c r="B61" s="23">
        <v>43909</v>
      </c>
      <c r="C61" t="s">
        <v>1071</v>
      </c>
      <c r="D61">
        <v>33</v>
      </c>
      <c r="E61" t="s">
        <v>1059</v>
      </c>
      <c r="F61" t="s">
        <v>1060</v>
      </c>
      <c r="G61" t="s">
        <v>1077</v>
      </c>
      <c r="H61" t="s">
        <v>77</v>
      </c>
      <c r="J61" t="str">
        <f t="shared" si="1"/>
        <v>Male</v>
      </c>
      <c r="K61" t="str">
        <f t="shared" si="2"/>
        <v>Singaporean</v>
      </c>
      <c r="L61" t="str">
        <f t="shared" si="3"/>
        <v xml:space="preserve">Case 326 is a Imported case, 33 years old male Singapore Citizen  and has been to UK, Netherlands . He is currently admitted at NCID . </v>
      </c>
      <c r="M61">
        <f t="shared" si="4"/>
        <v>326</v>
      </c>
      <c r="N61" t="str">
        <f t="shared" si="5"/>
        <v xml:space="preserve">UK, Netherlands </v>
      </c>
    </row>
    <row r="62" spans="1:14" x14ac:dyDescent="0.3">
      <c r="A62">
        <v>327</v>
      </c>
      <c r="B62" s="23">
        <v>43909</v>
      </c>
      <c r="C62" t="s">
        <v>1071</v>
      </c>
      <c r="D62">
        <v>38</v>
      </c>
      <c r="E62" t="s">
        <v>1073</v>
      </c>
      <c r="F62" t="s">
        <v>931</v>
      </c>
      <c r="G62" t="s">
        <v>1078</v>
      </c>
      <c r="H62" t="s">
        <v>77</v>
      </c>
      <c r="J62" t="str">
        <f t="shared" si="1"/>
        <v>Female</v>
      </c>
      <c r="K62" t="str">
        <f t="shared" si="2"/>
        <v>Singaporean</v>
      </c>
      <c r="L62" t="str">
        <f t="shared" si="3"/>
        <v xml:space="preserve">Case 327 is a Imported case, 38 years old female Singapore Citizen and has been to Switzerland, Italy, Austria, Germany. She is currently admitted at NCID . </v>
      </c>
      <c r="M62">
        <f t="shared" si="4"/>
        <v>327</v>
      </c>
      <c r="N62" t="str">
        <f t="shared" si="5"/>
        <v>Switzerland, Italy, Austria, Germany</v>
      </c>
    </row>
    <row r="63" spans="1:14" x14ac:dyDescent="0.3">
      <c r="A63">
        <v>328</v>
      </c>
      <c r="B63" s="23">
        <v>43909</v>
      </c>
      <c r="C63" t="s">
        <v>1071</v>
      </c>
      <c r="D63">
        <v>63</v>
      </c>
      <c r="E63" t="s">
        <v>930</v>
      </c>
      <c r="F63" t="s">
        <v>1072</v>
      </c>
      <c r="G63" t="s">
        <v>1079</v>
      </c>
      <c r="H63" t="s">
        <v>1069</v>
      </c>
      <c r="I63" t="s">
        <v>1080</v>
      </c>
      <c r="J63" t="str">
        <f t="shared" si="1"/>
        <v>Female</v>
      </c>
      <c r="K63" t="str">
        <f t="shared" si="2"/>
        <v>Singaporean</v>
      </c>
      <c r="L63" t="str">
        <f t="shared" si="3"/>
        <v>Case 328 is a Imported  case, 63 years old female Singapore Permanent Resident  and has been to UK, Switzerland . She is currently admitted at NCID . Family member of Case 268</v>
      </c>
      <c r="M63">
        <f t="shared" si="4"/>
        <v>328</v>
      </c>
      <c r="N63" t="str">
        <f t="shared" si="5"/>
        <v xml:space="preserve">UK, Switzerland </v>
      </c>
    </row>
    <row r="64" spans="1:14" x14ac:dyDescent="0.3">
      <c r="A64">
        <v>329</v>
      </c>
      <c r="B64" s="23">
        <v>43909</v>
      </c>
      <c r="C64" t="s">
        <v>1071</v>
      </c>
      <c r="D64">
        <v>64</v>
      </c>
      <c r="E64" t="s">
        <v>1059</v>
      </c>
      <c r="F64" t="s">
        <v>1060</v>
      </c>
      <c r="G64" t="s">
        <v>1081</v>
      </c>
      <c r="H64" t="s">
        <v>1069</v>
      </c>
      <c r="I64" t="s">
        <v>1082</v>
      </c>
      <c r="J64" t="str">
        <f t="shared" si="1"/>
        <v>Male</v>
      </c>
      <c r="K64" t="str">
        <f t="shared" si="2"/>
        <v>Singaporean</v>
      </c>
      <c r="L64" t="str">
        <f t="shared" si="3"/>
        <v>Case 329 is a Imported  case, 64 years old male Singapore Citizen  and has been to Turkey . He is currently admitted at NCID . Family member of Case 292</v>
      </c>
      <c r="M64">
        <f t="shared" si="4"/>
        <v>329</v>
      </c>
      <c r="N64" t="str">
        <f t="shared" si="5"/>
        <v xml:space="preserve">Turkey </v>
      </c>
    </row>
    <row r="65" spans="1:14" x14ac:dyDescent="0.3">
      <c r="A65">
        <v>330</v>
      </c>
      <c r="B65" s="23">
        <v>43909</v>
      </c>
      <c r="C65" t="s">
        <v>1071</v>
      </c>
      <c r="D65">
        <v>67</v>
      </c>
      <c r="E65" t="s">
        <v>1059</v>
      </c>
      <c r="F65" t="s">
        <v>1060</v>
      </c>
      <c r="H65" t="s">
        <v>1061</v>
      </c>
      <c r="J65" t="str">
        <f t="shared" si="1"/>
        <v>Male</v>
      </c>
      <c r="K65" t="str">
        <f t="shared" si="2"/>
        <v>Singaporean</v>
      </c>
      <c r="L65" t="str">
        <f t="shared" si="3"/>
        <v xml:space="preserve">Case 330 is a Local unlinked case, 67 years old male Singapore Citizen  and has not been overseas. He is currently admitted at NCID . </v>
      </c>
      <c r="M65" t="str">
        <f t="shared" si="4"/>
        <v/>
      </c>
      <c r="N65" t="str">
        <f t="shared" si="5"/>
        <v/>
      </c>
    </row>
    <row r="66" spans="1:14" x14ac:dyDescent="0.3">
      <c r="A66">
        <v>331</v>
      </c>
      <c r="B66" s="23">
        <v>43909</v>
      </c>
      <c r="C66" t="s">
        <v>1071</v>
      </c>
      <c r="D66">
        <v>49</v>
      </c>
      <c r="E66" t="s">
        <v>930</v>
      </c>
      <c r="F66" t="s">
        <v>1072</v>
      </c>
      <c r="G66" t="s">
        <v>1063</v>
      </c>
      <c r="H66" t="s">
        <v>77</v>
      </c>
      <c r="J66" t="str">
        <f t="shared" si="1"/>
        <v>Female</v>
      </c>
      <c r="K66" t="str">
        <f t="shared" si="2"/>
        <v>Singaporean</v>
      </c>
      <c r="L66" t="str">
        <f t="shared" si="3"/>
        <v xml:space="preserve">Case 331 is a Imported case, 49 years old female Singapore Permanent Resident  and has been to UK . She is currently admitted at NCID . </v>
      </c>
      <c r="M66">
        <f t="shared" si="4"/>
        <v>331</v>
      </c>
      <c r="N66" t="str">
        <f t="shared" si="5"/>
        <v xml:space="preserve">UK </v>
      </c>
    </row>
    <row r="67" spans="1:14" x14ac:dyDescent="0.3">
      <c r="A67">
        <v>332</v>
      </c>
      <c r="B67" s="23">
        <v>43909</v>
      </c>
      <c r="C67" t="s">
        <v>1071</v>
      </c>
      <c r="D67">
        <v>36</v>
      </c>
      <c r="E67" t="s">
        <v>930</v>
      </c>
      <c r="F67" t="s">
        <v>1083</v>
      </c>
      <c r="G67" t="s">
        <v>1063</v>
      </c>
      <c r="H67" t="s">
        <v>77</v>
      </c>
      <c r="J67" t="str">
        <f t="shared" si="1"/>
        <v>Female</v>
      </c>
      <c r="K67" t="str">
        <f t="shared" si="2"/>
        <v>US</v>
      </c>
      <c r="L67" t="str">
        <f t="shared" si="3"/>
        <v xml:space="preserve">Case 332 is a Imported case, 36 years old female US (Singapore Long Term Pass) and has been to UK . She is currently admitted at NCID . </v>
      </c>
      <c r="M67">
        <f t="shared" si="4"/>
        <v>332</v>
      </c>
      <c r="N67" t="str">
        <f t="shared" si="5"/>
        <v xml:space="preserve">UK </v>
      </c>
    </row>
    <row r="68" spans="1:14" x14ac:dyDescent="0.3">
      <c r="A68">
        <v>333</v>
      </c>
      <c r="B68" s="23">
        <v>43909</v>
      </c>
      <c r="C68" t="s">
        <v>1071</v>
      </c>
      <c r="D68">
        <v>48</v>
      </c>
      <c r="E68" t="s">
        <v>932</v>
      </c>
      <c r="F68" t="s">
        <v>1084</v>
      </c>
      <c r="G68" t="s">
        <v>1085</v>
      </c>
      <c r="H68" t="s">
        <v>77</v>
      </c>
      <c r="J68" t="str">
        <f t="shared" si="1"/>
        <v>Male</v>
      </c>
      <c r="K68" t="str">
        <f t="shared" si="2"/>
        <v>Columbia</v>
      </c>
      <c r="L68" t="str">
        <f t="shared" si="3"/>
        <v xml:space="preserve">Case 333 is a Imported case, 48 years old male Columbia (Singapore Long Term Pass) and has been to US . He is currently admitted at NCID . </v>
      </c>
      <c r="M68">
        <f t="shared" si="4"/>
        <v>333</v>
      </c>
      <c r="N68" t="str">
        <f t="shared" si="5"/>
        <v xml:space="preserve">US </v>
      </c>
    </row>
    <row r="69" spans="1:14" x14ac:dyDescent="0.3">
      <c r="A69">
        <v>334</v>
      </c>
      <c r="B69" s="23">
        <v>43909</v>
      </c>
      <c r="C69" t="s">
        <v>1071</v>
      </c>
      <c r="D69">
        <v>32</v>
      </c>
      <c r="E69" t="s">
        <v>1073</v>
      </c>
      <c r="F69" t="s">
        <v>1060</v>
      </c>
      <c r="G69" t="s">
        <v>1085</v>
      </c>
      <c r="H69" t="s">
        <v>77</v>
      </c>
      <c r="J69" t="str">
        <f t="shared" si="1"/>
        <v>Female</v>
      </c>
      <c r="K69" t="str">
        <f t="shared" si="2"/>
        <v>Singaporean</v>
      </c>
      <c r="L69" t="str">
        <f t="shared" si="3"/>
        <v xml:space="preserve">Case 334 is a Imported case, 32 years old female Singapore Citizen  and has been to US . She is currently admitted at NCID . </v>
      </c>
      <c r="M69">
        <f t="shared" si="4"/>
        <v>334</v>
      </c>
      <c r="N69" t="str">
        <f t="shared" si="5"/>
        <v xml:space="preserve">US </v>
      </c>
    </row>
    <row r="70" spans="1:14" x14ac:dyDescent="0.3">
      <c r="A70">
        <v>335</v>
      </c>
      <c r="B70" s="23">
        <v>43909</v>
      </c>
      <c r="C70" t="s">
        <v>1071</v>
      </c>
      <c r="D70">
        <v>57</v>
      </c>
      <c r="E70" t="s">
        <v>1059</v>
      </c>
      <c r="F70" t="s">
        <v>1060</v>
      </c>
      <c r="H70" t="s">
        <v>1086</v>
      </c>
      <c r="I70" t="s">
        <v>965</v>
      </c>
      <c r="J70" t="str">
        <f t="shared" si="1"/>
        <v>Male</v>
      </c>
      <c r="K70" t="str">
        <f t="shared" si="2"/>
        <v>Singaporean</v>
      </c>
      <c r="L70" t="str">
        <f t="shared" si="3"/>
        <v>Case 335 is a Local linked  case, 57 years old male Singapore Citizen  and has not been overseas. He is currently admitted at NCID . Family member of Case 234</v>
      </c>
      <c r="M70" t="str">
        <f t="shared" si="4"/>
        <v/>
      </c>
      <c r="N70" t="str">
        <f t="shared" si="5"/>
        <v/>
      </c>
    </row>
    <row r="71" spans="1:14" x14ac:dyDescent="0.3">
      <c r="A71">
        <v>336</v>
      </c>
      <c r="B71" s="23">
        <v>43909</v>
      </c>
      <c r="C71" t="s">
        <v>1058</v>
      </c>
      <c r="D71">
        <v>60</v>
      </c>
      <c r="E71" t="s">
        <v>1059</v>
      </c>
      <c r="F71" t="s">
        <v>1060</v>
      </c>
      <c r="H71" t="s">
        <v>1061</v>
      </c>
      <c r="J71" t="str">
        <f t="shared" si="1"/>
        <v>Male</v>
      </c>
      <c r="K71" t="str">
        <f t="shared" si="2"/>
        <v>Singaporean</v>
      </c>
      <c r="L71" t="str">
        <f t="shared" si="3"/>
        <v xml:space="preserve">Case 336 is a Local unlinked case, 60 years old male Singapore Citizen  and has not been overseas. He is currently admitted at KTPH . </v>
      </c>
      <c r="M71" t="str">
        <f t="shared" si="4"/>
        <v/>
      </c>
      <c r="N71" t="str">
        <f t="shared" si="5"/>
        <v/>
      </c>
    </row>
    <row r="72" spans="1:14" x14ac:dyDescent="0.3">
      <c r="A72">
        <v>337</v>
      </c>
      <c r="B72" s="23">
        <v>43909</v>
      </c>
      <c r="C72" t="s">
        <v>343</v>
      </c>
      <c r="D72">
        <v>31</v>
      </c>
      <c r="E72" t="s">
        <v>932</v>
      </c>
      <c r="F72" t="s">
        <v>1087</v>
      </c>
      <c r="G72" t="s">
        <v>1088</v>
      </c>
      <c r="H72" t="s">
        <v>77</v>
      </c>
      <c r="J72" t="str">
        <f t="shared" si="1"/>
        <v>Male</v>
      </c>
      <c r="K72" t="str">
        <f t="shared" si="2"/>
        <v>Switzerland</v>
      </c>
      <c r="L72" t="str">
        <f t="shared" si="3"/>
        <v xml:space="preserve">Case 337 is a Imported case, 31 years old male Switzerland (Singapore Work Pass) and has been to France, Switzerland . He is currently admitted at NUH . </v>
      </c>
      <c r="M72">
        <f t="shared" si="4"/>
        <v>337</v>
      </c>
      <c r="N72" t="str">
        <f t="shared" si="5"/>
        <v xml:space="preserve">France, Switzerland </v>
      </c>
    </row>
    <row r="73" spans="1:14" x14ac:dyDescent="0.3">
      <c r="A73">
        <v>338</v>
      </c>
      <c r="B73" s="23">
        <v>43909</v>
      </c>
      <c r="C73" t="s">
        <v>1071</v>
      </c>
      <c r="D73">
        <v>57</v>
      </c>
      <c r="E73" t="s">
        <v>1059</v>
      </c>
      <c r="F73" t="s">
        <v>1060</v>
      </c>
      <c r="H73" t="s">
        <v>1061</v>
      </c>
      <c r="J73" t="str">
        <f t="shared" si="1"/>
        <v>Male</v>
      </c>
      <c r="K73" t="str">
        <f t="shared" si="2"/>
        <v>Singaporean</v>
      </c>
      <c r="L73" t="str">
        <f t="shared" si="3"/>
        <v xml:space="preserve">Case 338 is a Local unlinked case, 57 years old male Singapore Citizen  and has not been overseas. He is currently admitted at NCID . </v>
      </c>
      <c r="M73" t="str">
        <f t="shared" si="4"/>
        <v/>
      </c>
      <c r="N73" t="str">
        <f t="shared" si="5"/>
        <v/>
      </c>
    </row>
    <row r="74" spans="1:14" x14ac:dyDescent="0.3">
      <c r="A74">
        <v>339</v>
      </c>
      <c r="B74" s="23">
        <v>43909</v>
      </c>
      <c r="C74" t="s">
        <v>1071</v>
      </c>
      <c r="D74">
        <v>66</v>
      </c>
      <c r="E74" t="s">
        <v>1059</v>
      </c>
      <c r="F74" t="s">
        <v>1060</v>
      </c>
      <c r="G74" t="s">
        <v>706</v>
      </c>
      <c r="H74" t="s">
        <v>1069</v>
      </c>
      <c r="I74" t="s">
        <v>1089</v>
      </c>
      <c r="J74" t="str">
        <f t="shared" si="1"/>
        <v>Male</v>
      </c>
      <c r="K74" t="str">
        <f t="shared" si="2"/>
        <v>Singaporean</v>
      </c>
      <c r="L74" t="str">
        <f t="shared" si="3"/>
        <v>Case 339 is a Imported  case, 66 years old male Singapore Citizen  and has been to Philippines . He is currently admitted at NCID . Family member of Case 279</v>
      </c>
      <c r="M74">
        <f t="shared" si="4"/>
        <v>339</v>
      </c>
      <c r="N74" t="str">
        <f t="shared" si="5"/>
        <v xml:space="preserve">Philippines </v>
      </c>
    </row>
    <row r="75" spans="1:14" x14ac:dyDescent="0.3">
      <c r="A75">
        <v>340</v>
      </c>
      <c r="B75" s="23">
        <v>43909</v>
      </c>
      <c r="C75" t="s">
        <v>1071</v>
      </c>
      <c r="D75">
        <v>27</v>
      </c>
      <c r="E75" t="s">
        <v>1059</v>
      </c>
      <c r="F75" t="s">
        <v>1060</v>
      </c>
      <c r="G75" t="s">
        <v>706</v>
      </c>
      <c r="H75" t="s">
        <v>1069</v>
      </c>
      <c r="I75" t="s">
        <v>1090</v>
      </c>
      <c r="J75" t="str">
        <f t="shared" si="1"/>
        <v>Male</v>
      </c>
      <c r="K75" t="str">
        <f t="shared" si="2"/>
        <v>Singaporean</v>
      </c>
      <c r="L75" t="str">
        <f t="shared" si="3"/>
        <v>Case 340 is a Imported  case, 27 years old male Singapore Citizen  and has been to Philippines . He is currently admitted at NCID . Contact of Cases 222 and 307</v>
      </c>
      <c r="M75">
        <f t="shared" si="4"/>
        <v>340</v>
      </c>
      <c r="N75" t="str">
        <f t="shared" si="5"/>
        <v xml:space="preserve">Philippines </v>
      </c>
    </row>
    <row r="76" spans="1:14" x14ac:dyDescent="0.3">
      <c r="A76">
        <v>341</v>
      </c>
      <c r="B76" s="23">
        <v>43909</v>
      </c>
      <c r="C76" t="s">
        <v>1071</v>
      </c>
      <c r="D76">
        <v>31</v>
      </c>
      <c r="E76" t="s">
        <v>932</v>
      </c>
      <c r="F76" t="s">
        <v>1091</v>
      </c>
      <c r="G76" t="s">
        <v>1063</v>
      </c>
      <c r="H76" t="s">
        <v>77</v>
      </c>
      <c r="J76" t="str">
        <f t="shared" si="1"/>
        <v>Male</v>
      </c>
      <c r="K76" t="str">
        <f t="shared" si="2"/>
        <v>Germany</v>
      </c>
      <c r="L76" t="str">
        <f t="shared" si="3"/>
        <v xml:space="preserve">Case 341 is a Imported case, 31 years old male Germany (Singapore Work Pass) and has been to UK . He is currently admitted at NCID . </v>
      </c>
      <c r="M76">
        <f t="shared" si="4"/>
        <v>341</v>
      </c>
      <c r="N76" t="str">
        <f t="shared" si="5"/>
        <v xml:space="preserve">UK </v>
      </c>
    </row>
    <row r="77" spans="1:14" x14ac:dyDescent="0.3">
      <c r="A77">
        <v>342</v>
      </c>
      <c r="B77" s="23">
        <v>43909</v>
      </c>
      <c r="C77" t="s">
        <v>1071</v>
      </c>
      <c r="D77">
        <v>31</v>
      </c>
      <c r="E77" t="s">
        <v>1059</v>
      </c>
      <c r="F77" t="s">
        <v>1060</v>
      </c>
      <c r="G77" t="s">
        <v>794</v>
      </c>
      <c r="H77" t="s">
        <v>77</v>
      </c>
      <c r="J77" t="str">
        <f t="shared" si="1"/>
        <v>Male</v>
      </c>
      <c r="K77" t="str">
        <f t="shared" si="2"/>
        <v>Singaporean</v>
      </c>
      <c r="L77" t="str">
        <f t="shared" si="3"/>
        <v xml:space="preserve">Case 342 is a Imported case, 31 years old male Singapore Citizen  and has been to Thailand . He is currently admitted at NCID . </v>
      </c>
      <c r="M77">
        <f t="shared" si="4"/>
        <v>342</v>
      </c>
      <c r="N77" t="str">
        <f t="shared" si="5"/>
        <v xml:space="preserve">Thailand </v>
      </c>
    </row>
    <row r="78" spans="1:14" x14ac:dyDescent="0.3">
      <c r="A78">
        <v>343</v>
      </c>
      <c r="B78" s="23">
        <v>43909</v>
      </c>
      <c r="C78" t="s">
        <v>1071</v>
      </c>
      <c r="D78">
        <v>20</v>
      </c>
      <c r="E78" t="s">
        <v>930</v>
      </c>
      <c r="F78" t="s">
        <v>1072</v>
      </c>
      <c r="G78" t="s">
        <v>1063</v>
      </c>
      <c r="H78" t="s">
        <v>77</v>
      </c>
      <c r="J78" t="str">
        <f t="shared" si="1"/>
        <v>Female</v>
      </c>
      <c r="K78" t="str">
        <f t="shared" si="2"/>
        <v>Singaporean</v>
      </c>
      <c r="L78" t="str">
        <f t="shared" si="3"/>
        <v xml:space="preserve">Case 343 is a Imported case, 20 years old female Singapore Permanent Resident  and has been to UK . She is currently admitted at NCID . </v>
      </c>
      <c r="M78">
        <f t="shared" si="4"/>
        <v>343</v>
      </c>
      <c r="N78" t="str">
        <f t="shared" si="5"/>
        <v xml:space="preserve">UK </v>
      </c>
    </row>
    <row r="79" spans="1:14" x14ac:dyDescent="0.3">
      <c r="A79">
        <v>344</v>
      </c>
      <c r="B79" s="23">
        <v>43909</v>
      </c>
      <c r="C79" t="s">
        <v>1071</v>
      </c>
      <c r="D79">
        <v>21</v>
      </c>
      <c r="E79" t="s">
        <v>1073</v>
      </c>
      <c r="F79" t="s">
        <v>1060</v>
      </c>
      <c r="G79" t="s">
        <v>1063</v>
      </c>
      <c r="H79" t="s">
        <v>77</v>
      </c>
      <c r="J79" t="str">
        <f t="shared" si="1"/>
        <v>Female</v>
      </c>
      <c r="K79" t="str">
        <f t="shared" si="2"/>
        <v>Singaporean</v>
      </c>
      <c r="L79" t="str">
        <f t="shared" si="3"/>
        <v xml:space="preserve">Case 344 is a Imported case, 21 years old female Singapore Citizen  and has been to UK . She is currently admitted at NCID . </v>
      </c>
      <c r="M79">
        <f t="shared" si="4"/>
        <v>344</v>
      </c>
      <c r="N79" t="str">
        <f t="shared" si="5"/>
        <v xml:space="preserve">UK </v>
      </c>
    </row>
    <row r="80" spans="1:14" x14ac:dyDescent="0.3">
      <c r="A80">
        <v>345</v>
      </c>
      <c r="B80" s="23">
        <v>43909</v>
      </c>
      <c r="C80" t="s">
        <v>1071</v>
      </c>
      <c r="D80">
        <v>30</v>
      </c>
      <c r="E80" t="s">
        <v>932</v>
      </c>
      <c r="F80" t="s">
        <v>1092</v>
      </c>
      <c r="G80" t="s">
        <v>1063</v>
      </c>
      <c r="H80" t="s">
        <v>1086</v>
      </c>
      <c r="I80" t="s">
        <v>733</v>
      </c>
      <c r="J80" t="str">
        <f t="shared" si="1"/>
        <v>Male</v>
      </c>
      <c r="K80" t="str">
        <f t="shared" si="2"/>
        <v>German</v>
      </c>
      <c r="L80" t="str">
        <f t="shared" si="3"/>
        <v>Case 345 is a Local linked  case, 30 years old male German (Singapore Work Pass)  and has been to UK . He is currently admitted at NCID . boulder+ Gym</v>
      </c>
      <c r="M80">
        <f t="shared" si="4"/>
        <v>345</v>
      </c>
      <c r="N80" t="str">
        <f t="shared" si="5"/>
        <v xml:space="preserve">UK </v>
      </c>
    </row>
    <row r="81" spans="1:14" x14ac:dyDescent="0.3">
      <c r="A81">
        <v>346</v>
      </c>
      <c r="B81" s="23">
        <v>43909</v>
      </c>
      <c r="C81" t="s">
        <v>1058</v>
      </c>
      <c r="D81">
        <v>59</v>
      </c>
      <c r="E81" t="s">
        <v>1059</v>
      </c>
      <c r="F81" t="s">
        <v>1060</v>
      </c>
      <c r="G81" t="s">
        <v>798</v>
      </c>
      <c r="H81" t="s">
        <v>77</v>
      </c>
      <c r="J81" t="str">
        <f t="shared" ref="J81:J144" si="6">IF(TRIM(E81)="M","Male",IF(TRIM(E81)="F","Female",""))</f>
        <v>Male</v>
      </c>
      <c r="K81" t="str">
        <f t="shared" ref="K81:K91" si="7">IF(LEFT(F81,9)="Singapore","Singaporean",LEFT(F81,FIND("(",F81)-2))</f>
        <v>Singaporean</v>
      </c>
      <c r="L81" t="str">
        <f t="shared" ref="L81:L144" si="8">"Case "&amp;A81&amp;" is a "&amp;H81&amp;" case, "&amp;D81&amp;" years old "&amp;LOWER(J81)&amp;" "&amp;F81 &amp;IF(G81=""," and has not been overseas"," and has been to "&amp;G81)&amp;". "&amp;IF(TRIM(E81)="F","She",IF(TRIM(E81)="M","He"))&amp;" is currently admitted at "&amp;C81&amp;". "&amp;I81</f>
        <v xml:space="preserve">Case 346 is a Imported case, 59 years old male Singapore Citizen  and has been to India . He is currently admitted at KTPH . </v>
      </c>
      <c r="M81">
        <f t="shared" ref="M81:M144" si="9">IF(G81="","",A81)</f>
        <v>346</v>
      </c>
      <c r="N81" t="str">
        <f t="shared" ref="N81:N144" si="10">IF(G81="","",G81)</f>
        <v xml:space="preserve">India </v>
      </c>
    </row>
    <row r="82" spans="1:14" x14ac:dyDescent="0.3">
      <c r="A82">
        <v>347</v>
      </c>
      <c r="B82" s="23">
        <v>43909</v>
      </c>
      <c r="C82" t="s">
        <v>1058</v>
      </c>
      <c r="D82">
        <v>27</v>
      </c>
      <c r="E82" t="s">
        <v>1059</v>
      </c>
      <c r="F82" t="s">
        <v>1060</v>
      </c>
      <c r="G82" t="s">
        <v>1063</v>
      </c>
      <c r="H82" t="s">
        <v>77</v>
      </c>
      <c r="J82" t="str">
        <f t="shared" si="6"/>
        <v>Male</v>
      </c>
      <c r="K82" t="str">
        <f t="shared" si="7"/>
        <v>Singaporean</v>
      </c>
      <c r="L82" t="str">
        <f t="shared" si="8"/>
        <v xml:space="preserve">Case 347 is a Imported case, 27 years old male Singapore Citizen  and has been to UK . He is currently admitted at KTPH . </v>
      </c>
      <c r="M82">
        <f t="shared" si="9"/>
        <v>347</v>
      </c>
      <c r="N82" t="str">
        <f t="shared" si="10"/>
        <v xml:space="preserve">UK </v>
      </c>
    </row>
    <row r="83" spans="1:14" x14ac:dyDescent="0.3">
      <c r="A83">
        <v>348</v>
      </c>
      <c r="B83" s="23">
        <v>43909</v>
      </c>
      <c r="C83" t="s">
        <v>343</v>
      </c>
      <c r="D83">
        <v>51</v>
      </c>
      <c r="E83" t="s">
        <v>1073</v>
      </c>
      <c r="F83" t="s">
        <v>1060</v>
      </c>
      <c r="H83" t="s">
        <v>1086</v>
      </c>
      <c r="I83" t="s">
        <v>1135</v>
      </c>
      <c r="J83" t="str">
        <f t="shared" si="6"/>
        <v>Female</v>
      </c>
      <c r="K83" t="str">
        <f t="shared" si="7"/>
        <v>Singaporean</v>
      </c>
      <c r="L83" t="str">
        <f t="shared" si="8"/>
        <v>Case 348 is a Local linked  case, 51 years old female Singapore Citizen  and has not been overseas. She is currently admitted at NUH . Family member of Case 227</v>
      </c>
      <c r="M83" t="str">
        <f t="shared" si="9"/>
        <v/>
      </c>
      <c r="N83" t="str">
        <f t="shared" si="10"/>
        <v/>
      </c>
    </row>
    <row r="84" spans="1:14" x14ac:dyDescent="0.3">
      <c r="A84">
        <v>349</v>
      </c>
      <c r="B84" s="23">
        <v>43909</v>
      </c>
      <c r="C84" t="s">
        <v>135</v>
      </c>
      <c r="D84">
        <v>21</v>
      </c>
      <c r="E84" t="s">
        <v>1059</v>
      </c>
      <c r="F84" t="s">
        <v>1060</v>
      </c>
      <c r="G84" t="s">
        <v>1063</v>
      </c>
      <c r="H84" t="s">
        <v>77</v>
      </c>
      <c r="J84" t="str">
        <f t="shared" si="6"/>
        <v>Male</v>
      </c>
      <c r="K84" t="str">
        <f t="shared" si="7"/>
        <v>Singaporean</v>
      </c>
      <c r="L84" t="str">
        <f t="shared" si="8"/>
        <v xml:space="preserve">Case 349 is a Imported case, 21 years old male Singapore Citizen  and has been to UK . He is currently admitted at CGH. </v>
      </c>
      <c r="M84">
        <f t="shared" si="9"/>
        <v>349</v>
      </c>
      <c r="N84" t="str">
        <f t="shared" si="10"/>
        <v xml:space="preserve">UK </v>
      </c>
    </row>
    <row r="85" spans="1:14" x14ac:dyDescent="0.3">
      <c r="A85">
        <v>350</v>
      </c>
      <c r="B85" s="23">
        <v>43909</v>
      </c>
      <c r="C85" t="s">
        <v>1064</v>
      </c>
      <c r="D85">
        <v>61</v>
      </c>
      <c r="E85" t="s">
        <v>1059</v>
      </c>
      <c r="F85" t="s">
        <v>1060</v>
      </c>
      <c r="H85" t="s">
        <v>1061</v>
      </c>
      <c r="J85" t="str">
        <f t="shared" si="6"/>
        <v>Male</v>
      </c>
      <c r="K85" t="str">
        <f t="shared" si="7"/>
        <v>Singaporean</v>
      </c>
      <c r="L85" t="str">
        <f t="shared" si="8"/>
        <v xml:space="preserve">Case 350 is a Local unlinked case, 61 years old male Singapore Citizen  and has not been overseas. He is currently admitted at CGH . </v>
      </c>
      <c r="M85" t="str">
        <f t="shared" si="9"/>
        <v/>
      </c>
      <c r="N85" t="str">
        <f t="shared" si="10"/>
        <v/>
      </c>
    </row>
    <row r="86" spans="1:14" x14ac:dyDescent="0.3">
      <c r="A86">
        <v>351</v>
      </c>
      <c r="B86" s="23">
        <v>43909</v>
      </c>
      <c r="C86" t="s">
        <v>134</v>
      </c>
      <c r="D86">
        <v>51</v>
      </c>
      <c r="E86" t="s">
        <v>1059</v>
      </c>
      <c r="F86" t="s">
        <v>1060</v>
      </c>
      <c r="G86" t="s">
        <v>687</v>
      </c>
      <c r="H86" t="s">
        <v>77</v>
      </c>
      <c r="J86" t="str">
        <f t="shared" si="6"/>
        <v>Male</v>
      </c>
      <c r="K86" t="str">
        <f t="shared" si="7"/>
        <v>Singaporean</v>
      </c>
      <c r="L86" t="str">
        <f t="shared" si="8"/>
        <v xml:space="preserve">Case 351 is a Imported case, 51 years old male Singapore Citizen  and has been to Indonesia . He is currently admitted at SKH. </v>
      </c>
      <c r="M86">
        <f t="shared" si="9"/>
        <v>351</v>
      </c>
      <c r="N86" t="str">
        <f t="shared" si="10"/>
        <v xml:space="preserve">Indonesia </v>
      </c>
    </row>
    <row r="87" spans="1:14" x14ac:dyDescent="0.3">
      <c r="A87">
        <v>352</v>
      </c>
      <c r="B87" s="23">
        <v>43909</v>
      </c>
      <c r="C87" t="s">
        <v>132</v>
      </c>
      <c r="D87">
        <v>43</v>
      </c>
      <c r="E87" t="s">
        <v>1059</v>
      </c>
      <c r="F87" t="s">
        <v>1060</v>
      </c>
      <c r="G87" t="s">
        <v>1136</v>
      </c>
      <c r="H87" t="s">
        <v>77</v>
      </c>
      <c r="J87" t="str">
        <f t="shared" si="6"/>
        <v>Male</v>
      </c>
      <c r="K87" t="str">
        <f t="shared" si="7"/>
        <v>Singaporean</v>
      </c>
      <c r="L87" t="str">
        <f t="shared" si="8"/>
        <v xml:space="preserve">Case 352 is a Imported case, 43 years old male Singapore Citizen  and has been to Moscow, Russia, Copenhagen, Denmark. He is currently admitted at SGH. </v>
      </c>
      <c r="M87">
        <f t="shared" si="9"/>
        <v>352</v>
      </c>
      <c r="N87" t="str">
        <f t="shared" si="10"/>
        <v>Moscow, Russia, Copenhagen, Denmark</v>
      </c>
    </row>
    <row r="88" spans="1:14" x14ac:dyDescent="0.3">
      <c r="A88">
        <v>353</v>
      </c>
      <c r="B88" s="23">
        <v>43909</v>
      </c>
      <c r="C88" t="s">
        <v>133</v>
      </c>
      <c r="D88">
        <v>23</v>
      </c>
      <c r="E88" t="s">
        <v>1059</v>
      </c>
      <c r="F88" t="s">
        <v>1060</v>
      </c>
      <c r="H88" t="s">
        <v>1086</v>
      </c>
      <c r="I88" t="s">
        <v>1137</v>
      </c>
      <c r="J88" t="str">
        <f t="shared" si="6"/>
        <v>Male</v>
      </c>
      <c r="K88" t="str">
        <f t="shared" si="7"/>
        <v>Singaporean</v>
      </c>
      <c r="L88" t="str">
        <f t="shared" si="8"/>
        <v>Case 353 is a Local linked  case, 23 years old male Singapore Citizen  and has not been overseas. He is currently admitted at NCID. Contact of Case 177</v>
      </c>
      <c r="M88" t="str">
        <f t="shared" si="9"/>
        <v/>
      </c>
      <c r="N88" t="str">
        <f t="shared" si="10"/>
        <v/>
      </c>
    </row>
    <row r="89" spans="1:14" x14ac:dyDescent="0.3">
      <c r="A89">
        <v>354</v>
      </c>
      <c r="B89" s="23">
        <v>43909</v>
      </c>
      <c r="C89" t="s">
        <v>1138</v>
      </c>
      <c r="D89">
        <v>59</v>
      </c>
      <c r="E89" t="s">
        <v>1059</v>
      </c>
      <c r="F89" t="s">
        <v>1060</v>
      </c>
      <c r="G89" t="s">
        <v>1063</v>
      </c>
      <c r="H89" t="s">
        <v>1069</v>
      </c>
      <c r="I89" t="s">
        <v>1139</v>
      </c>
      <c r="J89" t="str">
        <f t="shared" si="6"/>
        <v>Male</v>
      </c>
      <c r="K89" t="str">
        <f t="shared" si="7"/>
        <v>Singaporean</v>
      </c>
      <c r="L89" t="str">
        <f t="shared" si="8"/>
        <v>Case 354 is a Imported  case, 59 years old male Singapore Citizen  and has been to UK . He is currently admitted at SGH . Contact of Case 265</v>
      </c>
      <c r="M89">
        <f t="shared" si="9"/>
        <v>354</v>
      </c>
      <c r="N89" t="str">
        <f t="shared" si="10"/>
        <v xml:space="preserve">UK </v>
      </c>
    </row>
    <row r="90" spans="1:14" x14ac:dyDescent="0.3">
      <c r="A90">
        <v>355</v>
      </c>
      <c r="B90" s="23">
        <v>43909</v>
      </c>
      <c r="C90" t="s">
        <v>1071</v>
      </c>
      <c r="D90">
        <v>38</v>
      </c>
      <c r="E90" t="s">
        <v>1059</v>
      </c>
      <c r="F90" t="s">
        <v>1140</v>
      </c>
      <c r="G90" t="s">
        <v>1063</v>
      </c>
      <c r="H90" t="s">
        <v>77</v>
      </c>
      <c r="J90" t="str">
        <f t="shared" si="6"/>
        <v>Male</v>
      </c>
      <c r="K90" t="str">
        <f t="shared" si="7"/>
        <v>Australian</v>
      </c>
      <c r="L90" t="str">
        <f t="shared" si="8"/>
        <v xml:space="preserve">Case 355 is a Imported case, 38 years old male Australian (Long Term Visit Pass holder) and has been to UK . He is currently admitted at NCID . </v>
      </c>
      <c r="M90">
        <f t="shared" si="9"/>
        <v>355</v>
      </c>
      <c r="N90" t="str">
        <f t="shared" si="10"/>
        <v xml:space="preserve">UK </v>
      </c>
    </row>
    <row r="91" spans="1:14" x14ac:dyDescent="0.3">
      <c r="A91">
        <v>356</v>
      </c>
      <c r="B91" s="23">
        <v>43909</v>
      </c>
      <c r="C91" t="s">
        <v>1071</v>
      </c>
      <c r="D91">
        <v>27</v>
      </c>
      <c r="E91" t="s">
        <v>1059</v>
      </c>
      <c r="F91" t="s">
        <v>1141</v>
      </c>
      <c r="G91" t="s">
        <v>798</v>
      </c>
      <c r="H91" t="s">
        <v>77</v>
      </c>
      <c r="J91" t="str">
        <f t="shared" si="6"/>
        <v>Male</v>
      </c>
      <c r="K91" t="str">
        <f t="shared" si="7"/>
        <v>Australian</v>
      </c>
      <c r="L91" t="str">
        <f t="shared" si="8"/>
        <v xml:space="preserve">Case 356 is a Imported case, 27 years old male Australian (Singapore Work Pass holder) and has been to India . He is currently admitted at NCID . </v>
      </c>
      <c r="M91">
        <f t="shared" si="9"/>
        <v>356</v>
      </c>
      <c r="N91" t="str">
        <f t="shared" si="10"/>
        <v xml:space="preserve">India </v>
      </c>
    </row>
    <row r="92" spans="1:14" x14ac:dyDescent="0.3">
      <c r="A92">
        <v>357</v>
      </c>
      <c r="B92" s="23">
        <v>43909</v>
      </c>
      <c r="C92" t="s">
        <v>1142</v>
      </c>
      <c r="D92">
        <v>41</v>
      </c>
      <c r="E92" t="s">
        <v>1059</v>
      </c>
      <c r="F92" t="s">
        <v>1093</v>
      </c>
      <c r="G92" t="s">
        <v>1143</v>
      </c>
      <c r="H92" t="s">
        <v>77</v>
      </c>
      <c r="J92" t="str">
        <f t="shared" si="6"/>
        <v>Male</v>
      </c>
      <c r="K92" t="str">
        <f>IF(LEFT(F92,9)="Singapore","Singaporean",IF(ISERR(FIND("(",F92)),F92,LEFT(F92,FIND("(",F92)-2)))</f>
        <v xml:space="preserve">German </v>
      </c>
      <c r="L92" t="str">
        <f t="shared" si="8"/>
        <v xml:space="preserve">Case 357 is a Imported case, 41 years old male German  and has been to Germany, US, France, Monaco. He is currently admitted at MEH. </v>
      </c>
      <c r="M92">
        <f t="shared" si="9"/>
        <v>357</v>
      </c>
      <c r="N92" t="str">
        <f t="shared" si="10"/>
        <v>Germany, US, France, Monaco</v>
      </c>
    </row>
    <row r="93" spans="1:14" x14ac:dyDescent="0.3">
      <c r="A93">
        <v>358</v>
      </c>
      <c r="B93" s="23">
        <v>43909</v>
      </c>
      <c r="C93" t="s">
        <v>1071</v>
      </c>
      <c r="D93">
        <v>39</v>
      </c>
      <c r="E93" t="s">
        <v>1073</v>
      </c>
      <c r="F93" t="s">
        <v>949</v>
      </c>
      <c r="H93" t="s">
        <v>1061</v>
      </c>
      <c r="J93" t="str">
        <f t="shared" si="6"/>
        <v>Female</v>
      </c>
      <c r="K93" t="str">
        <f t="shared" ref="K93:K156" si="11">IF(LEFT(F93,9)="Singapore","Singaporean",IF(ISERR(FIND("(",F93)),F93,LEFT(F93,FIND("(",F93)-2)))</f>
        <v>Singaporean</v>
      </c>
      <c r="L93" t="str">
        <f t="shared" si="8"/>
        <v xml:space="preserve">Case 358 is a Local unlinked case, 39 years old female Singapore Permanent Resident and has not been overseas. She is currently admitted at NCID . </v>
      </c>
      <c r="M93" t="str">
        <f t="shared" si="9"/>
        <v/>
      </c>
      <c r="N93" t="str">
        <f t="shared" si="10"/>
        <v/>
      </c>
    </row>
    <row r="94" spans="1:14" x14ac:dyDescent="0.3">
      <c r="A94">
        <v>359</v>
      </c>
      <c r="B94" s="23">
        <v>43909</v>
      </c>
      <c r="C94" t="s">
        <v>343</v>
      </c>
      <c r="D94">
        <v>45</v>
      </c>
      <c r="E94" t="s">
        <v>1073</v>
      </c>
      <c r="F94" t="s">
        <v>1060</v>
      </c>
      <c r="H94" t="s">
        <v>1086</v>
      </c>
      <c r="I94" t="s">
        <v>1144</v>
      </c>
      <c r="J94" t="str">
        <f t="shared" si="6"/>
        <v>Female</v>
      </c>
      <c r="K94" t="str">
        <f t="shared" si="11"/>
        <v>Singaporean</v>
      </c>
      <c r="L94" t="str">
        <f t="shared" si="8"/>
        <v>Case 359 is a Local linked  case, 45 years old female Singapore Citizen  and has not been overseas. She is currently admitted at NUH . Contact of Case 321</v>
      </c>
      <c r="M94" t="str">
        <f t="shared" si="9"/>
        <v/>
      </c>
      <c r="N94" t="str">
        <f t="shared" si="10"/>
        <v/>
      </c>
    </row>
    <row r="95" spans="1:14" x14ac:dyDescent="0.3">
      <c r="A95">
        <v>360</v>
      </c>
      <c r="B95" s="23">
        <v>43909</v>
      </c>
      <c r="C95" t="s">
        <v>1071</v>
      </c>
      <c r="D95">
        <v>26</v>
      </c>
      <c r="E95" t="s">
        <v>1059</v>
      </c>
      <c r="F95" t="s">
        <v>1060</v>
      </c>
      <c r="G95" t="s">
        <v>1063</v>
      </c>
      <c r="H95" t="s">
        <v>77</v>
      </c>
      <c r="J95" t="str">
        <f t="shared" si="6"/>
        <v>Male</v>
      </c>
      <c r="K95" t="str">
        <f t="shared" si="11"/>
        <v>Singaporean</v>
      </c>
      <c r="L95" t="str">
        <f t="shared" si="8"/>
        <v xml:space="preserve">Case 360 is a Imported case, 26 years old male Singapore Citizen  and has been to UK . He is currently admitted at NCID . </v>
      </c>
      <c r="M95">
        <f t="shared" si="9"/>
        <v>360</v>
      </c>
      <c r="N95" t="str">
        <f t="shared" si="10"/>
        <v xml:space="preserve">UK </v>
      </c>
    </row>
    <row r="96" spans="1:14" x14ac:dyDescent="0.3">
      <c r="A96">
        <v>361</v>
      </c>
      <c r="B96" s="23">
        <v>43909</v>
      </c>
      <c r="C96" t="s">
        <v>1071</v>
      </c>
      <c r="D96">
        <v>32</v>
      </c>
      <c r="E96" t="s">
        <v>1059</v>
      </c>
      <c r="F96" t="s">
        <v>1060</v>
      </c>
      <c r="G96" t="s">
        <v>794</v>
      </c>
      <c r="H96" t="s">
        <v>1086</v>
      </c>
      <c r="I96" t="s">
        <v>1145</v>
      </c>
      <c r="J96" t="str">
        <f t="shared" si="6"/>
        <v>Male</v>
      </c>
      <c r="K96" t="str">
        <f t="shared" si="11"/>
        <v>Singaporean</v>
      </c>
      <c r="L96" t="str">
        <f t="shared" si="8"/>
        <v>Case 361 is a Local linked  case, 32 years old male Singapore Citizen  and has been to Thailand . He is currently admitted at NCID . Contact of Case 318</v>
      </c>
      <c r="M96">
        <f t="shared" si="9"/>
        <v>361</v>
      </c>
      <c r="N96" t="str">
        <f t="shared" si="10"/>
        <v xml:space="preserve">Thailand </v>
      </c>
    </row>
    <row r="97" spans="1:14" x14ac:dyDescent="0.3">
      <c r="A97">
        <v>362</v>
      </c>
      <c r="B97" s="23">
        <v>43909</v>
      </c>
      <c r="C97" t="s">
        <v>1071</v>
      </c>
      <c r="D97">
        <v>45</v>
      </c>
      <c r="E97" t="s">
        <v>1073</v>
      </c>
      <c r="F97" t="s">
        <v>1146</v>
      </c>
      <c r="G97" t="s">
        <v>1147</v>
      </c>
      <c r="H97" t="s">
        <v>77</v>
      </c>
      <c r="J97" t="str">
        <f t="shared" si="6"/>
        <v>Female</v>
      </c>
      <c r="K97" t="str">
        <f t="shared" si="11"/>
        <v>Germany</v>
      </c>
      <c r="L97" t="str">
        <f t="shared" si="8"/>
        <v xml:space="preserve">Case 362 is a Imported case, 45 years old female Germany (Long Term Pass holder) and has been to Germany, Holland . She is currently admitted at NCID . </v>
      </c>
      <c r="M97">
        <f t="shared" si="9"/>
        <v>362</v>
      </c>
      <c r="N97" t="str">
        <f t="shared" si="10"/>
        <v xml:space="preserve">Germany, Holland </v>
      </c>
    </row>
    <row r="98" spans="1:14" x14ac:dyDescent="0.3">
      <c r="A98">
        <v>363</v>
      </c>
      <c r="B98" s="23">
        <v>43909</v>
      </c>
      <c r="C98" t="s">
        <v>1066</v>
      </c>
      <c r="D98">
        <v>49</v>
      </c>
      <c r="E98" t="s">
        <v>1059</v>
      </c>
      <c r="F98" t="s">
        <v>1060</v>
      </c>
      <c r="G98" t="s">
        <v>1063</v>
      </c>
      <c r="H98" t="s">
        <v>77</v>
      </c>
      <c r="J98" t="str">
        <f t="shared" si="6"/>
        <v>Male</v>
      </c>
      <c r="K98" t="str">
        <f t="shared" si="11"/>
        <v>Singaporean</v>
      </c>
      <c r="L98" t="str">
        <f t="shared" si="8"/>
        <v xml:space="preserve">Case 363 is a Imported case, 49 years old male Singapore Citizen  and has been to UK . He is currently admitted at SKH . </v>
      </c>
      <c r="M98">
        <f t="shared" si="9"/>
        <v>363</v>
      </c>
      <c r="N98" t="str">
        <f t="shared" si="10"/>
        <v xml:space="preserve">UK </v>
      </c>
    </row>
    <row r="99" spans="1:14" x14ac:dyDescent="0.3">
      <c r="A99">
        <v>364</v>
      </c>
      <c r="B99" s="23">
        <v>43910</v>
      </c>
      <c r="C99" t="s">
        <v>1071</v>
      </c>
      <c r="D99">
        <v>52</v>
      </c>
      <c r="E99" t="s">
        <v>1059</v>
      </c>
      <c r="F99" t="s">
        <v>1060</v>
      </c>
      <c r="H99" t="s">
        <v>1086</v>
      </c>
      <c r="I99" t="s">
        <v>1148</v>
      </c>
      <c r="J99" t="str">
        <f t="shared" si="6"/>
        <v>Male</v>
      </c>
      <c r="K99" t="str">
        <f t="shared" si="11"/>
        <v>Singaporean</v>
      </c>
      <c r="L99" t="str">
        <f t="shared" si="8"/>
        <v>Case 364 is a Local linked  case, 52 years old male Singapore Citizen  and has not been overseas. He is currently admitted at NCID . Contact of Case 225</v>
      </c>
      <c r="M99" t="str">
        <f t="shared" si="9"/>
        <v/>
      </c>
      <c r="N99" t="str">
        <f t="shared" si="10"/>
        <v/>
      </c>
    </row>
    <row r="100" spans="1:14" x14ac:dyDescent="0.3">
      <c r="A100">
        <v>365</v>
      </c>
      <c r="B100" s="23">
        <v>43910</v>
      </c>
      <c r="C100" t="s">
        <v>1071</v>
      </c>
      <c r="D100">
        <v>33</v>
      </c>
      <c r="E100" t="s">
        <v>1059</v>
      </c>
      <c r="F100" t="s">
        <v>1149</v>
      </c>
      <c r="G100" t="s">
        <v>1150</v>
      </c>
      <c r="H100" t="s">
        <v>77</v>
      </c>
      <c r="J100" t="str">
        <f t="shared" si="6"/>
        <v>Male</v>
      </c>
      <c r="K100" t="str">
        <f t="shared" si="11"/>
        <v>Netherlands</v>
      </c>
      <c r="L100" t="str">
        <f t="shared" si="8"/>
        <v xml:space="preserve">Case 365 is a Imported case, 33 years old male Netherlands (Singapore Work Pass holder) and has been to Austria, Netherlands, UK. He is currently admitted at NCID . </v>
      </c>
      <c r="M100">
        <f t="shared" si="9"/>
        <v>365</v>
      </c>
      <c r="N100" t="str">
        <f t="shared" si="10"/>
        <v>Austria, Netherlands, UK</v>
      </c>
    </row>
    <row r="101" spans="1:14" x14ac:dyDescent="0.3">
      <c r="A101">
        <v>366</v>
      </c>
      <c r="B101" s="23">
        <v>43910</v>
      </c>
      <c r="C101" t="s">
        <v>1071</v>
      </c>
      <c r="D101">
        <v>26</v>
      </c>
      <c r="E101" t="s">
        <v>1073</v>
      </c>
      <c r="F101" t="s">
        <v>1060</v>
      </c>
      <c r="G101" t="s">
        <v>958</v>
      </c>
      <c r="H101" t="s">
        <v>1069</v>
      </c>
      <c r="I101" t="s">
        <v>1151</v>
      </c>
      <c r="J101" t="str">
        <f t="shared" si="6"/>
        <v>Female</v>
      </c>
      <c r="K101" t="str">
        <f t="shared" si="11"/>
        <v>Singaporean</v>
      </c>
      <c r="L101" t="str">
        <f t="shared" si="8"/>
        <v>Case 366 is a Imported  case, 26 years old female Singapore Citizen  and has been to UK, Switzerland, Austria. She is currently admitted at NCID . Contact of Case 304</v>
      </c>
      <c r="M101">
        <f t="shared" si="9"/>
        <v>366</v>
      </c>
      <c r="N101" t="str">
        <f t="shared" si="10"/>
        <v>UK, Switzerland, Austria</v>
      </c>
    </row>
    <row r="102" spans="1:14" x14ac:dyDescent="0.3">
      <c r="A102">
        <v>367</v>
      </c>
      <c r="B102" s="23">
        <v>43910</v>
      </c>
      <c r="C102" t="s">
        <v>1071</v>
      </c>
      <c r="D102">
        <v>25</v>
      </c>
      <c r="E102" t="s">
        <v>1059</v>
      </c>
      <c r="F102" t="s">
        <v>1060</v>
      </c>
      <c r="G102" t="s">
        <v>360</v>
      </c>
      <c r="H102" t="s">
        <v>1152</v>
      </c>
      <c r="I102" t="s">
        <v>1153</v>
      </c>
      <c r="J102" t="str">
        <f t="shared" si="6"/>
        <v>Male</v>
      </c>
      <c r="K102" t="str">
        <f t="shared" si="11"/>
        <v>Singaporean</v>
      </c>
      <c r="L102" t="str">
        <f t="shared" si="8"/>
        <v>Case 367 is a Local linked case, 25 years old male Singapore Citizen  and has been to Malaysia . He is currently admitted at NCID . Family member of Case 338</v>
      </c>
      <c r="M102">
        <f t="shared" si="9"/>
        <v>367</v>
      </c>
      <c r="N102" t="str">
        <f t="shared" si="10"/>
        <v xml:space="preserve">Malaysia </v>
      </c>
    </row>
    <row r="103" spans="1:14" x14ac:dyDescent="0.3">
      <c r="A103">
        <v>368</v>
      </c>
      <c r="B103" s="23">
        <v>43910</v>
      </c>
      <c r="C103" t="s">
        <v>1071</v>
      </c>
      <c r="D103">
        <v>19</v>
      </c>
      <c r="E103" t="s">
        <v>1073</v>
      </c>
      <c r="F103" t="s">
        <v>1154</v>
      </c>
      <c r="H103" t="s">
        <v>1086</v>
      </c>
      <c r="I103" t="s">
        <v>1155</v>
      </c>
      <c r="J103" t="str">
        <f t="shared" si="6"/>
        <v>Female</v>
      </c>
      <c r="K103" t="str">
        <f t="shared" si="11"/>
        <v>Indonesian</v>
      </c>
      <c r="L103" t="str">
        <f t="shared" si="8"/>
        <v>Case 368 is a Local linked  case, 19 years old female Indonesian (Long Term Visit Pass holder) and has not been overseas. She is currently admitted at NCID . Contact of Cases 225 and 294</v>
      </c>
      <c r="M103" t="str">
        <f t="shared" si="9"/>
        <v/>
      </c>
      <c r="N103" t="str">
        <f t="shared" si="10"/>
        <v/>
      </c>
    </row>
    <row r="104" spans="1:14" x14ac:dyDescent="0.3">
      <c r="A104">
        <v>369</v>
      </c>
      <c r="B104" s="23">
        <v>43910</v>
      </c>
      <c r="C104" t="s">
        <v>1071</v>
      </c>
      <c r="D104">
        <v>34</v>
      </c>
      <c r="E104" t="s">
        <v>1059</v>
      </c>
      <c r="F104" t="s">
        <v>1060</v>
      </c>
      <c r="G104" t="s">
        <v>794</v>
      </c>
      <c r="H104" t="s">
        <v>77</v>
      </c>
      <c r="J104" t="str">
        <f t="shared" si="6"/>
        <v>Male</v>
      </c>
      <c r="K104" t="str">
        <f t="shared" si="11"/>
        <v>Singaporean</v>
      </c>
      <c r="L104" t="str">
        <f t="shared" si="8"/>
        <v xml:space="preserve">Case 369 is a Imported case, 34 years old male Singapore Citizen  and has been to Thailand . He is currently admitted at NCID . </v>
      </c>
      <c r="M104">
        <f t="shared" si="9"/>
        <v>369</v>
      </c>
      <c r="N104" t="str">
        <f t="shared" si="10"/>
        <v xml:space="preserve">Thailand </v>
      </c>
    </row>
    <row r="105" spans="1:14" x14ac:dyDescent="0.3">
      <c r="A105">
        <v>370</v>
      </c>
      <c r="B105" s="23">
        <v>43910</v>
      </c>
      <c r="C105" t="s">
        <v>1071</v>
      </c>
      <c r="D105">
        <v>73</v>
      </c>
      <c r="E105" t="s">
        <v>1059</v>
      </c>
      <c r="F105" t="s">
        <v>1156</v>
      </c>
      <c r="G105" t="s">
        <v>687</v>
      </c>
      <c r="H105" t="s">
        <v>77</v>
      </c>
      <c r="J105" t="str">
        <f t="shared" si="6"/>
        <v>Male</v>
      </c>
      <c r="K105" t="str">
        <f t="shared" si="11"/>
        <v>Malaysia</v>
      </c>
      <c r="L105" t="str">
        <f t="shared" si="8"/>
        <v xml:space="preserve">Case 370 is a Imported case, 73 years old male Malaysia (Singapore Work Pass holder)  and has been to Indonesia . He is currently admitted at NCID . </v>
      </c>
      <c r="M105">
        <f t="shared" si="9"/>
        <v>370</v>
      </c>
      <c r="N105" t="str">
        <f t="shared" si="10"/>
        <v xml:space="preserve">Indonesia </v>
      </c>
    </row>
    <row r="106" spans="1:14" x14ac:dyDescent="0.3">
      <c r="A106">
        <v>371</v>
      </c>
      <c r="B106" s="23">
        <v>43910</v>
      </c>
      <c r="C106" t="s">
        <v>1071</v>
      </c>
      <c r="D106">
        <v>22</v>
      </c>
      <c r="E106" t="s">
        <v>1059</v>
      </c>
      <c r="F106" t="s">
        <v>1060</v>
      </c>
      <c r="G106" t="s">
        <v>1063</v>
      </c>
      <c r="H106" t="s">
        <v>77</v>
      </c>
      <c r="J106" t="str">
        <f t="shared" si="6"/>
        <v>Male</v>
      </c>
      <c r="K106" t="str">
        <f t="shared" si="11"/>
        <v>Singaporean</v>
      </c>
      <c r="L106" t="str">
        <f t="shared" si="8"/>
        <v xml:space="preserve">Case 371 is a Imported case, 22 years old male Singapore Citizen  and has been to UK . He is currently admitted at NCID . </v>
      </c>
      <c r="M106">
        <f t="shared" si="9"/>
        <v>371</v>
      </c>
      <c r="N106" t="str">
        <f t="shared" si="10"/>
        <v xml:space="preserve">UK </v>
      </c>
    </row>
    <row r="107" spans="1:14" x14ac:dyDescent="0.3">
      <c r="A107">
        <v>372</v>
      </c>
      <c r="B107" s="23">
        <v>43910</v>
      </c>
      <c r="C107" t="s">
        <v>1071</v>
      </c>
      <c r="D107">
        <v>22</v>
      </c>
      <c r="E107" t="s">
        <v>1073</v>
      </c>
      <c r="F107" t="s">
        <v>1060</v>
      </c>
      <c r="G107" t="s">
        <v>1063</v>
      </c>
      <c r="H107" t="s">
        <v>77</v>
      </c>
      <c r="J107" t="str">
        <f t="shared" si="6"/>
        <v>Female</v>
      </c>
      <c r="K107" t="str">
        <f t="shared" si="11"/>
        <v>Singaporean</v>
      </c>
      <c r="L107" t="str">
        <f t="shared" si="8"/>
        <v xml:space="preserve">Case 372 is a Imported case, 22 years old female Singapore Citizen  and has been to UK . She is currently admitted at NCID . </v>
      </c>
      <c r="M107">
        <f t="shared" si="9"/>
        <v>372</v>
      </c>
      <c r="N107" t="str">
        <f t="shared" si="10"/>
        <v xml:space="preserve">UK </v>
      </c>
    </row>
    <row r="108" spans="1:14" x14ac:dyDescent="0.3">
      <c r="A108">
        <v>373</v>
      </c>
      <c r="B108" s="23">
        <v>43910</v>
      </c>
      <c r="C108" t="s">
        <v>1071</v>
      </c>
      <c r="D108">
        <v>51</v>
      </c>
      <c r="E108" t="s">
        <v>1059</v>
      </c>
      <c r="F108" t="s">
        <v>1060</v>
      </c>
      <c r="G108" t="s">
        <v>1063</v>
      </c>
      <c r="H108" t="s">
        <v>77</v>
      </c>
      <c r="J108" t="str">
        <f t="shared" si="6"/>
        <v>Male</v>
      </c>
      <c r="K108" t="str">
        <f t="shared" si="11"/>
        <v>Singaporean</v>
      </c>
      <c r="L108" t="str">
        <f t="shared" si="8"/>
        <v xml:space="preserve">Case 373 is a Imported case, 51 years old male Singapore Citizen  and has been to UK . He is currently admitted at NCID . </v>
      </c>
      <c r="M108">
        <f t="shared" si="9"/>
        <v>373</v>
      </c>
      <c r="N108" t="str">
        <f t="shared" si="10"/>
        <v xml:space="preserve">UK </v>
      </c>
    </row>
    <row r="109" spans="1:14" x14ac:dyDescent="0.3">
      <c r="A109">
        <v>374</v>
      </c>
      <c r="B109" s="23">
        <v>43910</v>
      </c>
      <c r="C109" t="s">
        <v>1071</v>
      </c>
      <c r="D109">
        <v>23</v>
      </c>
      <c r="E109" t="s">
        <v>1073</v>
      </c>
      <c r="F109" t="s">
        <v>1060</v>
      </c>
      <c r="G109" t="s">
        <v>1063</v>
      </c>
      <c r="H109" t="s">
        <v>77</v>
      </c>
      <c r="J109" t="str">
        <f t="shared" si="6"/>
        <v>Female</v>
      </c>
      <c r="K109" t="str">
        <f t="shared" si="11"/>
        <v>Singaporean</v>
      </c>
      <c r="L109" t="str">
        <f t="shared" si="8"/>
        <v xml:space="preserve">Case 374 is a Imported case, 23 years old female Singapore Citizen  and has been to UK . She is currently admitted at NCID . </v>
      </c>
      <c r="M109">
        <f t="shared" si="9"/>
        <v>374</v>
      </c>
      <c r="N109" t="str">
        <f t="shared" si="10"/>
        <v xml:space="preserve">UK </v>
      </c>
    </row>
    <row r="110" spans="1:14" x14ac:dyDescent="0.3">
      <c r="A110">
        <v>375</v>
      </c>
      <c r="B110" s="23">
        <v>43910</v>
      </c>
      <c r="C110" t="s">
        <v>1071</v>
      </c>
      <c r="D110">
        <v>25</v>
      </c>
      <c r="E110" t="s">
        <v>1073</v>
      </c>
      <c r="F110" t="s">
        <v>1060</v>
      </c>
      <c r="G110" t="s">
        <v>1085</v>
      </c>
      <c r="H110" t="s">
        <v>77</v>
      </c>
      <c r="J110" t="str">
        <f t="shared" si="6"/>
        <v>Female</v>
      </c>
      <c r="K110" t="str">
        <f t="shared" si="11"/>
        <v>Singaporean</v>
      </c>
      <c r="L110" t="str">
        <f t="shared" si="8"/>
        <v xml:space="preserve">Case 375 is a Imported case, 25 years old female Singapore Citizen  and has been to US . She is currently admitted at NCID . </v>
      </c>
      <c r="M110">
        <f t="shared" si="9"/>
        <v>375</v>
      </c>
      <c r="N110" t="str">
        <f t="shared" si="10"/>
        <v xml:space="preserve">US </v>
      </c>
    </row>
    <row r="111" spans="1:14" x14ac:dyDescent="0.3">
      <c r="A111">
        <v>376</v>
      </c>
      <c r="B111" s="23">
        <v>43910</v>
      </c>
      <c r="C111" t="s">
        <v>1071</v>
      </c>
      <c r="D111">
        <v>21</v>
      </c>
      <c r="E111" t="s">
        <v>1073</v>
      </c>
      <c r="F111" t="s">
        <v>1072</v>
      </c>
      <c r="G111" t="s">
        <v>1063</v>
      </c>
      <c r="H111" t="s">
        <v>77</v>
      </c>
      <c r="J111" t="str">
        <f t="shared" si="6"/>
        <v>Female</v>
      </c>
      <c r="K111" t="str">
        <f t="shared" si="11"/>
        <v>Singaporean</v>
      </c>
      <c r="L111" t="str">
        <f t="shared" si="8"/>
        <v xml:space="preserve">Case 376 is a Imported case, 21 years old female Singapore Permanent Resident  and has been to UK . She is currently admitted at NCID . </v>
      </c>
      <c r="M111">
        <f t="shared" si="9"/>
        <v>376</v>
      </c>
      <c r="N111" t="str">
        <f t="shared" si="10"/>
        <v xml:space="preserve">UK </v>
      </c>
    </row>
    <row r="112" spans="1:14" x14ac:dyDescent="0.3">
      <c r="A112">
        <v>377</v>
      </c>
      <c r="B112" s="23">
        <v>43910</v>
      </c>
      <c r="C112" t="s">
        <v>343</v>
      </c>
      <c r="D112">
        <v>59</v>
      </c>
      <c r="E112" t="s">
        <v>1059</v>
      </c>
      <c r="F112" t="s">
        <v>1060</v>
      </c>
      <c r="G112" t="s">
        <v>1063</v>
      </c>
      <c r="H112" t="s">
        <v>77</v>
      </c>
      <c r="J112" t="str">
        <f t="shared" si="6"/>
        <v>Male</v>
      </c>
      <c r="K112" t="str">
        <f t="shared" si="11"/>
        <v>Singaporean</v>
      </c>
      <c r="L112" t="str">
        <f t="shared" si="8"/>
        <v xml:space="preserve">Case 377 is a Imported case, 59 years old male Singapore Citizen  and has been to UK . He is currently admitted at NUH . </v>
      </c>
      <c r="M112">
        <f t="shared" si="9"/>
        <v>377</v>
      </c>
      <c r="N112" t="str">
        <f t="shared" si="10"/>
        <v xml:space="preserve">UK </v>
      </c>
    </row>
    <row r="113" spans="1:14" x14ac:dyDescent="0.3">
      <c r="A113">
        <v>378</v>
      </c>
      <c r="B113" s="23">
        <v>43910</v>
      </c>
      <c r="C113" t="s">
        <v>1071</v>
      </c>
      <c r="D113">
        <v>38</v>
      </c>
      <c r="E113" t="s">
        <v>1059</v>
      </c>
      <c r="F113" t="s">
        <v>1157</v>
      </c>
      <c r="G113" t="s">
        <v>1063</v>
      </c>
      <c r="H113" t="s">
        <v>77</v>
      </c>
      <c r="J113" t="str">
        <f t="shared" si="6"/>
        <v>Male</v>
      </c>
      <c r="K113" t="str">
        <f t="shared" si="11"/>
        <v>UK</v>
      </c>
      <c r="L113" t="str">
        <f t="shared" si="8"/>
        <v xml:space="preserve">Case 378 is a Imported case, 38 years old male UK (Long Term Visit Pass holder)  and has been to UK . He is currently admitted at NCID . </v>
      </c>
      <c r="M113">
        <f t="shared" si="9"/>
        <v>378</v>
      </c>
      <c r="N113" t="str">
        <f t="shared" si="10"/>
        <v xml:space="preserve">UK </v>
      </c>
    </row>
    <row r="114" spans="1:14" x14ac:dyDescent="0.3">
      <c r="A114">
        <v>379</v>
      </c>
      <c r="B114" s="23">
        <v>43910</v>
      </c>
      <c r="C114" t="s">
        <v>1071</v>
      </c>
      <c r="D114">
        <v>62</v>
      </c>
      <c r="E114" t="s">
        <v>1059</v>
      </c>
      <c r="F114" t="s">
        <v>1158</v>
      </c>
      <c r="G114" t="s">
        <v>687</v>
      </c>
      <c r="H114" t="s">
        <v>77</v>
      </c>
      <c r="J114" t="str">
        <f t="shared" si="6"/>
        <v>Male</v>
      </c>
      <c r="K114" t="str">
        <f t="shared" si="11"/>
        <v>Sweden</v>
      </c>
      <c r="L114" t="str">
        <f t="shared" si="8"/>
        <v xml:space="preserve">Case 379 is a Imported case, 62 years old male Sweden (Singapore Work Pass holder)  and has been to Indonesia . He is currently admitted at NCID . </v>
      </c>
      <c r="M114">
        <f t="shared" si="9"/>
        <v>379</v>
      </c>
      <c r="N114" t="str">
        <f t="shared" si="10"/>
        <v xml:space="preserve">Indonesia </v>
      </c>
    </row>
    <row r="115" spans="1:14" x14ac:dyDescent="0.3">
      <c r="A115">
        <v>380</v>
      </c>
      <c r="B115" s="23">
        <v>43910</v>
      </c>
      <c r="C115" t="s">
        <v>1138</v>
      </c>
      <c r="D115">
        <v>34</v>
      </c>
      <c r="E115" t="s">
        <v>1059</v>
      </c>
      <c r="F115" t="s">
        <v>1060</v>
      </c>
      <c r="G115" t="s">
        <v>680</v>
      </c>
      <c r="H115" t="s">
        <v>77</v>
      </c>
      <c r="J115" t="str">
        <f t="shared" si="6"/>
        <v>Male</v>
      </c>
      <c r="K115" t="str">
        <f t="shared" si="11"/>
        <v>Singaporean</v>
      </c>
      <c r="L115" t="str">
        <f t="shared" si="8"/>
        <v xml:space="preserve">Case 380 is a Imported case, 34 years old male Singapore Citizen  and has been to Switzerland . He is currently admitted at SGH . </v>
      </c>
      <c r="M115">
        <f t="shared" si="9"/>
        <v>380</v>
      </c>
      <c r="N115" t="str">
        <f t="shared" si="10"/>
        <v xml:space="preserve">Switzerland </v>
      </c>
    </row>
    <row r="116" spans="1:14" x14ac:dyDescent="0.3">
      <c r="A116">
        <v>381</v>
      </c>
      <c r="B116" s="23">
        <v>43910</v>
      </c>
      <c r="C116" t="s">
        <v>1138</v>
      </c>
      <c r="D116">
        <v>27</v>
      </c>
      <c r="E116" t="s">
        <v>1073</v>
      </c>
      <c r="F116" t="s">
        <v>1072</v>
      </c>
      <c r="G116" t="s">
        <v>711</v>
      </c>
      <c r="H116" t="s">
        <v>77</v>
      </c>
      <c r="J116" t="str">
        <f t="shared" si="6"/>
        <v>Female</v>
      </c>
      <c r="K116" t="str">
        <f t="shared" si="11"/>
        <v>Singaporean</v>
      </c>
      <c r="L116" t="str">
        <f t="shared" si="8"/>
        <v xml:space="preserve">Case 381 is a Imported case, 27 years old female Singapore Permanent Resident  and has been to Spain . She is currently admitted at SGH . </v>
      </c>
      <c r="M116">
        <f t="shared" si="9"/>
        <v>381</v>
      </c>
      <c r="N116" t="str">
        <f t="shared" si="10"/>
        <v xml:space="preserve">Spain </v>
      </c>
    </row>
    <row r="117" spans="1:14" x14ac:dyDescent="0.3">
      <c r="A117">
        <v>382</v>
      </c>
      <c r="B117" s="23">
        <v>43910</v>
      </c>
      <c r="C117" t="s">
        <v>1138</v>
      </c>
      <c r="D117">
        <v>55</v>
      </c>
      <c r="E117" t="s">
        <v>1073</v>
      </c>
      <c r="F117" t="s">
        <v>1060</v>
      </c>
      <c r="G117" t="s">
        <v>1063</v>
      </c>
      <c r="H117" t="s">
        <v>77</v>
      </c>
      <c r="J117" t="str">
        <f t="shared" si="6"/>
        <v>Female</v>
      </c>
      <c r="K117" t="str">
        <f t="shared" si="11"/>
        <v>Singaporean</v>
      </c>
      <c r="L117" t="str">
        <f t="shared" si="8"/>
        <v xml:space="preserve">Case 382 is a Imported case, 55 years old female Singapore Citizen  and has been to UK . She is currently admitted at SGH . </v>
      </c>
      <c r="M117">
        <f t="shared" si="9"/>
        <v>382</v>
      </c>
      <c r="N117" t="str">
        <f t="shared" si="10"/>
        <v xml:space="preserve">UK </v>
      </c>
    </row>
    <row r="118" spans="1:14" x14ac:dyDescent="0.3">
      <c r="A118">
        <v>383</v>
      </c>
      <c r="B118" s="23">
        <v>43910</v>
      </c>
      <c r="C118" t="s">
        <v>1071</v>
      </c>
      <c r="D118">
        <v>42</v>
      </c>
      <c r="E118" t="s">
        <v>1073</v>
      </c>
      <c r="F118" t="s">
        <v>1060</v>
      </c>
      <c r="G118" t="s">
        <v>1063</v>
      </c>
      <c r="H118" t="s">
        <v>77</v>
      </c>
      <c r="J118" t="str">
        <f t="shared" si="6"/>
        <v>Female</v>
      </c>
      <c r="K118" t="str">
        <f t="shared" si="11"/>
        <v>Singaporean</v>
      </c>
      <c r="L118" t="str">
        <f t="shared" si="8"/>
        <v xml:space="preserve">Case 383 is a Imported case, 42 years old female Singapore Citizen  and has been to UK . She is currently admitted at NCID . </v>
      </c>
      <c r="M118">
        <f t="shared" si="9"/>
        <v>383</v>
      </c>
      <c r="N118" t="str">
        <f t="shared" si="10"/>
        <v xml:space="preserve">UK </v>
      </c>
    </row>
    <row r="119" spans="1:14" x14ac:dyDescent="0.3">
      <c r="A119">
        <v>384</v>
      </c>
      <c r="B119" s="23">
        <v>43910</v>
      </c>
      <c r="C119" t="s">
        <v>1071</v>
      </c>
      <c r="D119">
        <v>65</v>
      </c>
      <c r="E119" t="s">
        <v>1059</v>
      </c>
      <c r="F119" t="s">
        <v>1060</v>
      </c>
      <c r="H119" t="s">
        <v>1061</v>
      </c>
      <c r="J119" t="str">
        <f t="shared" si="6"/>
        <v>Male</v>
      </c>
      <c r="K119" t="str">
        <f t="shared" si="11"/>
        <v>Singaporean</v>
      </c>
      <c r="L119" t="str">
        <f t="shared" si="8"/>
        <v xml:space="preserve">Case 384 is a Local unlinked case, 65 years old male Singapore Citizen  and has not been overseas. He is currently admitted at NCID . </v>
      </c>
      <c r="M119" t="str">
        <f t="shared" si="9"/>
        <v/>
      </c>
      <c r="N119" t="str">
        <f t="shared" si="10"/>
        <v/>
      </c>
    </row>
    <row r="120" spans="1:14" x14ac:dyDescent="0.3">
      <c r="A120">
        <v>385</v>
      </c>
      <c r="B120" s="23">
        <v>43910</v>
      </c>
      <c r="C120" t="s">
        <v>1064</v>
      </c>
      <c r="D120">
        <v>22</v>
      </c>
      <c r="E120" t="s">
        <v>1059</v>
      </c>
      <c r="F120" t="s">
        <v>1060</v>
      </c>
      <c r="G120" t="s">
        <v>1063</v>
      </c>
      <c r="H120" t="s">
        <v>77</v>
      </c>
      <c r="J120" t="str">
        <f t="shared" si="6"/>
        <v>Male</v>
      </c>
      <c r="K120" t="str">
        <f t="shared" si="11"/>
        <v>Singaporean</v>
      </c>
      <c r="L120" t="str">
        <f t="shared" si="8"/>
        <v xml:space="preserve">Case 385 is a Imported case, 22 years old male Singapore Citizen  and has been to UK . He is currently admitted at CGH . </v>
      </c>
      <c r="M120">
        <f t="shared" si="9"/>
        <v>385</v>
      </c>
      <c r="N120" t="str">
        <f t="shared" si="10"/>
        <v xml:space="preserve">UK </v>
      </c>
    </row>
    <row r="121" spans="1:14" x14ac:dyDescent="0.3">
      <c r="A121">
        <v>386</v>
      </c>
      <c r="B121" s="23">
        <v>43910</v>
      </c>
      <c r="C121" t="s">
        <v>1062</v>
      </c>
      <c r="D121">
        <v>64</v>
      </c>
      <c r="E121" t="s">
        <v>1073</v>
      </c>
      <c r="F121" t="s">
        <v>1060</v>
      </c>
      <c r="H121" t="s">
        <v>1061</v>
      </c>
      <c r="J121" t="str">
        <f t="shared" si="6"/>
        <v>Female</v>
      </c>
      <c r="K121" t="str">
        <f t="shared" si="11"/>
        <v>Singaporean</v>
      </c>
      <c r="L121" t="str">
        <f t="shared" si="8"/>
        <v xml:space="preserve">Case 386 is a Local unlinked case, 64 years old female Singapore Citizen  and has not been overseas. She is currently admitted at NTFGH . </v>
      </c>
      <c r="M121" t="str">
        <f t="shared" si="9"/>
        <v/>
      </c>
      <c r="N121" t="str">
        <f t="shared" si="10"/>
        <v/>
      </c>
    </row>
    <row r="122" spans="1:14" x14ac:dyDescent="0.3">
      <c r="A122">
        <v>387</v>
      </c>
      <c r="B122" s="23">
        <v>43910</v>
      </c>
      <c r="C122" t="s">
        <v>138</v>
      </c>
      <c r="D122">
        <v>30</v>
      </c>
      <c r="E122" t="s">
        <v>1073</v>
      </c>
      <c r="F122" t="s">
        <v>1159</v>
      </c>
      <c r="G122" t="s">
        <v>1088</v>
      </c>
      <c r="H122" t="s">
        <v>1069</v>
      </c>
      <c r="I122" t="s">
        <v>1195</v>
      </c>
      <c r="J122" t="str">
        <f t="shared" si="6"/>
        <v>Female</v>
      </c>
      <c r="K122" t="str">
        <f t="shared" si="11"/>
        <v>Switzerland</v>
      </c>
      <c r="L122" t="str">
        <f t="shared" si="8"/>
        <v>Case 387 is a Imported  case, 30 years old female Switzerland (Singapore Work Pass holder)  and has been to France, Switzerland . She is currently admitted at NUH. Contact of Case 337</v>
      </c>
      <c r="M122">
        <f t="shared" si="9"/>
        <v>387</v>
      </c>
      <c r="N122" t="str">
        <f t="shared" si="10"/>
        <v xml:space="preserve">France, Switzerland </v>
      </c>
    </row>
    <row r="123" spans="1:14" x14ac:dyDescent="0.3">
      <c r="A123">
        <v>388</v>
      </c>
      <c r="B123" s="23">
        <v>43910</v>
      </c>
      <c r="C123" t="s">
        <v>1066</v>
      </c>
      <c r="D123">
        <v>40</v>
      </c>
      <c r="E123" t="s">
        <v>1059</v>
      </c>
      <c r="F123" t="s">
        <v>1060</v>
      </c>
      <c r="H123" t="s">
        <v>1086</v>
      </c>
      <c r="I123" t="s">
        <v>1160</v>
      </c>
      <c r="J123" t="str">
        <f t="shared" si="6"/>
        <v>Male</v>
      </c>
      <c r="K123" t="str">
        <f t="shared" si="11"/>
        <v>Singaporean</v>
      </c>
      <c r="L123" t="str">
        <f t="shared" si="8"/>
        <v>Case 388 is a Local linked  case, 40 years old male Singapore Citizen  and has not been overseas. He is currently admitted at SKH . Family member of Case 351</v>
      </c>
      <c r="M123" t="str">
        <f t="shared" si="9"/>
        <v/>
      </c>
      <c r="N123" t="str">
        <f t="shared" si="10"/>
        <v/>
      </c>
    </row>
    <row r="124" spans="1:14" x14ac:dyDescent="0.3">
      <c r="A124">
        <v>389</v>
      </c>
      <c r="B124" s="23">
        <v>43910</v>
      </c>
      <c r="C124" t="s">
        <v>1161</v>
      </c>
      <c r="D124">
        <v>36</v>
      </c>
      <c r="E124" t="s">
        <v>1073</v>
      </c>
      <c r="F124" t="s">
        <v>1162</v>
      </c>
      <c r="G124" t="s">
        <v>798</v>
      </c>
      <c r="H124" t="s">
        <v>1069</v>
      </c>
      <c r="I124" t="s">
        <v>1163</v>
      </c>
      <c r="J124" t="str">
        <f t="shared" si="6"/>
        <v>Female</v>
      </c>
      <c r="K124" t="str">
        <f t="shared" si="11"/>
        <v>Russia</v>
      </c>
      <c r="L124" t="str">
        <f t="shared" si="8"/>
        <v>Case 389 is a Imported  case, 36 years old female Russia (Singapore Work Pass holder)  and has been to India . She is currently admitted at KKH . Family member of Case 298</v>
      </c>
      <c r="M124">
        <f t="shared" si="9"/>
        <v>389</v>
      </c>
      <c r="N124" t="str">
        <f t="shared" si="10"/>
        <v xml:space="preserve">India </v>
      </c>
    </row>
    <row r="125" spans="1:14" x14ac:dyDescent="0.3">
      <c r="A125">
        <v>390</v>
      </c>
      <c r="B125" s="23">
        <v>43910</v>
      </c>
      <c r="C125" t="s">
        <v>1161</v>
      </c>
      <c r="D125">
        <v>35</v>
      </c>
      <c r="E125" t="s">
        <v>1073</v>
      </c>
      <c r="F125" t="s">
        <v>1060</v>
      </c>
      <c r="G125" t="s">
        <v>1063</v>
      </c>
      <c r="H125" t="s">
        <v>77</v>
      </c>
      <c r="J125" t="str">
        <f t="shared" si="6"/>
        <v>Female</v>
      </c>
      <c r="K125" t="str">
        <f t="shared" si="11"/>
        <v>Singaporean</v>
      </c>
      <c r="L125" t="str">
        <f t="shared" si="8"/>
        <v xml:space="preserve">Case 390 is a Imported case, 35 years old female Singapore Citizen  and has been to UK . She is currently admitted at KKH . </v>
      </c>
      <c r="M125">
        <f t="shared" si="9"/>
        <v>390</v>
      </c>
      <c r="N125" t="str">
        <f t="shared" si="10"/>
        <v xml:space="preserve">UK </v>
      </c>
    </row>
    <row r="126" spans="1:14" x14ac:dyDescent="0.3">
      <c r="A126">
        <v>391</v>
      </c>
      <c r="B126" s="23">
        <v>43910</v>
      </c>
      <c r="C126" t="s">
        <v>343</v>
      </c>
      <c r="D126">
        <v>53</v>
      </c>
      <c r="E126" t="s">
        <v>1059</v>
      </c>
      <c r="F126" t="s">
        <v>844</v>
      </c>
      <c r="G126" t="s">
        <v>1164</v>
      </c>
      <c r="H126" t="s">
        <v>77</v>
      </c>
      <c r="J126" t="str">
        <f t="shared" si="6"/>
        <v>Male</v>
      </c>
      <c r="K126" t="str">
        <f t="shared" si="11"/>
        <v xml:space="preserve">Australia </v>
      </c>
      <c r="L126" t="str">
        <f t="shared" si="8"/>
        <v xml:space="preserve">Case 391 is a Imported case, 53 years old male Australia  and has been to Australia, US . He is currently admitted at NUH . </v>
      </c>
      <c r="M126">
        <f t="shared" si="9"/>
        <v>391</v>
      </c>
      <c r="N126" t="str">
        <f t="shared" si="10"/>
        <v xml:space="preserve">Australia, US </v>
      </c>
    </row>
    <row r="127" spans="1:14" x14ac:dyDescent="0.3">
      <c r="A127">
        <v>392</v>
      </c>
      <c r="B127" s="23">
        <v>43910</v>
      </c>
      <c r="C127" t="s">
        <v>1071</v>
      </c>
      <c r="D127">
        <v>54</v>
      </c>
      <c r="E127" t="s">
        <v>1059</v>
      </c>
      <c r="F127" t="s">
        <v>1072</v>
      </c>
      <c r="G127" t="s">
        <v>687</v>
      </c>
      <c r="H127" t="s">
        <v>77</v>
      </c>
      <c r="J127" t="str">
        <f t="shared" si="6"/>
        <v>Male</v>
      </c>
      <c r="K127" t="str">
        <f t="shared" si="11"/>
        <v>Singaporean</v>
      </c>
      <c r="L127" t="str">
        <f t="shared" si="8"/>
        <v xml:space="preserve">Case 392 is a Imported case, 54 years old male Singapore Permanent Resident  and has been to Indonesia . He is currently admitted at NCID . </v>
      </c>
      <c r="M127">
        <f t="shared" si="9"/>
        <v>392</v>
      </c>
      <c r="N127" t="str">
        <f t="shared" si="10"/>
        <v xml:space="preserve">Indonesia </v>
      </c>
    </row>
    <row r="128" spans="1:14" x14ac:dyDescent="0.3">
      <c r="A128">
        <v>393</v>
      </c>
      <c r="B128" s="23">
        <v>43910</v>
      </c>
      <c r="C128" t="s">
        <v>1071</v>
      </c>
      <c r="D128">
        <v>21</v>
      </c>
      <c r="E128" t="s">
        <v>1059</v>
      </c>
      <c r="F128" t="s">
        <v>1060</v>
      </c>
      <c r="G128" t="s">
        <v>1063</v>
      </c>
      <c r="H128" t="s">
        <v>77</v>
      </c>
      <c r="J128" t="str">
        <f t="shared" si="6"/>
        <v>Male</v>
      </c>
      <c r="K128" t="str">
        <f t="shared" si="11"/>
        <v>Singaporean</v>
      </c>
      <c r="L128" t="str">
        <f t="shared" si="8"/>
        <v xml:space="preserve">Case 393 is a Imported case, 21 years old male Singapore Citizen  and has been to UK . He is currently admitted at NCID . </v>
      </c>
      <c r="M128">
        <f t="shared" si="9"/>
        <v>393</v>
      </c>
      <c r="N128" t="str">
        <f t="shared" si="10"/>
        <v xml:space="preserve">UK </v>
      </c>
    </row>
    <row r="129" spans="1:14" x14ac:dyDescent="0.3">
      <c r="A129">
        <v>394</v>
      </c>
      <c r="B129" s="23">
        <v>43910</v>
      </c>
      <c r="C129" t="s">
        <v>1064</v>
      </c>
      <c r="D129">
        <v>66</v>
      </c>
      <c r="E129" t="s">
        <v>1073</v>
      </c>
      <c r="F129" t="s">
        <v>1165</v>
      </c>
      <c r="G129" t="s">
        <v>706</v>
      </c>
      <c r="H129" t="s">
        <v>77</v>
      </c>
      <c r="J129" t="str">
        <f t="shared" si="6"/>
        <v>Female</v>
      </c>
      <c r="K129" t="str">
        <f t="shared" si="11"/>
        <v>Philippines</v>
      </c>
      <c r="L129" t="str">
        <f t="shared" si="8"/>
        <v xml:space="preserve">Case 394 is a Imported case, 66 years old female Philippines (Long Term Pass holder)  and has been to Philippines . She is currently admitted at CGH . </v>
      </c>
      <c r="M129">
        <f t="shared" si="9"/>
        <v>394</v>
      </c>
      <c r="N129" t="str">
        <f t="shared" si="10"/>
        <v xml:space="preserve">Philippines </v>
      </c>
    </row>
    <row r="130" spans="1:14" x14ac:dyDescent="0.3">
      <c r="A130">
        <v>395</v>
      </c>
      <c r="B130" s="23">
        <v>43910</v>
      </c>
      <c r="C130" t="s">
        <v>1071</v>
      </c>
      <c r="D130">
        <v>54</v>
      </c>
      <c r="E130" t="s">
        <v>1059</v>
      </c>
      <c r="F130" t="s">
        <v>1060</v>
      </c>
      <c r="H130" t="s">
        <v>1061</v>
      </c>
      <c r="J130" t="str">
        <f t="shared" si="6"/>
        <v>Male</v>
      </c>
      <c r="K130" t="str">
        <f t="shared" si="11"/>
        <v>Singaporean</v>
      </c>
      <c r="L130" t="str">
        <f t="shared" si="8"/>
        <v xml:space="preserve">Case 395 is a Local unlinked case, 54 years old male Singapore Citizen  and has not been overseas. He is currently admitted at NCID . </v>
      </c>
      <c r="M130" t="str">
        <f t="shared" si="9"/>
        <v/>
      </c>
      <c r="N130" t="str">
        <f t="shared" si="10"/>
        <v/>
      </c>
    </row>
    <row r="131" spans="1:14" x14ac:dyDescent="0.3">
      <c r="A131">
        <v>396</v>
      </c>
      <c r="B131" s="23">
        <v>43910</v>
      </c>
      <c r="C131" t="s">
        <v>1066</v>
      </c>
      <c r="D131">
        <v>46</v>
      </c>
      <c r="E131" t="s">
        <v>1059</v>
      </c>
      <c r="F131" t="s">
        <v>1060</v>
      </c>
      <c r="H131" t="s">
        <v>1061</v>
      </c>
      <c r="J131" t="str">
        <f t="shared" si="6"/>
        <v>Male</v>
      </c>
      <c r="K131" t="str">
        <f t="shared" si="11"/>
        <v>Singaporean</v>
      </c>
      <c r="L131" t="str">
        <f t="shared" si="8"/>
        <v xml:space="preserve">Case 396 is a Local unlinked case, 46 years old male Singapore Citizen  and has not been overseas. He is currently admitted at SKH . </v>
      </c>
      <c r="M131" t="str">
        <f t="shared" si="9"/>
        <v/>
      </c>
      <c r="N131" t="str">
        <f t="shared" si="10"/>
        <v/>
      </c>
    </row>
    <row r="132" spans="1:14" x14ac:dyDescent="0.3">
      <c r="A132">
        <v>397</v>
      </c>
      <c r="B132" s="23">
        <v>43910</v>
      </c>
      <c r="C132" t="s">
        <v>1071</v>
      </c>
      <c r="D132">
        <v>43</v>
      </c>
      <c r="E132" t="s">
        <v>1059</v>
      </c>
      <c r="F132" t="s">
        <v>1166</v>
      </c>
      <c r="G132" t="s">
        <v>1167</v>
      </c>
      <c r="H132" t="s">
        <v>1069</v>
      </c>
      <c r="I132" t="s">
        <v>1168</v>
      </c>
      <c r="J132" t="str">
        <f t="shared" si="6"/>
        <v>Male</v>
      </c>
      <c r="K132" t="str">
        <f t="shared" si="11"/>
        <v>Ireland</v>
      </c>
      <c r="L132" t="str">
        <f t="shared" si="8"/>
        <v>Case 397 is a Imported  case, 43 years old male Ireland (Singapore Work Pass holder)  and has been to Ireland . He is currently admitted at NCID . Contact of Case 180</v>
      </c>
      <c r="M132">
        <f t="shared" si="9"/>
        <v>397</v>
      </c>
      <c r="N132" t="str">
        <f t="shared" si="10"/>
        <v xml:space="preserve">Ireland </v>
      </c>
    </row>
    <row r="133" spans="1:14" x14ac:dyDescent="0.3">
      <c r="A133">
        <v>398</v>
      </c>
      <c r="B133" s="23">
        <v>43910</v>
      </c>
      <c r="C133" t="s">
        <v>1169</v>
      </c>
      <c r="D133">
        <v>57</v>
      </c>
      <c r="E133" t="s">
        <v>1059</v>
      </c>
      <c r="F133" t="s">
        <v>1072</v>
      </c>
      <c r="H133" t="s">
        <v>1061</v>
      </c>
      <c r="J133" t="str">
        <f t="shared" si="6"/>
        <v>Male</v>
      </c>
      <c r="K133" t="str">
        <f t="shared" si="11"/>
        <v>Singaporean</v>
      </c>
      <c r="L133" t="str">
        <f t="shared" si="8"/>
        <v xml:space="preserve">Case 398 is a Local unlinked case, 57 years old male Singapore Permanent Resident  and has not been overseas. He is currently admitted at KTPH7 . </v>
      </c>
      <c r="M133" t="str">
        <f t="shared" si="9"/>
        <v/>
      </c>
      <c r="N133" t="str">
        <f t="shared" si="10"/>
        <v/>
      </c>
    </row>
    <row r="134" spans="1:14" x14ac:dyDescent="0.3">
      <c r="A134">
        <v>399</v>
      </c>
      <c r="B134" s="23">
        <v>43910</v>
      </c>
      <c r="C134" t="s">
        <v>1071</v>
      </c>
      <c r="D134">
        <v>23</v>
      </c>
      <c r="E134" t="s">
        <v>1073</v>
      </c>
      <c r="F134" t="s">
        <v>1060</v>
      </c>
      <c r="G134" t="s">
        <v>1063</v>
      </c>
      <c r="H134" t="s">
        <v>77</v>
      </c>
      <c r="J134" t="str">
        <f t="shared" si="6"/>
        <v>Female</v>
      </c>
      <c r="K134" t="str">
        <f t="shared" si="11"/>
        <v>Singaporean</v>
      </c>
      <c r="L134" t="str">
        <f t="shared" si="8"/>
        <v xml:space="preserve">Case 399 is a Imported case, 23 years old female Singapore Citizen  and has been to UK . She is currently admitted at NCID . </v>
      </c>
      <c r="M134">
        <f t="shared" si="9"/>
        <v>399</v>
      </c>
      <c r="N134" t="str">
        <f t="shared" si="10"/>
        <v xml:space="preserve">UK </v>
      </c>
    </row>
    <row r="135" spans="1:14" x14ac:dyDescent="0.3">
      <c r="A135">
        <v>400</v>
      </c>
      <c r="B135" s="23">
        <v>43910</v>
      </c>
      <c r="C135" t="s">
        <v>1071</v>
      </c>
      <c r="D135">
        <v>56</v>
      </c>
      <c r="E135" t="s">
        <v>1059</v>
      </c>
      <c r="F135" t="s">
        <v>1060</v>
      </c>
      <c r="G135" t="s">
        <v>1063</v>
      </c>
      <c r="H135" t="s">
        <v>77</v>
      </c>
      <c r="J135" t="str">
        <f t="shared" si="6"/>
        <v>Male</v>
      </c>
      <c r="K135" t="str">
        <f t="shared" si="11"/>
        <v>Singaporean</v>
      </c>
      <c r="L135" t="str">
        <f t="shared" si="8"/>
        <v xml:space="preserve">Case 400 is a Imported case, 56 years old male Singapore Citizen  and has been to UK . He is currently admitted at NCID . </v>
      </c>
      <c r="M135">
        <f t="shared" si="9"/>
        <v>400</v>
      </c>
      <c r="N135" t="str">
        <f t="shared" si="10"/>
        <v xml:space="preserve">UK </v>
      </c>
    </row>
    <row r="136" spans="1:14" x14ac:dyDescent="0.3">
      <c r="A136">
        <v>401</v>
      </c>
      <c r="B136" s="23">
        <v>43910</v>
      </c>
      <c r="C136" t="s">
        <v>1071</v>
      </c>
      <c r="D136">
        <v>20</v>
      </c>
      <c r="E136" t="s">
        <v>1059</v>
      </c>
      <c r="F136" t="s">
        <v>1060</v>
      </c>
      <c r="G136" t="s">
        <v>1063</v>
      </c>
      <c r="H136" t="s">
        <v>77</v>
      </c>
      <c r="J136" t="str">
        <f t="shared" si="6"/>
        <v>Male</v>
      </c>
      <c r="K136" t="str">
        <f t="shared" si="11"/>
        <v>Singaporean</v>
      </c>
      <c r="L136" t="str">
        <f t="shared" si="8"/>
        <v xml:space="preserve">Case 401 is a Imported case, 20 years old male Singapore Citizen  and has been to UK . He is currently admitted at NCID . </v>
      </c>
      <c r="M136">
        <f t="shared" si="9"/>
        <v>401</v>
      </c>
      <c r="N136" t="str">
        <f t="shared" si="10"/>
        <v xml:space="preserve">UK </v>
      </c>
    </row>
    <row r="137" spans="1:14" x14ac:dyDescent="0.3">
      <c r="A137">
        <v>402</v>
      </c>
      <c r="B137" s="23">
        <v>43910</v>
      </c>
      <c r="C137" t="s">
        <v>1170</v>
      </c>
      <c r="D137">
        <v>22</v>
      </c>
      <c r="E137" t="s">
        <v>1073</v>
      </c>
      <c r="F137" t="s">
        <v>1171</v>
      </c>
      <c r="H137" t="s">
        <v>77</v>
      </c>
      <c r="J137" t="str">
        <f t="shared" si="6"/>
        <v>Female</v>
      </c>
      <c r="K137" t="str">
        <f t="shared" si="11"/>
        <v xml:space="preserve">Indonesia Indonesia </v>
      </c>
      <c r="L137" t="str">
        <f t="shared" si="8"/>
        <v xml:space="preserve">Case 402 is a Imported case, 22 years old female Indonesia Indonesia  and has not been overseas. She is currently admitted at MENH. </v>
      </c>
      <c r="M137" t="str">
        <f t="shared" si="9"/>
        <v/>
      </c>
      <c r="N137" t="str">
        <f t="shared" si="10"/>
        <v/>
      </c>
    </row>
    <row r="138" spans="1:14" x14ac:dyDescent="0.3">
      <c r="A138">
        <v>403</v>
      </c>
      <c r="B138" s="23">
        <v>43910</v>
      </c>
      <c r="C138" t="s">
        <v>1172</v>
      </c>
      <c r="D138">
        <v>77</v>
      </c>
      <c r="E138" t="s">
        <v>1059</v>
      </c>
      <c r="F138" t="s">
        <v>1173</v>
      </c>
      <c r="G138" t="s">
        <v>687</v>
      </c>
      <c r="H138" t="s">
        <v>77</v>
      </c>
      <c r="J138" t="str">
        <f t="shared" si="6"/>
        <v>Male</v>
      </c>
      <c r="K138" t="str">
        <f t="shared" si="11"/>
        <v>Indonesia</v>
      </c>
      <c r="L138" t="str">
        <f t="shared" si="8"/>
        <v xml:space="preserve">Case 403 is a Imported case, 77 years old male Indonesia (Long Term Pass holder)  and has been to Indonesia . He is currently admitted at MEH . </v>
      </c>
      <c r="M138">
        <f t="shared" si="9"/>
        <v>403</v>
      </c>
      <c r="N138" t="str">
        <f t="shared" si="10"/>
        <v xml:space="preserve">Indonesia </v>
      </c>
    </row>
    <row r="139" spans="1:14" x14ac:dyDescent="0.3">
      <c r="A139">
        <v>404</v>
      </c>
      <c r="B139" s="23">
        <v>43910</v>
      </c>
      <c r="C139" t="s">
        <v>1071</v>
      </c>
      <c r="D139">
        <v>28</v>
      </c>
      <c r="E139" t="s">
        <v>1059</v>
      </c>
      <c r="F139" t="s">
        <v>1174</v>
      </c>
      <c r="G139" t="s">
        <v>1175</v>
      </c>
      <c r="H139" t="s">
        <v>77</v>
      </c>
      <c r="J139" t="str">
        <f t="shared" si="6"/>
        <v>Male</v>
      </c>
      <c r="K139" t="str">
        <f t="shared" si="11"/>
        <v>Australia</v>
      </c>
      <c r="L139" t="str">
        <f t="shared" si="8"/>
        <v xml:space="preserve">Case 404 is a Imported case, 28 years old male Australia (Long Term Pass holder)  and has been to Malaysia, Philippines . He is currently admitted at NCID . </v>
      </c>
      <c r="M139">
        <f t="shared" si="9"/>
        <v>404</v>
      </c>
      <c r="N139" t="str">
        <f t="shared" si="10"/>
        <v xml:space="preserve">Malaysia, Philippines </v>
      </c>
    </row>
    <row r="140" spans="1:14" x14ac:dyDescent="0.3">
      <c r="A140">
        <v>405</v>
      </c>
      <c r="B140" s="23">
        <v>43910</v>
      </c>
      <c r="C140" t="s">
        <v>1071</v>
      </c>
      <c r="D140">
        <v>25</v>
      </c>
      <c r="E140" t="s">
        <v>1059</v>
      </c>
      <c r="F140" t="s">
        <v>1060</v>
      </c>
      <c r="G140" t="s">
        <v>1063</v>
      </c>
      <c r="H140" t="s">
        <v>77</v>
      </c>
      <c r="J140" t="str">
        <f t="shared" si="6"/>
        <v>Male</v>
      </c>
      <c r="K140" t="str">
        <f t="shared" si="11"/>
        <v>Singaporean</v>
      </c>
      <c r="L140" t="str">
        <f t="shared" si="8"/>
        <v xml:space="preserve">Case 405 is a Imported case, 25 years old male Singapore Citizen  and has been to UK . He is currently admitted at NCID . </v>
      </c>
      <c r="M140">
        <f t="shared" si="9"/>
        <v>405</v>
      </c>
      <c r="N140" t="str">
        <f t="shared" si="10"/>
        <v xml:space="preserve">UK </v>
      </c>
    </row>
    <row r="141" spans="1:14" x14ac:dyDescent="0.3">
      <c r="A141">
        <v>406</v>
      </c>
      <c r="B141" s="23">
        <v>43910</v>
      </c>
      <c r="C141" t="s">
        <v>1058</v>
      </c>
      <c r="D141">
        <v>61</v>
      </c>
      <c r="E141" t="s">
        <v>1073</v>
      </c>
      <c r="F141" t="s">
        <v>1060</v>
      </c>
      <c r="H141" t="s">
        <v>1061</v>
      </c>
      <c r="J141" t="str">
        <f t="shared" si="6"/>
        <v>Female</v>
      </c>
      <c r="K141" t="str">
        <f t="shared" si="11"/>
        <v>Singaporean</v>
      </c>
      <c r="L141" t="str">
        <f t="shared" si="8"/>
        <v xml:space="preserve">Case 406 is a Local unlinked case, 61 years old female Singapore Citizen  and has not been overseas. She is currently admitted at KTPH . </v>
      </c>
      <c r="M141" t="str">
        <f t="shared" si="9"/>
        <v/>
      </c>
      <c r="N141" t="str">
        <f t="shared" si="10"/>
        <v/>
      </c>
    </row>
    <row r="142" spans="1:14" x14ac:dyDescent="0.3">
      <c r="A142">
        <v>407</v>
      </c>
      <c r="B142" s="23">
        <v>43910</v>
      </c>
      <c r="C142" t="s">
        <v>1071</v>
      </c>
      <c r="D142">
        <v>25</v>
      </c>
      <c r="E142" t="s">
        <v>1059</v>
      </c>
      <c r="F142" t="s">
        <v>711</v>
      </c>
      <c r="G142" t="s">
        <v>1177</v>
      </c>
      <c r="H142" t="s">
        <v>77</v>
      </c>
      <c r="J142" t="str">
        <f t="shared" si="6"/>
        <v>Male</v>
      </c>
      <c r="K142" t="str">
        <f t="shared" si="11"/>
        <v xml:space="preserve">Spain </v>
      </c>
      <c r="L142" t="str">
        <f t="shared" si="8"/>
        <v xml:space="preserve">Case 407 is a Imported case, 25 years old male Spain  and has been to Pending . He is currently admitted at NCID . </v>
      </c>
      <c r="M142">
        <f t="shared" si="9"/>
        <v>407</v>
      </c>
      <c r="N142" t="str">
        <f t="shared" si="10"/>
        <v xml:space="preserve">Pending </v>
      </c>
    </row>
    <row r="143" spans="1:14" x14ac:dyDescent="0.3">
      <c r="A143">
        <v>408</v>
      </c>
      <c r="B143" s="23">
        <v>43910</v>
      </c>
      <c r="C143" t="s">
        <v>343</v>
      </c>
      <c r="D143">
        <v>27</v>
      </c>
      <c r="E143" t="s">
        <v>1059</v>
      </c>
      <c r="F143" t="s">
        <v>1060</v>
      </c>
      <c r="G143" t="s">
        <v>1085</v>
      </c>
      <c r="H143" t="s">
        <v>77</v>
      </c>
      <c r="J143" t="str">
        <f t="shared" si="6"/>
        <v>Male</v>
      </c>
      <c r="K143" t="str">
        <f t="shared" si="11"/>
        <v>Singaporean</v>
      </c>
      <c r="L143" t="str">
        <f t="shared" si="8"/>
        <v xml:space="preserve">Case 408 is a Imported case, 27 years old male Singapore Citizen  and has been to US . He is currently admitted at NUH . </v>
      </c>
      <c r="M143">
        <f t="shared" si="9"/>
        <v>408</v>
      </c>
      <c r="N143" t="str">
        <f t="shared" si="10"/>
        <v xml:space="preserve">US </v>
      </c>
    </row>
    <row r="144" spans="1:14" x14ac:dyDescent="0.3">
      <c r="A144">
        <v>409</v>
      </c>
      <c r="B144" s="23">
        <v>43910</v>
      </c>
      <c r="C144" t="s">
        <v>343</v>
      </c>
      <c r="D144">
        <v>23</v>
      </c>
      <c r="E144" t="s">
        <v>1073</v>
      </c>
      <c r="F144" t="s">
        <v>1178</v>
      </c>
      <c r="G144" t="s">
        <v>1085</v>
      </c>
      <c r="H144" t="s">
        <v>77</v>
      </c>
      <c r="J144" t="str">
        <f t="shared" si="6"/>
        <v>Female</v>
      </c>
      <c r="K144" t="str">
        <f t="shared" si="11"/>
        <v xml:space="preserve">Australia </v>
      </c>
      <c r="L144" t="str">
        <f t="shared" si="8"/>
        <v xml:space="preserve">Case 409 is a Imported case, 23 years old female Australia  (Singapore Work Pass holder)  and has been to US . She is currently admitted at NUH . </v>
      </c>
      <c r="M144">
        <f t="shared" si="9"/>
        <v>409</v>
      </c>
      <c r="N144" t="str">
        <f t="shared" si="10"/>
        <v xml:space="preserve">US </v>
      </c>
    </row>
    <row r="145" spans="1:14" x14ac:dyDescent="0.3">
      <c r="A145">
        <v>410</v>
      </c>
      <c r="B145" s="23">
        <v>43911</v>
      </c>
      <c r="C145" t="s">
        <v>1071</v>
      </c>
      <c r="D145">
        <v>20</v>
      </c>
      <c r="E145" t="s">
        <v>1073</v>
      </c>
      <c r="F145" t="s">
        <v>1060</v>
      </c>
      <c r="G145" t="s">
        <v>1063</v>
      </c>
      <c r="H145" t="s">
        <v>77</v>
      </c>
      <c r="J145" t="str">
        <f t="shared" ref="J145:J189" si="12">IF(TRIM(E145)="M","Male",IF(TRIM(E145)="F","Female",""))</f>
        <v>Female</v>
      </c>
      <c r="K145" t="str">
        <f t="shared" si="11"/>
        <v>Singaporean</v>
      </c>
      <c r="L145" t="str">
        <f t="shared" ref="L145:L189" si="13">"Case "&amp;A145&amp;" is a "&amp;H145&amp;" case, "&amp;D145&amp;" years old "&amp;LOWER(J145)&amp;" "&amp;F145 &amp;IF(G145=""," and has not been overseas"," and has been to "&amp;G145)&amp;". "&amp;IF(TRIM(E145)="F","She",IF(TRIM(E145)="M","He"))&amp;" is currently admitted at "&amp;C145&amp;". "&amp;I145</f>
        <v xml:space="preserve">Case 410 is a Imported case, 20 years old female Singapore Citizen  and has been to UK . She is currently admitted at NCID . </v>
      </c>
      <c r="M145">
        <f t="shared" ref="M145:M189" si="14">IF(G145="","",A145)</f>
        <v>410</v>
      </c>
      <c r="N145" t="str">
        <f t="shared" ref="N145:N189" si="15">IF(G145="","",G145)</f>
        <v xml:space="preserve">UK </v>
      </c>
    </row>
    <row r="146" spans="1:14" x14ac:dyDescent="0.3">
      <c r="A146">
        <v>411</v>
      </c>
      <c r="B146" s="23">
        <v>43911</v>
      </c>
      <c r="C146" t="s">
        <v>1071</v>
      </c>
      <c r="D146">
        <v>30</v>
      </c>
      <c r="E146" t="s">
        <v>1059</v>
      </c>
      <c r="F146" t="s">
        <v>1060</v>
      </c>
      <c r="G146" t="s">
        <v>1063</v>
      </c>
      <c r="H146" t="s">
        <v>77</v>
      </c>
      <c r="J146" t="str">
        <f t="shared" si="12"/>
        <v>Male</v>
      </c>
      <c r="K146" t="str">
        <f t="shared" si="11"/>
        <v>Singaporean</v>
      </c>
      <c r="L146" t="str">
        <f t="shared" si="13"/>
        <v xml:space="preserve">Case 411 is a Imported case, 30 years old male Singapore Citizen  and has been to UK . He is currently admitted at NCID . </v>
      </c>
      <c r="M146">
        <f t="shared" si="14"/>
        <v>411</v>
      </c>
      <c r="N146" t="str">
        <f t="shared" si="15"/>
        <v xml:space="preserve">UK </v>
      </c>
    </row>
    <row r="147" spans="1:14" x14ac:dyDescent="0.3">
      <c r="A147">
        <v>412</v>
      </c>
      <c r="B147" s="23">
        <v>43911</v>
      </c>
      <c r="C147" t="s">
        <v>1071</v>
      </c>
      <c r="D147">
        <v>19</v>
      </c>
      <c r="E147" t="s">
        <v>1073</v>
      </c>
      <c r="F147" t="s">
        <v>1060</v>
      </c>
      <c r="G147" t="s">
        <v>1063</v>
      </c>
      <c r="H147" t="s">
        <v>77</v>
      </c>
      <c r="J147" t="str">
        <f t="shared" si="12"/>
        <v>Female</v>
      </c>
      <c r="K147" t="str">
        <f t="shared" si="11"/>
        <v>Singaporean</v>
      </c>
      <c r="L147" t="str">
        <f t="shared" si="13"/>
        <v xml:space="preserve">Case 412 is a Imported case, 19 years old female Singapore Citizen  and has been to UK . She is currently admitted at NCID . </v>
      </c>
      <c r="M147">
        <f t="shared" si="14"/>
        <v>412</v>
      </c>
      <c r="N147" t="str">
        <f t="shared" si="15"/>
        <v xml:space="preserve">UK </v>
      </c>
    </row>
    <row r="148" spans="1:14" x14ac:dyDescent="0.3">
      <c r="A148">
        <v>413</v>
      </c>
      <c r="B148" s="23">
        <v>43911</v>
      </c>
      <c r="C148" t="s">
        <v>1071</v>
      </c>
      <c r="D148">
        <v>29</v>
      </c>
      <c r="E148" t="s">
        <v>1059</v>
      </c>
      <c r="F148" t="s">
        <v>1060</v>
      </c>
      <c r="G148" t="s">
        <v>680</v>
      </c>
      <c r="H148" t="s">
        <v>77</v>
      </c>
      <c r="J148" t="str">
        <f t="shared" si="12"/>
        <v>Male</v>
      </c>
      <c r="K148" t="str">
        <f t="shared" si="11"/>
        <v>Singaporean</v>
      </c>
      <c r="L148" t="str">
        <f t="shared" si="13"/>
        <v xml:space="preserve">Case 413 is a Imported case, 29 years old male Singapore Citizen  and has been to Switzerland . He is currently admitted at NCID . </v>
      </c>
      <c r="M148">
        <f t="shared" si="14"/>
        <v>413</v>
      </c>
      <c r="N148" t="str">
        <f t="shared" si="15"/>
        <v xml:space="preserve">Switzerland </v>
      </c>
    </row>
    <row r="149" spans="1:14" x14ac:dyDescent="0.3">
      <c r="A149">
        <v>414</v>
      </c>
      <c r="B149" s="23">
        <v>43911</v>
      </c>
      <c r="C149" t="s">
        <v>1071</v>
      </c>
      <c r="D149">
        <v>37</v>
      </c>
      <c r="E149" t="s">
        <v>1059</v>
      </c>
      <c r="F149" t="s">
        <v>1174</v>
      </c>
      <c r="G149" t="s">
        <v>1085</v>
      </c>
      <c r="H149" t="s">
        <v>77</v>
      </c>
      <c r="J149" t="str">
        <f t="shared" si="12"/>
        <v>Male</v>
      </c>
      <c r="K149" t="str">
        <f t="shared" si="11"/>
        <v>Australia</v>
      </c>
      <c r="L149" t="str">
        <f t="shared" si="13"/>
        <v xml:space="preserve">Case 414 is a Imported case, 37 years old male Australia (Long Term Pass holder)  and has been to US . He is currently admitted at NCID . </v>
      </c>
      <c r="M149">
        <f t="shared" si="14"/>
        <v>414</v>
      </c>
      <c r="N149" t="str">
        <f t="shared" si="15"/>
        <v xml:space="preserve">US </v>
      </c>
    </row>
    <row r="150" spans="1:14" x14ac:dyDescent="0.3">
      <c r="A150">
        <v>415</v>
      </c>
      <c r="B150" s="23">
        <v>43911</v>
      </c>
      <c r="C150" t="s">
        <v>1071</v>
      </c>
      <c r="D150">
        <v>64</v>
      </c>
      <c r="E150" t="s">
        <v>1073</v>
      </c>
      <c r="F150" t="s">
        <v>687</v>
      </c>
      <c r="G150" t="s">
        <v>687</v>
      </c>
      <c r="H150" t="s">
        <v>1069</v>
      </c>
      <c r="I150" t="s">
        <v>1179</v>
      </c>
      <c r="J150" t="str">
        <f t="shared" si="12"/>
        <v>Female</v>
      </c>
      <c r="K150" t="str">
        <f t="shared" si="11"/>
        <v xml:space="preserve">Indonesia </v>
      </c>
      <c r="L150" t="str">
        <f t="shared" si="13"/>
        <v>Case 415 is a Imported  case, 64 years old female Indonesia  and has been to Indonesia . She is currently admitted at NCID . Family member of Case 212</v>
      </c>
      <c r="M150">
        <f t="shared" si="14"/>
        <v>415</v>
      </c>
      <c r="N150" t="str">
        <f t="shared" si="15"/>
        <v xml:space="preserve">Indonesia </v>
      </c>
    </row>
    <row r="151" spans="1:14" x14ac:dyDescent="0.3">
      <c r="A151">
        <v>416</v>
      </c>
      <c r="B151" s="23">
        <v>43911</v>
      </c>
      <c r="C151" t="s">
        <v>1071</v>
      </c>
      <c r="D151">
        <v>21</v>
      </c>
      <c r="E151" t="s">
        <v>1059</v>
      </c>
      <c r="F151" t="s">
        <v>1060</v>
      </c>
      <c r="G151" t="s">
        <v>1063</v>
      </c>
      <c r="H151" t="s">
        <v>77</v>
      </c>
      <c r="J151" t="str">
        <f t="shared" si="12"/>
        <v>Male</v>
      </c>
      <c r="K151" t="str">
        <f t="shared" si="11"/>
        <v>Singaporean</v>
      </c>
      <c r="L151" t="str">
        <f t="shared" si="13"/>
        <v xml:space="preserve">Case 416 is a Imported case, 21 years old male Singapore Citizen  and has been to UK . He is currently admitted at NCID . </v>
      </c>
      <c r="M151">
        <f t="shared" si="14"/>
        <v>416</v>
      </c>
      <c r="N151" t="str">
        <f t="shared" si="15"/>
        <v xml:space="preserve">UK </v>
      </c>
    </row>
    <row r="152" spans="1:14" x14ac:dyDescent="0.3">
      <c r="A152">
        <v>417</v>
      </c>
      <c r="B152" s="23">
        <v>43911</v>
      </c>
      <c r="C152" t="s">
        <v>1071</v>
      </c>
      <c r="D152">
        <v>18</v>
      </c>
      <c r="E152" t="s">
        <v>1073</v>
      </c>
      <c r="F152" t="s">
        <v>1180</v>
      </c>
      <c r="G152" t="s">
        <v>1063</v>
      </c>
      <c r="H152" t="s">
        <v>77</v>
      </c>
      <c r="J152" t="str">
        <f t="shared" si="12"/>
        <v>Female</v>
      </c>
      <c r="K152" t="str">
        <f t="shared" si="11"/>
        <v>France</v>
      </c>
      <c r="L152" t="str">
        <f t="shared" si="13"/>
        <v xml:space="preserve">Case 417 is a Imported case, 18 years old female France (Long Term Pass holder)  and has been to UK . She is currently admitted at NCID . </v>
      </c>
      <c r="M152">
        <f t="shared" si="14"/>
        <v>417</v>
      </c>
      <c r="N152" t="str">
        <f t="shared" si="15"/>
        <v xml:space="preserve">UK </v>
      </c>
    </row>
    <row r="153" spans="1:14" x14ac:dyDescent="0.3">
      <c r="A153">
        <v>418</v>
      </c>
      <c r="B153" s="23">
        <v>43911</v>
      </c>
      <c r="C153" t="s">
        <v>1071</v>
      </c>
      <c r="D153">
        <v>44</v>
      </c>
      <c r="E153" t="s">
        <v>1059</v>
      </c>
      <c r="F153" t="s">
        <v>1072</v>
      </c>
      <c r="G153" t="s">
        <v>1085</v>
      </c>
      <c r="H153" t="s">
        <v>1069</v>
      </c>
      <c r="J153" t="str">
        <f t="shared" si="12"/>
        <v>Male</v>
      </c>
      <c r="K153" t="str">
        <f t="shared" si="11"/>
        <v>Singaporean</v>
      </c>
      <c r="L153" t="str">
        <f t="shared" si="13"/>
        <v xml:space="preserve">Case 418 is a Imported  case, 44 years old male Singapore Permanent Resident  and has been to US . He is currently admitted at NCID . </v>
      </c>
      <c r="M153">
        <f t="shared" si="14"/>
        <v>418</v>
      </c>
      <c r="N153" t="str">
        <f t="shared" si="15"/>
        <v xml:space="preserve">US </v>
      </c>
    </row>
    <row r="154" spans="1:14" x14ac:dyDescent="0.3">
      <c r="A154">
        <v>419</v>
      </c>
      <c r="B154" s="23">
        <v>43911</v>
      </c>
      <c r="C154" t="s">
        <v>1071</v>
      </c>
      <c r="D154">
        <v>45</v>
      </c>
      <c r="E154" t="s">
        <v>1059</v>
      </c>
      <c r="F154" t="s">
        <v>875</v>
      </c>
      <c r="G154" t="s">
        <v>1177</v>
      </c>
      <c r="H154" t="s">
        <v>77</v>
      </c>
      <c r="J154" t="str">
        <f t="shared" si="12"/>
        <v>Male</v>
      </c>
      <c r="K154" t="str">
        <f t="shared" si="11"/>
        <v xml:space="preserve">Netherlands </v>
      </c>
      <c r="L154" t="str">
        <f t="shared" si="13"/>
        <v xml:space="preserve">Case 419 is a Imported case, 45 years old male Netherlands  and has been to Pending . He is currently admitted at NCID . </v>
      </c>
      <c r="M154">
        <f t="shared" si="14"/>
        <v>419</v>
      </c>
      <c r="N154" t="str">
        <f t="shared" si="15"/>
        <v xml:space="preserve">Pending </v>
      </c>
    </row>
    <row r="155" spans="1:14" x14ac:dyDescent="0.3">
      <c r="A155">
        <v>420</v>
      </c>
      <c r="B155" s="23">
        <v>43911</v>
      </c>
      <c r="C155" t="s">
        <v>1071</v>
      </c>
      <c r="D155">
        <v>21</v>
      </c>
      <c r="E155" t="s">
        <v>1073</v>
      </c>
      <c r="F155" t="s">
        <v>1060</v>
      </c>
      <c r="G155" t="s">
        <v>1063</v>
      </c>
      <c r="H155" t="s">
        <v>77</v>
      </c>
      <c r="J155" t="str">
        <f t="shared" si="12"/>
        <v>Female</v>
      </c>
      <c r="K155" t="str">
        <f t="shared" si="11"/>
        <v>Singaporean</v>
      </c>
      <c r="L155" t="str">
        <f t="shared" si="13"/>
        <v xml:space="preserve">Case 420 is a Imported case, 21 years old female Singapore Citizen  and has been to UK . She is currently admitted at NCID . </v>
      </c>
      <c r="M155">
        <f t="shared" si="14"/>
        <v>420</v>
      </c>
      <c r="N155" t="str">
        <f t="shared" si="15"/>
        <v xml:space="preserve">UK </v>
      </c>
    </row>
    <row r="156" spans="1:14" x14ac:dyDescent="0.3">
      <c r="A156">
        <v>421</v>
      </c>
      <c r="B156" s="23">
        <v>43911</v>
      </c>
      <c r="C156" t="s">
        <v>1071</v>
      </c>
      <c r="D156">
        <v>23</v>
      </c>
      <c r="E156" t="s">
        <v>1059</v>
      </c>
      <c r="F156" t="s">
        <v>1060</v>
      </c>
      <c r="G156" t="s">
        <v>1063</v>
      </c>
      <c r="H156" t="s">
        <v>77</v>
      </c>
      <c r="J156" t="str">
        <f t="shared" si="12"/>
        <v>Male</v>
      </c>
      <c r="K156" t="str">
        <f t="shared" si="11"/>
        <v>Singaporean</v>
      </c>
      <c r="L156" t="str">
        <f t="shared" si="13"/>
        <v xml:space="preserve">Case 421 is a Imported case, 23 years old male Singapore Citizen  and has been to UK . He is currently admitted at NCID . </v>
      </c>
      <c r="M156">
        <f t="shared" si="14"/>
        <v>421</v>
      </c>
      <c r="N156" t="str">
        <f t="shared" si="15"/>
        <v xml:space="preserve">UK </v>
      </c>
    </row>
    <row r="157" spans="1:14" x14ac:dyDescent="0.3">
      <c r="A157">
        <v>422</v>
      </c>
      <c r="B157" s="23">
        <v>43911</v>
      </c>
      <c r="C157" t="s">
        <v>1071</v>
      </c>
      <c r="D157">
        <v>56</v>
      </c>
      <c r="E157" t="s">
        <v>1073</v>
      </c>
      <c r="F157" t="s">
        <v>1060</v>
      </c>
      <c r="G157" t="s">
        <v>1085</v>
      </c>
      <c r="H157" t="s">
        <v>77</v>
      </c>
      <c r="J157" t="str">
        <f t="shared" si="12"/>
        <v>Female</v>
      </c>
      <c r="K157" t="str">
        <f t="shared" ref="K157:K189" si="16">IF(LEFT(F157,9)="Singapore","Singaporean",IF(ISERR(FIND("(",F157)),F157,LEFT(F157,FIND("(",F157)-2)))</f>
        <v>Singaporean</v>
      </c>
      <c r="L157" t="str">
        <f t="shared" si="13"/>
        <v xml:space="preserve">Case 422 is a Imported case, 56 years old female Singapore Citizen  and has been to US . She is currently admitted at NCID . </v>
      </c>
      <c r="M157">
        <f t="shared" si="14"/>
        <v>422</v>
      </c>
      <c r="N157" t="str">
        <f t="shared" si="15"/>
        <v xml:space="preserve">US </v>
      </c>
    </row>
    <row r="158" spans="1:14" x14ac:dyDescent="0.3">
      <c r="A158">
        <v>423</v>
      </c>
      <c r="B158" s="23">
        <v>43911</v>
      </c>
      <c r="C158" t="s">
        <v>1071</v>
      </c>
      <c r="D158">
        <v>24</v>
      </c>
      <c r="E158" t="s">
        <v>1059</v>
      </c>
      <c r="F158" t="s">
        <v>1060</v>
      </c>
      <c r="G158" t="s">
        <v>1167</v>
      </c>
      <c r="H158" t="s">
        <v>77</v>
      </c>
      <c r="J158" t="str">
        <f t="shared" si="12"/>
        <v>Male</v>
      </c>
      <c r="K158" t="str">
        <f t="shared" si="16"/>
        <v>Singaporean</v>
      </c>
      <c r="L158" t="str">
        <f t="shared" si="13"/>
        <v xml:space="preserve">Case 423 is a Imported case, 24 years old male Singapore Citizen  and has been to Ireland . He is currently admitted at NCID . </v>
      </c>
      <c r="M158">
        <f t="shared" si="14"/>
        <v>423</v>
      </c>
      <c r="N158" t="str">
        <f t="shared" si="15"/>
        <v xml:space="preserve">Ireland </v>
      </c>
    </row>
    <row r="159" spans="1:14" x14ac:dyDescent="0.3">
      <c r="A159">
        <v>424</v>
      </c>
      <c r="B159" s="23">
        <v>43911</v>
      </c>
      <c r="C159" t="s">
        <v>1064</v>
      </c>
      <c r="D159">
        <v>24</v>
      </c>
      <c r="E159" t="s">
        <v>1059</v>
      </c>
      <c r="F159" t="s">
        <v>1060</v>
      </c>
      <c r="G159" t="s">
        <v>1085</v>
      </c>
      <c r="H159" t="s">
        <v>1069</v>
      </c>
      <c r="I159" t="s">
        <v>1181</v>
      </c>
      <c r="J159" t="str">
        <f t="shared" si="12"/>
        <v>Male</v>
      </c>
      <c r="K159" t="str">
        <f t="shared" si="16"/>
        <v>Singaporean</v>
      </c>
      <c r="L159" t="str">
        <f t="shared" si="13"/>
        <v>Case 424 is a Imported  case, 24 years old male Singapore Citizen  and has been to US . He is currently admitted at CGH . Contact of Case 425</v>
      </c>
      <c r="M159">
        <f t="shared" si="14"/>
        <v>424</v>
      </c>
      <c r="N159" t="str">
        <f t="shared" si="15"/>
        <v xml:space="preserve">US </v>
      </c>
    </row>
    <row r="160" spans="1:14" x14ac:dyDescent="0.3">
      <c r="A160">
        <v>425</v>
      </c>
      <c r="B160" s="23">
        <v>43911</v>
      </c>
      <c r="C160" t="s">
        <v>1064</v>
      </c>
      <c r="D160">
        <v>21</v>
      </c>
      <c r="E160" t="s">
        <v>1073</v>
      </c>
      <c r="F160" t="s">
        <v>1060</v>
      </c>
      <c r="G160" t="s">
        <v>1085</v>
      </c>
      <c r="H160" t="s">
        <v>1069</v>
      </c>
      <c r="I160" t="s">
        <v>1182</v>
      </c>
      <c r="J160" t="str">
        <f t="shared" si="12"/>
        <v>Female</v>
      </c>
      <c r="K160" t="str">
        <f t="shared" si="16"/>
        <v>Singaporean</v>
      </c>
      <c r="L160" t="str">
        <f t="shared" si="13"/>
        <v>Case 425 is a Imported  case, 21 years old female Singapore Citizen  and has been to US . She is currently admitted at CGH . Contact of Case 424</v>
      </c>
      <c r="M160">
        <f t="shared" si="14"/>
        <v>425</v>
      </c>
      <c r="N160" t="str">
        <f t="shared" si="15"/>
        <v xml:space="preserve">US </v>
      </c>
    </row>
    <row r="161" spans="1:14" x14ac:dyDescent="0.3">
      <c r="A161">
        <v>426</v>
      </c>
      <c r="B161" s="23">
        <v>43911</v>
      </c>
      <c r="C161" t="s">
        <v>1071</v>
      </c>
      <c r="D161">
        <v>55</v>
      </c>
      <c r="E161" t="s">
        <v>1073</v>
      </c>
      <c r="F161" t="s">
        <v>1060</v>
      </c>
      <c r="H161" t="s">
        <v>936</v>
      </c>
      <c r="J161" t="str">
        <f t="shared" si="12"/>
        <v>Female</v>
      </c>
      <c r="K161" t="str">
        <f t="shared" si="16"/>
        <v>Singaporean</v>
      </c>
      <c r="L161" t="str">
        <f t="shared" si="13"/>
        <v xml:space="preserve">Case 426 is a Local Unlinked case, 55 years old female Singapore Citizen  and has not been overseas. She is currently admitted at NCID . </v>
      </c>
      <c r="M161" t="str">
        <f t="shared" si="14"/>
        <v/>
      </c>
      <c r="N161" t="str">
        <f t="shared" si="15"/>
        <v/>
      </c>
    </row>
    <row r="162" spans="1:14" x14ac:dyDescent="0.3">
      <c r="A162">
        <v>427</v>
      </c>
      <c r="B162" s="23">
        <v>43911</v>
      </c>
      <c r="C162" t="s">
        <v>1071</v>
      </c>
      <c r="D162">
        <v>39</v>
      </c>
      <c r="E162" t="s">
        <v>1059</v>
      </c>
      <c r="F162" t="s">
        <v>1060</v>
      </c>
      <c r="G162" t="s">
        <v>1085</v>
      </c>
      <c r="H162" t="s">
        <v>77</v>
      </c>
      <c r="J162" t="str">
        <f t="shared" si="12"/>
        <v>Male</v>
      </c>
      <c r="K162" t="str">
        <f t="shared" si="16"/>
        <v>Singaporean</v>
      </c>
      <c r="L162" t="str">
        <f t="shared" si="13"/>
        <v xml:space="preserve">Case 427 is a Imported case, 39 years old male Singapore Citizen  and has been to US . He is currently admitted at NCID . </v>
      </c>
      <c r="M162">
        <f t="shared" si="14"/>
        <v>427</v>
      </c>
      <c r="N162" t="str">
        <f t="shared" si="15"/>
        <v xml:space="preserve">US </v>
      </c>
    </row>
    <row r="163" spans="1:14" x14ac:dyDescent="0.3">
      <c r="A163">
        <v>428</v>
      </c>
      <c r="B163" s="23">
        <v>43911</v>
      </c>
      <c r="C163" t="s">
        <v>1071</v>
      </c>
      <c r="D163">
        <v>22</v>
      </c>
      <c r="E163" t="s">
        <v>1059</v>
      </c>
      <c r="F163" t="s">
        <v>1060</v>
      </c>
      <c r="G163" t="s">
        <v>1063</v>
      </c>
      <c r="H163" t="s">
        <v>77</v>
      </c>
      <c r="J163" t="str">
        <f t="shared" si="12"/>
        <v>Male</v>
      </c>
      <c r="K163" t="str">
        <f t="shared" si="16"/>
        <v>Singaporean</v>
      </c>
      <c r="L163" t="str">
        <f t="shared" si="13"/>
        <v xml:space="preserve">Case 428 is a Imported case, 22 years old male Singapore Citizen  and has been to UK . He is currently admitted at NCID . </v>
      </c>
      <c r="M163">
        <f t="shared" si="14"/>
        <v>428</v>
      </c>
      <c r="N163" t="str">
        <f t="shared" si="15"/>
        <v xml:space="preserve">UK </v>
      </c>
    </row>
    <row r="164" spans="1:14" x14ac:dyDescent="0.3">
      <c r="A164">
        <v>429</v>
      </c>
      <c r="B164" s="23">
        <v>43911</v>
      </c>
      <c r="C164" t="s">
        <v>1071</v>
      </c>
      <c r="D164">
        <v>31</v>
      </c>
      <c r="E164" t="s">
        <v>1073</v>
      </c>
      <c r="F164" t="s">
        <v>1060</v>
      </c>
      <c r="G164" t="s">
        <v>1183</v>
      </c>
      <c r="H164" t="s">
        <v>77</v>
      </c>
      <c r="J164" t="str">
        <f t="shared" si="12"/>
        <v>Female</v>
      </c>
      <c r="K164" t="str">
        <f t="shared" si="16"/>
        <v>Singaporean</v>
      </c>
      <c r="L164" t="str">
        <f t="shared" si="13"/>
        <v xml:space="preserve">Case 429 is a Imported case, 31 years old female Singapore Citizen  and has been to Germany, UK . She is currently admitted at NCID . </v>
      </c>
      <c r="M164">
        <f t="shared" si="14"/>
        <v>429</v>
      </c>
      <c r="N164" t="str">
        <f t="shared" si="15"/>
        <v xml:space="preserve">Germany, UK </v>
      </c>
    </row>
    <row r="165" spans="1:14" x14ac:dyDescent="0.3">
      <c r="A165">
        <v>430</v>
      </c>
      <c r="B165" s="23">
        <v>43911</v>
      </c>
      <c r="C165" t="s">
        <v>1071</v>
      </c>
      <c r="D165">
        <v>59</v>
      </c>
      <c r="E165" t="s">
        <v>1073</v>
      </c>
      <c r="F165" t="s">
        <v>1060</v>
      </c>
      <c r="H165" t="s">
        <v>1086</v>
      </c>
      <c r="I165" t="s">
        <v>1184</v>
      </c>
      <c r="J165" t="str">
        <f t="shared" si="12"/>
        <v>Female</v>
      </c>
      <c r="K165" t="str">
        <f t="shared" si="16"/>
        <v>Singaporean</v>
      </c>
      <c r="L165" t="str">
        <f t="shared" si="13"/>
        <v>Case 430 is a Local linked  case, 59 years old female Singapore Citizen  and has not been overseas. She is currently admitted at NCID . Family member of Case 350</v>
      </c>
      <c r="M165" t="str">
        <f t="shared" si="14"/>
        <v/>
      </c>
      <c r="N165" t="str">
        <f t="shared" si="15"/>
        <v/>
      </c>
    </row>
    <row r="166" spans="1:14" x14ac:dyDescent="0.3">
      <c r="A166">
        <v>431</v>
      </c>
      <c r="B166" s="23">
        <v>43911</v>
      </c>
      <c r="C166" t="s">
        <v>1071</v>
      </c>
      <c r="D166">
        <v>58</v>
      </c>
      <c r="E166" t="s">
        <v>1059</v>
      </c>
      <c r="F166" t="s">
        <v>1060</v>
      </c>
      <c r="G166" t="s">
        <v>1063</v>
      </c>
      <c r="H166" t="s">
        <v>77</v>
      </c>
      <c r="J166" t="str">
        <f t="shared" si="12"/>
        <v>Male</v>
      </c>
      <c r="K166" t="str">
        <f t="shared" si="16"/>
        <v>Singaporean</v>
      </c>
      <c r="L166" t="str">
        <f t="shared" si="13"/>
        <v xml:space="preserve">Case 431 is a Imported case, 58 years old male Singapore Citizen  and has been to UK . He is currently admitted at NCID . </v>
      </c>
      <c r="M166">
        <f t="shared" si="14"/>
        <v>431</v>
      </c>
      <c r="N166" t="str">
        <f t="shared" si="15"/>
        <v xml:space="preserve">UK </v>
      </c>
    </row>
    <row r="167" spans="1:14" x14ac:dyDescent="0.3">
      <c r="A167">
        <v>432</v>
      </c>
      <c r="B167" s="23">
        <v>43911</v>
      </c>
      <c r="C167" t="s">
        <v>1071</v>
      </c>
      <c r="D167">
        <v>53</v>
      </c>
      <c r="E167" t="s">
        <v>1073</v>
      </c>
      <c r="F167" t="s">
        <v>1185</v>
      </c>
      <c r="G167" t="s">
        <v>687</v>
      </c>
      <c r="H167" t="s">
        <v>1069</v>
      </c>
      <c r="J167" t="str">
        <f t="shared" si="12"/>
        <v>Female</v>
      </c>
      <c r="K167" t="str">
        <f t="shared" si="16"/>
        <v>UK</v>
      </c>
      <c r="L167" t="str">
        <f t="shared" si="13"/>
        <v xml:space="preserve">Case 432 is a Imported  case, 53 years old female UK (Long Term Pass holder)  and has been to Indonesia . She is currently admitted at NCID . </v>
      </c>
      <c r="M167">
        <f t="shared" si="14"/>
        <v>432</v>
      </c>
      <c r="N167" t="str">
        <f t="shared" si="15"/>
        <v xml:space="preserve">Indonesia </v>
      </c>
    </row>
    <row r="168" spans="1:14" x14ac:dyDescent="0.3">
      <c r="A168">
        <v>433</v>
      </c>
      <c r="B168" s="23">
        <v>43911</v>
      </c>
      <c r="C168" t="s">
        <v>1058</v>
      </c>
      <c r="D168">
        <v>24</v>
      </c>
      <c r="E168" t="s">
        <v>1059</v>
      </c>
      <c r="F168" t="s">
        <v>1060</v>
      </c>
      <c r="G168" t="s">
        <v>809</v>
      </c>
      <c r="H168" t="s">
        <v>77</v>
      </c>
      <c r="J168" t="str">
        <f t="shared" si="12"/>
        <v>Male</v>
      </c>
      <c r="K168" t="str">
        <f t="shared" si="16"/>
        <v>Singaporean</v>
      </c>
      <c r="L168" t="str">
        <f t="shared" si="13"/>
        <v xml:space="preserve">Case 433 is a Imported case, 24 years old male Singapore Citizen  and has been to Canada . He is currently admitted at KTPH . </v>
      </c>
      <c r="M168">
        <f t="shared" si="14"/>
        <v>433</v>
      </c>
      <c r="N168" t="str">
        <f t="shared" si="15"/>
        <v xml:space="preserve">Canada </v>
      </c>
    </row>
    <row r="169" spans="1:14" x14ac:dyDescent="0.3">
      <c r="A169">
        <v>434</v>
      </c>
      <c r="B169" s="23">
        <v>43911</v>
      </c>
      <c r="C169" t="s">
        <v>1071</v>
      </c>
      <c r="D169">
        <v>36</v>
      </c>
      <c r="E169" t="s">
        <v>1059</v>
      </c>
      <c r="F169" t="s">
        <v>1060</v>
      </c>
      <c r="G169" t="s">
        <v>360</v>
      </c>
      <c r="H169" t="s">
        <v>1061</v>
      </c>
      <c r="J169" t="str">
        <f t="shared" si="12"/>
        <v>Male</v>
      </c>
      <c r="K169" t="str">
        <f t="shared" si="16"/>
        <v>Singaporean</v>
      </c>
      <c r="L169" t="str">
        <f t="shared" si="13"/>
        <v xml:space="preserve">Case 434 is a Local unlinked case, 36 years old male Singapore Citizen  and has been to Malaysia . He is currently admitted at NCID . </v>
      </c>
      <c r="M169">
        <f t="shared" si="14"/>
        <v>434</v>
      </c>
      <c r="N169" t="str">
        <f t="shared" si="15"/>
        <v xml:space="preserve">Malaysia </v>
      </c>
    </row>
    <row r="170" spans="1:14" x14ac:dyDescent="0.3">
      <c r="A170">
        <v>435</v>
      </c>
      <c r="B170" s="23">
        <v>43911</v>
      </c>
      <c r="C170" t="s">
        <v>1071</v>
      </c>
      <c r="D170">
        <v>30</v>
      </c>
      <c r="E170" t="s">
        <v>1073</v>
      </c>
      <c r="F170" t="s">
        <v>1060</v>
      </c>
      <c r="G170" t="s">
        <v>360</v>
      </c>
      <c r="H170" t="s">
        <v>77</v>
      </c>
      <c r="J170" t="str">
        <f t="shared" si="12"/>
        <v>Female</v>
      </c>
      <c r="K170" t="str">
        <f t="shared" si="16"/>
        <v>Singaporean</v>
      </c>
      <c r="L170" t="str">
        <f t="shared" si="13"/>
        <v xml:space="preserve">Case 435 is a Imported case, 30 years old female Singapore Citizen  and has been to Malaysia . She is currently admitted at NCID . </v>
      </c>
      <c r="M170">
        <f t="shared" si="14"/>
        <v>435</v>
      </c>
      <c r="N170" t="str">
        <f t="shared" si="15"/>
        <v xml:space="preserve">Malaysia </v>
      </c>
    </row>
    <row r="171" spans="1:14" x14ac:dyDescent="0.3">
      <c r="A171">
        <v>436</v>
      </c>
      <c r="B171" s="23">
        <v>43911</v>
      </c>
      <c r="C171" t="s">
        <v>1071</v>
      </c>
      <c r="D171">
        <v>46</v>
      </c>
      <c r="E171" t="s">
        <v>1059</v>
      </c>
      <c r="F171" t="s">
        <v>1060</v>
      </c>
      <c r="G171" t="s">
        <v>706</v>
      </c>
      <c r="H171" t="s">
        <v>77</v>
      </c>
      <c r="J171" t="str">
        <f t="shared" si="12"/>
        <v>Male</v>
      </c>
      <c r="K171" t="str">
        <f t="shared" si="16"/>
        <v>Singaporean</v>
      </c>
      <c r="L171" t="str">
        <f t="shared" si="13"/>
        <v xml:space="preserve">Case 436 is a Imported case, 46 years old male Singapore Citizen  and has been to Philippines . He is currently admitted at NCID . </v>
      </c>
      <c r="M171">
        <f t="shared" si="14"/>
        <v>436</v>
      </c>
      <c r="N171" t="str">
        <f t="shared" si="15"/>
        <v xml:space="preserve">Philippines </v>
      </c>
    </row>
    <row r="172" spans="1:14" x14ac:dyDescent="0.3">
      <c r="A172">
        <v>437</v>
      </c>
      <c r="B172" s="23">
        <v>43911</v>
      </c>
      <c r="C172" t="s">
        <v>1138</v>
      </c>
      <c r="D172">
        <v>33</v>
      </c>
      <c r="E172" t="s">
        <v>1059</v>
      </c>
      <c r="F172" t="s">
        <v>1186</v>
      </c>
      <c r="G172" t="s">
        <v>1187</v>
      </c>
      <c r="H172" t="s">
        <v>77</v>
      </c>
      <c r="J172" t="str">
        <f t="shared" si="12"/>
        <v>Male</v>
      </c>
      <c r="K172" t="str">
        <f t="shared" si="16"/>
        <v>UK</v>
      </c>
      <c r="L172" t="str">
        <f t="shared" si="13"/>
        <v xml:space="preserve">Case 437 is a Imported case, 33 years old male UK (Singapore Work Pass holder)  and has been to Demark, Switzerland, France . He is currently admitted at SGH . </v>
      </c>
      <c r="M172">
        <f t="shared" si="14"/>
        <v>437</v>
      </c>
      <c r="N172" t="str">
        <f t="shared" si="15"/>
        <v xml:space="preserve">Demark, Switzerland, France </v>
      </c>
    </row>
    <row r="173" spans="1:14" x14ac:dyDescent="0.3">
      <c r="A173">
        <v>438</v>
      </c>
      <c r="B173" s="23">
        <v>43911</v>
      </c>
      <c r="C173" t="s">
        <v>1138</v>
      </c>
      <c r="D173">
        <v>55</v>
      </c>
      <c r="E173" t="s">
        <v>1073</v>
      </c>
      <c r="F173" t="s">
        <v>1085</v>
      </c>
      <c r="G173" t="s">
        <v>1085</v>
      </c>
      <c r="H173" t="s">
        <v>77</v>
      </c>
      <c r="J173" t="str">
        <f t="shared" si="12"/>
        <v>Female</v>
      </c>
      <c r="K173" t="str">
        <f t="shared" si="16"/>
        <v xml:space="preserve">US </v>
      </c>
      <c r="L173" t="str">
        <f t="shared" si="13"/>
        <v xml:space="preserve">Case 438 is a Imported case, 55 years old female US  and has been to US . She is currently admitted at SGH . </v>
      </c>
      <c r="M173">
        <f t="shared" si="14"/>
        <v>438</v>
      </c>
      <c r="N173" t="str">
        <f t="shared" si="15"/>
        <v xml:space="preserve">US </v>
      </c>
    </row>
    <row r="174" spans="1:14" x14ac:dyDescent="0.3">
      <c r="A174">
        <v>439</v>
      </c>
      <c r="B174" s="23">
        <v>43911</v>
      </c>
      <c r="C174" t="s">
        <v>1071</v>
      </c>
      <c r="D174">
        <v>55</v>
      </c>
      <c r="E174" t="s">
        <v>1073</v>
      </c>
      <c r="F174" t="s">
        <v>1188</v>
      </c>
      <c r="G174" t="s">
        <v>1049</v>
      </c>
      <c r="H174" t="s">
        <v>77</v>
      </c>
      <c r="J174" t="str">
        <f t="shared" si="12"/>
        <v>Female</v>
      </c>
      <c r="K174" t="str">
        <f t="shared" si="16"/>
        <v>Denmark</v>
      </c>
      <c r="L174" t="str">
        <f t="shared" si="13"/>
        <v xml:space="preserve">Case 439 is a Imported case, 55 years old female Denmark (Long Term Pass holder)  and has been to Denmark . She is currently admitted at NCID . </v>
      </c>
      <c r="M174">
        <f t="shared" si="14"/>
        <v>439</v>
      </c>
      <c r="N174" t="str">
        <f t="shared" si="15"/>
        <v xml:space="preserve">Denmark </v>
      </c>
    </row>
    <row r="175" spans="1:14" x14ac:dyDescent="0.3">
      <c r="A175">
        <v>440</v>
      </c>
      <c r="B175" s="23">
        <v>43911</v>
      </c>
      <c r="C175" t="s">
        <v>1071</v>
      </c>
      <c r="D175">
        <v>55</v>
      </c>
      <c r="E175" t="s">
        <v>1059</v>
      </c>
      <c r="F175" t="s">
        <v>1060</v>
      </c>
      <c r="G175" t="s">
        <v>1063</v>
      </c>
      <c r="H175" t="s">
        <v>77</v>
      </c>
      <c r="J175" t="str">
        <f t="shared" si="12"/>
        <v>Male</v>
      </c>
      <c r="K175" t="str">
        <f t="shared" si="16"/>
        <v>Singaporean</v>
      </c>
      <c r="L175" t="str">
        <f t="shared" si="13"/>
        <v xml:space="preserve">Case 440 is a Imported case, 55 years old male Singapore Citizen  and has been to UK . He is currently admitted at NCID . </v>
      </c>
      <c r="M175">
        <f t="shared" si="14"/>
        <v>440</v>
      </c>
      <c r="N175" t="str">
        <f t="shared" si="15"/>
        <v xml:space="preserve">UK </v>
      </c>
    </row>
    <row r="176" spans="1:14" x14ac:dyDescent="0.3">
      <c r="A176">
        <v>441</v>
      </c>
      <c r="B176" s="23">
        <v>43911</v>
      </c>
      <c r="C176" t="s">
        <v>1071</v>
      </c>
      <c r="D176">
        <v>57</v>
      </c>
      <c r="E176" t="s">
        <v>1073</v>
      </c>
      <c r="F176" t="s">
        <v>1060</v>
      </c>
      <c r="G176" t="s">
        <v>1189</v>
      </c>
      <c r="H176" t="s">
        <v>1069</v>
      </c>
      <c r="I176" t="s">
        <v>1190</v>
      </c>
      <c r="J176" t="str">
        <f t="shared" si="12"/>
        <v>Female</v>
      </c>
      <c r="K176" t="str">
        <f t="shared" si="16"/>
        <v>Singaporean</v>
      </c>
      <c r="L176" t="str">
        <f t="shared" si="13"/>
        <v>Case 441 is a Imported  case, 57 years old female Singapore Citizen  and has been to US, Mexico . She is currently admitted at NCID . Family member of Case 308; Contact of Case 277</v>
      </c>
      <c r="M176">
        <f t="shared" si="14"/>
        <v>441</v>
      </c>
      <c r="N176" t="str">
        <f t="shared" si="15"/>
        <v xml:space="preserve">US, Mexico </v>
      </c>
    </row>
    <row r="177" spans="1:16" x14ac:dyDescent="0.3">
      <c r="A177">
        <v>442</v>
      </c>
      <c r="B177" s="23">
        <v>43911</v>
      </c>
      <c r="C177" t="s">
        <v>1071</v>
      </c>
      <c r="D177">
        <v>48</v>
      </c>
      <c r="E177" t="s">
        <v>1073</v>
      </c>
      <c r="F177" t="s">
        <v>1060</v>
      </c>
      <c r="H177" t="s">
        <v>1086</v>
      </c>
      <c r="I177" t="s">
        <v>1191</v>
      </c>
      <c r="J177" t="str">
        <f t="shared" si="12"/>
        <v>Female</v>
      </c>
      <c r="K177" t="str">
        <f t="shared" si="16"/>
        <v>Singaporean</v>
      </c>
      <c r="L177" t="str">
        <f t="shared" si="13"/>
        <v>Case 442 is a Local linked  case, 48 years old female Singapore Citizen  and has not been overseas. She is currently admitted at NCID . Family member of Case 398</v>
      </c>
      <c r="M177" t="str">
        <f t="shared" si="14"/>
        <v/>
      </c>
      <c r="N177" t="str">
        <f t="shared" si="15"/>
        <v/>
      </c>
    </row>
    <row r="178" spans="1:16" x14ac:dyDescent="0.3">
      <c r="A178">
        <v>443</v>
      </c>
      <c r="B178" s="23">
        <v>43911</v>
      </c>
      <c r="C178" t="s">
        <v>343</v>
      </c>
      <c r="D178">
        <v>29</v>
      </c>
      <c r="E178" t="s">
        <v>1059</v>
      </c>
      <c r="F178" t="s">
        <v>1060</v>
      </c>
      <c r="H178" t="s">
        <v>1086</v>
      </c>
      <c r="I178" t="s">
        <v>733</v>
      </c>
      <c r="J178" t="str">
        <f t="shared" si="12"/>
        <v>Male</v>
      </c>
      <c r="K178" t="str">
        <f t="shared" si="16"/>
        <v>Singaporean</v>
      </c>
      <c r="L178" t="str">
        <f t="shared" si="13"/>
        <v>Case 443 is a Local linked  case, 29 years old male Singapore Citizen  and has not been overseas. He is currently admitted at NUH . boulder+ Gym</v>
      </c>
      <c r="M178" t="str">
        <f t="shared" si="14"/>
        <v/>
      </c>
      <c r="N178" t="str">
        <f t="shared" si="15"/>
        <v/>
      </c>
    </row>
    <row r="179" spans="1:16" x14ac:dyDescent="0.3">
      <c r="A179">
        <v>444</v>
      </c>
      <c r="B179" s="23">
        <v>43911</v>
      </c>
      <c r="C179" t="s">
        <v>1071</v>
      </c>
      <c r="D179">
        <v>44</v>
      </c>
      <c r="E179" t="s">
        <v>1059</v>
      </c>
      <c r="F179" t="s">
        <v>1060</v>
      </c>
      <c r="H179" t="s">
        <v>77</v>
      </c>
      <c r="J179" t="str">
        <f t="shared" si="12"/>
        <v>Male</v>
      </c>
      <c r="K179" t="str">
        <f t="shared" si="16"/>
        <v>Singaporean</v>
      </c>
      <c r="L179" t="str">
        <f t="shared" si="13"/>
        <v xml:space="preserve">Case 444 is a Imported case, 44 years old male Singapore Citizen  and has not been overseas. He is currently admitted at NCID . </v>
      </c>
      <c r="M179" t="str">
        <f t="shared" si="14"/>
        <v/>
      </c>
      <c r="N179" t="str">
        <f t="shared" si="15"/>
        <v/>
      </c>
    </row>
    <row r="180" spans="1:16" x14ac:dyDescent="0.3">
      <c r="A180">
        <v>445</v>
      </c>
      <c r="B180" s="23">
        <v>43911</v>
      </c>
      <c r="C180" t="s">
        <v>1071</v>
      </c>
      <c r="D180">
        <v>21</v>
      </c>
      <c r="E180" t="s">
        <v>1059</v>
      </c>
      <c r="F180" t="s">
        <v>1060</v>
      </c>
      <c r="G180" t="s">
        <v>1063</v>
      </c>
      <c r="H180" t="s">
        <v>77</v>
      </c>
      <c r="J180" t="str">
        <f t="shared" si="12"/>
        <v>Male</v>
      </c>
      <c r="K180" t="str">
        <f t="shared" si="16"/>
        <v>Singaporean</v>
      </c>
      <c r="L180" t="str">
        <f t="shared" si="13"/>
        <v xml:space="preserve">Case 445 is a Imported case, 21 years old male Singapore Citizen  and has been to UK . He is currently admitted at NCID . </v>
      </c>
      <c r="M180">
        <f t="shared" si="14"/>
        <v>445</v>
      </c>
      <c r="N180" t="str">
        <f t="shared" si="15"/>
        <v xml:space="preserve">UK </v>
      </c>
    </row>
    <row r="181" spans="1:16" x14ac:dyDescent="0.3">
      <c r="A181">
        <v>446</v>
      </c>
      <c r="B181" s="23">
        <v>43911</v>
      </c>
      <c r="C181" t="s">
        <v>1071</v>
      </c>
      <c r="D181">
        <v>26</v>
      </c>
      <c r="E181" t="s">
        <v>1073</v>
      </c>
      <c r="F181" t="s">
        <v>1173</v>
      </c>
      <c r="G181" t="s">
        <v>1063</v>
      </c>
      <c r="H181" t="s">
        <v>1069</v>
      </c>
      <c r="I181" t="s">
        <v>1192</v>
      </c>
      <c r="J181" t="str">
        <f t="shared" si="12"/>
        <v>Female</v>
      </c>
      <c r="K181" t="str">
        <f t="shared" si="16"/>
        <v>Indonesia</v>
      </c>
      <c r="L181" t="str">
        <f t="shared" si="13"/>
        <v>Case 446 is a Imported  case, 26 years old female Indonesia (Long Term Pass holder)  and has been to UK . She is currently admitted at NCID . Contact of Case 378</v>
      </c>
      <c r="M181">
        <f t="shared" si="14"/>
        <v>446</v>
      </c>
      <c r="N181" t="str">
        <f t="shared" si="15"/>
        <v xml:space="preserve">UK </v>
      </c>
      <c r="O181">
        <f t="shared" ref="O181:O243" si="17">IF(I181="","",A181)</f>
        <v>446</v>
      </c>
      <c r="P181" t="str">
        <f t="shared" ref="P181:P243" si="18">IF(I181="","",I181)</f>
        <v>Contact of Case 378</v>
      </c>
    </row>
    <row r="182" spans="1:16" x14ac:dyDescent="0.3">
      <c r="A182">
        <v>447</v>
      </c>
      <c r="B182" s="23">
        <v>43911</v>
      </c>
      <c r="C182" t="s">
        <v>1071</v>
      </c>
      <c r="D182">
        <v>32</v>
      </c>
      <c r="E182" t="s">
        <v>1073</v>
      </c>
      <c r="F182" t="s">
        <v>1060</v>
      </c>
      <c r="G182" t="s">
        <v>1063</v>
      </c>
      <c r="H182" t="s">
        <v>77</v>
      </c>
      <c r="J182" t="str">
        <f t="shared" si="12"/>
        <v>Female</v>
      </c>
      <c r="K182" t="str">
        <f t="shared" si="16"/>
        <v>Singaporean</v>
      </c>
      <c r="L182" t="str">
        <f t="shared" si="13"/>
        <v xml:space="preserve">Case 447 is a Imported case, 32 years old female Singapore Citizen  and has been to UK . She is currently admitted at NCID . </v>
      </c>
      <c r="M182">
        <f t="shared" si="14"/>
        <v>447</v>
      </c>
      <c r="N182" t="str">
        <f t="shared" si="15"/>
        <v xml:space="preserve">UK </v>
      </c>
      <c r="O182" t="str">
        <f t="shared" si="17"/>
        <v/>
      </c>
      <c r="P182" t="str">
        <f t="shared" si="18"/>
        <v/>
      </c>
    </row>
    <row r="183" spans="1:16" x14ac:dyDescent="0.3">
      <c r="A183">
        <v>448</v>
      </c>
      <c r="B183" s="23">
        <v>43911</v>
      </c>
      <c r="C183" t="s">
        <v>1071</v>
      </c>
      <c r="D183">
        <v>21</v>
      </c>
      <c r="E183" t="s">
        <v>1059</v>
      </c>
      <c r="F183" t="s">
        <v>1060</v>
      </c>
      <c r="G183" t="s">
        <v>1063</v>
      </c>
      <c r="H183" t="s">
        <v>77</v>
      </c>
      <c r="J183" t="str">
        <f t="shared" si="12"/>
        <v>Male</v>
      </c>
      <c r="K183" t="str">
        <f t="shared" si="16"/>
        <v>Singaporean</v>
      </c>
      <c r="L183" t="str">
        <f t="shared" si="13"/>
        <v xml:space="preserve">Case 448 is a Imported case, 21 years old male Singapore Citizen  and has been to UK . He is currently admitted at NCID . </v>
      </c>
      <c r="M183">
        <f t="shared" si="14"/>
        <v>448</v>
      </c>
      <c r="N183" t="str">
        <f t="shared" si="15"/>
        <v xml:space="preserve">UK </v>
      </c>
      <c r="O183" t="str">
        <f t="shared" si="17"/>
        <v/>
      </c>
      <c r="P183" t="str">
        <f t="shared" si="18"/>
        <v/>
      </c>
    </row>
    <row r="184" spans="1:16" x14ac:dyDescent="0.3">
      <c r="A184">
        <v>449</v>
      </c>
      <c r="B184" s="23">
        <v>43911</v>
      </c>
      <c r="C184" t="s">
        <v>1071</v>
      </c>
      <c r="D184">
        <v>21</v>
      </c>
      <c r="E184" t="s">
        <v>1059</v>
      </c>
      <c r="F184" t="s">
        <v>1060</v>
      </c>
      <c r="G184" t="s">
        <v>1063</v>
      </c>
      <c r="H184" t="s">
        <v>77</v>
      </c>
      <c r="J184" t="str">
        <f t="shared" si="12"/>
        <v>Male</v>
      </c>
      <c r="K184" t="str">
        <f t="shared" si="16"/>
        <v>Singaporean</v>
      </c>
      <c r="L184" t="str">
        <f t="shared" si="13"/>
        <v xml:space="preserve">Case 449 is a Imported case, 21 years old male Singapore Citizen  and has been to UK . He is currently admitted at NCID . </v>
      </c>
      <c r="M184">
        <f t="shared" si="14"/>
        <v>449</v>
      </c>
      <c r="N184" t="str">
        <f t="shared" si="15"/>
        <v xml:space="preserve">UK </v>
      </c>
      <c r="O184" t="str">
        <f t="shared" si="17"/>
        <v/>
      </c>
      <c r="P184" t="str">
        <f t="shared" si="18"/>
        <v/>
      </c>
    </row>
    <row r="185" spans="1:16" x14ac:dyDescent="0.3">
      <c r="A185">
        <v>450</v>
      </c>
      <c r="B185" s="23">
        <v>43911</v>
      </c>
      <c r="C185" t="s">
        <v>1071</v>
      </c>
      <c r="D185">
        <v>44</v>
      </c>
      <c r="E185" t="s">
        <v>1059</v>
      </c>
      <c r="F185" t="s">
        <v>1060</v>
      </c>
      <c r="H185" t="s">
        <v>1061</v>
      </c>
      <c r="J185" t="str">
        <f t="shared" si="12"/>
        <v>Male</v>
      </c>
      <c r="K185" t="str">
        <f t="shared" si="16"/>
        <v>Singaporean</v>
      </c>
      <c r="L185" t="str">
        <f t="shared" si="13"/>
        <v xml:space="preserve">Case 450 is a Local unlinked case, 44 years old male Singapore Citizen  and has not been overseas. He is currently admitted at NCID . </v>
      </c>
      <c r="M185" t="str">
        <f t="shared" si="14"/>
        <v/>
      </c>
      <c r="N185" t="str">
        <f t="shared" si="15"/>
        <v/>
      </c>
      <c r="O185" t="str">
        <f t="shared" si="17"/>
        <v/>
      </c>
      <c r="P185" t="str">
        <f t="shared" si="18"/>
        <v/>
      </c>
    </row>
    <row r="186" spans="1:16" x14ac:dyDescent="0.3">
      <c r="A186">
        <v>451</v>
      </c>
      <c r="B186" s="23">
        <v>43912</v>
      </c>
      <c r="C186" t="s">
        <v>1071</v>
      </c>
      <c r="D186">
        <v>62</v>
      </c>
      <c r="E186" t="s">
        <v>1059</v>
      </c>
      <c r="F186" t="s">
        <v>1060</v>
      </c>
      <c r="H186" t="s">
        <v>1086</v>
      </c>
      <c r="I186" t="s">
        <v>1193</v>
      </c>
      <c r="J186" t="str">
        <f t="shared" si="12"/>
        <v>Male</v>
      </c>
      <c r="K186" t="str">
        <f t="shared" si="16"/>
        <v>Singaporean</v>
      </c>
      <c r="L186" t="str">
        <f t="shared" si="13"/>
        <v>Case 451 is a Local linked  case, 62 years old male Singapore Citizen  and has not been overseas. He is currently admitted at NCID . Contact of Case 404</v>
      </c>
      <c r="M186" t="str">
        <f t="shared" si="14"/>
        <v/>
      </c>
      <c r="N186" t="str">
        <f t="shared" si="15"/>
        <v/>
      </c>
      <c r="O186">
        <f t="shared" si="17"/>
        <v>451</v>
      </c>
      <c r="P186" t="str">
        <f t="shared" si="18"/>
        <v>Contact of Case 404</v>
      </c>
    </row>
    <row r="187" spans="1:16" x14ac:dyDescent="0.3">
      <c r="A187">
        <v>452</v>
      </c>
      <c r="B187" s="23">
        <v>43912</v>
      </c>
      <c r="C187" t="s">
        <v>1071</v>
      </c>
      <c r="D187">
        <v>22</v>
      </c>
      <c r="E187" t="s">
        <v>1073</v>
      </c>
      <c r="F187" t="s">
        <v>1072</v>
      </c>
      <c r="G187" t="s">
        <v>1063</v>
      </c>
      <c r="H187" t="s">
        <v>77</v>
      </c>
      <c r="J187" t="str">
        <f t="shared" si="12"/>
        <v>Female</v>
      </c>
      <c r="K187" t="str">
        <f t="shared" si="16"/>
        <v>Singaporean</v>
      </c>
      <c r="L187" t="str">
        <f t="shared" si="13"/>
        <v xml:space="preserve">Case 452 is a Imported case, 22 years old female Singapore Permanent Resident  and has been to UK . She is currently admitted at NCID . </v>
      </c>
      <c r="M187">
        <f t="shared" si="14"/>
        <v>452</v>
      </c>
      <c r="N187" t="str">
        <f t="shared" si="15"/>
        <v xml:space="preserve">UK </v>
      </c>
      <c r="O187" t="str">
        <f t="shared" si="17"/>
        <v/>
      </c>
      <c r="P187" t="str">
        <f t="shared" si="18"/>
        <v/>
      </c>
    </row>
    <row r="188" spans="1:16" x14ac:dyDescent="0.3">
      <c r="A188">
        <v>453</v>
      </c>
      <c r="B188" s="23">
        <v>43912</v>
      </c>
      <c r="C188" t="s">
        <v>1071</v>
      </c>
      <c r="D188">
        <v>41</v>
      </c>
      <c r="E188" t="s">
        <v>1059</v>
      </c>
      <c r="F188" t="s">
        <v>1194</v>
      </c>
      <c r="G188" t="s">
        <v>1063</v>
      </c>
      <c r="H188" t="s">
        <v>77</v>
      </c>
      <c r="J188" t="str">
        <f t="shared" si="12"/>
        <v>Male</v>
      </c>
      <c r="K188" t="str">
        <f t="shared" si="16"/>
        <v>India</v>
      </c>
      <c r="L188" t="str">
        <f t="shared" si="13"/>
        <v xml:space="preserve">Case 453 is a Imported case, 41 years old male India (Long Term Pass holder)  and has been to UK . He is currently admitted at NCID . </v>
      </c>
      <c r="M188">
        <f t="shared" si="14"/>
        <v>453</v>
      </c>
      <c r="N188" t="str">
        <f t="shared" si="15"/>
        <v xml:space="preserve">UK </v>
      </c>
      <c r="O188" t="str">
        <f t="shared" si="17"/>
        <v/>
      </c>
      <c r="P188" t="str">
        <f t="shared" si="18"/>
        <v/>
      </c>
    </row>
    <row r="189" spans="1:16" x14ac:dyDescent="0.3">
      <c r="A189">
        <v>454</v>
      </c>
      <c r="B189" s="23">
        <v>43912</v>
      </c>
      <c r="C189" t="s">
        <v>1071</v>
      </c>
      <c r="D189">
        <v>47</v>
      </c>
      <c r="E189" t="s">
        <v>1073</v>
      </c>
      <c r="F189" t="s">
        <v>1060</v>
      </c>
      <c r="G189" t="s">
        <v>1085</v>
      </c>
      <c r="H189" t="s">
        <v>77</v>
      </c>
      <c r="J189" t="str">
        <f t="shared" si="12"/>
        <v>Female</v>
      </c>
      <c r="K189" t="str">
        <f t="shared" si="16"/>
        <v>Singaporean</v>
      </c>
      <c r="L189" t="str">
        <f t="shared" si="13"/>
        <v xml:space="preserve">Case 454 is a Imported case, 47 years old female Singapore Citizen  and has been to US . She is currently admitted at NCID . </v>
      </c>
      <c r="M189">
        <f t="shared" si="14"/>
        <v>454</v>
      </c>
      <c r="N189" t="str">
        <f t="shared" si="15"/>
        <v xml:space="preserve">US </v>
      </c>
      <c r="O189" t="str">
        <f t="shared" si="17"/>
        <v/>
      </c>
      <c r="P189" t="str">
        <f t="shared" si="18"/>
        <v/>
      </c>
    </row>
    <row r="190" spans="1:16" x14ac:dyDescent="0.3">
      <c r="A190">
        <v>455</v>
      </c>
      <c r="B190" s="23">
        <v>43912</v>
      </c>
      <c r="C190" t="s">
        <v>1071</v>
      </c>
      <c r="D190">
        <v>29</v>
      </c>
      <c r="E190" t="s">
        <v>1059</v>
      </c>
      <c r="F190" t="s">
        <v>1060</v>
      </c>
      <c r="G190" t="s">
        <v>1063</v>
      </c>
      <c r="H190" t="s">
        <v>77</v>
      </c>
      <c r="J190" t="str">
        <f t="shared" ref="J190:J244" si="19">IF(TRIM(E190)="M","Male",IF(TRIM(E190)="F","Female",""))</f>
        <v>Male</v>
      </c>
      <c r="K190" t="str">
        <f t="shared" ref="K190:K244" si="20">IF(LEFT(F190,9)="Singapore","Singaporean",IF(ISERR(FIND("(",F190)),F190,LEFT(F190,FIND("(",F190)-2)))</f>
        <v>Singaporean</v>
      </c>
      <c r="L190" t="str">
        <f t="shared" ref="L190:L244" si="21">"Case "&amp;A190&amp;" is a "&amp;H190&amp;" case, "&amp;D190&amp;" years old "&amp;LOWER(J190)&amp;" "&amp;F190 &amp;IF(G190=""," and has not been overseas"," and has been to "&amp;G190)&amp;". "&amp;IF(TRIM(E190)="F","She",IF(TRIM(E190)="M","He"))&amp;" is currently admitted at "&amp;C190&amp;". "&amp;I190</f>
        <v xml:space="preserve">Case 455 is a Imported case, 29 years old male Singapore Citizen  and has been to UK . He is currently admitted at NCID . </v>
      </c>
      <c r="M190">
        <f t="shared" ref="M190:M244" si="22">IF(G190="","",A190)</f>
        <v>455</v>
      </c>
      <c r="N190" t="str">
        <f t="shared" ref="N190:P244" si="23">IF(G190="","",G190)</f>
        <v xml:space="preserve">UK </v>
      </c>
      <c r="O190" t="str">
        <f t="shared" si="17"/>
        <v/>
      </c>
      <c r="P190" t="str">
        <f t="shared" si="18"/>
        <v/>
      </c>
    </row>
    <row r="191" spans="1:16" x14ac:dyDescent="0.3">
      <c r="A191">
        <v>456</v>
      </c>
      <c r="B191" s="23">
        <v>43912</v>
      </c>
      <c r="C191" t="s">
        <v>1064</v>
      </c>
      <c r="D191">
        <v>24</v>
      </c>
      <c r="E191" t="s">
        <v>1059</v>
      </c>
      <c r="F191" t="s">
        <v>1060</v>
      </c>
      <c r="G191" t="s">
        <v>1063</v>
      </c>
      <c r="H191" t="s">
        <v>77</v>
      </c>
      <c r="J191" t="str">
        <f t="shared" si="19"/>
        <v>Male</v>
      </c>
      <c r="K191" t="str">
        <f t="shared" si="20"/>
        <v>Singaporean</v>
      </c>
      <c r="L191" t="str">
        <f t="shared" si="21"/>
        <v xml:space="preserve">Case 456 is a Imported case, 24 years old male Singapore Citizen  and has been to UK . He is currently admitted at CGH . </v>
      </c>
      <c r="M191">
        <f t="shared" si="22"/>
        <v>456</v>
      </c>
      <c r="N191" t="str">
        <f t="shared" si="23"/>
        <v xml:space="preserve">UK </v>
      </c>
      <c r="O191" t="str">
        <f t="shared" si="17"/>
        <v/>
      </c>
      <c r="P191" t="str">
        <f t="shared" si="18"/>
        <v/>
      </c>
    </row>
    <row r="192" spans="1:16" x14ac:dyDescent="0.3">
      <c r="A192">
        <v>457</v>
      </c>
      <c r="B192" s="23">
        <v>43912</v>
      </c>
      <c r="C192" t="s">
        <v>1064</v>
      </c>
      <c r="D192">
        <v>40</v>
      </c>
      <c r="E192" t="s">
        <v>1059</v>
      </c>
      <c r="F192" t="s">
        <v>1206</v>
      </c>
      <c r="H192" t="s">
        <v>1061</v>
      </c>
      <c r="J192" t="str">
        <f t="shared" si="19"/>
        <v>Male</v>
      </c>
      <c r="K192" t="str">
        <f t="shared" si="20"/>
        <v>Myanmar</v>
      </c>
      <c r="L192" t="str">
        <f t="shared" si="21"/>
        <v xml:space="preserve">Case 457 is a Local unlinked case, 40 years old male Myanmar (Singapore Work Pass holder)  and has not been overseas. He is currently admitted at CGH . </v>
      </c>
      <c r="M192" t="str">
        <f t="shared" si="22"/>
        <v/>
      </c>
      <c r="N192" t="str">
        <f t="shared" si="23"/>
        <v/>
      </c>
      <c r="O192" t="str">
        <f t="shared" si="17"/>
        <v/>
      </c>
      <c r="P192" t="str">
        <f t="shared" si="18"/>
        <v/>
      </c>
    </row>
    <row r="193" spans="1:16" x14ac:dyDescent="0.3">
      <c r="A193">
        <v>458</v>
      </c>
      <c r="B193" s="23">
        <v>43912</v>
      </c>
      <c r="C193" t="s">
        <v>1071</v>
      </c>
      <c r="D193">
        <v>20</v>
      </c>
      <c r="E193" t="s">
        <v>1073</v>
      </c>
      <c r="F193" t="s">
        <v>1060</v>
      </c>
      <c r="G193" t="s">
        <v>1063</v>
      </c>
      <c r="H193" t="s">
        <v>77</v>
      </c>
      <c r="J193" t="str">
        <f t="shared" si="19"/>
        <v>Female</v>
      </c>
      <c r="K193" t="str">
        <f t="shared" si="20"/>
        <v>Singaporean</v>
      </c>
      <c r="L193" t="str">
        <f t="shared" si="21"/>
        <v xml:space="preserve">Case 458 is a Imported case, 20 years old female Singapore Citizen  and has been to UK . She is currently admitted at NCID . </v>
      </c>
      <c r="M193">
        <f t="shared" si="22"/>
        <v>458</v>
      </c>
      <c r="N193" t="str">
        <f t="shared" si="23"/>
        <v xml:space="preserve">UK </v>
      </c>
      <c r="O193" t="str">
        <f t="shared" si="17"/>
        <v/>
      </c>
      <c r="P193" t="str">
        <f t="shared" si="18"/>
        <v/>
      </c>
    </row>
    <row r="194" spans="1:16" x14ac:dyDescent="0.3">
      <c r="A194">
        <v>459</v>
      </c>
      <c r="B194" s="23">
        <v>43912</v>
      </c>
      <c r="C194" t="s">
        <v>1074</v>
      </c>
      <c r="D194">
        <v>67</v>
      </c>
      <c r="E194" t="s">
        <v>1059</v>
      </c>
      <c r="F194" t="s">
        <v>1060</v>
      </c>
      <c r="H194" t="s">
        <v>1061</v>
      </c>
      <c r="J194" t="str">
        <f t="shared" si="19"/>
        <v>Male</v>
      </c>
      <c r="K194" t="str">
        <f t="shared" si="20"/>
        <v>Singaporean</v>
      </c>
      <c r="L194" t="str">
        <f t="shared" si="21"/>
        <v xml:space="preserve">Case 459 is a Local unlinked case, 67 years old male Singapore Citizen  and has not been overseas. He is currently admitted at AH . </v>
      </c>
      <c r="M194" t="str">
        <f t="shared" si="22"/>
        <v/>
      </c>
      <c r="N194" t="str">
        <f t="shared" si="23"/>
        <v/>
      </c>
      <c r="O194" t="str">
        <f t="shared" si="17"/>
        <v/>
      </c>
      <c r="P194" t="str">
        <f t="shared" si="18"/>
        <v/>
      </c>
    </row>
    <row r="195" spans="1:16" x14ac:dyDescent="0.3">
      <c r="A195">
        <v>460</v>
      </c>
      <c r="B195" s="23">
        <v>43912</v>
      </c>
      <c r="C195" t="s">
        <v>343</v>
      </c>
      <c r="D195">
        <v>23</v>
      </c>
      <c r="E195" t="s">
        <v>1073</v>
      </c>
      <c r="F195" t="s">
        <v>1207</v>
      </c>
      <c r="G195" t="s">
        <v>1063</v>
      </c>
      <c r="H195" t="s">
        <v>77</v>
      </c>
      <c r="J195" t="str">
        <f t="shared" si="19"/>
        <v>Female</v>
      </c>
      <c r="K195" t="str">
        <f t="shared" si="20"/>
        <v xml:space="preserve">New Zealand </v>
      </c>
      <c r="L195" t="str">
        <f t="shared" si="21"/>
        <v xml:space="preserve">Case 460 is a Imported case, 23 years old female New Zealand  and has been to UK . She is currently admitted at NUH . </v>
      </c>
      <c r="M195">
        <f t="shared" si="22"/>
        <v>460</v>
      </c>
      <c r="N195" t="str">
        <f t="shared" si="23"/>
        <v xml:space="preserve">UK </v>
      </c>
      <c r="O195" t="str">
        <f t="shared" si="17"/>
        <v/>
      </c>
      <c r="P195" t="str">
        <f t="shared" si="18"/>
        <v/>
      </c>
    </row>
    <row r="196" spans="1:16" x14ac:dyDescent="0.3">
      <c r="A196">
        <v>461</v>
      </c>
      <c r="B196" s="23">
        <v>43912</v>
      </c>
      <c r="C196" t="s">
        <v>343</v>
      </c>
      <c r="D196">
        <v>49</v>
      </c>
      <c r="E196" t="s">
        <v>1073</v>
      </c>
      <c r="F196" t="s">
        <v>1060</v>
      </c>
      <c r="G196" t="s">
        <v>360</v>
      </c>
      <c r="H196" t="s">
        <v>77</v>
      </c>
      <c r="J196" t="str">
        <f t="shared" si="19"/>
        <v>Female</v>
      </c>
      <c r="K196" t="str">
        <f t="shared" si="20"/>
        <v>Singaporean</v>
      </c>
      <c r="L196" t="str">
        <f t="shared" si="21"/>
        <v xml:space="preserve">Case 461 is a Imported case, 49 years old female Singapore Citizen  and has been to Malaysia . She is currently admitted at NUH . </v>
      </c>
      <c r="M196">
        <f t="shared" si="22"/>
        <v>461</v>
      </c>
      <c r="N196" t="str">
        <f t="shared" si="23"/>
        <v xml:space="preserve">Malaysia </v>
      </c>
      <c r="O196" t="str">
        <f t="shared" si="17"/>
        <v/>
      </c>
      <c r="P196" t="str">
        <f t="shared" si="18"/>
        <v/>
      </c>
    </row>
    <row r="197" spans="1:16" x14ac:dyDescent="0.3">
      <c r="A197">
        <v>462</v>
      </c>
      <c r="B197" s="23">
        <v>43912</v>
      </c>
      <c r="C197" t="s">
        <v>1064</v>
      </c>
      <c r="D197">
        <v>20</v>
      </c>
      <c r="E197" t="s">
        <v>1073</v>
      </c>
      <c r="F197" t="s">
        <v>1060</v>
      </c>
      <c r="G197" t="s">
        <v>1063</v>
      </c>
      <c r="H197" t="s">
        <v>77</v>
      </c>
      <c r="J197" t="str">
        <f t="shared" si="19"/>
        <v>Female</v>
      </c>
      <c r="K197" t="str">
        <f t="shared" si="20"/>
        <v>Singaporean</v>
      </c>
      <c r="L197" t="str">
        <f t="shared" si="21"/>
        <v xml:space="preserve">Case 462 is a Imported case, 20 years old female Singapore Citizen  and has been to UK . She is currently admitted at CGH . </v>
      </c>
      <c r="M197">
        <f t="shared" si="22"/>
        <v>462</v>
      </c>
      <c r="N197" t="str">
        <f t="shared" si="23"/>
        <v xml:space="preserve">UK </v>
      </c>
      <c r="O197" t="str">
        <f t="shared" si="17"/>
        <v/>
      </c>
      <c r="P197" t="str">
        <f t="shared" si="18"/>
        <v/>
      </c>
    </row>
    <row r="198" spans="1:16" x14ac:dyDescent="0.3">
      <c r="A198">
        <v>463</v>
      </c>
      <c r="B198" s="23">
        <v>43912</v>
      </c>
      <c r="C198" t="s">
        <v>1062</v>
      </c>
      <c r="D198">
        <v>64</v>
      </c>
      <c r="E198" t="s">
        <v>1059</v>
      </c>
      <c r="F198" t="s">
        <v>1060</v>
      </c>
      <c r="G198" t="s">
        <v>1208</v>
      </c>
      <c r="H198" t="s">
        <v>77</v>
      </c>
      <c r="J198" t="str">
        <f t="shared" si="19"/>
        <v>Male</v>
      </c>
      <c r="K198" t="str">
        <f t="shared" si="20"/>
        <v>Singaporean</v>
      </c>
      <c r="L198" t="str">
        <f t="shared" si="21"/>
        <v xml:space="preserve">Case 463 is a Imported case, 64 years old male Singapore Citizen  and has been to Malaysia, Indonesia . He is currently admitted at NTFGH . </v>
      </c>
      <c r="M198">
        <f t="shared" si="22"/>
        <v>463</v>
      </c>
      <c r="N198" t="str">
        <f t="shared" si="23"/>
        <v xml:space="preserve">Malaysia, Indonesia </v>
      </c>
      <c r="O198" t="str">
        <f t="shared" si="17"/>
        <v/>
      </c>
      <c r="P198" t="str">
        <f t="shared" si="18"/>
        <v/>
      </c>
    </row>
    <row r="199" spans="1:16" x14ac:dyDescent="0.3">
      <c r="A199">
        <v>464</v>
      </c>
      <c r="B199" s="23">
        <v>43912</v>
      </c>
      <c r="C199" t="s">
        <v>1062</v>
      </c>
      <c r="D199">
        <v>23</v>
      </c>
      <c r="E199" t="s">
        <v>1059</v>
      </c>
      <c r="F199" t="s">
        <v>1060</v>
      </c>
      <c r="G199" t="s">
        <v>1063</v>
      </c>
      <c r="H199" t="s">
        <v>77</v>
      </c>
      <c r="J199" t="str">
        <f t="shared" si="19"/>
        <v>Male</v>
      </c>
      <c r="K199" t="str">
        <f t="shared" si="20"/>
        <v>Singaporean</v>
      </c>
      <c r="L199" t="str">
        <f t="shared" si="21"/>
        <v xml:space="preserve">Case 464 is a Imported case, 23 years old male Singapore Citizen  and has been to UK . He is currently admitted at NTFGH . </v>
      </c>
      <c r="M199">
        <f t="shared" si="22"/>
        <v>464</v>
      </c>
      <c r="N199" t="str">
        <f t="shared" si="23"/>
        <v xml:space="preserve">UK </v>
      </c>
      <c r="O199" t="str">
        <f t="shared" si="17"/>
        <v/>
      </c>
      <c r="P199" t="str">
        <f t="shared" si="18"/>
        <v/>
      </c>
    </row>
    <row r="200" spans="1:16" x14ac:dyDescent="0.3">
      <c r="A200">
        <v>465</v>
      </c>
      <c r="B200" s="23">
        <v>43912</v>
      </c>
      <c r="C200" t="s">
        <v>1071</v>
      </c>
      <c r="D200">
        <v>41</v>
      </c>
      <c r="E200" t="s">
        <v>1059</v>
      </c>
      <c r="F200" t="s">
        <v>1060</v>
      </c>
      <c r="G200" t="s">
        <v>1063</v>
      </c>
      <c r="H200" t="s">
        <v>77</v>
      </c>
      <c r="J200" t="str">
        <f t="shared" si="19"/>
        <v>Male</v>
      </c>
      <c r="K200" t="str">
        <f t="shared" si="20"/>
        <v>Singaporean</v>
      </c>
      <c r="L200" t="str">
        <f t="shared" si="21"/>
        <v xml:space="preserve">Case 465 is a Imported case, 41 years old male Singapore Citizen  and has been to UK . He is currently admitted at NCID . </v>
      </c>
      <c r="M200">
        <f t="shared" si="22"/>
        <v>465</v>
      </c>
      <c r="N200" t="str">
        <f t="shared" si="23"/>
        <v xml:space="preserve">UK </v>
      </c>
      <c r="O200" t="str">
        <f t="shared" si="17"/>
        <v/>
      </c>
      <c r="P200" t="str">
        <f t="shared" si="18"/>
        <v/>
      </c>
    </row>
    <row r="201" spans="1:16" x14ac:dyDescent="0.3">
      <c r="A201">
        <v>466</v>
      </c>
      <c r="B201" s="23">
        <v>43912</v>
      </c>
      <c r="C201" t="s">
        <v>1071</v>
      </c>
      <c r="D201">
        <v>55</v>
      </c>
      <c r="E201" t="s">
        <v>1059</v>
      </c>
      <c r="F201" t="s">
        <v>1072</v>
      </c>
      <c r="G201" t="s">
        <v>687</v>
      </c>
      <c r="H201" t="s">
        <v>77</v>
      </c>
      <c r="J201" t="str">
        <f t="shared" si="19"/>
        <v>Male</v>
      </c>
      <c r="K201" t="str">
        <f t="shared" si="20"/>
        <v>Singaporean</v>
      </c>
      <c r="L201" t="str">
        <f t="shared" si="21"/>
        <v xml:space="preserve">Case 466 is a Imported case, 55 years old male Singapore Permanent Resident  and has been to Indonesia . He is currently admitted at NCID . </v>
      </c>
      <c r="M201">
        <f t="shared" si="22"/>
        <v>466</v>
      </c>
      <c r="N201" t="str">
        <f t="shared" si="23"/>
        <v xml:space="preserve">Indonesia </v>
      </c>
      <c r="O201" t="str">
        <f t="shared" si="17"/>
        <v/>
      </c>
      <c r="P201" t="str">
        <f t="shared" si="18"/>
        <v/>
      </c>
    </row>
    <row r="202" spans="1:16" x14ac:dyDescent="0.3">
      <c r="A202">
        <v>467</v>
      </c>
      <c r="B202" s="23">
        <v>43912</v>
      </c>
      <c r="C202" t="s">
        <v>1071</v>
      </c>
      <c r="D202">
        <v>20</v>
      </c>
      <c r="E202" t="s">
        <v>1073</v>
      </c>
      <c r="F202" t="s">
        <v>1060</v>
      </c>
      <c r="G202" t="s">
        <v>1063</v>
      </c>
      <c r="H202" t="s">
        <v>77</v>
      </c>
      <c r="J202" t="str">
        <f t="shared" si="19"/>
        <v>Female</v>
      </c>
      <c r="K202" t="str">
        <f t="shared" si="20"/>
        <v>Singaporean</v>
      </c>
      <c r="L202" t="str">
        <f t="shared" si="21"/>
        <v xml:space="preserve">Case 467 is a Imported case, 20 years old female Singapore Citizen  and has been to UK . She is currently admitted at NCID . </v>
      </c>
      <c r="M202">
        <f t="shared" si="22"/>
        <v>467</v>
      </c>
      <c r="N202" t="str">
        <f t="shared" si="23"/>
        <v xml:space="preserve">UK </v>
      </c>
      <c r="O202" t="str">
        <f t="shared" si="17"/>
        <v/>
      </c>
      <c r="P202" t="str">
        <f t="shared" si="18"/>
        <v/>
      </c>
    </row>
    <row r="203" spans="1:16" x14ac:dyDescent="0.3">
      <c r="A203">
        <v>468</v>
      </c>
      <c r="B203" s="23">
        <v>43912</v>
      </c>
      <c r="C203" t="s">
        <v>1071</v>
      </c>
      <c r="D203">
        <v>28</v>
      </c>
      <c r="E203" t="s">
        <v>1059</v>
      </c>
      <c r="F203" t="s">
        <v>1072</v>
      </c>
      <c r="G203" t="s">
        <v>1063</v>
      </c>
      <c r="H203" t="s">
        <v>77</v>
      </c>
      <c r="J203" t="str">
        <f t="shared" si="19"/>
        <v>Male</v>
      </c>
      <c r="K203" t="str">
        <f t="shared" si="20"/>
        <v>Singaporean</v>
      </c>
      <c r="L203" t="str">
        <f t="shared" si="21"/>
        <v xml:space="preserve">Case 468 is a Imported case, 28 years old male Singapore Permanent Resident  and has been to UK . He is currently admitted at NCID . </v>
      </c>
      <c r="M203">
        <f t="shared" si="22"/>
        <v>468</v>
      </c>
      <c r="N203" t="str">
        <f t="shared" si="23"/>
        <v xml:space="preserve">UK </v>
      </c>
      <c r="O203" t="str">
        <f t="shared" si="17"/>
        <v/>
      </c>
      <c r="P203" t="str">
        <f t="shared" si="18"/>
        <v/>
      </c>
    </row>
    <row r="204" spans="1:16" x14ac:dyDescent="0.3">
      <c r="A204">
        <v>469</v>
      </c>
      <c r="B204" s="23">
        <v>43912</v>
      </c>
      <c r="C204" t="s">
        <v>1071</v>
      </c>
      <c r="D204">
        <v>43</v>
      </c>
      <c r="E204" t="s">
        <v>1059</v>
      </c>
      <c r="F204" t="s">
        <v>1060</v>
      </c>
      <c r="G204" t="s">
        <v>1209</v>
      </c>
      <c r="H204" t="s">
        <v>77</v>
      </c>
      <c r="J204" t="str">
        <f t="shared" si="19"/>
        <v>Male</v>
      </c>
      <c r="K204" t="str">
        <f t="shared" si="20"/>
        <v>Singaporean</v>
      </c>
      <c r="L204" t="str">
        <f t="shared" si="21"/>
        <v xml:space="preserve">Case 469 is a Imported case, 43 years old male Singapore Citizen  and has been to Spain, Malaysia . He is currently admitted at NCID . </v>
      </c>
      <c r="M204">
        <f t="shared" si="22"/>
        <v>469</v>
      </c>
      <c r="N204" t="str">
        <f t="shared" si="23"/>
        <v xml:space="preserve">Spain, Malaysia </v>
      </c>
      <c r="O204" t="str">
        <f t="shared" si="17"/>
        <v/>
      </c>
      <c r="P204" t="str">
        <f t="shared" si="18"/>
        <v/>
      </c>
    </row>
    <row r="205" spans="1:16" x14ac:dyDescent="0.3">
      <c r="A205">
        <v>470</v>
      </c>
      <c r="B205" s="23">
        <v>43912</v>
      </c>
      <c r="C205" t="s">
        <v>1071</v>
      </c>
      <c r="D205">
        <v>24</v>
      </c>
      <c r="E205" t="s">
        <v>1073</v>
      </c>
      <c r="F205" t="s">
        <v>1072</v>
      </c>
      <c r="G205" t="s">
        <v>687</v>
      </c>
      <c r="H205" t="s">
        <v>77</v>
      </c>
      <c r="J205" t="str">
        <f t="shared" si="19"/>
        <v>Female</v>
      </c>
      <c r="K205" t="str">
        <f t="shared" si="20"/>
        <v>Singaporean</v>
      </c>
      <c r="L205" t="str">
        <f t="shared" si="21"/>
        <v xml:space="preserve">Case 470 is a Imported case, 24 years old female Singapore Permanent Resident  and has been to Indonesia . She is currently admitted at NCID . </v>
      </c>
      <c r="M205">
        <f t="shared" si="22"/>
        <v>470</v>
      </c>
      <c r="N205" t="str">
        <f t="shared" si="23"/>
        <v xml:space="preserve">Indonesia </v>
      </c>
      <c r="O205" t="str">
        <f t="shared" si="17"/>
        <v/>
      </c>
      <c r="P205" t="str">
        <f t="shared" si="18"/>
        <v/>
      </c>
    </row>
    <row r="206" spans="1:16" x14ac:dyDescent="0.3">
      <c r="A206">
        <v>471</v>
      </c>
      <c r="B206" s="23">
        <v>43912</v>
      </c>
      <c r="C206" t="s">
        <v>1071</v>
      </c>
      <c r="D206">
        <v>22</v>
      </c>
      <c r="E206" t="s">
        <v>1059</v>
      </c>
      <c r="F206" t="s">
        <v>1060</v>
      </c>
      <c r="G206" t="s">
        <v>1063</v>
      </c>
      <c r="H206" t="s">
        <v>77</v>
      </c>
      <c r="J206" t="str">
        <f t="shared" si="19"/>
        <v>Male</v>
      </c>
      <c r="K206" t="str">
        <f t="shared" si="20"/>
        <v>Singaporean</v>
      </c>
      <c r="L206" t="str">
        <f t="shared" si="21"/>
        <v xml:space="preserve">Case 471 is a Imported case, 22 years old male Singapore Citizen  and has been to UK . He is currently admitted at NCID . </v>
      </c>
      <c r="M206">
        <f t="shared" si="22"/>
        <v>471</v>
      </c>
      <c r="N206" t="str">
        <f t="shared" si="23"/>
        <v xml:space="preserve">UK </v>
      </c>
      <c r="O206" t="str">
        <f t="shared" si="17"/>
        <v/>
      </c>
      <c r="P206" t="str">
        <f t="shared" si="18"/>
        <v/>
      </c>
    </row>
    <row r="207" spans="1:16" x14ac:dyDescent="0.3">
      <c r="A207">
        <v>472</v>
      </c>
      <c r="B207" s="23">
        <v>43912</v>
      </c>
      <c r="C207" t="s">
        <v>1071</v>
      </c>
      <c r="D207">
        <v>19</v>
      </c>
      <c r="E207" t="s">
        <v>1073</v>
      </c>
      <c r="F207" t="s">
        <v>1060</v>
      </c>
      <c r="G207" t="s">
        <v>1063</v>
      </c>
      <c r="H207" t="s">
        <v>77</v>
      </c>
      <c r="J207" t="str">
        <f t="shared" si="19"/>
        <v>Female</v>
      </c>
      <c r="K207" t="str">
        <f t="shared" si="20"/>
        <v>Singaporean</v>
      </c>
      <c r="L207" t="str">
        <f t="shared" si="21"/>
        <v xml:space="preserve">Case 472 is a Imported case, 19 years old female Singapore Citizen  and has been to UK . She is currently admitted at NCID . </v>
      </c>
      <c r="M207">
        <f t="shared" si="22"/>
        <v>472</v>
      </c>
      <c r="N207" t="str">
        <f t="shared" si="23"/>
        <v xml:space="preserve">UK </v>
      </c>
      <c r="O207" t="str">
        <f t="shared" si="17"/>
        <v/>
      </c>
      <c r="P207" t="str">
        <f t="shared" si="18"/>
        <v/>
      </c>
    </row>
    <row r="208" spans="1:16" x14ac:dyDescent="0.3">
      <c r="A208">
        <v>473</v>
      </c>
      <c r="B208" s="23">
        <v>43912</v>
      </c>
      <c r="C208" t="s">
        <v>1071</v>
      </c>
      <c r="D208">
        <v>25</v>
      </c>
      <c r="E208" t="s">
        <v>1059</v>
      </c>
      <c r="F208" t="s">
        <v>1060</v>
      </c>
      <c r="G208" t="s">
        <v>1063</v>
      </c>
      <c r="H208" t="s">
        <v>77</v>
      </c>
      <c r="J208" t="str">
        <f t="shared" si="19"/>
        <v>Male</v>
      </c>
      <c r="K208" t="str">
        <f t="shared" si="20"/>
        <v>Singaporean</v>
      </c>
      <c r="L208" t="str">
        <f t="shared" si="21"/>
        <v xml:space="preserve">Case 473 is a Imported case, 25 years old male Singapore Citizen  and has been to UK . He is currently admitted at NCID . </v>
      </c>
      <c r="M208">
        <f t="shared" si="22"/>
        <v>473</v>
      </c>
      <c r="N208" t="str">
        <f t="shared" si="23"/>
        <v xml:space="preserve">UK </v>
      </c>
      <c r="O208" t="str">
        <f t="shared" si="17"/>
        <v/>
      </c>
      <c r="P208" t="str">
        <f t="shared" si="18"/>
        <v/>
      </c>
    </row>
    <row r="209" spans="1:16" x14ac:dyDescent="0.3">
      <c r="A209">
        <v>474</v>
      </c>
      <c r="B209" s="23">
        <v>43912</v>
      </c>
      <c r="C209" t="s">
        <v>1071</v>
      </c>
      <c r="D209">
        <v>22</v>
      </c>
      <c r="E209" t="s">
        <v>1073</v>
      </c>
      <c r="F209" t="s">
        <v>1060</v>
      </c>
      <c r="G209" t="s">
        <v>1063</v>
      </c>
      <c r="H209" t="s">
        <v>77</v>
      </c>
      <c r="J209" t="str">
        <f t="shared" si="19"/>
        <v>Female</v>
      </c>
      <c r="K209" t="str">
        <f t="shared" si="20"/>
        <v>Singaporean</v>
      </c>
      <c r="L209" t="str">
        <f t="shared" si="21"/>
        <v xml:space="preserve">Case 474 is a Imported case, 22 years old female Singapore Citizen  and has been to UK . She is currently admitted at NCID . </v>
      </c>
      <c r="M209">
        <f t="shared" si="22"/>
        <v>474</v>
      </c>
      <c r="N209" t="str">
        <f t="shared" si="23"/>
        <v xml:space="preserve">UK </v>
      </c>
      <c r="O209" t="str">
        <f t="shared" si="17"/>
        <v/>
      </c>
      <c r="P209" t="str">
        <f t="shared" si="18"/>
        <v/>
      </c>
    </row>
    <row r="210" spans="1:16" x14ac:dyDescent="0.3">
      <c r="A210">
        <v>475</v>
      </c>
      <c r="B210" s="23">
        <v>43912</v>
      </c>
      <c r="C210" t="s">
        <v>1071</v>
      </c>
      <c r="D210">
        <v>22</v>
      </c>
      <c r="E210" t="s">
        <v>1073</v>
      </c>
      <c r="F210" t="s">
        <v>1060</v>
      </c>
      <c r="G210" t="s">
        <v>1167</v>
      </c>
      <c r="H210" t="s">
        <v>1069</v>
      </c>
      <c r="I210" t="s">
        <v>1210</v>
      </c>
      <c r="J210" t="str">
        <f t="shared" si="19"/>
        <v>Female</v>
      </c>
      <c r="K210" t="str">
        <f t="shared" si="20"/>
        <v>Singaporean</v>
      </c>
      <c r="L210" t="str">
        <f t="shared" si="21"/>
        <v>Case 475 is a Imported  case, 22 years old female Singapore Citizen  and has been to Ireland . She is currently admitted at NCID . Contact of Case 423</v>
      </c>
      <c r="M210">
        <f t="shared" si="22"/>
        <v>475</v>
      </c>
      <c r="N210" t="str">
        <f t="shared" si="23"/>
        <v xml:space="preserve">Ireland </v>
      </c>
      <c r="O210">
        <f t="shared" si="17"/>
        <v>475</v>
      </c>
      <c r="P210" t="str">
        <f t="shared" si="18"/>
        <v>Contact of Case 423</v>
      </c>
    </row>
    <row r="211" spans="1:16" x14ac:dyDescent="0.3">
      <c r="A211">
        <v>476</v>
      </c>
      <c r="B211" s="23">
        <v>43912</v>
      </c>
      <c r="C211" t="s">
        <v>1071</v>
      </c>
      <c r="D211">
        <v>68</v>
      </c>
      <c r="E211" t="s">
        <v>1059</v>
      </c>
      <c r="F211" t="s">
        <v>1211</v>
      </c>
      <c r="G211" t="s">
        <v>687</v>
      </c>
      <c r="H211" t="s">
        <v>1069</v>
      </c>
      <c r="J211" t="str">
        <f t="shared" si="19"/>
        <v>Male</v>
      </c>
      <c r="K211" t="str">
        <f t="shared" si="20"/>
        <v>Indonesia</v>
      </c>
      <c r="L211" t="str">
        <f t="shared" si="21"/>
        <v xml:space="preserve">Case 476 is a Imported  case, 68 years old male Indonesia (Singapore Work Pass holder)  and has been to Indonesia . He is currently admitted at NCID . </v>
      </c>
      <c r="M211">
        <f t="shared" si="22"/>
        <v>476</v>
      </c>
      <c r="N211" t="str">
        <f t="shared" si="23"/>
        <v xml:space="preserve">Indonesia </v>
      </c>
      <c r="O211" t="str">
        <f t="shared" si="17"/>
        <v/>
      </c>
      <c r="P211" t="str">
        <f t="shared" si="18"/>
        <v/>
      </c>
    </row>
    <row r="212" spans="1:16" x14ac:dyDescent="0.3">
      <c r="A212">
        <v>477</v>
      </c>
      <c r="B212" s="23">
        <v>43912</v>
      </c>
      <c r="C212" t="s">
        <v>1071</v>
      </c>
      <c r="D212">
        <v>44</v>
      </c>
      <c r="E212" t="s">
        <v>1059</v>
      </c>
      <c r="F212" t="s">
        <v>1166</v>
      </c>
      <c r="H212" t="s">
        <v>1061</v>
      </c>
      <c r="J212" t="str">
        <f t="shared" si="19"/>
        <v>Male</v>
      </c>
      <c r="K212" t="str">
        <f t="shared" si="20"/>
        <v>Ireland</v>
      </c>
      <c r="L212" t="str">
        <f t="shared" si="21"/>
        <v xml:space="preserve">Case 477 is a Local unlinked case, 44 years old male Ireland (Singapore Work Pass holder)  and has not been overseas. He is currently admitted at NCID . </v>
      </c>
      <c r="M212" t="str">
        <f t="shared" si="22"/>
        <v/>
      </c>
      <c r="N212" t="str">
        <f t="shared" si="23"/>
        <v/>
      </c>
      <c r="O212" t="str">
        <f t="shared" si="17"/>
        <v/>
      </c>
      <c r="P212" t="str">
        <f t="shared" si="18"/>
        <v/>
      </c>
    </row>
    <row r="213" spans="1:16" x14ac:dyDescent="0.3">
      <c r="A213">
        <v>478</v>
      </c>
      <c r="B213" s="23">
        <v>43912</v>
      </c>
      <c r="C213" t="s">
        <v>1071</v>
      </c>
      <c r="D213">
        <v>80</v>
      </c>
      <c r="E213" t="s">
        <v>1059</v>
      </c>
      <c r="F213" t="s">
        <v>1060</v>
      </c>
      <c r="H213" t="s">
        <v>1061</v>
      </c>
      <c r="J213" t="str">
        <f t="shared" si="19"/>
        <v>Male</v>
      </c>
      <c r="K213" t="str">
        <f t="shared" si="20"/>
        <v>Singaporean</v>
      </c>
      <c r="L213" t="str">
        <f t="shared" si="21"/>
        <v xml:space="preserve">Case 478 is a Local unlinked case, 80 years old male Singapore Citizen  and has not been overseas. He is currently admitted at NCID . </v>
      </c>
      <c r="M213" t="str">
        <f t="shared" si="22"/>
        <v/>
      </c>
      <c r="N213" t="str">
        <f t="shared" si="23"/>
        <v/>
      </c>
      <c r="O213" t="str">
        <f t="shared" si="17"/>
        <v/>
      </c>
      <c r="P213" t="str">
        <f t="shared" si="18"/>
        <v/>
      </c>
    </row>
    <row r="214" spans="1:16" x14ac:dyDescent="0.3">
      <c r="A214">
        <v>479</v>
      </c>
      <c r="B214" s="23">
        <v>43912</v>
      </c>
      <c r="C214" t="s">
        <v>343</v>
      </c>
      <c r="D214">
        <v>35</v>
      </c>
      <c r="E214" t="s">
        <v>1073</v>
      </c>
      <c r="F214" t="s">
        <v>1211</v>
      </c>
      <c r="H214" t="s">
        <v>1061</v>
      </c>
      <c r="J214" t="str">
        <f t="shared" si="19"/>
        <v>Female</v>
      </c>
      <c r="K214" t="str">
        <f t="shared" si="20"/>
        <v>Indonesia</v>
      </c>
      <c r="L214" t="str">
        <f t="shared" si="21"/>
        <v xml:space="preserve">Case 479 is a Local unlinked case, 35 years old female Indonesia (Singapore Work Pass holder)  and has not been overseas. She is currently admitted at NUH . </v>
      </c>
      <c r="M214" t="str">
        <f t="shared" si="22"/>
        <v/>
      </c>
      <c r="N214" t="str">
        <f t="shared" si="23"/>
        <v/>
      </c>
      <c r="O214" t="str">
        <f t="shared" si="17"/>
        <v/>
      </c>
      <c r="P214" t="str">
        <f t="shared" si="18"/>
        <v/>
      </c>
    </row>
    <row r="215" spans="1:16" x14ac:dyDescent="0.3">
      <c r="A215">
        <v>480</v>
      </c>
      <c r="B215" s="23">
        <v>43912</v>
      </c>
      <c r="C215" t="s">
        <v>1058</v>
      </c>
      <c r="D215">
        <v>52</v>
      </c>
      <c r="E215" t="s">
        <v>1073</v>
      </c>
      <c r="F215" t="s">
        <v>1060</v>
      </c>
      <c r="H215" t="s">
        <v>1061</v>
      </c>
      <c r="J215" t="str">
        <f t="shared" si="19"/>
        <v>Female</v>
      </c>
      <c r="K215" t="str">
        <f t="shared" si="20"/>
        <v>Singaporean</v>
      </c>
      <c r="L215" t="str">
        <f t="shared" si="21"/>
        <v xml:space="preserve">Case 480 is a Local unlinked case, 52 years old female Singapore Citizen  and has not been overseas. She is currently admitted at KTPH . </v>
      </c>
      <c r="M215" t="str">
        <f t="shared" si="22"/>
        <v/>
      </c>
      <c r="N215" t="str">
        <f t="shared" si="23"/>
        <v/>
      </c>
      <c r="O215" t="str">
        <f t="shared" si="17"/>
        <v/>
      </c>
      <c r="P215" t="str">
        <f t="shared" si="18"/>
        <v/>
      </c>
    </row>
    <row r="216" spans="1:16" x14ac:dyDescent="0.3">
      <c r="A216">
        <v>481</v>
      </c>
      <c r="B216" s="23">
        <v>43912</v>
      </c>
      <c r="C216" t="s">
        <v>1071</v>
      </c>
      <c r="D216">
        <v>37</v>
      </c>
      <c r="E216" t="s">
        <v>1073</v>
      </c>
      <c r="F216" t="s">
        <v>1072</v>
      </c>
      <c r="G216" t="s">
        <v>1063</v>
      </c>
      <c r="H216" t="s">
        <v>1069</v>
      </c>
      <c r="I216" t="s">
        <v>1212</v>
      </c>
      <c r="J216" t="str">
        <f t="shared" si="19"/>
        <v>Female</v>
      </c>
      <c r="K216" t="str">
        <f t="shared" si="20"/>
        <v>Singaporean</v>
      </c>
      <c r="L216" t="str">
        <f t="shared" si="21"/>
        <v>Case 481 is a Imported  case, 37 years old female Singapore Permanent Resident  and has been to UK . She is currently admitted at NCID . Family member of Case 440</v>
      </c>
      <c r="M216">
        <f t="shared" si="22"/>
        <v>481</v>
      </c>
      <c r="N216" t="str">
        <f t="shared" si="23"/>
        <v xml:space="preserve">UK </v>
      </c>
      <c r="O216">
        <f t="shared" si="17"/>
        <v>481</v>
      </c>
      <c r="P216" t="str">
        <f t="shared" si="18"/>
        <v>Family member of Case 440</v>
      </c>
    </row>
    <row r="217" spans="1:16" x14ac:dyDescent="0.3">
      <c r="A217">
        <v>482</v>
      </c>
      <c r="B217" s="23">
        <v>43912</v>
      </c>
      <c r="C217" t="s">
        <v>1071</v>
      </c>
      <c r="D217">
        <v>35</v>
      </c>
      <c r="E217" t="s">
        <v>1059</v>
      </c>
      <c r="F217" t="s">
        <v>1060</v>
      </c>
      <c r="G217" t="s">
        <v>1085</v>
      </c>
      <c r="H217" t="s">
        <v>77</v>
      </c>
      <c r="J217" t="str">
        <f t="shared" si="19"/>
        <v>Male</v>
      </c>
      <c r="K217" t="str">
        <f t="shared" si="20"/>
        <v>Singaporean</v>
      </c>
      <c r="L217" t="str">
        <f t="shared" si="21"/>
        <v xml:space="preserve">Case 482 is a Imported case, 35 years old male Singapore Citizen  and has been to US . He is currently admitted at NCID . </v>
      </c>
      <c r="M217">
        <f t="shared" si="22"/>
        <v>482</v>
      </c>
      <c r="N217" t="str">
        <f t="shared" si="23"/>
        <v xml:space="preserve">US </v>
      </c>
      <c r="O217" t="str">
        <f t="shared" si="17"/>
        <v/>
      </c>
      <c r="P217" t="str">
        <f t="shared" si="18"/>
        <v/>
      </c>
    </row>
    <row r="218" spans="1:16" x14ac:dyDescent="0.3">
      <c r="A218">
        <v>483</v>
      </c>
      <c r="B218" s="23">
        <v>43912</v>
      </c>
      <c r="C218" t="s">
        <v>1071</v>
      </c>
      <c r="D218">
        <v>28</v>
      </c>
      <c r="E218" t="s">
        <v>1073</v>
      </c>
      <c r="F218" t="s">
        <v>1060</v>
      </c>
      <c r="G218" t="s">
        <v>1085</v>
      </c>
      <c r="H218" t="s">
        <v>77</v>
      </c>
      <c r="J218" t="str">
        <f t="shared" si="19"/>
        <v>Female</v>
      </c>
      <c r="K218" t="str">
        <f t="shared" si="20"/>
        <v>Singaporean</v>
      </c>
      <c r="L218" t="str">
        <f t="shared" si="21"/>
        <v xml:space="preserve">Case 483 is a Imported case, 28 years old female Singapore Citizen  and has been to US . She is currently admitted at NCID . </v>
      </c>
      <c r="M218">
        <f t="shared" si="22"/>
        <v>483</v>
      </c>
      <c r="N218" t="str">
        <f t="shared" si="23"/>
        <v xml:space="preserve">US </v>
      </c>
      <c r="O218" t="str">
        <f t="shared" si="17"/>
        <v/>
      </c>
      <c r="P218" t="str">
        <f t="shared" si="18"/>
        <v/>
      </c>
    </row>
    <row r="219" spans="1:16" x14ac:dyDescent="0.3">
      <c r="A219">
        <v>484</v>
      </c>
      <c r="B219" s="23">
        <v>43912</v>
      </c>
      <c r="C219" t="s">
        <v>1071</v>
      </c>
      <c r="D219">
        <v>21</v>
      </c>
      <c r="E219" t="s">
        <v>1059</v>
      </c>
      <c r="F219" t="s">
        <v>1060</v>
      </c>
      <c r="G219" t="s">
        <v>1063</v>
      </c>
      <c r="H219" t="s">
        <v>77</v>
      </c>
      <c r="J219" t="str">
        <f t="shared" si="19"/>
        <v>Male</v>
      </c>
      <c r="K219" t="str">
        <f t="shared" si="20"/>
        <v>Singaporean</v>
      </c>
      <c r="L219" t="str">
        <f t="shared" si="21"/>
        <v xml:space="preserve">Case 484 is a Imported case, 21 years old male Singapore Citizen  and has been to UK . He is currently admitted at NCID . </v>
      </c>
      <c r="M219">
        <f t="shared" si="22"/>
        <v>484</v>
      </c>
      <c r="N219" t="str">
        <f t="shared" si="23"/>
        <v xml:space="preserve">UK </v>
      </c>
      <c r="O219" t="str">
        <f t="shared" si="17"/>
        <v/>
      </c>
      <c r="P219" t="str">
        <f t="shared" si="18"/>
        <v/>
      </c>
    </row>
    <row r="220" spans="1:16" x14ac:dyDescent="0.3">
      <c r="A220">
        <v>485</v>
      </c>
      <c r="B220" s="23">
        <v>43912</v>
      </c>
      <c r="C220" t="s">
        <v>1071</v>
      </c>
      <c r="D220">
        <v>20</v>
      </c>
      <c r="E220" t="s">
        <v>1059</v>
      </c>
      <c r="F220" t="s">
        <v>1060</v>
      </c>
      <c r="G220" t="s">
        <v>1063</v>
      </c>
      <c r="H220" t="s">
        <v>77</v>
      </c>
      <c r="J220" t="str">
        <f t="shared" si="19"/>
        <v>Male</v>
      </c>
      <c r="K220" t="str">
        <f t="shared" si="20"/>
        <v>Singaporean</v>
      </c>
      <c r="L220" t="str">
        <f t="shared" si="21"/>
        <v xml:space="preserve">Case 485 is a Imported case, 20 years old male Singapore Citizen  and has been to UK . He is currently admitted at NCID . </v>
      </c>
      <c r="M220">
        <f t="shared" si="22"/>
        <v>485</v>
      </c>
      <c r="N220" t="str">
        <f t="shared" si="23"/>
        <v xml:space="preserve">UK </v>
      </c>
      <c r="O220" t="str">
        <f t="shared" si="17"/>
        <v/>
      </c>
      <c r="P220" t="str">
        <f t="shared" si="18"/>
        <v/>
      </c>
    </row>
    <row r="221" spans="1:16" x14ac:dyDescent="0.3">
      <c r="A221">
        <v>486</v>
      </c>
      <c r="B221" s="23">
        <v>43912</v>
      </c>
      <c r="C221" t="s">
        <v>1071</v>
      </c>
      <c r="D221">
        <v>22</v>
      </c>
      <c r="E221" t="s">
        <v>1059</v>
      </c>
      <c r="F221" t="s">
        <v>1060</v>
      </c>
      <c r="G221" t="s">
        <v>1063</v>
      </c>
      <c r="H221" t="s">
        <v>77</v>
      </c>
      <c r="J221" t="str">
        <f t="shared" si="19"/>
        <v>Male</v>
      </c>
      <c r="K221" t="str">
        <f t="shared" si="20"/>
        <v>Singaporean</v>
      </c>
      <c r="L221" t="str">
        <f t="shared" si="21"/>
        <v xml:space="preserve">Case 486 is a Imported case, 22 years old male Singapore Citizen  and has been to UK . He is currently admitted at NCID . </v>
      </c>
      <c r="M221">
        <f t="shared" si="22"/>
        <v>486</v>
      </c>
      <c r="N221" t="str">
        <f t="shared" si="23"/>
        <v xml:space="preserve">UK </v>
      </c>
      <c r="O221" t="str">
        <f t="shared" si="17"/>
        <v/>
      </c>
      <c r="P221" t="str">
        <f t="shared" si="18"/>
        <v/>
      </c>
    </row>
    <row r="222" spans="1:16" x14ac:dyDescent="0.3">
      <c r="A222">
        <v>487</v>
      </c>
      <c r="B222" s="23">
        <v>43912</v>
      </c>
      <c r="C222" t="s">
        <v>1071</v>
      </c>
      <c r="D222">
        <v>72</v>
      </c>
      <c r="E222" t="s">
        <v>1059</v>
      </c>
      <c r="F222" t="s">
        <v>1060</v>
      </c>
      <c r="G222" t="s">
        <v>687</v>
      </c>
      <c r="H222" t="s">
        <v>77</v>
      </c>
      <c r="J222" t="str">
        <f t="shared" si="19"/>
        <v>Male</v>
      </c>
      <c r="K222" t="str">
        <f t="shared" si="20"/>
        <v>Singaporean</v>
      </c>
      <c r="L222" t="str">
        <f t="shared" si="21"/>
        <v xml:space="preserve">Case 487 is a Imported case, 72 years old male Singapore Citizen  and has been to Indonesia . He is currently admitted at NCID . </v>
      </c>
      <c r="M222">
        <f t="shared" si="22"/>
        <v>487</v>
      </c>
      <c r="N222" t="str">
        <f t="shared" si="23"/>
        <v xml:space="preserve">Indonesia </v>
      </c>
      <c r="O222" t="str">
        <f t="shared" si="17"/>
        <v/>
      </c>
      <c r="P222" t="str">
        <f t="shared" si="18"/>
        <v/>
      </c>
    </row>
    <row r="223" spans="1:16" x14ac:dyDescent="0.3">
      <c r="A223">
        <v>488</v>
      </c>
      <c r="B223" s="23">
        <v>43912</v>
      </c>
      <c r="C223" t="s">
        <v>1066</v>
      </c>
      <c r="D223">
        <v>36</v>
      </c>
      <c r="E223" t="s">
        <v>1059</v>
      </c>
      <c r="F223" t="s">
        <v>1060</v>
      </c>
      <c r="G223" t="s">
        <v>1063</v>
      </c>
      <c r="H223" t="s">
        <v>77</v>
      </c>
      <c r="J223" t="str">
        <f t="shared" si="19"/>
        <v>Male</v>
      </c>
      <c r="K223" t="str">
        <f t="shared" si="20"/>
        <v>Singaporean</v>
      </c>
      <c r="L223" t="str">
        <f t="shared" si="21"/>
        <v xml:space="preserve">Case 488 is a Imported case, 36 years old male Singapore Citizen  and has been to UK . He is currently admitted at SKH . </v>
      </c>
      <c r="M223">
        <f t="shared" si="22"/>
        <v>488</v>
      </c>
      <c r="N223" t="str">
        <f t="shared" si="23"/>
        <v xml:space="preserve">UK </v>
      </c>
      <c r="O223" t="str">
        <f t="shared" si="17"/>
        <v/>
      </c>
      <c r="P223" t="str">
        <f t="shared" si="18"/>
        <v/>
      </c>
    </row>
    <row r="224" spans="1:16" x14ac:dyDescent="0.3">
      <c r="A224">
        <v>489</v>
      </c>
      <c r="B224" s="23">
        <v>43912</v>
      </c>
      <c r="C224" t="s">
        <v>1071</v>
      </c>
      <c r="D224">
        <v>25</v>
      </c>
      <c r="E224" t="s">
        <v>1059</v>
      </c>
      <c r="F224" t="s">
        <v>1060</v>
      </c>
      <c r="G224" t="s">
        <v>1063</v>
      </c>
      <c r="H224" t="s">
        <v>77</v>
      </c>
      <c r="J224" t="str">
        <f t="shared" si="19"/>
        <v>Male</v>
      </c>
      <c r="K224" t="str">
        <f t="shared" si="20"/>
        <v>Singaporean</v>
      </c>
      <c r="L224" t="str">
        <f t="shared" si="21"/>
        <v xml:space="preserve">Case 489 is a Imported case, 25 years old male Singapore Citizen  and has been to UK . He is currently admitted at NCID . </v>
      </c>
      <c r="M224">
        <f t="shared" si="22"/>
        <v>489</v>
      </c>
      <c r="N224" t="str">
        <f t="shared" si="23"/>
        <v xml:space="preserve">UK </v>
      </c>
      <c r="O224" t="str">
        <f t="shared" si="17"/>
        <v/>
      </c>
      <c r="P224" t="str">
        <f t="shared" si="18"/>
        <v/>
      </c>
    </row>
    <row r="225" spans="1:16" x14ac:dyDescent="0.3">
      <c r="A225">
        <v>490</v>
      </c>
      <c r="B225" s="23">
        <v>43912</v>
      </c>
      <c r="C225" t="s">
        <v>1074</v>
      </c>
      <c r="D225">
        <v>36</v>
      </c>
      <c r="E225" t="s">
        <v>1059</v>
      </c>
      <c r="F225" t="s">
        <v>1060</v>
      </c>
      <c r="G225" t="s">
        <v>1213</v>
      </c>
      <c r="H225" t="s">
        <v>77</v>
      </c>
      <c r="J225" t="str">
        <f t="shared" si="19"/>
        <v>Male</v>
      </c>
      <c r="K225" t="str">
        <f t="shared" si="20"/>
        <v>Singaporean</v>
      </c>
      <c r="L225" t="str">
        <f t="shared" si="21"/>
        <v xml:space="preserve">Case 490 is a Imported case, 36 years old male Singapore Citizen  and has been to France, UK . He is currently admitted at AH . </v>
      </c>
      <c r="M225">
        <f t="shared" si="22"/>
        <v>490</v>
      </c>
      <c r="N225" t="str">
        <f t="shared" si="23"/>
        <v xml:space="preserve">France, UK </v>
      </c>
      <c r="O225" t="str">
        <f t="shared" si="17"/>
        <v/>
      </c>
      <c r="P225" t="str">
        <f t="shared" si="18"/>
        <v/>
      </c>
    </row>
    <row r="226" spans="1:16" x14ac:dyDescent="0.3">
      <c r="A226">
        <v>491</v>
      </c>
      <c r="B226" s="23">
        <v>43912</v>
      </c>
      <c r="C226" t="s">
        <v>1071</v>
      </c>
      <c r="D226">
        <v>22</v>
      </c>
      <c r="E226" t="s">
        <v>1059</v>
      </c>
      <c r="F226" t="s">
        <v>1060</v>
      </c>
      <c r="G226" t="s">
        <v>1063</v>
      </c>
      <c r="H226" t="s">
        <v>1069</v>
      </c>
      <c r="I226" t="s">
        <v>1214</v>
      </c>
      <c r="J226" t="str">
        <f t="shared" si="19"/>
        <v>Male</v>
      </c>
      <c r="K226" t="str">
        <f t="shared" si="20"/>
        <v>Singaporean</v>
      </c>
      <c r="L226" t="str">
        <f t="shared" si="21"/>
        <v>Case 491 is a Imported  case, 22 years old male Singapore Citizen  and has been to UK . He is currently admitted at NCID . Contact of Case 269</v>
      </c>
      <c r="M226">
        <f t="shared" si="22"/>
        <v>491</v>
      </c>
      <c r="N226" t="str">
        <f t="shared" si="23"/>
        <v xml:space="preserve">UK </v>
      </c>
      <c r="O226">
        <f t="shared" si="17"/>
        <v>491</v>
      </c>
      <c r="P226" t="str">
        <f t="shared" si="18"/>
        <v>Contact of Case 269</v>
      </c>
    </row>
    <row r="227" spans="1:16" x14ac:dyDescent="0.3">
      <c r="A227">
        <v>492</v>
      </c>
      <c r="B227" s="23">
        <v>43912</v>
      </c>
      <c r="C227" t="s">
        <v>1071</v>
      </c>
      <c r="D227">
        <v>24</v>
      </c>
      <c r="E227" t="s">
        <v>1073</v>
      </c>
      <c r="F227" t="s">
        <v>1194</v>
      </c>
      <c r="G227" t="s">
        <v>1063</v>
      </c>
      <c r="H227" t="s">
        <v>77</v>
      </c>
      <c r="J227" t="str">
        <f t="shared" si="19"/>
        <v>Female</v>
      </c>
      <c r="K227" t="str">
        <f t="shared" si="20"/>
        <v>India</v>
      </c>
      <c r="L227" t="str">
        <f t="shared" si="21"/>
        <v xml:space="preserve">Case 492 is a Imported case, 24 years old female India (Long Term Pass holder)  and has been to UK . She is currently admitted at NCID . </v>
      </c>
      <c r="M227">
        <f t="shared" si="22"/>
        <v>492</v>
      </c>
      <c r="N227" t="str">
        <f t="shared" si="23"/>
        <v xml:space="preserve">UK </v>
      </c>
      <c r="O227" t="str">
        <f t="shared" si="17"/>
        <v/>
      </c>
      <c r="P227" t="str">
        <f t="shared" si="18"/>
        <v/>
      </c>
    </row>
    <row r="228" spans="1:16" x14ac:dyDescent="0.3">
      <c r="A228">
        <v>493</v>
      </c>
      <c r="B228" s="23">
        <v>43912</v>
      </c>
      <c r="C228" t="s">
        <v>1071</v>
      </c>
      <c r="D228">
        <v>23</v>
      </c>
      <c r="E228" t="s">
        <v>1073</v>
      </c>
      <c r="F228" t="s">
        <v>1060</v>
      </c>
      <c r="G228" t="s">
        <v>1063</v>
      </c>
      <c r="H228" t="s">
        <v>77</v>
      </c>
      <c r="J228" t="str">
        <f t="shared" si="19"/>
        <v>Female</v>
      </c>
      <c r="K228" t="str">
        <f t="shared" si="20"/>
        <v>Singaporean</v>
      </c>
      <c r="L228" t="str">
        <f t="shared" si="21"/>
        <v xml:space="preserve">Case 493 is a Imported case, 23 years old female Singapore Citizen  and has been to UK . She is currently admitted at NCID . </v>
      </c>
      <c r="M228">
        <f t="shared" si="22"/>
        <v>493</v>
      </c>
      <c r="N228" t="str">
        <f t="shared" si="23"/>
        <v xml:space="preserve">UK </v>
      </c>
      <c r="O228" t="str">
        <f t="shared" si="17"/>
        <v/>
      </c>
      <c r="P228" t="str">
        <f t="shared" si="18"/>
        <v/>
      </c>
    </row>
    <row r="229" spans="1:16" x14ac:dyDescent="0.3">
      <c r="A229">
        <v>494</v>
      </c>
      <c r="B229" s="23">
        <v>43912</v>
      </c>
      <c r="C229" t="s">
        <v>1071</v>
      </c>
      <c r="D229">
        <v>24</v>
      </c>
      <c r="E229" t="s">
        <v>1059</v>
      </c>
      <c r="F229" t="s">
        <v>1060</v>
      </c>
      <c r="G229" t="s">
        <v>1050</v>
      </c>
      <c r="H229" t="s">
        <v>77</v>
      </c>
      <c r="J229" t="str">
        <f t="shared" si="19"/>
        <v>Male</v>
      </c>
      <c r="K229" t="str">
        <f t="shared" si="20"/>
        <v>Singaporean</v>
      </c>
      <c r="L229" t="str">
        <f t="shared" si="21"/>
        <v xml:space="preserve">Case 494 is a Imported case, 24 years old male Singapore Citizen  and has been to Sweden . He is currently admitted at NCID . </v>
      </c>
      <c r="M229">
        <f t="shared" si="22"/>
        <v>494</v>
      </c>
      <c r="N229" t="str">
        <f t="shared" si="23"/>
        <v xml:space="preserve">Sweden </v>
      </c>
      <c r="O229" t="str">
        <f t="shared" si="17"/>
        <v/>
      </c>
      <c r="P229" t="str">
        <f t="shared" si="18"/>
        <v/>
      </c>
    </row>
    <row r="230" spans="1:16" x14ac:dyDescent="0.3">
      <c r="A230">
        <v>495</v>
      </c>
      <c r="B230" s="23">
        <v>43912</v>
      </c>
      <c r="C230" t="s">
        <v>1071</v>
      </c>
      <c r="D230">
        <v>29</v>
      </c>
      <c r="E230" t="s">
        <v>1073</v>
      </c>
      <c r="F230" t="s">
        <v>1060</v>
      </c>
      <c r="G230" t="s">
        <v>1063</v>
      </c>
      <c r="H230" t="s">
        <v>1069</v>
      </c>
      <c r="I230" t="s">
        <v>1215</v>
      </c>
      <c r="J230" t="str">
        <f t="shared" si="19"/>
        <v>Female</v>
      </c>
      <c r="K230" t="str">
        <f t="shared" si="20"/>
        <v>Singaporean</v>
      </c>
      <c r="L230" t="str">
        <f t="shared" si="21"/>
        <v>Case 495 is a Imported  case, 29 years old female Singapore Citizen  and has been to UK . She is currently admitted at NCID . Family member of Case 468</v>
      </c>
      <c r="M230">
        <f t="shared" si="22"/>
        <v>495</v>
      </c>
      <c r="N230" t="str">
        <f t="shared" si="23"/>
        <v xml:space="preserve">UK </v>
      </c>
      <c r="O230">
        <f t="shared" si="17"/>
        <v>495</v>
      </c>
      <c r="P230" t="str">
        <f t="shared" si="18"/>
        <v>Family member of Case 468</v>
      </c>
    </row>
    <row r="231" spans="1:16" x14ac:dyDescent="0.3">
      <c r="A231">
        <v>496</v>
      </c>
      <c r="B231" s="23">
        <v>43912</v>
      </c>
      <c r="C231" t="s">
        <v>1071</v>
      </c>
      <c r="D231">
        <v>21</v>
      </c>
      <c r="E231" t="s">
        <v>1073</v>
      </c>
      <c r="F231" t="s">
        <v>1060</v>
      </c>
      <c r="G231" t="s">
        <v>1063</v>
      </c>
      <c r="H231" t="s">
        <v>77</v>
      </c>
      <c r="J231" t="str">
        <f t="shared" si="19"/>
        <v>Female</v>
      </c>
      <c r="K231" t="str">
        <f t="shared" si="20"/>
        <v>Singaporean</v>
      </c>
      <c r="L231" t="str">
        <f t="shared" si="21"/>
        <v xml:space="preserve">Case 496 is a Imported case, 21 years old female Singapore Citizen  and has been to UK . She is currently admitted at NCID . </v>
      </c>
      <c r="M231">
        <f t="shared" si="22"/>
        <v>496</v>
      </c>
      <c r="N231" t="str">
        <f t="shared" si="23"/>
        <v xml:space="preserve">UK </v>
      </c>
      <c r="O231" t="str">
        <f t="shared" si="17"/>
        <v/>
      </c>
      <c r="P231" t="str">
        <f t="shared" si="18"/>
        <v/>
      </c>
    </row>
    <row r="232" spans="1:16" x14ac:dyDescent="0.3">
      <c r="A232">
        <v>497</v>
      </c>
      <c r="B232" s="23">
        <v>43912</v>
      </c>
      <c r="C232" t="s">
        <v>1071</v>
      </c>
      <c r="D232">
        <v>63</v>
      </c>
      <c r="E232" t="s">
        <v>1073</v>
      </c>
      <c r="F232" t="s">
        <v>1060</v>
      </c>
      <c r="G232" t="s">
        <v>1063</v>
      </c>
      <c r="H232" t="s">
        <v>77</v>
      </c>
      <c r="J232" t="str">
        <f t="shared" si="19"/>
        <v>Female</v>
      </c>
      <c r="K232" t="str">
        <f t="shared" si="20"/>
        <v>Singaporean</v>
      </c>
      <c r="L232" t="str">
        <f t="shared" si="21"/>
        <v xml:space="preserve">Case 497 is a Imported case, 63 years old female Singapore Citizen  and has been to UK . She is currently admitted at NCID . </v>
      </c>
      <c r="M232">
        <f t="shared" si="22"/>
        <v>497</v>
      </c>
      <c r="N232" t="str">
        <f t="shared" si="23"/>
        <v xml:space="preserve">UK </v>
      </c>
      <c r="O232" t="str">
        <f t="shared" si="17"/>
        <v/>
      </c>
      <c r="P232" t="str">
        <f t="shared" si="18"/>
        <v/>
      </c>
    </row>
    <row r="233" spans="1:16" x14ac:dyDescent="0.3">
      <c r="A233">
        <v>498</v>
      </c>
      <c r="B233" s="23">
        <v>43912</v>
      </c>
      <c r="C233" t="s">
        <v>1071</v>
      </c>
      <c r="D233">
        <v>22</v>
      </c>
      <c r="E233" t="s">
        <v>1073</v>
      </c>
      <c r="F233" t="s">
        <v>1060</v>
      </c>
      <c r="G233" t="s">
        <v>1063</v>
      </c>
      <c r="H233" t="s">
        <v>77</v>
      </c>
      <c r="J233" t="str">
        <f t="shared" si="19"/>
        <v>Female</v>
      </c>
      <c r="K233" t="str">
        <f t="shared" si="20"/>
        <v>Singaporean</v>
      </c>
      <c r="L233" t="str">
        <f t="shared" si="21"/>
        <v xml:space="preserve">Case 498 is a Imported case, 22 years old female Singapore Citizen  and has been to UK . She is currently admitted at NCID . </v>
      </c>
      <c r="M233">
        <f t="shared" si="22"/>
        <v>498</v>
      </c>
      <c r="N233" t="str">
        <f t="shared" si="23"/>
        <v xml:space="preserve">UK </v>
      </c>
      <c r="O233" t="str">
        <f t="shared" si="17"/>
        <v/>
      </c>
      <c r="P233" t="str">
        <f t="shared" si="18"/>
        <v/>
      </c>
    </row>
    <row r="234" spans="1:16" x14ac:dyDescent="0.3">
      <c r="A234">
        <v>499</v>
      </c>
      <c r="B234" s="23">
        <v>43912</v>
      </c>
      <c r="C234" t="s">
        <v>1071</v>
      </c>
      <c r="D234">
        <v>27</v>
      </c>
      <c r="E234" t="s">
        <v>1073</v>
      </c>
      <c r="F234" t="s">
        <v>1060</v>
      </c>
      <c r="G234" t="s">
        <v>1085</v>
      </c>
      <c r="H234" t="s">
        <v>77</v>
      </c>
      <c r="J234" t="str">
        <f t="shared" si="19"/>
        <v>Female</v>
      </c>
      <c r="K234" t="str">
        <f t="shared" si="20"/>
        <v>Singaporean</v>
      </c>
      <c r="L234" t="str">
        <f t="shared" si="21"/>
        <v xml:space="preserve">Case 499 is a Imported case, 27 years old female Singapore Citizen  and has been to US . She is currently admitted at NCID . </v>
      </c>
      <c r="M234">
        <f t="shared" si="22"/>
        <v>499</v>
      </c>
      <c r="N234" t="str">
        <f t="shared" si="23"/>
        <v xml:space="preserve">US </v>
      </c>
      <c r="O234" t="str">
        <f t="shared" si="17"/>
        <v/>
      </c>
      <c r="P234" t="str">
        <f t="shared" si="18"/>
        <v/>
      </c>
    </row>
    <row r="235" spans="1:16" x14ac:dyDescent="0.3">
      <c r="A235">
        <v>500</v>
      </c>
      <c r="B235" s="23">
        <v>43912</v>
      </c>
      <c r="C235" t="s">
        <v>1071</v>
      </c>
      <c r="D235">
        <v>24</v>
      </c>
      <c r="E235" t="s">
        <v>1059</v>
      </c>
      <c r="F235" t="s">
        <v>1060</v>
      </c>
      <c r="G235" t="s">
        <v>1216</v>
      </c>
      <c r="H235" t="s">
        <v>77</v>
      </c>
      <c r="J235" t="str">
        <f t="shared" si="19"/>
        <v>Male</v>
      </c>
      <c r="K235" t="str">
        <f t="shared" si="20"/>
        <v>Singaporean</v>
      </c>
      <c r="L235" t="str">
        <f t="shared" si="21"/>
        <v xml:space="preserve">Case 500 is a Imported case, 24 years old male Singapore Citizen  and has been to Switzerland, Iceland . He is currently admitted at NCID . </v>
      </c>
      <c r="M235">
        <f t="shared" si="22"/>
        <v>500</v>
      </c>
      <c r="N235" t="str">
        <f t="shared" si="23"/>
        <v xml:space="preserve">Switzerland, Iceland </v>
      </c>
      <c r="O235" t="str">
        <f t="shared" si="17"/>
        <v/>
      </c>
      <c r="P235" t="str">
        <f t="shared" si="18"/>
        <v/>
      </c>
    </row>
    <row r="236" spans="1:16" x14ac:dyDescent="0.3">
      <c r="A236">
        <v>501</v>
      </c>
      <c r="B236" s="23">
        <v>43912</v>
      </c>
      <c r="C236" t="s">
        <v>1071</v>
      </c>
      <c r="D236">
        <v>65</v>
      </c>
      <c r="E236" t="s">
        <v>1059</v>
      </c>
      <c r="F236" t="s">
        <v>1060</v>
      </c>
      <c r="G236" t="s">
        <v>1063</v>
      </c>
      <c r="H236" t="s">
        <v>77</v>
      </c>
      <c r="J236" t="str">
        <f t="shared" si="19"/>
        <v>Male</v>
      </c>
      <c r="K236" t="str">
        <f t="shared" si="20"/>
        <v>Singaporean</v>
      </c>
      <c r="L236" t="str">
        <f t="shared" si="21"/>
        <v xml:space="preserve">Case 501 is a Imported case, 65 years old male Singapore Citizen  and has been to UK . He is currently admitted at NCID . </v>
      </c>
      <c r="M236">
        <f t="shared" si="22"/>
        <v>501</v>
      </c>
      <c r="N236" t="str">
        <f t="shared" si="23"/>
        <v xml:space="preserve">UK </v>
      </c>
      <c r="O236" t="str">
        <f t="shared" si="17"/>
        <v/>
      </c>
      <c r="P236" t="str">
        <f t="shared" si="18"/>
        <v/>
      </c>
    </row>
    <row r="237" spans="1:16" x14ac:dyDescent="0.3">
      <c r="A237">
        <v>502</v>
      </c>
      <c r="B237" s="23">
        <v>43912</v>
      </c>
      <c r="C237" t="s">
        <v>1071</v>
      </c>
      <c r="D237">
        <v>74</v>
      </c>
      <c r="E237" t="s">
        <v>1073</v>
      </c>
      <c r="F237" t="s">
        <v>1194</v>
      </c>
      <c r="G237" t="s">
        <v>1063</v>
      </c>
      <c r="H237" t="s">
        <v>77</v>
      </c>
      <c r="J237" t="str">
        <f t="shared" si="19"/>
        <v>Female</v>
      </c>
      <c r="K237" t="str">
        <f t="shared" si="20"/>
        <v>India</v>
      </c>
      <c r="L237" t="str">
        <f t="shared" si="21"/>
        <v xml:space="preserve">Case 502 is a Imported case, 74 years old female India (Long Term Pass holder)  and has been to UK . She is currently admitted at NCID . </v>
      </c>
      <c r="M237">
        <f t="shared" si="22"/>
        <v>502</v>
      </c>
      <c r="N237" t="str">
        <f t="shared" si="23"/>
        <v xml:space="preserve">UK </v>
      </c>
      <c r="O237" t="str">
        <f t="shared" si="17"/>
        <v/>
      </c>
      <c r="P237" t="str">
        <f t="shared" si="18"/>
        <v/>
      </c>
    </row>
    <row r="238" spans="1:16" x14ac:dyDescent="0.3">
      <c r="A238">
        <v>503</v>
      </c>
      <c r="B238" s="23">
        <v>43912</v>
      </c>
      <c r="C238" t="s">
        <v>1071</v>
      </c>
      <c r="D238">
        <v>26</v>
      </c>
      <c r="E238" t="s">
        <v>1059</v>
      </c>
      <c r="F238" t="s">
        <v>1060</v>
      </c>
      <c r="G238" t="s">
        <v>1063</v>
      </c>
      <c r="H238" t="s">
        <v>77</v>
      </c>
      <c r="J238" t="str">
        <f t="shared" si="19"/>
        <v>Male</v>
      </c>
      <c r="K238" t="str">
        <f t="shared" si="20"/>
        <v>Singaporean</v>
      </c>
      <c r="L238" t="str">
        <f t="shared" si="21"/>
        <v xml:space="preserve">Case 503 is a Imported case, 26 years old male Singapore Citizen  and has been to UK . He is currently admitted at NCID . </v>
      </c>
      <c r="M238">
        <f t="shared" si="22"/>
        <v>503</v>
      </c>
      <c r="N238" t="str">
        <f t="shared" si="23"/>
        <v xml:space="preserve">UK </v>
      </c>
      <c r="O238" t="str">
        <f t="shared" si="17"/>
        <v/>
      </c>
      <c r="P238" t="str">
        <f t="shared" si="18"/>
        <v/>
      </c>
    </row>
    <row r="239" spans="1:16" x14ac:dyDescent="0.3">
      <c r="A239">
        <v>504</v>
      </c>
      <c r="B239" s="23">
        <v>43913</v>
      </c>
      <c r="C239" t="s">
        <v>1071</v>
      </c>
      <c r="D239">
        <v>32</v>
      </c>
      <c r="E239" t="s">
        <v>1073</v>
      </c>
      <c r="F239" t="s">
        <v>1060</v>
      </c>
      <c r="G239" t="s">
        <v>1217</v>
      </c>
      <c r="H239" t="s">
        <v>77</v>
      </c>
      <c r="J239" t="str">
        <f t="shared" si="19"/>
        <v>Female</v>
      </c>
      <c r="K239" t="str">
        <f t="shared" si="20"/>
        <v>Singaporean</v>
      </c>
      <c r="L239" t="str">
        <f t="shared" si="21"/>
        <v xml:space="preserve">Case 504 is a Imported case, 32 years old female Singapore Citizen  and has been to Netherlands, UK . She is currently admitted at NCID . </v>
      </c>
      <c r="M239">
        <f t="shared" si="22"/>
        <v>504</v>
      </c>
      <c r="N239" t="str">
        <f t="shared" si="23"/>
        <v xml:space="preserve">Netherlands, UK </v>
      </c>
      <c r="O239" t="str">
        <f t="shared" si="17"/>
        <v/>
      </c>
      <c r="P239" t="str">
        <f t="shared" si="18"/>
        <v/>
      </c>
    </row>
    <row r="240" spans="1:16" x14ac:dyDescent="0.3">
      <c r="A240">
        <v>505</v>
      </c>
      <c r="B240" s="23">
        <v>43913</v>
      </c>
      <c r="C240" t="s">
        <v>1071</v>
      </c>
      <c r="D240">
        <v>24</v>
      </c>
      <c r="E240" t="s">
        <v>1059</v>
      </c>
      <c r="F240" t="s">
        <v>1060</v>
      </c>
      <c r="G240" t="s">
        <v>1063</v>
      </c>
      <c r="H240" t="s">
        <v>77</v>
      </c>
      <c r="J240" t="str">
        <f t="shared" si="19"/>
        <v>Male</v>
      </c>
      <c r="K240" t="str">
        <f t="shared" si="20"/>
        <v>Singaporean</v>
      </c>
      <c r="L240" t="str">
        <f t="shared" si="21"/>
        <v xml:space="preserve">Case 505 is a Imported case, 24 years old male Singapore Citizen  and has been to UK . He is currently admitted at NCID . </v>
      </c>
      <c r="M240">
        <f t="shared" si="22"/>
        <v>505</v>
      </c>
      <c r="N240" t="str">
        <f t="shared" si="23"/>
        <v xml:space="preserve">UK </v>
      </c>
      <c r="O240" t="str">
        <f t="shared" si="17"/>
        <v/>
      </c>
      <c r="P240" t="str">
        <f t="shared" si="18"/>
        <v/>
      </c>
    </row>
    <row r="241" spans="1:16" x14ac:dyDescent="0.3">
      <c r="A241">
        <v>506</v>
      </c>
      <c r="B241" s="23">
        <v>43913</v>
      </c>
      <c r="C241" t="s">
        <v>1071</v>
      </c>
      <c r="D241">
        <v>49</v>
      </c>
      <c r="E241" t="s">
        <v>1059</v>
      </c>
      <c r="F241" t="s">
        <v>1218</v>
      </c>
      <c r="G241" t="s">
        <v>1213</v>
      </c>
      <c r="H241" t="s">
        <v>77</v>
      </c>
      <c r="J241" t="str">
        <f t="shared" si="19"/>
        <v>Male</v>
      </c>
      <c r="K241" t="str">
        <f t="shared" si="20"/>
        <v>Australia</v>
      </c>
      <c r="L241" t="str">
        <f t="shared" si="21"/>
        <v xml:space="preserve">Case 506 is a Imported case, 49 years old male Australia (Singapore Work Pass holder)  and has been to France, UK . He is currently admitted at NCID . </v>
      </c>
      <c r="M241">
        <f t="shared" si="22"/>
        <v>506</v>
      </c>
      <c r="N241" t="str">
        <f t="shared" si="23"/>
        <v xml:space="preserve">France, UK </v>
      </c>
      <c r="O241" t="str">
        <f t="shared" si="17"/>
        <v/>
      </c>
      <c r="P241" t="str">
        <f t="shared" si="18"/>
        <v/>
      </c>
    </row>
    <row r="242" spans="1:16" x14ac:dyDescent="0.3">
      <c r="A242">
        <v>507</v>
      </c>
      <c r="B242" s="23">
        <v>43913</v>
      </c>
      <c r="C242" t="s">
        <v>1071</v>
      </c>
      <c r="D242">
        <v>29</v>
      </c>
      <c r="E242" t="s">
        <v>1073</v>
      </c>
      <c r="F242" t="s">
        <v>1060</v>
      </c>
      <c r="G242" t="s">
        <v>1063</v>
      </c>
      <c r="H242" t="s">
        <v>77</v>
      </c>
      <c r="J242" t="str">
        <f t="shared" si="19"/>
        <v>Female</v>
      </c>
      <c r="K242" t="str">
        <f t="shared" si="20"/>
        <v>Singaporean</v>
      </c>
      <c r="L242" t="str">
        <f t="shared" si="21"/>
        <v xml:space="preserve">Case 507 is a Imported case, 29 years old female Singapore Citizen  and has been to UK . She is currently admitted at NCID . </v>
      </c>
      <c r="M242">
        <f t="shared" si="22"/>
        <v>507</v>
      </c>
      <c r="N242" t="str">
        <f t="shared" si="23"/>
        <v xml:space="preserve">UK </v>
      </c>
      <c r="O242" t="str">
        <f t="shared" si="17"/>
        <v/>
      </c>
      <c r="P242" t="str">
        <f t="shared" si="18"/>
        <v/>
      </c>
    </row>
    <row r="243" spans="1:16" x14ac:dyDescent="0.3">
      <c r="A243">
        <v>508</v>
      </c>
      <c r="B243" s="23">
        <v>43913</v>
      </c>
      <c r="C243" t="s">
        <v>1071</v>
      </c>
      <c r="D243">
        <v>23</v>
      </c>
      <c r="E243" t="s">
        <v>1059</v>
      </c>
      <c r="F243" t="s">
        <v>1060</v>
      </c>
      <c r="G243" t="s">
        <v>1063</v>
      </c>
      <c r="H243" t="s">
        <v>77</v>
      </c>
      <c r="J243" t="str">
        <f t="shared" si="19"/>
        <v>Male</v>
      </c>
      <c r="K243" t="str">
        <f t="shared" si="20"/>
        <v>Singaporean</v>
      </c>
      <c r="L243" t="str">
        <f t="shared" si="21"/>
        <v xml:space="preserve">Case 508 is a Imported case, 23 years old male Singapore Citizen  and has been to UK . He is currently admitted at NCID . </v>
      </c>
      <c r="M243">
        <f t="shared" si="22"/>
        <v>508</v>
      </c>
      <c r="N243" t="str">
        <f t="shared" si="23"/>
        <v xml:space="preserve">UK </v>
      </c>
      <c r="O243" t="str">
        <f t="shared" si="17"/>
        <v/>
      </c>
      <c r="P243" t="str">
        <f t="shared" si="18"/>
        <v/>
      </c>
    </row>
    <row r="244" spans="1:16" x14ac:dyDescent="0.3">
      <c r="A244">
        <v>509</v>
      </c>
      <c r="B244" s="23">
        <v>43913</v>
      </c>
      <c r="C244" t="s">
        <v>1071</v>
      </c>
      <c r="D244">
        <v>53</v>
      </c>
      <c r="E244" t="s">
        <v>1059</v>
      </c>
      <c r="F244" t="s">
        <v>1060</v>
      </c>
      <c r="G244" t="s">
        <v>687</v>
      </c>
      <c r="H244" t="s">
        <v>1069</v>
      </c>
      <c r="I244" t="s">
        <v>946</v>
      </c>
      <c r="J244" t="str">
        <f t="shared" si="19"/>
        <v>Male</v>
      </c>
      <c r="K244" t="str">
        <f t="shared" si="20"/>
        <v>Singaporean</v>
      </c>
      <c r="L244" t="str">
        <f t="shared" si="21"/>
        <v>Case 509 is a Imported  case, 53 years old male Singapore Citizen  and has been to Indonesia . He is currently admitted at NCID . Contact of Case 212</v>
      </c>
      <c r="M244">
        <f t="shared" si="22"/>
        <v>509</v>
      </c>
      <c r="N244" t="str">
        <f t="shared" si="23"/>
        <v xml:space="preserve">Indonesia </v>
      </c>
      <c r="O244">
        <f>IF(I244="","",A244)</f>
        <v>509</v>
      </c>
      <c r="P244" t="str">
        <f t="shared" si="23"/>
        <v>Contact of Case 212</v>
      </c>
    </row>
    <row r="245" spans="1:16" x14ac:dyDescent="0.3">
      <c r="A245">
        <v>510</v>
      </c>
      <c r="B245" s="23">
        <v>43913</v>
      </c>
      <c r="C245" t="s">
        <v>1058</v>
      </c>
      <c r="D245">
        <v>52</v>
      </c>
      <c r="E245" t="s">
        <v>1073</v>
      </c>
      <c r="F245" t="s">
        <v>1060</v>
      </c>
      <c r="G245" t="s">
        <v>360</v>
      </c>
      <c r="H245" t="s">
        <v>1061</v>
      </c>
      <c r="J245" t="str">
        <f t="shared" ref="J245:J293" si="24">IF(TRIM(E245)="M","Male",IF(TRIM(E245)="F","Female",""))</f>
        <v>Female</v>
      </c>
      <c r="K245" t="str">
        <f t="shared" ref="K245:K293" si="25">IF(LEFT(F245,9)="Singapore","Singaporean",IF(ISERR(FIND("(",F245)),F245,LEFT(F245,FIND("(",F245)-2)))</f>
        <v>Singaporean</v>
      </c>
      <c r="L245" t="str">
        <f t="shared" ref="L245:L293" si="26">"Case "&amp;A245&amp;" is a "&amp;H245&amp;" case, "&amp;D245&amp;" years old "&amp;LOWER(J245)&amp;" "&amp;F245 &amp;IF(G245=""," and has not been overseas"," and has been to "&amp;G245)&amp;". "&amp;IF(TRIM(E245)="F","She",IF(TRIM(E245)="M","He"))&amp;" is currently admitted at "&amp;C245&amp;". "&amp;I245</f>
        <v xml:space="preserve">Case 510 is a Local unlinked case, 52 years old female Singapore Citizen  and has been to Malaysia . She is currently admitted at KTPH . </v>
      </c>
      <c r="M245">
        <f t="shared" ref="M245:M293" si="27">IF(G245="","",A245)</f>
        <v>510</v>
      </c>
      <c r="N245" t="str">
        <f t="shared" ref="N245:N293" si="28">IF(G245="","",G245)</f>
        <v xml:space="preserve">Malaysia </v>
      </c>
      <c r="O245" t="str">
        <f t="shared" ref="O245:O293" si="29">IF(I245="","",A245)</f>
        <v/>
      </c>
      <c r="P245" t="str">
        <f t="shared" ref="P245:P293" si="30">IF(I245="","",I245)</f>
        <v/>
      </c>
    </row>
    <row r="246" spans="1:16" x14ac:dyDescent="0.3">
      <c r="A246">
        <v>511</v>
      </c>
      <c r="B246" s="23">
        <v>43913</v>
      </c>
      <c r="C246" t="s">
        <v>1058</v>
      </c>
      <c r="D246">
        <v>53</v>
      </c>
      <c r="E246" t="s">
        <v>1059</v>
      </c>
      <c r="F246" t="s">
        <v>1060</v>
      </c>
      <c r="G246" t="s">
        <v>360</v>
      </c>
      <c r="H246" t="s">
        <v>1061</v>
      </c>
      <c r="J246" t="str">
        <f t="shared" si="24"/>
        <v>Male</v>
      </c>
      <c r="K246" t="str">
        <f t="shared" si="25"/>
        <v>Singaporean</v>
      </c>
      <c r="L246" t="str">
        <f t="shared" si="26"/>
        <v xml:space="preserve">Case 511 is a Local unlinked case, 53 years old male Singapore Citizen  and has been to Malaysia . He is currently admitted at KTPH . </v>
      </c>
      <c r="M246">
        <f t="shared" si="27"/>
        <v>511</v>
      </c>
      <c r="N246" t="str">
        <f t="shared" si="28"/>
        <v xml:space="preserve">Malaysia </v>
      </c>
      <c r="O246" t="str">
        <f t="shared" si="29"/>
        <v/>
      </c>
      <c r="P246" t="str">
        <f t="shared" si="30"/>
        <v/>
      </c>
    </row>
    <row r="247" spans="1:16" x14ac:dyDescent="0.3">
      <c r="A247">
        <v>512</v>
      </c>
      <c r="B247" s="23">
        <v>43913</v>
      </c>
      <c r="C247" t="s">
        <v>1071</v>
      </c>
      <c r="D247">
        <v>21</v>
      </c>
      <c r="E247" t="s">
        <v>1073</v>
      </c>
      <c r="F247" t="s">
        <v>1060</v>
      </c>
      <c r="G247" t="s">
        <v>1063</v>
      </c>
      <c r="H247" t="s">
        <v>77</v>
      </c>
      <c r="J247" t="str">
        <f t="shared" si="24"/>
        <v>Female</v>
      </c>
      <c r="K247" t="str">
        <f t="shared" si="25"/>
        <v>Singaporean</v>
      </c>
      <c r="L247" t="str">
        <f t="shared" si="26"/>
        <v xml:space="preserve">Case 512 is a Imported case, 21 years old female Singapore Citizen  and has been to UK . She is currently admitted at NCID . </v>
      </c>
      <c r="M247">
        <f t="shared" si="27"/>
        <v>512</v>
      </c>
      <c r="N247" t="str">
        <f t="shared" si="28"/>
        <v xml:space="preserve">UK </v>
      </c>
      <c r="O247" t="str">
        <f t="shared" si="29"/>
        <v/>
      </c>
      <c r="P247" t="str">
        <f t="shared" si="30"/>
        <v/>
      </c>
    </row>
    <row r="248" spans="1:16" x14ac:dyDescent="0.3">
      <c r="A248">
        <v>513</v>
      </c>
      <c r="B248" s="23">
        <v>43913</v>
      </c>
      <c r="C248" t="s">
        <v>1071</v>
      </c>
      <c r="D248">
        <v>21</v>
      </c>
      <c r="E248" t="s">
        <v>1059</v>
      </c>
      <c r="F248" t="s">
        <v>1060</v>
      </c>
      <c r="G248" t="s">
        <v>1177</v>
      </c>
      <c r="H248" t="s">
        <v>77</v>
      </c>
      <c r="J248" t="str">
        <f t="shared" si="24"/>
        <v>Male</v>
      </c>
      <c r="K248" t="str">
        <f t="shared" si="25"/>
        <v>Singaporean</v>
      </c>
      <c r="L248" t="str">
        <f t="shared" si="26"/>
        <v xml:space="preserve">Case 513 is a Imported case, 21 years old male Singapore Citizen  and has been to Pending . He is currently admitted at NCID . </v>
      </c>
      <c r="M248">
        <f t="shared" si="27"/>
        <v>513</v>
      </c>
      <c r="N248" t="str">
        <f t="shared" si="28"/>
        <v xml:space="preserve">Pending </v>
      </c>
      <c r="O248" t="str">
        <f t="shared" si="29"/>
        <v/>
      </c>
      <c r="P248" t="str">
        <f t="shared" si="30"/>
        <v/>
      </c>
    </row>
    <row r="249" spans="1:16" x14ac:dyDescent="0.3">
      <c r="A249">
        <v>514</v>
      </c>
      <c r="B249" s="23">
        <v>43913</v>
      </c>
      <c r="C249" t="s">
        <v>1071</v>
      </c>
      <c r="D249">
        <v>18</v>
      </c>
      <c r="E249" t="s">
        <v>1073</v>
      </c>
      <c r="F249" t="s">
        <v>798</v>
      </c>
      <c r="G249" t="s">
        <v>1177</v>
      </c>
      <c r="H249" t="s">
        <v>77</v>
      </c>
      <c r="J249" t="str">
        <f t="shared" si="24"/>
        <v>Female</v>
      </c>
      <c r="K249" t="str">
        <f t="shared" si="25"/>
        <v xml:space="preserve">India </v>
      </c>
      <c r="L249" t="str">
        <f t="shared" si="26"/>
        <v xml:space="preserve">Case 514 is a Imported case, 18 years old female India  and has been to Pending . She is currently admitted at NCID . </v>
      </c>
      <c r="M249">
        <f t="shared" si="27"/>
        <v>514</v>
      </c>
      <c r="N249" t="str">
        <f t="shared" si="28"/>
        <v xml:space="preserve">Pending </v>
      </c>
      <c r="O249" t="str">
        <f t="shared" si="29"/>
        <v/>
      </c>
      <c r="P249" t="str">
        <f t="shared" si="30"/>
        <v/>
      </c>
    </row>
    <row r="250" spans="1:16" x14ac:dyDescent="0.3">
      <c r="A250">
        <v>515</v>
      </c>
      <c r="B250" s="23">
        <v>43913</v>
      </c>
      <c r="C250" t="s">
        <v>1062</v>
      </c>
      <c r="D250">
        <v>24</v>
      </c>
      <c r="E250" t="s">
        <v>1059</v>
      </c>
      <c r="F250" t="s">
        <v>1060</v>
      </c>
      <c r="G250" t="s">
        <v>1085</v>
      </c>
      <c r="H250" t="s">
        <v>77</v>
      </c>
      <c r="J250" t="str">
        <f t="shared" si="24"/>
        <v>Male</v>
      </c>
      <c r="K250" t="str">
        <f t="shared" si="25"/>
        <v>Singaporean</v>
      </c>
      <c r="L250" t="str">
        <f t="shared" si="26"/>
        <v xml:space="preserve">Case 515 is a Imported case, 24 years old male Singapore Citizen  and has been to US . He is currently admitted at NTFGH . </v>
      </c>
      <c r="M250">
        <f t="shared" si="27"/>
        <v>515</v>
      </c>
      <c r="N250" t="str">
        <f t="shared" si="28"/>
        <v xml:space="preserve">US </v>
      </c>
      <c r="O250" t="str">
        <f t="shared" si="29"/>
        <v/>
      </c>
      <c r="P250" t="str">
        <f t="shared" si="30"/>
        <v/>
      </c>
    </row>
    <row r="251" spans="1:16" x14ac:dyDescent="0.3">
      <c r="A251">
        <v>516</v>
      </c>
      <c r="B251" s="23">
        <v>43913</v>
      </c>
      <c r="C251" t="s">
        <v>1064</v>
      </c>
      <c r="D251">
        <v>42</v>
      </c>
      <c r="E251" t="s">
        <v>1073</v>
      </c>
      <c r="F251" t="s">
        <v>1060</v>
      </c>
      <c r="H251" t="s">
        <v>1061</v>
      </c>
      <c r="J251" t="str">
        <f t="shared" si="24"/>
        <v>Female</v>
      </c>
      <c r="K251" t="str">
        <f t="shared" si="25"/>
        <v>Singaporean</v>
      </c>
      <c r="L251" t="str">
        <f t="shared" si="26"/>
        <v xml:space="preserve">Case 516 is a Local unlinked case, 42 years old female Singapore Citizen  and has not been overseas. She is currently admitted at CGH . </v>
      </c>
      <c r="M251" t="str">
        <f t="shared" si="27"/>
        <v/>
      </c>
      <c r="N251" t="str">
        <f t="shared" si="28"/>
        <v/>
      </c>
      <c r="O251" t="str">
        <f t="shared" si="29"/>
        <v/>
      </c>
      <c r="P251" t="str">
        <f t="shared" si="30"/>
        <v/>
      </c>
    </row>
    <row r="252" spans="1:16" x14ac:dyDescent="0.3">
      <c r="A252">
        <v>517</v>
      </c>
      <c r="B252" s="23">
        <v>43913</v>
      </c>
      <c r="C252" t="s">
        <v>1071</v>
      </c>
      <c r="D252">
        <v>37</v>
      </c>
      <c r="E252" t="s">
        <v>1059</v>
      </c>
      <c r="F252" t="s">
        <v>1060</v>
      </c>
      <c r="G252" t="s">
        <v>1213</v>
      </c>
      <c r="H252" t="s">
        <v>1069</v>
      </c>
      <c r="I252" t="s">
        <v>1221</v>
      </c>
      <c r="J252" t="str">
        <f t="shared" si="24"/>
        <v>Male</v>
      </c>
      <c r="K252" t="str">
        <f t="shared" si="25"/>
        <v>Singaporean</v>
      </c>
      <c r="L252" t="str">
        <f t="shared" si="26"/>
        <v>Case 517 is a Imported  case, 37 years old male Singapore Citizen  and has been to France, UK . He is currently admitted at NCID . Family member of Case 459; Contact of Case 490</v>
      </c>
      <c r="M252">
        <f t="shared" si="27"/>
        <v>517</v>
      </c>
      <c r="N252" t="str">
        <f t="shared" si="28"/>
        <v xml:space="preserve">France, UK </v>
      </c>
      <c r="O252">
        <f t="shared" si="29"/>
        <v>517</v>
      </c>
      <c r="P252" t="str">
        <f t="shared" si="30"/>
        <v>Family member of Case 459; Contact of Case 490</v>
      </c>
    </row>
    <row r="253" spans="1:16" x14ac:dyDescent="0.3">
      <c r="A253">
        <v>518</v>
      </c>
      <c r="B253" s="23">
        <v>43913</v>
      </c>
      <c r="C253" t="s">
        <v>1138</v>
      </c>
      <c r="D253">
        <v>46</v>
      </c>
      <c r="E253" t="s">
        <v>1059</v>
      </c>
      <c r="F253" t="s">
        <v>1174</v>
      </c>
      <c r="G253" t="s">
        <v>1085</v>
      </c>
      <c r="H253" t="s">
        <v>77</v>
      </c>
      <c r="J253" t="str">
        <f t="shared" si="24"/>
        <v>Male</v>
      </c>
      <c r="K253" t="str">
        <f t="shared" si="25"/>
        <v>Australia</v>
      </c>
      <c r="L253" t="str">
        <f t="shared" si="26"/>
        <v xml:space="preserve">Case 518 is a Imported case, 46 years old male Australia (Long Term Pass holder)  and has been to US . He is currently admitted at SGH . </v>
      </c>
      <c r="M253">
        <f t="shared" si="27"/>
        <v>518</v>
      </c>
      <c r="N253" t="str">
        <f t="shared" si="28"/>
        <v xml:space="preserve">US </v>
      </c>
      <c r="O253" t="str">
        <f t="shared" si="29"/>
        <v/>
      </c>
      <c r="P253" t="str">
        <f t="shared" si="30"/>
        <v/>
      </c>
    </row>
    <row r="254" spans="1:16" x14ac:dyDescent="0.3">
      <c r="A254">
        <v>519</v>
      </c>
      <c r="B254" s="23">
        <v>43913</v>
      </c>
      <c r="C254" t="s">
        <v>1138</v>
      </c>
      <c r="D254">
        <v>44</v>
      </c>
      <c r="E254" t="s">
        <v>1059</v>
      </c>
      <c r="F254" t="s">
        <v>802</v>
      </c>
      <c r="G254" t="s">
        <v>802</v>
      </c>
      <c r="H254" t="s">
        <v>77</v>
      </c>
      <c r="J254" t="str">
        <f t="shared" si="24"/>
        <v>Male</v>
      </c>
      <c r="K254" t="str">
        <f t="shared" si="25"/>
        <v xml:space="preserve">Germany </v>
      </c>
      <c r="L254" t="str">
        <f t="shared" si="26"/>
        <v xml:space="preserve">Case 519 is a Imported case, 44 years old male Germany  and has been to Germany . He is currently admitted at SGH . </v>
      </c>
      <c r="M254">
        <f t="shared" si="27"/>
        <v>519</v>
      </c>
      <c r="N254" t="str">
        <f t="shared" si="28"/>
        <v xml:space="preserve">Germany </v>
      </c>
      <c r="O254" t="str">
        <f t="shared" si="29"/>
        <v/>
      </c>
      <c r="P254" t="str">
        <f t="shared" si="30"/>
        <v/>
      </c>
    </row>
    <row r="255" spans="1:16" x14ac:dyDescent="0.3">
      <c r="A255">
        <v>520</v>
      </c>
      <c r="B255" s="23">
        <v>43913</v>
      </c>
      <c r="D255">
        <v>71</v>
      </c>
      <c r="E255" t="s">
        <v>1059</v>
      </c>
      <c r="F255" t="s">
        <v>1060</v>
      </c>
      <c r="H255" t="s">
        <v>1086</v>
      </c>
      <c r="I255" t="s">
        <v>1222</v>
      </c>
      <c r="J255" t="str">
        <f t="shared" si="24"/>
        <v>Male</v>
      </c>
      <c r="K255" t="str">
        <f t="shared" si="25"/>
        <v>Singaporean</v>
      </c>
      <c r="L255" t="str">
        <f t="shared" si="26"/>
        <v>Case 520 is a Local linked  case, 71 years old male Singapore Citizen  and has not been overseas. He is currently admitted at . Contact of Case 94</v>
      </c>
      <c r="M255" t="str">
        <f t="shared" si="27"/>
        <v/>
      </c>
      <c r="N255" t="str">
        <f t="shared" si="28"/>
        <v/>
      </c>
      <c r="O255">
        <f t="shared" si="29"/>
        <v>520</v>
      </c>
      <c r="P255" t="str">
        <f t="shared" si="30"/>
        <v>Contact of Case 94</v>
      </c>
    </row>
    <row r="256" spans="1:16" x14ac:dyDescent="0.3">
      <c r="A256">
        <v>521</v>
      </c>
      <c r="B256" s="23">
        <v>43913</v>
      </c>
      <c r="C256" t="s">
        <v>1064</v>
      </c>
      <c r="D256">
        <v>37</v>
      </c>
      <c r="E256" t="s">
        <v>1073</v>
      </c>
      <c r="F256" t="s">
        <v>1060</v>
      </c>
      <c r="G256" t="s">
        <v>360</v>
      </c>
      <c r="H256" t="s">
        <v>1061</v>
      </c>
      <c r="J256" t="str">
        <f t="shared" si="24"/>
        <v>Female</v>
      </c>
      <c r="K256" t="str">
        <f t="shared" si="25"/>
        <v>Singaporean</v>
      </c>
      <c r="L256" t="str">
        <f t="shared" si="26"/>
        <v xml:space="preserve">Case 521 is a Local unlinked case, 37 years old female Singapore Citizen  and has been to Malaysia . She is currently admitted at CGH . </v>
      </c>
      <c r="M256">
        <f t="shared" si="27"/>
        <v>521</v>
      </c>
      <c r="N256" t="str">
        <f t="shared" si="28"/>
        <v xml:space="preserve">Malaysia </v>
      </c>
      <c r="O256" t="str">
        <f t="shared" si="29"/>
        <v/>
      </c>
      <c r="P256" t="str">
        <f t="shared" si="30"/>
        <v/>
      </c>
    </row>
    <row r="257" spans="1:16" x14ac:dyDescent="0.3">
      <c r="A257">
        <v>522</v>
      </c>
      <c r="B257" s="23">
        <v>43913</v>
      </c>
      <c r="C257" t="s">
        <v>1071</v>
      </c>
      <c r="D257">
        <v>45</v>
      </c>
      <c r="E257" t="s">
        <v>1073</v>
      </c>
      <c r="F257" t="s">
        <v>1072</v>
      </c>
      <c r="G257" t="s">
        <v>1085</v>
      </c>
      <c r="H257" t="s">
        <v>77</v>
      </c>
      <c r="J257" t="str">
        <f t="shared" si="24"/>
        <v>Female</v>
      </c>
      <c r="K257" t="str">
        <f t="shared" si="25"/>
        <v>Singaporean</v>
      </c>
      <c r="L257" t="str">
        <f t="shared" si="26"/>
        <v xml:space="preserve">Case 522 is a Imported case, 45 years old female Singapore Permanent Resident  and has been to US . She is currently admitted at NCID . </v>
      </c>
      <c r="M257">
        <f t="shared" si="27"/>
        <v>522</v>
      </c>
      <c r="N257" t="str">
        <f t="shared" si="28"/>
        <v xml:space="preserve">US </v>
      </c>
      <c r="O257" t="str">
        <f t="shared" si="29"/>
        <v/>
      </c>
      <c r="P257" t="str">
        <f t="shared" si="30"/>
        <v/>
      </c>
    </row>
    <row r="258" spans="1:16" x14ac:dyDescent="0.3">
      <c r="A258">
        <v>523</v>
      </c>
      <c r="B258" s="23">
        <v>43913</v>
      </c>
      <c r="C258" t="s">
        <v>1161</v>
      </c>
      <c r="D258">
        <v>9</v>
      </c>
      <c r="E258" t="s">
        <v>1059</v>
      </c>
      <c r="F258" t="s">
        <v>1165</v>
      </c>
      <c r="G258" t="s">
        <v>706</v>
      </c>
      <c r="H258" t="s">
        <v>1069</v>
      </c>
      <c r="I258" t="s">
        <v>1223</v>
      </c>
      <c r="J258" t="str">
        <f t="shared" si="24"/>
        <v>Male</v>
      </c>
      <c r="K258" t="str">
        <f t="shared" si="25"/>
        <v>Philippines</v>
      </c>
      <c r="L258" t="str">
        <f t="shared" si="26"/>
        <v>Case 523 is a Imported  case, 9 years old male Philippines (Long Term Pass holder)  and has been to Philippines . He is currently admitted at KKH . Family member of Case 394</v>
      </c>
      <c r="M258">
        <f t="shared" si="27"/>
        <v>523</v>
      </c>
      <c r="N258" t="str">
        <f t="shared" si="28"/>
        <v xml:space="preserve">Philippines </v>
      </c>
      <c r="O258">
        <f t="shared" si="29"/>
        <v>523</v>
      </c>
      <c r="P258" t="str">
        <f t="shared" si="30"/>
        <v>Family member of Case 394</v>
      </c>
    </row>
    <row r="259" spans="1:16" x14ac:dyDescent="0.3">
      <c r="A259">
        <v>524</v>
      </c>
      <c r="B259" s="23">
        <v>43913</v>
      </c>
      <c r="C259" t="s">
        <v>1071</v>
      </c>
      <c r="D259">
        <v>61</v>
      </c>
      <c r="E259" t="s">
        <v>1059</v>
      </c>
      <c r="F259" t="s">
        <v>1060</v>
      </c>
      <c r="H259" t="s">
        <v>1061</v>
      </c>
      <c r="J259" t="str">
        <f t="shared" si="24"/>
        <v>Male</v>
      </c>
      <c r="K259" t="str">
        <f t="shared" si="25"/>
        <v>Singaporean</v>
      </c>
      <c r="L259" t="str">
        <f t="shared" si="26"/>
        <v xml:space="preserve">Case 524 is a Local unlinked case, 61 years old male Singapore Citizen  and has not been overseas. He is currently admitted at NCID . </v>
      </c>
      <c r="M259" t="str">
        <f t="shared" si="27"/>
        <v/>
      </c>
      <c r="N259" t="str">
        <f t="shared" si="28"/>
        <v/>
      </c>
      <c r="O259" t="str">
        <f t="shared" si="29"/>
        <v/>
      </c>
      <c r="P259" t="str">
        <f t="shared" si="30"/>
        <v/>
      </c>
    </row>
    <row r="260" spans="1:16" x14ac:dyDescent="0.3">
      <c r="A260">
        <v>525</v>
      </c>
      <c r="B260" s="23">
        <v>43913</v>
      </c>
      <c r="C260" t="s">
        <v>1071</v>
      </c>
      <c r="D260">
        <v>64</v>
      </c>
      <c r="E260" t="s">
        <v>1073</v>
      </c>
      <c r="F260" t="s">
        <v>1060</v>
      </c>
      <c r="H260" t="s">
        <v>1061</v>
      </c>
      <c r="J260" t="str">
        <f t="shared" si="24"/>
        <v>Female</v>
      </c>
      <c r="K260" t="str">
        <f t="shared" si="25"/>
        <v>Singaporean</v>
      </c>
      <c r="L260" t="str">
        <f t="shared" si="26"/>
        <v xml:space="preserve">Case 525 is a Local unlinked case, 64 years old female Singapore Citizen  and has not been overseas. She is currently admitted at NCID . </v>
      </c>
      <c r="M260" t="str">
        <f t="shared" si="27"/>
        <v/>
      </c>
      <c r="N260" t="str">
        <f t="shared" si="28"/>
        <v/>
      </c>
      <c r="O260" t="str">
        <f t="shared" si="29"/>
        <v/>
      </c>
      <c r="P260" t="str">
        <f t="shared" si="30"/>
        <v/>
      </c>
    </row>
    <row r="261" spans="1:16" x14ac:dyDescent="0.3">
      <c r="A261">
        <v>526</v>
      </c>
      <c r="B261" s="23">
        <v>43913</v>
      </c>
      <c r="C261" t="s">
        <v>1071</v>
      </c>
      <c r="D261">
        <v>22</v>
      </c>
      <c r="E261" t="s">
        <v>1073</v>
      </c>
      <c r="F261" t="s">
        <v>1060</v>
      </c>
      <c r="G261" t="s">
        <v>1085</v>
      </c>
      <c r="H261" t="s">
        <v>77</v>
      </c>
      <c r="J261" t="str">
        <f t="shared" si="24"/>
        <v>Female</v>
      </c>
      <c r="K261" t="str">
        <f t="shared" si="25"/>
        <v>Singaporean</v>
      </c>
      <c r="L261" t="str">
        <f t="shared" si="26"/>
        <v xml:space="preserve">Case 526 is a Imported case, 22 years old female Singapore Citizen  and has been to US . She is currently admitted at NCID . </v>
      </c>
      <c r="M261">
        <f t="shared" si="27"/>
        <v>526</v>
      </c>
      <c r="N261" t="str">
        <f t="shared" si="28"/>
        <v xml:space="preserve">US </v>
      </c>
      <c r="O261" t="str">
        <f t="shared" si="29"/>
        <v/>
      </c>
      <c r="P261" t="str">
        <f t="shared" si="30"/>
        <v/>
      </c>
    </row>
    <row r="262" spans="1:16" x14ac:dyDescent="0.3">
      <c r="A262">
        <v>527</v>
      </c>
      <c r="B262" s="23">
        <v>43913</v>
      </c>
      <c r="C262" t="s">
        <v>1058</v>
      </c>
      <c r="D262">
        <v>44</v>
      </c>
      <c r="E262" t="s">
        <v>1059</v>
      </c>
      <c r="F262" t="s">
        <v>1060</v>
      </c>
      <c r="H262" t="s">
        <v>1061</v>
      </c>
      <c r="J262" t="str">
        <f t="shared" si="24"/>
        <v>Male</v>
      </c>
      <c r="K262" t="str">
        <f t="shared" si="25"/>
        <v>Singaporean</v>
      </c>
      <c r="L262" t="str">
        <f t="shared" si="26"/>
        <v xml:space="preserve">Case 527 is a Local unlinked case, 44 years old male Singapore Citizen  and has not been overseas. He is currently admitted at KTPH . </v>
      </c>
      <c r="M262" t="str">
        <f t="shared" si="27"/>
        <v/>
      </c>
      <c r="N262" t="str">
        <f t="shared" si="28"/>
        <v/>
      </c>
      <c r="O262" t="str">
        <f t="shared" si="29"/>
        <v/>
      </c>
      <c r="P262" t="str">
        <f t="shared" si="30"/>
        <v/>
      </c>
    </row>
    <row r="263" spans="1:16" x14ac:dyDescent="0.3">
      <c r="A263">
        <v>528</v>
      </c>
      <c r="B263" s="23">
        <v>43914</v>
      </c>
      <c r="C263" t="s">
        <v>1058</v>
      </c>
      <c r="D263">
        <v>50</v>
      </c>
      <c r="E263" t="s">
        <v>1059</v>
      </c>
      <c r="F263" t="s">
        <v>1060</v>
      </c>
      <c r="H263" t="s">
        <v>1061</v>
      </c>
      <c r="J263" t="str">
        <f t="shared" si="24"/>
        <v>Male</v>
      </c>
      <c r="K263" t="str">
        <f t="shared" si="25"/>
        <v>Singaporean</v>
      </c>
      <c r="L263" t="str">
        <f t="shared" si="26"/>
        <v xml:space="preserve">Case 528 is a Local unlinked case, 50 years old male Singapore Citizen  and has not been overseas. He is currently admitted at KTPH . </v>
      </c>
      <c r="M263" t="str">
        <f t="shared" si="27"/>
        <v/>
      </c>
      <c r="N263" t="str">
        <f t="shared" si="28"/>
        <v/>
      </c>
      <c r="O263" t="str">
        <f t="shared" si="29"/>
        <v/>
      </c>
      <c r="P263" t="str">
        <f t="shared" si="30"/>
        <v/>
      </c>
    </row>
    <row r="264" spans="1:16" x14ac:dyDescent="0.3">
      <c r="A264">
        <v>529</v>
      </c>
      <c r="B264" s="23">
        <v>43914</v>
      </c>
      <c r="C264" t="s">
        <v>1062</v>
      </c>
      <c r="D264">
        <v>19</v>
      </c>
      <c r="E264" t="s">
        <v>1073</v>
      </c>
      <c r="F264" t="s">
        <v>1060</v>
      </c>
      <c r="G264" t="s">
        <v>1051</v>
      </c>
      <c r="H264" t="s">
        <v>77</v>
      </c>
      <c r="J264" t="str">
        <f t="shared" si="24"/>
        <v>Female</v>
      </c>
      <c r="K264" t="str">
        <f t="shared" si="25"/>
        <v>Singaporean</v>
      </c>
      <c r="L264" t="str">
        <f t="shared" si="26"/>
        <v xml:space="preserve">Case 529 is a Imported case, 19 years old female Singapore Citizen  and has been to Europe . She is currently admitted at NTFGH . </v>
      </c>
      <c r="M264">
        <f t="shared" si="27"/>
        <v>529</v>
      </c>
      <c r="N264" t="str">
        <f t="shared" si="28"/>
        <v xml:space="preserve">Europe </v>
      </c>
      <c r="O264" t="str">
        <f t="shared" si="29"/>
        <v/>
      </c>
      <c r="P264" t="str">
        <f t="shared" si="30"/>
        <v/>
      </c>
    </row>
    <row r="265" spans="1:16" x14ac:dyDescent="0.3">
      <c r="A265">
        <v>530</v>
      </c>
      <c r="B265" s="23">
        <v>43914</v>
      </c>
      <c r="C265" t="s">
        <v>343</v>
      </c>
      <c r="D265">
        <v>35</v>
      </c>
      <c r="E265" t="s">
        <v>1059</v>
      </c>
      <c r="F265" t="s">
        <v>1060</v>
      </c>
      <c r="G265" t="s">
        <v>1085</v>
      </c>
      <c r="H265" t="s">
        <v>77</v>
      </c>
      <c r="J265" t="str">
        <f t="shared" si="24"/>
        <v>Male</v>
      </c>
      <c r="K265" t="str">
        <f t="shared" si="25"/>
        <v>Singaporean</v>
      </c>
      <c r="L265" t="str">
        <f t="shared" si="26"/>
        <v xml:space="preserve">Case 530 is a Imported case, 35 years old male Singapore Citizen  and has been to US . He is currently admitted at NUH . </v>
      </c>
      <c r="M265">
        <f t="shared" si="27"/>
        <v>530</v>
      </c>
      <c r="N265" t="str">
        <f t="shared" si="28"/>
        <v xml:space="preserve">US </v>
      </c>
      <c r="O265" t="str">
        <f t="shared" si="29"/>
        <v/>
      </c>
      <c r="P265" t="str">
        <f t="shared" si="30"/>
        <v/>
      </c>
    </row>
    <row r="266" spans="1:16" x14ac:dyDescent="0.3">
      <c r="A266">
        <v>531</v>
      </c>
      <c r="B266" s="23">
        <v>43914</v>
      </c>
      <c r="C266" t="s">
        <v>1066</v>
      </c>
      <c r="D266">
        <v>43</v>
      </c>
      <c r="E266" t="s">
        <v>1059</v>
      </c>
      <c r="F266" t="s">
        <v>1224</v>
      </c>
      <c r="H266" t="s">
        <v>1061</v>
      </c>
      <c r="J266" t="str">
        <f t="shared" si="24"/>
        <v>Male</v>
      </c>
      <c r="K266" t="str">
        <f t="shared" si="25"/>
        <v>India</v>
      </c>
      <c r="L266" t="str">
        <f t="shared" si="26"/>
        <v xml:space="preserve">Case 531 is a Local unlinked case, 43 years old male India (Singapore Work Pass holder)   and has not been overseas. He is currently admitted at SKH . </v>
      </c>
      <c r="M266" t="str">
        <f t="shared" si="27"/>
        <v/>
      </c>
      <c r="N266" t="str">
        <f t="shared" si="28"/>
        <v/>
      </c>
      <c r="O266" t="str">
        <f t="shared" si="29"/>
        <v/>
      </c>
      <c r="P266" t="str">
        <f t="shared" si="30"/>
        <v/>
      </c>
    </row>
    <row r="267" spans="1:16" x14ac:dyDescent="0.3">
      <c r="A267">
        <v>532</v>
      </c>
      <c r="B267" s="23">
        <v>43914</v>
      </c>
      <c r="C267" t="s">
        <v>1066</v>
      </c>
      <c r="D267">
        <v>44</v>
      </c>
      <c r="E267" t="s">
        <v>1059</v>
      </c>
      <c r="F267" t="s">
        <v>1060</v>
      </c>
      <c r="G267" t="s">
        <v>1225</v>
      </c>
      <c r="H267" t="s">
        <v>77</v>
      </c>
      <c r="J267" t="str">
        <f t="shared" si="24"/>
        <v>Male</v>
      </c>
      <c r="K267" t="str">
        <f t="shared" si="25"/>
        <v>Singaporean</v>
      </c>
      <c r="L267" t="str">
        <f t="shared" si="26"/>
        <v xml:space="preserve">Case 532 is a Imported case, 44 years old male Singapore Citizen  and has been to ASEAN . He is currently admitted at SKH . </v>
      </c>
      <c r="M267">
        <f t="shared" si="27"/>
        <v>532</v>
      </c>
      <c r="N267" t="str">
        <f t="shared" si="28"/>
        <v xml:space="preserve">ASEAN </v>
      </c>
      <c r="O267" t="str">
        <f t="shared" si="29"/>
        <v/>
      </c>
      <c r="P267" t="str">
        <f t="shared" si="30"/>
        <v/>
      </c>
    </row>
    <row r="268" spans="1:16" x14ac:dyDescent="0.3">
      <c r="A268">
        <v>533</v>
      </c>
      <c r="B268" s="23">
        <v>43914</v>
      </c>
      <c r="C268" t="s">
        <v>1066</v>
      </c>
      <c r="D268">
        <v>61</v>
      </c>
      <c r="E268" t="s">
        <v>1059</v>
      </c>
      <c r="F268" t="s">
        <v>1060</v>
      </c>
      <c r="H268" t="s">
        <v>1061</v>
      </c>
      <c r="J268" t="str">
        <f t="shared" si="24"/>
        <v>Male</v>
      </c>
      <c r="K268" t="str">
        <f t="shared" si="25"/>
        <v>Singaporean</v>
      </c>
      <c r="L268" t="str">
        <f t="shared" si="26"/>
        <v xml:space="preserve">Case 533 is a Local unlinked case, 61 years old male Singapore Citizen  and has not been overseas. He is currently admitted at SKH . </v>
      </c>
      <c r="M268" t="str">
        <f t="shared" si="27"/>
        <v/>
      </c>
      <c r="N268" t="str">
        <f t="shared" si="28"/>
        <v/>
      </c>
      <c r="O268" t="str">
        <f t="shared" si="29"/>
        <v/>
      </c>
      <c r="P268" t="str">
        <f t="shared" si="30"/>
        <v/>
      </c>
    </row>
    <row r="269" spans="1:16" x14ac:dyDescent="0.3">
      <c r="A269">
        <v>534</v>
      </c>
      <c r="B269" s="23">
        <v>43914</v>
      </c>
      <c r="C269" t="s">
        <v>1071</v>
      </c>
      <c r="D269">
        <v>34</v>
      </c>
      <c r="E269" t="s">
        <v>1059</v>
      </c>
      <c r="F269" t="s">
        <v>1186</v>
      </c>
      <c r="G269" t="s">
        <v>1051</v>
      </c>
      <c r="H269" t="s">
        <v>1069</v>
      </c>
      <c r="J269" t="str">
        <f t="shared" si="24"/>
        <v>Male</v>
      </c>
      <c r="K269" t="str">
        <f t="shared" si="25"/>
        <v>UK</v>
      </c>
      <c r="L269" t="str">
        <f t="shared" si="26"/>
        <v xml:space="preserve">Case 534 is a Imported  case, 34 years old male UK (Singapore Work Pass holder)  and has been to Europe . He is currently admitted at NCID . </v>
      </c>
      <c r="M269">
        <f t="shared" si="27"/>
        <v>534</v>
      </c>
      <c r="N269" t="str">
        <f t="shared" si="28"/>
        <v xml:space="preserve">Europe </v>
      </c>
      <c r="O269" t="str">
        <f t="shared" si="29"/>
        <v/>
      </c>
      <c r="P269" t="str">
        <f t="shared" si="30"/>
        <v/>
      </c>
    </row>
    <row r="270" spans="1:16" x14ac:dyDescent="0.3">
      <c r="A270">
        <v>535</v>
      </c>
      <c r="B270" s="23">
        <v>43914</v>
      </c>
      <c r="C270" t="s">
        <v>1062</v>
      </c>
      <c r="D270">
        <v>61</v>
      </c>
      <c r="E270" t="s">
        <v>1059</v>
      </c>
      <c r="F270" t="s">
        <v>1060</v>
      </c>
      <c r="H270" t="s">
        <v>936</v>
      </c>
      <c r="J270" t="str">
        <f t="shared" si="24"/>
        <v>Male</v>
      </c>
      <c r="K270" t="str">
        <f t="shared" si="25"/>
        <v>Singaporean</v>
      </c>
      <c r="L270" t="str">
        <f t="shared" si="26"/>
        <v xml:space="preserve">Case 535 is a Local Unlinked case, 61 years old male Singapore Citizen  and has not been overseas. He is currently admitted at NTFGH . </v>
      </c>
      <c r="M270" t="str">
        <f t="shared" si="27"/>
        <v/>
      </c>
      <c r="N270" t="str">
        <f t="shared" si="28"/>
        <v/>
      </c>
      <c r="O270" t="str">
        <f t="shared" si="29"/>
        <v/>
      </c>
      <c r="P270" t="str">
        <f t="shared" si="30"/>
        <v/>
      </c>
    </row>
    <row r="271" spans="1:16" x14ac:dyDescent="0.3">
      <c r="A271">
        <v>536</v>
      </c>
      <c r="B271" s="23">
        <v>43913</v>
      </c>
      <c r="C271" t="s">
        <v>1226</v>
      </c>
      <c r="D271">
        <v>86</v>
      </c>
      <c r="E271" t="s">
        <v>1073</v>
      </c>
      <c r="F271" t="s">
        <v>1060</v>
      </c>
      <c r="H271" t="s">
        <v>1061</v>
      </c>
      <c r="J271" t="str">
        <f t="shared" si="24"/>
        <v>Female</v>
      </c>
      <c r="K271" t="str">
        <f t="shared" si="25"/>
        <v>Singaporean</v>
      </c>
      <c r="L271" t="str">
        <f t="shared" si="26"/>
        <v xml:space="preserve">Case 536 is a Local unlinked case, 86 years old female Singapore Citizen  and has not been overseas. She is currently admitted at MAH . </v>
      </c>
      <c r="M271" t="str">
        <f t="shared" si="27"/>
        <v/>
      </c>
      <c r="N271" t="str">
        <f t="shared" si="28"/>
        <v/>
      </c>
      <c r="O271" t="str">
        <f t="shared" si="29"/>
        <v/>
      </c>
      <c r="P271" t="str">
        <f t="shared" si="30"/>
        <v/>
      </c>
    </row>
    <row r="272" spans="1:16" x14ac:dyDescent="0.3">
      <c r="A272">
        <v>537</v>
      </c>
      <c r="B272" s="23">
        <v>43913</v>
      </c>
      <c r="C272" t="s">
        <v>1071</v>
      </c>
      <c r="D272">
        <v>22</v>
      </c>
      <c r="E272" t="s">
        <v>1073</v>
      </c>
      <c r="F272" t="s">
        <v>1060</v>
      </c>
      <c r="G272" t="s">
        <v>1051</v>
      </c>
      <c r="H272" t="s">
        <v>77</v>
      </c>
      <c r="J272" t="str">
        <f t="shared" si="24"/>
        <v>Female</v>
      </c>
      <c r="K272" t="str">
        <f t="shared" si="25"/>
        <v>Singaporean</v>
      </c>
      <c r="L272" t="str">
        <f t="shared" si="26"/>
        <v xml:space="preserve">Case 537 is a Imported case, 22 years old female Singapore Citizen  and has been to Europe . She is currently admitted at NCID . </v>
      </c>
      <c r="M272">
        <f t="shared" si="27"/>
        <v>537</v>
      </c>
      <c r="N272" t="str">
        <f t="shared" si="28"/>
        <v xml:space="preserve">Europe </v>
      </c>
      <c r="O272" t="str">
        <f t="shared" si="29"/>
        <v/>
      </c>
      <c r="P272" t="str">
        <f t="shared" si="30"/>
        <v/>
      </c>
    </row>
    <row r="273" spans="1:16" x14ac:dyDescent="0.3">
      <c r="A273">
        <v>538</v>
      </c>
      <c r="B273" s="23">
        <v>43913</v>
      </c>
      <c r="C273" t="s">
        <v>1071</v>
      </c>
      <c r="D273">
        <v>50</v>
      </c>
      <c r="E273" t="s">
        <v>1059</v>
      </c>
      <c r="F273" t="s">
        <v>1060</v>
      </c>
      <c r="G273" t="s">
        <v>1225</v>
      </c>
      <c r="H273" t="s">
        <v>77</v>
      </c>
      <c r="J273" t="str">
        <f t="shared" si="24"/>
        <v>Male</v>
      </c>
      <c r="K273" t="str">
        <f t="shared" si="25"/>
        <v>Singaporean</v>
      </c>
      <c r="L273" t="str">
        <f t="shared" si="26"/>
        <v xml:space="preserve">Case 538 is a Imported case, 50 years old male Singapore Citizen  and has been to ASEAN . He is currently admitted at NCID . </v>
      </c>
      <c r="M273">
        <f t="shared" si="27"/>
        <v>538</v>
      </c>
      <c r="N273" t="str">
        <f t="shared" si="28"/>
        <v xml:space="preserve">ASEAN </v>
      </c>
      <c r="O273" t="str">
        <f t="shared" si="29"/>
        <v/>
      </c>
      <c r="P273" t="str">
        <f t="shared" si="30"/>
        <v/>
      </c>
    </row>
    <row r="274" spans="1:16" x14ac:dyDescent="0.3">
      <c r="A274">
        <v>539</v>
      </c>
      <c r="B274" s="23">
        <v>43914</v>
      </c>
      <c r="C274" t="s">
        <v>1138</v>
      </c>
      <c r="D274">
        <v>74</v>
      </c>
      <c r="E274" t="s">
        <v>1073</v>
      </c>
      <c r="F274" t="s">
        <v>1060</v>
      </c>
      <c r="H274" t="s">
        <v>1086</v>
      </c>
      <c r="I274" t="s">
        <v>1227</v>
      </c>
      <c r="J274" t="str">
        <f t="shared" si="24"/>
        <v>Female</v>
      </c>
      <c r="K274" t="str">
        <f t="shared" si="25"/>
        <v>Singaporean</v>
      </c>
      <c r="L274" t="str">
        <f t="shared" si="26"/>
        <v>Case 539 is a Local linked  case, 74 years old female Singapore Citizen  and has not been overseas. She is currently admitted at SGH . Contact of Cases 338 and 367</v>
      </c>
      <c r="M274" t="str">
        <f t="shared" si="27"/>
        <v/>
      </c>
      <c r="N274" t="str">
        <f t="shared" si="28"/>
        <v/>
      </c>
      <c r="O274">
        <f t="shared" si="29"/>
        <v>539</v>
      </c>
      <c r="P274" t="str">
        <f t="shared" si="30"/>
        <v>Contact of Cases 338 and 367</v>
      </c>
    </row>
    <row r="275" spans="1:16" x14ac:dyDescent="0.3">
      <c r="A275">
        <v>540</v>
      </c>
      <c r="B275" s="23">
        <v>43914</v>
      </c>
      <c r="C275" t="s">
        <v>343</v>
      </c>
      <c r="D275">
        <v>23</v>
      </c>
      <c r="E275" t="s">
        <v>1059</v>
      </c>
      <c r="F275" t="s">
        <v>1060</v>
      </c>
      <c r="G275" t="s">
        <v>1085</v>
      </c>
      <c r="H275" t="s">
        <v>77</v>
      </c>
      <c r="J275" t="str">
        <f t="shared" si="24"/>
        <v>Male</v>
      </c>
      <c r="K275" t="str">
        <f t="shared" si="25"/>
        <v>Singaporean</v>
      </c>
      <c r="L275" t="str">
        <f t="shared" si="26"/>
        <v xml:space="preserve">Case 540 is a Imported case, 23 years old male Singapore Citizen  and has been to US . He is currently admitted at NUH . </v>
      </c>
      <c r="M275">
        <f t="shared" si="27"/>
        <v>540</v>
      </c>
      <c r="N275" t="str">
        <f t="shared" si="28"/>
        <v xml:space="preserve">US </v>
      </c>
      <c r="O275" t="str">
        <f t="shared" si="29"/>
        <v/>
      </c>
      <c r="P275" t="str">
        <f t="shared" si="30"/>
        <v/>
      </c>
    </row>
    <row r="276" spans="1:16" x14ac:dyDescent="0.3">
      <c r="A276">
        <v>541</v>
      </c>
      <c r="B276" s="23">
        <v>43914</v>
      </c>
      <c r="C276" t="s">
        <v>1071</v>
      </c>
      <c r="D276">
        <v>20</v>
      </c>
      <c r="E276" t="s">
        <v>1073</v>
      </c>
      <c r="F276" t="s">
        <v>1060</v>
      </c>
      <c r="G276" t="s">
        <v>1051</v>
      </c>
      <c r="H276" t="s">
        <v>77</v>
      </c>
      <c r="J276" t="str">
        <f t="shared" si="24"/>
        <v>Female</v>
      </c>
      <c r="K276" t="str">
        <f t="shared" si="25"/>
        <v>Singaporean</v>
      </c>
      <c r="L276" t="str">
        <f t="shared" si="26"/>
        <v xml:space="preserve">Case 541 is a Imported case, 20 years old female Singapore Citizen  and has been to Europe . She is currently admitted at NCID . </v>
      </c>
      <c r="M276">
        <f t="shared" si="27"/>
        <v>541</v>
      </c>
      <c r="N276" t="str">
        <f t="shared" si="28"/>
        <v xml:space="preserve">Europe </v>
      </c>
      <c r="O276" t="str">
        <f t="shared" si="29"/>
        <v/>
      </c>
      <c r="P276" t="str">
        <f t="shared" si="30"/>
        <v/>
      </c>
    </row>
    <row r="277" spans="1:16" x14ac:dyDescent="0.3">
      <c r="A277">
        <v>542</v>
      </c>
      <c r="B277" s="23">
        <v>43914</v>
      </c>
      <c r="C277" t="s">
        <v>1071</v>
      </c>
      <c r="D277">
        <v>23</v>
      </c>
      <c r="E277" t="s">
        <v>1059</v>
      </c>
      <c r="F277" t="s">
        <v>1060</v>
      </c>
      <c r="G277" t="s">
        <v>1051</v>
      </c>
      <c r="H277" t="s">
        <v>77</v>
      </c>
      <c r="J277" t="str">
        <f t="shared" si="24"/>
        <v>Male</v>
      </c>
      <c r="K277" t="str">
        <f t="shared" si="25"/>
        <v>Singaporean</v>
      </c>
      <c r="L277" t="str">
        <f t="shared" si="26"/>
        <v xml:space="preserve">Case 542 is a Imported case, 23 years old male Singapore Citizen  and has been to Europe . He is currently admitted at NCID . </v>
      </c>
      <c r="M277">
        <f t="shared" si="27"/>
        <v>542</v>
      </c>
      <c r="N277" t="str">
        <f t="shared" si="28"/>
        <v xml:space="preserve">Europe </v>
      </c>
      <c r="O277" t="str">
        <f t="shared" si="29"/>
        <v/>
      </c>
      <c r="P277" t="str">
        <f t="shared" si="30"/>
        <v/>
      </c>
    </row>
    <row r="278" spans="1:16" x14ac:dyDescent="0.3">
      <c r="A278">
        <v>543</v>
      </c>
      <c r="B278" s="23">
        <v>43914</v>
      </c>
      <c r="C278" t="s">
        <v>1071</v>
      </c>
      <c r="D278">
        <v>19</v>
      </c>
      <c r="E278" t="s">
        <v>1073</v>
      </c>
      <c r="F278" t="s">
        <v>1060</v>
      </c>
      <c r="G278" t="s">
        <v>1051</v>
      </c>
      <c r="H278" t="s">
        <v>77</v>
      </c>
      <c r="J278" t="str">
        <f t="shared" si="24"/>
        <v>Female</v>
      </c>
      <c r="K278" t="str">
        <f t="shared" si="25"/>
        <v>Singaporean</v>
      </c>
      <c r="L278" t="str">
        <f t="shared" si="26"/>
        <v xml:space="preserve">Case 543 is a Imported case, 19 years old female Singapore Citizen  and has been to Europe . She is currently admitted at NCID . </v>
      </c>
      <c r="M278">
        <f t="shared" si="27"/>
        <v>543</v>
      </c>
      <c r="N278" t="str">
        <f t="shared" si="28"/>
        <v xml:space="preserve">Europe </v>
      </c>
      <c r="O278" t="str">
        <f t="shared" si="29"/>
        <v/>
      </c>
      <c r="P278" t="str">
        <f t="shared" si="30"/>
        <v/>
      </c>
    </row>
    <row r="279" spans="1:16" x14ac:dyDescent="0.3">
      <c r="A279">
        <v>544</v>
      </c>
      <c r="B279" s="23">
        <v>43914</v>
      </c>
      <c r="C279" t="s">
        <v>1071</v>
      </c>
      <c r="D279">
        <v>55</v>
      </c>
      <c r="E279" t="s">
        <v>1059</v>
      </c>
      <c r="F279" t="s">
        <v>1060</v>
      </c>
      <c r="G279" t="s">
        <v>1051</v>
      </c>
      <c r="H279" t="s">
        <v>77</v>
      </c>
      <c r="J279" t="str">
        <f t="shared" si="24"/>
        <v>Male</v>
      </c>
      <c r="K279" t="str">
        <f t="shared" si="25"/>
        <v>Singaporean</v>
      </c>
      <c r="L279" t="str">
        <f t="shared" si="26"/>
        <v xml:space="preserve">Case 544 is a Imported case, 55 years old male Singapore Citizen  and has been to Europe . He is currently admitted at NCID . </v>
      </c>
      <c r="M279">
        <f t="shared" si="27"/>
        <v>544</v>
      </c>
      <c r="N279" t="str">
        <f t="shared" si="28"/>
        <v xml:space="preserve">Europe </v>
      </c>
      <c r="O279" t="str">
        <f t="shared" si="29"/>
        <v/>
      </c>
      <c r="P279" t="str">
        <f t="shared" si="30"/>
        <v/>
      </c>
    </row>
    <row r="280" spans="1:16" x14ac:dyDescent="0.3">
      <c r="A280">
        <v>545</v>
      </c>
      <c r="B280" s="23">
        <v>43914</v>
      </c>
      <c r="C280" t="s">
        <v>1071</v>
      </c>
      <c r="D280">
        <v>75</v>
      </c>
      <c r="E280" t="s">
        <v>1073</v>
      </c>
      <c r="F280" t="s">
        <v>1173</v>
      </c>
      <c r="G280" t="s">
        <v>1225</v>
      </c>
      <c r="H280" t="s">
        <v>1069</v>
      </c>
      <c r="I280" t="s">
        <v>1228</v>
      </c>
      <c r="J280" t="str">
        <f t="shared" si="24"/>
        <v>Female</v>
      </c>
      <c r="K280" t="str">
        <f t="shared" si="25"/>
        <v>Indonesia</v>
      </c>
      <c r="L280" t="str">
        <f t="shared" si="26"/>
        <v>Case 545 is a Imported  case, 75 years old female Indonesia (Long Term Pass holder)  and has been to ASEAN . She is currently admitted at NCID . Family member of Case 403</v>
      </c>
      <c r="M280">
        <f t="shared" si="27"/>
        <v>545</v>
      </c>
      <c r="N280" t="str">
        <f t="shared" si="28"/>
        <v xml:space="preserve">ASEAN </v>
      </c>
      <c r="O280">
        <f t="shared" si="29"/>
        <v>545</v>
      </c>
      <c r="P280" t="str">
        <f t="shared" si="30"/>
        <v>Family member of Case 403</v>
      </c>
    </row>
    <row r="281" spans="1:16" x14ac:dyDescent="0.3">
      <c r="A281">
        <v>546</v>
      </c>
      <c r="B281" s="23">
        <v>43914</v>
      </c>
      <c r="C281" t="s">
        <v>1071</v>
      </c>
      <c r="D281">
        <v>27</v>
      </c>
      <c r="E281" t="s">
        <v>1059</v>
      </c>
      <c r="F281" t="s">
        <v>1060</v>
      </c>
      <c r="G281" t="s">
        <v>1063</v>
      </c>
      <c r="H281" t="s">
        <v>77</v>
      </c>
      <c r="J281" t="str">
        <f t="shared" si="24"/>
        <v>Male</v>
      </c>
      <c r="K281" t="str">
        <f t="shared" si="25"/>
        <v>Singaporean</v>
      </c>
      <c r="L281" t="str">
        <f t="shared" si="26"/>
        <v xml:space="preserve">Case 546 is a Imported case, 27 years old male Singapore Citizen  and has been to UK . He is currently admitted at NCID . </v>
      </c>
      <c r="M281">
        <f t="shared" si="27"/>
        <v>546</v>
      </c>
      <c r="N281" t="str">
        <f t="shared" si="28"/>
        <v xml:space="preserve">UK </v>
      </c>
      <c r="O281" t="str">
        <f t="shared" si="29"/>
        <v/>
      </c>
      <c r="P281" t="str">
        <f t="shared" si="30"/>
        <v/>
      </c>
    </row>
    <row r="282" spans="1:16" x14ac:dyDescent="0.3">
      <c r="A282">
        <v>547</v>
      </c>
      <c r="B282" s="23">
        <v>43914</v>
      </c>
      <c r="C282" t="s">
        <v>1071</v>
      </c>
      <c r="D282">
        <v>25</v>
      </c>
      <c r="E282" t="s">
        <v>1073</v>
      </c>
      <c r="F282" t="s">
        <v>1060</v>
      </c>
      <c r="G282" t="s">
        <v>1063</v>
      </c>
      <c r="H282" t="s">
        <v>77</v>
      </c>
      <c r="J282" t="str">
        <f t="shared" si="24"/>
        <v>Female</v>
      </c>
      <c r="K282" t="str">
        <f t="shared" si="25"/>
        <v>Singaporean</v>
      </c>
      <c r="L282" t="str">
        <f t="shared" si="26"/>
        <v xml:space="preserve">Case 547 is a Imported case, 25 years old female Singapore Citizen  and has been to UK . She is currently admitted at NCID . </v>
      </c>
      <c r="M282">
        <f t="shared" si="27"/>
        <v>547</v>
      </c>
      <c r="N282" t="str">
        <f t="shared" si="28"/>
        <v xml:space="preserve">UK </v>
      </c>
      <c r="O282" t="str">
        <f t="shared" si="29"/>
        <v/>
      </c>
      <c r="P282" t="str">
        <f t="shared" si="30"/>
        <v/>
      </c>
    </row>
    <row r="283" spans="1:16" x14ac:dyDescent="0.3">
      <c r="A283">
        <v>548</v>
      </c>
      <c r="B283" s="23">
        <v>43914</v>
      </c>
      <c r="C283" t="s">
        <v>1071</v>
      </c>
      <c r="D283">
        <v>44</v>
      </c>
      <c r="E283" t="s">
        <v>1073</v>
      </c>
      <c r="F283" t="s">
        <v>1060</v>
      </c>
      <c r="G283" t="s">
        <v>711</v>
      </c>
      <c r="H283" t="s">
        <v>77</v>
      </c>
      <c r="J283" t="str">
        <f t="shared" si="24"/>
        <v>Female</v>
      </c>
      <c r="K283" t="str">
        <f t="shared" si="25"/>
        <v>Singaporean</v>
      </c>
      <c r="L283" t="str">
        <f t="shared" si="26"/>
        <v xml:space="preserve">Case 548 is a Imported case, 44 years old female Singapore Citizen  and has been to Spain . She is currently admitted at NCID . </v>
      </c>
      <c r="M283">
        <f t="shared" si="27"/>
        <v>548</v>
      </c>
      <c r="N283" t="str">
        <f t="shared" si="28"/>
        <v xml:space="preserve">Spain </v>
      </c>
      <c r="O283" t="str">
        <f t="shared" si="29"/>
        <v/>
      </c>
      <c r="P283" t="str">
        <f t="shared" si="30"/>
        <v/>
      </c>
    </row>
    <row r="284" spans="1:16" x14ac:dyDescent="0.3">
      <c r="A284">
        <v>549</v>
      </c>
      <c r="B284" s="23">
        <v>43914</v>
      </c>
      <c r="C284" t="s">
        <v>1071</v>
      </c>
      <c r="D284">
        <v>21</v>
      </c>
      <c r="E284" t="s">
        <v>1073</v>
      </c>
      <c r="F284" t="s">
        <v>1060</v>
      </c>
      <c r="G284" t="s">
        <v>1063</v>
      </c>
      <c r="H284" t="s">
        <v>77</v>
      </c>
      <c r="J284" t="str">
        <f t="shared" si="24"/>
        <v>Female</v>
      </c>
      <c r="K284" t="str">
        <f t="shared" si="25"/>
        <v>Singaporean</v>
      </c>
      <c r="L284" t="str">
        <f t="shared" si="26"/>
        <v xml:space="preserve">Case 549 is a Imported case, 21 years old female Singapore Citizen  and has been to UK . She is currently admitted at NCID . </v>
      </c>
      <c r="M284">
        <f t="shared" si="27"/>
        <v>549</v>
      </c>
      <c r="N284" t="str">
        <f t="shared" si="28"/>
        <v xml:space="preserve">UK </v>
      </c>
      <c r="O284" t="str">
        <f t="shared" si="29"/>
        <v/>
      </c>
      <c r="P284" t="str">
        <f t="shared" si="30"/>
        <v/>
      </c>
    </row>
    <row r="285" spans="1:16" x14ac:dyDescent="0.3">
      <c r="A285">
        <v>550</v>
      </c>
      <c r="B285" s="23">
        <v>43914</v>
      </c>
      <c r="C285" t="s">
        <v>1071</v>
      </c>
      <c r="D285">
        <v>24</v>
      </c>
      <c r="E285" t="s">
        <v>1073</v>
      </c>
      <c r="F285" t="s">
        <v>1060</v>
      </c>
      <c r="H285" t="s">
        <v>1086</v>
      </c>
      <c r="I285" t="s">
        <v>1229</v>
      </c>
      <c r="J285" t="str">
        <f t="shared" si="24"/>
        <v>Female</v>
      </c>
      <c r="K285" t="str">
        <f t="shared" si="25"/>
        <v>Singaporean</v>
      </c>
      <c r="L285" t="str">
        <f t="shared" si="26"/>
        <v>Case 550 is a Local linked  case, 24 years old female Singapore Citizen  and has not been overseas. She is currently admitted at NCID . Family member of Case 451</v>
      </c>
      <c r="M285" t="str">
        <f t="shared" si="27"/>
        <v/>
      </c>
      <c r="N285" t="str">
        <f t="shared" si="28"/>
        <v/>
      </c>
      <c r="O285">
        <f t="shared" si="29"/>
        <v>550</v>
      </c>
      <c r="P285" t="str">
        <f t="shared" si="30"/>
        <v>Family member of Case 451</v>
      </c>
    </row>
    <row r="286" spans="1:16" x14ac:dyDescent="0.3">
      <c r="A286">
        <v>551</v>
      </c>
      <c r="B286" s="23">
        <v>43914</v>
      </c>
      <c r="C286" t="s">
        <v>1071</v>
      </c>
      <c r="D286">
        <v>22</v>
      </c>
      <c r="E286" t="s">
        <v>1073</v>
      </c>
      <c r="F286" t="s">
        <v>1060</v>
      </c>
      <c r="G286" t="s">
        <v>1063</v>
      </c>
      <c r="H286" t="s">
        <v>77</v>
      </c>
      <c r="J286" t="str">
        <f t="shared" si="24"/>
        <v>Female</v>
      </c>
      <c r="K286" t="str">
        <f t="shared" si="25"/>
        <v>Singaporean</v>
      </c>
      <c r="L286" t="str">
        <f t="shared" si="26"/>
        <v xml:space="preserve">Case 551 is a Imported case, 22 years old female Singapore Citizen  and has been to UK . She is currently admitted at NCID . </v>
      </c>
      <c r="M286">
        <f t="shared" si="27"/>
        <v>551</v>
      </c>
      <c r="N286" t="str">
        <f t="shared" si="28"/>
        <v xml:space="preserve">UK </v>
      </c>
      <c r="O286" t="str">
        <f t="shared" si="29"/>
        <v/>
      </c>
      <c r="P286" t="str">
        <f t="shared" si="30"/>
        <v/>
      </c>
    </row>
    <row r="287" spans="1:16" x14ac:dyDescent="0.3">
      <c r="A287">
        <v>552</v>
      </c>
      <c r="B287" s="23">
        <v>43914</v>
      </c>
      <c r="C287" t="s">
        <v>1071</v>
      </c>
      <c r="D287">
        <v>21</v>
      </c>
      <c r="E287" t="s">
        <v>1073</v>
      </c>
      <c r="F287" t="s">
        <v>1072</v>
      </c>
      <c r="G287" t="s">
        <v>1063</v>
      </c>
      <c r="H287" t="s">
        <v>77</v>
      </c>
      <c r="J287" t="str">
        <f t="shared" si="24"/>
        <v>Female</v>
      </c>
      <c r="K287" t="str">
        <f t="shared" si="25"/>
        <v>Singaporean</v>
      </c>
      <c r="L287" t="str">
        <f t="shared" si="26"/>
        <v xml:space="preserve">Case 552 is a Imported case, 21 years old female Singapore Permanent Resident  and has been to UK . She is currently admitted at NCID . </v>
      </c>
      <c r="M287">
        <f t="shared" si="27"/>
        <v>552</v>
      </c>
      <c r="N287" t="str">
        <f t="shared" si="28"/>
        <v xml:space="preserve">UK </v>
      </c>
      <c r="O287" t="str">
        <f t="shared" si="29"/>
        <v/>
      </c>
      <c r="P287" t="str">
        <f t="shared" si="30"/>
        <v/>
      </c>
    </row>
    <row r="288" spans="1:16" x14ac:dyDescent="0.3">
      <c r="A288">
        <v>553</v>
      </c>
      <c r="B288" s="23">
        <v>43914</v>
      </c>
      <c r="C288" t="s">
        <v>1071</v>
      </c>
      <c r="D288">
        <v>57</v>
      </c>
      <c r="E288" t="s">
        <v>1073</v>
      </c>
      <c r="F288" t="s">
        <v>1060</v>
      </c>
      <c r="H288" t="s">
        <v>1086</v>
      </c>
      <c r="I288" t="s">
        <v>1230</v>
      </c>
      <c r="J288" t="str">
        <f t="shared" si="24"/>
        <v>Female</v>
      </c>
      <c r="K288" t="str">
        <f t="shared" si="25"/>
        <v>Singaporean</v>
      </c>
      <c r="L288" t="str">
        <f t="shared" si="26"/>
        <v>Case 553 is a Local linked  case, 57 years old female Singapore Citizen  and has not been overseas. She is currently admitted at NCID . Contact of Case 384</v>
      </c>
      <c r="M288" t="str">
        <f t="shared" si="27"/>
        <v/>
      </c>
      <c r="N288" t="str">
        <f t="shared" si="28"/>
        <v/>
      </c>
      <c r="O288">
        <f t="shared" si="29"/>
        <v>553</v>
      </c>
      <c r="P288" t="str">
        <f t="shared" si="30"/>
        <v>Contact of Case 384</v>
      </c>
    </row>
    <row r="289" spans="1:16" x14ac:dyDescent="0.3">
      <c r="A289">
        <v>554</v>
      </c>
      <c r="B289" s="23">
        <v>43914</v>
      </c>
      <c r="C289" t="s">
        <v>1058</v>
      </c>
      <c r="D289">
        <v>24</v>
      </c>
      <c r="E289" t="s">
        <v>1073</v>
      </c>
      <c r="F289" t="s">
        <v>1231</v>
      </c>
      <c r="G289" t="s">
        <v>1232</v>
      </c>
      <c r="H289" t="s">
        <v>77</v>
      </c>
      <c r="J289" t="str">
        <f t="shared" si="24"/>
        <v>Female</v>
      </c>
      <c r="K289" t="str">
        <f t="shared" si="25"/>
        <v>Malaysia</v>
      </c>
      <c r="L289" t="str">
        <f t="shared" si="26"/>
        <v xml:space="preserve">Case 554 is a Imported case, 24 years old female Malaysia (Long Term Pass holder)  and has been to Turkey, United Arab Emirates . She is currently admitted at KTPH . </v>
      </c>
      <c r="M289">
        <f t="shared" si="27"/>
        <v>554</v>
      </c>
      <c r="N289" t="str">
        <f t="shared" si="28"/>
        <v xml:space="preserve">Turkey, United Arab Emirates </v>
      </c>
      <c r="O289" t="str">
        <f t="shared" si="29"/>
        <v/>
      </c>
      <c r="P289" t="str">
        <f t="shared" si="30"/>
        <v/>
      </c>
    </row>
    <row r="290" spans="1:16" x14ac:dyDescent="0.3">
      <c r="A290">
        <v>555</v>
      </c>
      <c r="B290" s="23">
        <v>43914</v>
      </c>
      <c r="C290" t="s">
        <v>1071</v>
      </c>
      <c r="D290">
        <v>24</v>
      </c>
      <c r="E290" t="s">
        <v>1059</v>
      </c>
      <c r="F290" t="s">
        <v>1060</v>
      </c>
      <c r="G290" t="s">
        <v>1063</v>
      </c>
      <c r="H290" t="s">
        <v>77</v>
      </c>
      <c r="J290" t="str">
        <f t="shared" si="24"/>
        <v>Male</v>
      </c>
      <c r="K290" t="str">
        <f t="shared" si="25"/>
        <v>Singaporean</v>
      </c>
      <c r="L290" t="str">
        <f t="shared" si="26"/>
        <v xml:space="preserve">Case 555 is a Imported case, 24 years old male Singapore Citizen  and has been to UK . He is currently admitted at NCID . </v>
      </c>
      <c r="M290">
        <f t="shared" si="27"/>
        <v>555</v>
      </c>
      <c r="N290" t="str">
        <f t="shared" si="28"/>
        <v xml:space="preserve">UK </v>
      </c>
      <c r="O290" t="str">
        <f t="shared" si="29"/>
        <v/>
      </c>
      <c r="P290" t="str">
        <f t="shared" si="30"/>
        <v/>
      </c>
    </row>
    <row r="291" spans="1:16" x14ac:dyDescent="0.3">
      <c r="A291">
        <v>556</v>
      </c>
      <c r="B291" s="23">
        <v>43914</v>
      </c>
      <c r="C291" t="s">
        <v>1071</v>
      </c>
      <c r="D291">
        <v>27</v>
      </c>
      <c r="E291" t="s">
        <v>1073</v>
      </c>
      <c r="F291" t="s">
        <v>1186</v>
      </c>
      <c r="G291" t="s">
        <v>844</v>
      </c>
      <c r="H291" t="s">
        <v>1061</v>
      </c>
      <c r="J291" t="str">
        <f t="shared" si="24"/>
        <v>Female</v>
      </c>
      <c r="K291" t="str">
        <f t="shared" si="25"/>
        <v>UK</v>
      </c>
      <c r="L291" t="str">
        <f t="shared" si="26"/>
        <v xml:space="preserve">Case 556 is a Local unlinked case, 27 years old female UK (Singapore Work Pass holder)  and has been to Australia . She is currently admitted at NCID . </v>
      </c>
      <c r="M291">
        <f t="shared" si="27"/>
        <v>556</v>
      </c>
      <c r="N291" t="str">
        <f t="shared" si="28"/>
        <v xml:space="preserve">Australia </v>
      </c>
      <c r="O291" t="str">
        <f t="shared" si="29"/>
        <v/>
      </c>
      <c r="P291" t="str">
        <f t="shared" si="30"/>
        <v/>
      </c>
    </row>
    <row r="292" spans="1:16" x14ac:dyDescent="0.3">
      <c r="A292">
        <v>557</v>
      </c>
      <c r="B292" s="23">
        <v>43914</v>
      </c>
      <c r="C292" t="s">
        <v>1071</v>
      </c>
      <c r="D292">
        <v>68</v>
      </c>
      <c r="E292" t="s">
        <v>1059</v>
      </c>
      <c r="F292" t="s">
        <v>1060</v>
      </c>
      <c r="G292" t="s">
        <v>1233</v>
      </c>
      <c r="H292" t="s">
        <v>77</v>
      </c>
      <c r="J292" t="str">
        <f t="shared" si="24"/>
        <v>Male</v>
      </c>
      <c r="K292" t="str">
        <f t="shared" si="25"/>
        <v>Singaporean</v>
      </c>
      <c r="L292" t="str">
        <f t="shared" si="26"/>
        <v xml:space="preserve">Case 557 is a Imported case, 68 years old male Singapore Citizen  and has been to Pakistan . He is currently admitted at NCID . </v>
      </c>
      <c r="M292">
        <f t="shared" si="27"/>
        <v>557</v>
      </c>
      <c r="N292" t="str">
        <f t="shared" si="28"/>
        <v xml:space="preserve">Pakistan </v>
      </c>
      <c r="O292" t="str">
        <f t="shared" si="29"/>
        <v/>
      </c>
      <c r="P292" t="str">
        <f t="shared" si="30"/>
        <v/>
      </c>
    </row>
    <row r="293" spans="1:16" x14ac:dyDescent="0.3">
      <c r="A293">
        <v>558</v>
      </c>
      <c r="B293" s="23">
        <v>43914</v>
      </c>
      <c r="C293" t="s">
        <v>1138</v>
      </c>
      <c r="D293">
        <v>17</v>
      </c>
      <c r="E293" t="s">
        <v>1059</v>
      </c>
      <c r="F293" t="s">
        <v>1060</v>
      </c>
      <c r="G293" t="s">
        <v>360</v>
      </c>
      <c r="H293" t="s">
        <v>1069</v>
      </c>
      <c r="J293" t="str">
        <f t="shared" si="24"/>
        <v>Male</v>
      </c>
      <c r="K293" t="str">
        <f t="shared" si="25"/>
        <v>Singaporean</v>
      </c>
      <c r="L293" t="str">
        <f t="shared" si="26"/>
        <v xml:space="preserve">Case 558 is a Imported  case, 17 years old male Singapore Citizen  and has been to Malaysia . He is currently admitted at SGH . </v>
      </c>
      <c r="M293">
        <f t="shared" si="27"/>
        <v>558</v>
      </c>
      <c r="N293" t="str">
        <f t="shared" si="28"/>
        <v xml:space="preserve">Malaysia </v>
      </c>
      <c r="O293" t="str">
        <f t="shared" si="29"/>
        <v/>
      </c>
      <c r="P293" t="str">
        <f t="shared" si="30"/>
        <v/>
      </c>
    </row>
    <row r="294" spans="1:16" x14ac:dyDescent="0.3">
      <c r="A294">
        <v>559</v>
      </c>
      <c r="B294" s="23">
        <v>43914</v>
      </c>
      <c r="C294" t="s">
        <v>1071</v>
      </c>
      <c r="D294">
        <v>22</v>
      </c>
      <c r="E294" t="s">
        <v>1059</v>
      </c>
      <c r="F294" t="s">
        <v>1060</v>
      </c>
      <c r="G294" t="s">
        <v>1063</v>
      </c>
      <c r="H294" t="s">
        <v>77</v>
      </c>
      <c r="J294" s="31" t="str">
        <f t="shared" ref="J294" si="31">IF(TRIM(E294)="M","Male",IF(TRIM(E294)="F","Female",""))</f>
        <v>Male</v>
      </c>
      <c r="K294" s="31" t="str">
        <f t="shared" ref="K294" si="32">IF(LEFT(F294,9)="Singapore","Singaporean",IF(ISERR(FIND("(",F294)),F294,LEFT(F294,FIND("(",F294)-2)))</f>
        <v>Singaporean</v>
      </c>
      <c r="L294" s="31" t="str">
        <f t="shared" ref="L294" si="33">"Case "&amp;A294&amp;" is a "&amp;H294&amp;" case, "&amp;D294&amp;" years old "&amp;LOWER(J294)&amp;" "&amp;F294 &amp;IF(G294=""," and has not been overseas"," and has been to "&amp;G294)&amp;". "&amp;IF(TRIM(E294)="F","She",IF(TRIM(E294)="M","He"))&amp;" is currently admitted at "&amp;C294&amp;". "&amp;I294</f>
        <v xml:space="preserve">Case 559 is a Imported case, 22 years old male Singapore Citizen  and has been to UK . He is currently admitted at NCID . </v>
      </c>
      <c r="M294" s="31">
        <f t="shared" ref="M294" si="34">IF(G294="","",A294)</f>
        <v>559</v>
      </c>
      <c r="N294" s="31" t="str">
        <f t="shared" ref="N294" si="35">IF(G294="","",G294)</f>
        <v xml:space="preserve">UK </v>
      </c>
      <c r="O294" s="31" t="str">
        <f t="shared" ref="O294" si="36">IF(I294="","",A294)</f>
        <v/>
      </c>
      <c r="P294" s="31" t="str">
        <f t="shared" ref="P294" si="37">IF(I294="","",I294)</f>
        <v/>
      </c>
    </row>
    <row r="295" spans="1:16" x14ac:dyDescent="0.3">
      <c r="A295">
        <v>560</v>
      </c>
      <c r="B295" s="23">
        <v>43914</v>
      </c>
      <c r="C295" t="s">
        <v>1071</v>
      </c>
      <c r="D295">
        <v>24</v>
      </c>
      <c r="E295" t="s">
        <v>1059</v>
      </c>
      <c r="F295" t="s">
        <v>1060</v>
      </c>
      <c r="G295" t="s">
        <v>1085</v>
      </c>
      <c r="H295" t="s">
        <v>77</v>
      </c>
      <c r="J295" s="31" t="str">
        <f t="shared" ref="J295:J358" si="38">IF(TRIM(E295)="M","Male",IF(TRIM(E295)="F","Female",""))</f>
        <v>Male</v>
      </c>
      <c r="K295" s="31" t="str">
        <f t="shared" ref="K295:K358" si="39">IF(LEFT(F295,9)="Singapore","Singaporean",IF(ISERR(FIND("(",F295)),F295,LEFT(F295,FIND("(",F295)-2)))</f>
        <v>Singaporean</v>
      </c>
      <c r="L295" s="31" t="str">
        <f t="shared" ref="L295:L358" si="40">"Case "&amp;A295&amp;" is a "&amp;H295&amp;" case, "&amp;D295&amp;" years old "&amp;LOWER(J295)&amp;" "&amp;F295 &amp;IF(G295=""," and has not been overseas"," and has been to "&amp;G295)&amp;". "&amp;IF(TRIM(E295)="F","She",IF(TRIM(E295)="M","He"))&amp;" is currently admitted at "&amp;C295&amp;". "&amp;I295</f>
        <v xml:space="preserve">Case 560 is a Imported case, 24 years old male Singapore Citizen  and has been to US . He is currently admitted at NCID . </v>
      </c>
      <c r="M295" s="31">
        <f t="shared" ref="M295:M358" si="41">IF(G295="","",A295)</f>
        <v>560</v>
      </c>
      <c r="N295" s="31" t="str">
        <f t="shared" ref="N295:N358" si="42">IF(G295="","",G295)</f>
        <v xml:space="preserve">US </v>
      </c>
      <c r="O295" s="31" t="str">
        <f t="shared" ref="O295:O358" si="43">IF(I295="","",A295)</f>
        <v/>
      </c>
      <c r="P295" s="31" t="str">
        <f t="shared" ref="P295:P358" si="44">IF(I295="","",I295)</f>
        <v/>
      </c>
    </row>
    <row r="296" spans="1:16" x14ac:dyDescent="0.3">
      <c r="A296">
        <v>561</v>
      </c>
      <c r="B296" s="23">
        <v>43914</v>
      </c>
      <c r="C296" t="s">
        <v>1071</v>
      </c>
      <c r="D296">
        <v>30</v>
      </c>
      <c r="E296" t="s">
        <v>1059</v>
      </c>
      <c r="F296" t="s">
        <v>1060</v>
      </c>
      <c r="G296" t="s">
        <v>703</v>
      </c>
      <c r="H296" t="s">
        <v>77</v>
      </c>
      <c r="J296" s="31" t="str">
        <f t="shared" si="38"/>
        <v>Male</v>
      </c>
      <c r="K296" s="31" t="str">
        <f t="shared" si="39"/>
        <v>Singaporean</v>
      </c>
      <c r="L296" s="31" t="str">
        <f t="shared" si="40"/>
        <v xml:space="preserve">Case 561 is a Imported case, 30 years old male Singapore Citizen  and has been to France . He is currently admitted at NCID . </v>
      </c>
      <c r="M296" s="31">
        <f t="shared" si="41"/>
        <v>561</v>
      </c>
      <c r="N296" s="31" t="str">
        <f t="shared" si="42"/>
        <v xml:space="preserve">France </v>
      </c>
      <c r="O296" s="31" t="str">
        <f t="shared" si="43"/>
        <v/>
      </c>
      <c r="P296" s="31" t="str">
        <f t="shared" si="44"/>
        <v/>
      </c>
    </row>
    <row r="297" spans="1:16" x14ac:dyDescent="0.3">
      <c r="A297">
        <v>562</v>
      </c>
      <c r="B297" s="23">
        <v>43914</v>
      </c>
      <c r="C297" t="s">
        <v>1062</v>
      </c>
      <c r="D297">
        <v>28</v>
      </c>
      <c r="E297" t="s">
        <v>1073</v>
      </c>
      <c r="F297" t="s">
        <v>1072</v>
      </c>
      <c r="G297" t="s">
        <v>687</v>
      </c>
      <c r="H297" t="s">
        <v>77</v>
      </c>
      <c r="J297" s="31" t="str">
        <f t="shared" si="38"/>
        <v>Female</v>
      </c>
      <c r="K297" s="31" t="str">
        <f t="shared" si="39"/>
        <v>Singaporean</v>
      </c>
      <c r="L297" s="31" t="str">
        <f t="shared" si="40"/>
        <v xml:space="preserve">Case 562 is a Imported case, 28 years old female Singapore Permanent Resident  and has been to Indonesia . She is currently admitted at NTFGH . </v>
      </c>
      <c r="M297" s="31">
        <f t="shared" si="41"/>
        <v>562</v>
      </c>
      <c r="N297" s="31" t="str">
        <f t="shared" si="42"/>
        <v xml:space="preserve">Indonesia </v>
      </c>
      <c r="O297" s="31" t="str">
        <f t="shared" si="43"/>
        <v/>
      </c>
      <c r="P297" s="31" t="str">
        <f t="shared" si="44"/>
        <v/>
      </c>
    </row>
    <row r="298" spans="1:16" x14ac:dyDescent="0.3">
      <c r="A298">
        <v>563</v>
      </c>
      <c r="B298" s="23">
        <v>43914</v>
      </c>
      <c r="C298" t="s">
        <v>1071</v>
      </c>
      <c r="D298">
        <v>25</v>
      </c>
      <c r="E298" t="s">
        <v>1059</v>
      </c>
      <c r="F298" t="s">
        <v>1060</v>
      </c>
      <c r="G298" t="s">
        <v>1063</v>
      </c>
      <c r="H298" t="s">
        <v>77</v>
      </c>
      <c r="J298" s="31" t="str">
        <f t="shared" si="38"/>
        <v>Male</v>
      </c>
      <c r="K298" s="31" t="str">
        <f t="shared" si="39"/>
        <v>Singaporean</v>
      </c>
      <c r="L298" s="31" t="str">
        <f t="shared" si="40"/>
        <v xml:space="preserve">Case 563 is a Imported case, 25 years old male Singapore Citizen  and has been to UK . He is currently admitted at NCID . </v>
      </c>
      <c r="M298" s="31">
        <f t="shared" si="41"/>
        <v>563</v>
      </c>
      <c r="N298" s="31" t="str">
        <f t="shared" si="42"/>
        <v xml:space="preserve">UK </v>
      </c>
      <c r="O298" s="31" t="str">
        <f t="shared" si="43"/>
        <v/>
      </c>
      <c r="P298" s="31" t="str">
        <f t="shared" si="44"/>
        <v/>
      </c>
    </row>
    <row r="299" spans="1:16" x14ac:dyDescent="0.3">
      <c r="A299">
        <v>564</v>
      </c>
      <c r="B299" s="23">
        <v>43914</v>
      </c>
      <c r="C299" t="s">
        <v>1071</v>
      </c>
      <c r="D299">
        <v>29</v>
      </c>
      <c r="E299" t="s">
        <v>1059</v>
      </c>
      <c r="F299" t="s">
        <v>1238</v>
      </c>
      <c r="G299" t="s">
        <v>1177</v>
      </c>
      <c r="H299" t="s">
        <v>77</v>
      </c>
      <c r="J299" s="31" t="str">
        <f t="shared" si="38"/>
        <v>Male</v>
      </c>
      <c r="K299" s="31" t="str">
        <f t="shared" si="39"/>
        <v>France</v>
      </c>
      <c r="L299" s="31" t="str">
        <f t="shared" si="40"/>
        <v xml:space="preserve">Case 564 is a Imported case, 29 years old male France (Singapore Work Pass holder)  and has been to Pending . He is currently admitted at NCID . </v>
      </c>
      <c r="M299" s="31">
        <f t="shared" si="41"/>
        <v>564</v>
      </c>
      <c r="N299" s="31" t="str">
        <f t="shared" si="42"/>
        <v xml:space="preserve">Pending </v>
      </c>
      <c r="O299" s="31" t="str">
        <f t="shared" si="43"/>
        <v/>
      </c>
      <c r="P299" s="31" t="str">
        <f t="shared" si="44"/>
        <v/>
      </c>
    </row>
    <row r="300" spans="1:16" x14ac:dyDescent="0.3">
      <c r="A300">
        <v>565</v>
      </c>
      <c r="B300" s="23">
        <v>43914</v>
      </c>
      <c r="C300" t="s">
        <v>1071</v>
      </c>
      <c r="D300">
        <v>46</v>
      </c>
      <c r="E300" t="s">
        <v>1073</v>
      </c>
      <c r="F300" t="s">
        <v>1072</v>
      </c>
      <c r="G300" t="s">
        <v>1063</v>
      </c>
      <c r="H300" t="s">
        <v>77</v>
      </c>
      <c r="J300" s="31" t="str">
        <f t="shared" si="38"/>
        <v>Female</v>
      </c>
      <c r="K300" s="31" t="str">
        <f t="shared" si="39"/>
        <v>Singaporean</v>
      </c>
      <c r="L300" s="31" t="str">
        <f t="shared" si="40"/>
        <v xml:space="preserve">Case 565 is a Imported case, 46 years old female Singapore Permanent Resident  and has been to UK . She is currently admitted at NCID . </v>
      </c>
      <c r="M300" s="31">
        <f t="shared" si="41"/>
        <v>565</v>
      </c>
      <c r="N300" s="31" t="str">
        <f t="shared" si="42"/>
        <v xml:space="preserve">UK </v>
      </c>
      <c r="O300" s="31" t="str">
        <f t="shared" si="43"/>
        <v/>
      </c>
      <c r="P300" s="31" t="str">
        <f t="shared" si="44"/>
        <v/>
      </c>
    </row>
    <row r="301" spans="1:16" x14ac:dyDescent="0.3">
      <c r="A301">
        <v>566</v>
      </c>
      <c r="B301" s="23">
        <v>43914</v>
      </c>
      <c r="C301" t="s">
        <v>135</v>
      </c>
      <c r="D301">
        <v>67</v>
      </c>
      <c r="E301" t="s">
        <v>1073</v>
      </c>
      <c r="F301" t="s">
        <v>1060</v>
      </c>
      <c r="G301" t="s">
        <v>360</v>
      </c>
      <c r="H301" t="s">
        <v>1086</v>
      </c>
      <c r="I301" t="s">
        <v>1239</v>
      </c>
      <c r="J301" s="31" t="str">
        <f t="shared" si="38"/>
        <v>Female</v>
      </c>
      <c r="K301" s="31" t="str">
        <f t="shared" si="39"/>
        <v>Singaporean</v>
      </c>
      <c r="L301" s="31" t="str">
        <f t="shared" si="40"/>
        <v>Case 566 is a Local linked  case, 67 years old female Singapore Citizen  and has been to Malaysia . She is currently admitted at CGH. Family member of Cases 521, 567, 572 and 601 PCF Fengshan</v>
      </c>
      <c r="M301" s="31">
        <f t="shared" si="41"/>
        <v>566</v>
      </c>
      <c r="N301" s="31" t="str">
        <f t="shared" si="42"/>
        <v xml:space="preserve">Malaysia </v>
      </c>
      <c r="O301" s="31">
        <f t="shared" si="43"/>
        <v>566</v>
      </c>
      <c r="P301" s="31" t="str">
        <f t="shared" si="44"/>
        <v>Family member of Cases 521, 567, 572 and 601 PCF Fengshan</v>
      </c>
    </row>
    <row r="302" spans="1:16" x14ac:dyDescent="0.3">
      <c r="A302">
        <v>567</v>
      </c>
      <c r="B302" s="23">
        <v>43914</v>
      </c>
      <c r="C302" t="s">
        <v>1064</v>
      </c>
      <c r="D302">
        <v>70</v>
      </c>
      <c r="E302" t="s">
        <v>1059</v>
      </c>
      <c r="F302" t="s">
        <v>1060</v>
      </c>
      <c r="G302" t="s">
        <v>360</v>
      </c>
      <c r="H302" t="s">
        <v>1086</v>
      </c>
      <c r="I302" t="s">
        <v>1240</v>
      </c>
      <c r="J302" s="31" t="str">
        <f t="shared" si="38"/>
        <v>Male</v>
      </c>
      <c r="K302" s="31" t="str">
        <f t="shared" si="39"/>
        <v>Singaporean</v>
      </c>
      <c r="L302" s="31" t="str">
        <f t="shared" si="40"/>
        <v>Case 567 is a Local linked  case, 70 years old male Singapore Citizen  and has been to Malaysia . He is currently admitted at CGH . Family member of Cases 521, 566, 572 and 601 PCF Fengshan</v>
      </c>
      <c r="M302" s="31">
        <f t="shared" si="41"/>
        <v>567</v>
      </c>
      <c r="N302" s="31" t="str">
        <f t="shared" si="42"/>
        <v xml:space="preserve">Malaysia </v>
      </c>
      <c r="O302" s="31">
        <f t="shared" si="43"/>
        <v>567</v>
      </c>
      <c r="P302" s="31" t="str">
        <f t="shared" si="44"/>
        <v>Family member of Cases 521, 566, 572 and 601 PCF Fengshan</v>
      </c>
    </row>
    <row r="303" spans="1:16" x14ac:dyDescent="0.3">
      <c r="A303">
        <v>568</v>
      </c>
      <c r="B303" s="23">
        <v>43914</v>
      </c>
      <c r="C303" t="s">
        <v>1071</v>
      </c>
      <c r="D303">
        <v>30</v>
      </c>
      <c r="E303" t="s">
        <v>1059</v>
      </c>
      <c r="F303" t="s">
        <v>1156</v>
      </c>
      <c r="G303" t="s">
        <v>360</v>
      </c>
      <c r="H303" t="s">
        <v>77</v>
      </c>
      <c r="J303" s="31" t="str">
        <f t="shared" si="38"/>
        <v>Male</v>
      </c>
      <c r="K303" s="31" t="str">
        <f t="shared" si="39"/>
        <v>Malaysia</v>
      </c>
      <c r="L303" s="31" t="str">
        <f t="shared" si="40"/>
        <v xml:space="preserve">Case 568 is a Imported case, 30 years old male Malaysia (Singapore Work Pass holder)  and has been to Malaysia . He is currently admitted at NCID . </v>
      </c>
      <c r="M303" s="31">
        <f t="shared" si="41"/>
        <v>568</v>
      </c>
      <c r="N303" s="31" t="str">
        <f t="shared" si="42"/>
        <v xml:space="preserve">Malaysia </v>
      </c>
      <c r="O303" s="31" t="str">
        <f t="shared" si="43"/>
        <v/>
      </c>
      <c r="P303" s="31" t="str">
        <f t="shared" si="44"/>
        <v/>
      </c>
    </row>
    <row r="304" spans="1:16" x14ac:dyDescent="0.3">
      <c r="A304">
        <v>569</v>
      </c>
      <c r="B304" s="23">
        <v>43914</v>
      </c>
      <c r="C304" t="s">
        <v>1071</v>
      </c>
      <c r="D304">
        <v>22</v>
      </c>
      <c r="E304" t="s">
        <v>1073</v>
      </c>
      <c r="F304" t="s">
        <v>1060</v>
      </c>
      <c r="G304" t="s">
        <v>1063</v>
      </c>
      <c r="H304" t="s">
        <v>77</v>
      </c>
      <c r="J304" s="31" t="str">
        <f t="shared" si="38"/>
        <v>Female</v>
      </c>
      <c r="K304" s="31" t="str">
        <f t="shared" si="39"/>
        <v>Singaporean</v>
      </c>
      <c r="L304" s="31" t="str">
        <f t="shared" si="40"/>
        <v xml:space="preserve">Case 569 is a Imported case, 22 years old female Singapore Citizen  and has been to UK . She is currently admitted at NCID . </v>
      </c>
      <c r="M304" s="31">
        <f t="shared" si="41"/>
        <v>569</v>
      </c>
      <c r="N304" s="31" t="str">
        <f t="shared" si="42"/>
        <v xml:space="preserve">UK </v>
      </c>
      <c r="O304" s="31" t="str">
        <f t="shared" si="43"/>
        <v/>
      </c>
      <c r="P304" s="31" t="str">
        <f t="shared" si="44"/>
        <v/>
      </c>
    </row>
    <row r="305" spans="1:16" x14ac:dyDescent="0.3">
      <c r="A305">
        <v>570</v>
      </c>
      <c r="B305" s="23">
        <v>43914</v>
      </c>
      <c r="C305" t="s">
        <v>1066</v>
      </c>
      <c r="D305">
        <v>50</v>
      </c>
      <c r="E305" t="s">
        <v>1059</v>
      </c>
      <c r="F305" t="s">
        <v>1060</v>
      </c>
      <c r="H305" t="s">
        <v>1086</v>
      </c>
      <c r="I305" t="s">
        <v>1241</v>
      </c>
      <c r="J305" s="31" t="str">
        <f t="shared" si="38"/>
        <v>Male</v>
      </c>
      <c r="K305" s="31" t="str">
        <f t="shared" si="39"/>
        <v>Singaporean</v>
      </c>
      <c r="L305" s="31" t="str">
        <f t="shared" si="40"/>
        <v>Case 570 is a Local linked  case, 50 years old male Singapore Citizen  and has not been overseas. He is currently admitted at SKH . Family member of Case 597</v>
      </c>
      <c r="M305" s="31" t="str">
        <f t="shared" si="41"/>
        <v/>
      </c>
      <c r="N305" s="31" t="str">
        <f t="shared" si="42"/>
        <v/>
      </c>
      <c r="O305" s="31">
        <f t="shared" si="43"/>
        <v>570</v>
      </c>
      <c r="P305" s="31" t="str">
        <f t="shared" si="44"/>
        <v>Family member of Case 597</v>
      </c>
    </row>
    <row r="306" spans="1:16" x14ac:dyDescent="0.3">
      <c r="A306">
        <v>571</v>
      </c>
      <c r="B306" s="23">
        <v>43914</v>
      </c>
      <c r="C306" t="s">
        <v>1172</v>
      </c>
      <c r="D306">
        <v>52</v>
      </c>
      <c r="E306" t="s">
        <v>1059</v>
      </c>
      <c r="F306" t="s">
        <v>1063</v>
      </c>
      <c r="G306" t="s">
        <v>1063</v>
      </c>
      <c r="H306" t="s">
        <v>77</v>
      </c>
      <c r="J306" s="31" t="str">
        <f t="shared" si="38"/>
        <v>Male</v>
      </c>
      <c r="K306" s="31" t="str">
        <f t="shared" si="39"/>
        <v xml:space="preserve">UK </v>
      </c>
      <c r="L306" s="31" t="str">
        <f t="shared" si="40"/>
        <v xml:space="preserve">Case 571 is a Imported case, 52 years old male UK  and has been to UK . He is currently admitted at MEH . </v>
      </c>
      <c r="M306" s="31">
        <f t="shared" si="41"/>
        <v>571</v>
      </c>
      <c r="N306" s="31" t="str">
        <f t="shared" si="42"/>
        <v xml:space="preserve">UK </v>
      </c>
      <c r="O306" s="31" t="str">
        <f t="shared" si="43"/>
        <v/>
      </c>
      <c r="P306" s="31" t="str">
        <f t="shared" si="44"/>
        <v/>
      </c>
    </row>
    <row r="307" spans="1:16" x14ac:dyDescent="0.3">
      <c r="A307">
        <v>572</v>
      </c>
      <c r="B307" s="23">
        <v>43914</v>
      </c>
      <c r="C307" t="s">
        <v>1064</v>
      </c>
      <c r="D307">
        <v>26</v>
      </c>
      <c r="E307" t="s">
        <v>1073</v>
      </c>
      <c r="F307" t="s">
        <v>1060</v>
      </c>
      <c r="H307" t="s">
        <v>1086</v>
      </c>
      <c r="I307" t="s">
        <v>1242</v>
      </c>
      <c r="J307" s="31" t="str">
        <f t="shared" si="38"/>
        <v>Female</v>
      </c>
      <c r="K307" s="31" t="str">
        <f t="shared" si="39"/>
        <v>Singaporean</v>
      </c>
      <c r="L307" s="31" t="str">
        <f t="shared" si="40"/>
        <v>Case 572 is a Local linked  case, 26 years old female Singapore Citizen  and has not been overseas. She is currently admitted at CGH . Family member of Cases 521, 566, 567 and 601 PCF Fengshan</v>
      </c>
      <c r="M307" s="31" t="str">
        <f t="shared" si="41"/>
        <v/>
      </c>
      <c r="N307" s="31" t="str">
        <f t="shared" si="42"/>
        <v/>
      </c>
      <c r="O307" s="31">
        <f t="shared" si="43"/>
        <v>572</v>
      </c>
      <c r="P307" s="31" t="str">
        <f t="shared" si="44"/>
        <v>Family member of Cases 521, 566, 567 and 601 PCF Fengshan</v>
      </c>
    </row>
    <row r="308" spans="1:16" x14ac:dyDescent="0.3">
      <c r="A308">
        <v>573</v>
      </c>
      <c r="B308" s="23">
        <v>43914</v>
      </c>
      <c r="C308" t="s">
        <v>1064</v>
      </c>
      <c r="D308">
        <v>45</v>
      </c>
      <c r="E308" t="s">
        <v>1059</v>
      </c>
      <c r="F308" t="s">
        <v>1060</v>
      </c>
      <c r="H308" t="s">
        <v>1061</v>
      </c>
      <c r="J308" s="31" t="str">
        <f t="shared" si="38"/>
        <v>Male</v>
      </c>
      <c r="K308" s="31" t="str">
        <f t="shared" si="39"/>
        <v>Singaporean</v>
      </c>
      <c r="L308" s="31" t="str">
        <f t="shared" si="40"/>
        <v xml:space="preserve">Case 573 is a Local unlinked case, 45 years old male Singapore Citizen  and has not been overseas. He is currently admitted at CGH . </v>
      </c>
      <c r="M308" s="31" t="str">
        <f t="shared" si="41"/>
        <v/>
      </c>
      <c r="N308" s="31" t="str">
        <f t="shared" si="42"/>
        <v/>
      </c>
      <c r="O308" s="31" t="str">
        <f t="shared" si="43"/>
        <v/>
      </c>
      <c r="P308" s="31" t="str">
        <f t="shared" si="44"/>
        <v/>
      </c>
    </row>
    <row r="309" spans="1:16" x14ac:dyDescent="0.3">
      <c r="A309">
        <v>574</v>
      </c>
      <c r="B309" s="23">
        <v>43914</v>
      </c>
      <c r="C309" t="s">
        <v>1071</v>
      </c>
      <c r="D309">
        <v>24</v>
      </c>
      <c r="E309" t="s">
        <v>1059</v>
      </c>
      <c r="F309" t="s">
        <v>1060</v>
      </c>
      <c r="G309" t="s">
        <v>1177</v>
      </c>
      <c r="H309" t="s">
        <v>77</v>
      </c>
      <c r="J309" s="31" t="str">
        <f t="shared" si="38"/>
        <v>Male</v>
      </c>
      <c r="K309" s="31" t="str">
        <f t="shared" si="39"/>
        <v>Singaporean</v>
      </c>
      <c r="L309" s="31" t="str">
        <f t="shared" si="40"/>
        <v xml:space="preserve">Case 574 is a Imported case, 24 years old male Singapore Citizen  and has been to Pending . He is currently admitted at NCID . </v>
      </c>
      <c r="M309" s="31">
        <f t="shared" si="41"/>
        <v>574</v>
      </c>
      <c r="N309" s="31" t="str">
        <f t="shared" si="42"/>
        <v xml:space="preserve">Pending </v>
      </c>
      <c r="O309" s="31" t="str">
        <f t="shared" si="43"/>
        <v/>
      </c>
      <c r="P309" s="31" t="str">
        <f t="shared" si="44"/>
        <v/>
      </c>
    </row>
    <row r="310" spans="1:16" x14ac:dyDescent="0.3">
      <c r="A310">
        <v>575</v>
      </c>
      <c r="B310" s="23">
        <v>43914</v>
      </c>
      <c r="C310" t="s">
        <v>1062</v>
      </c>
      <c r="D310">
        <v>28</v>
      </c>
      <c r="E310" t="s">
        <v>1059</v>
      </c>
      <c r="F310" t="s">
        <v>1072</v>
      </c>
      <c r="G310" t="s">
        <v>1177</v>
      </c>
      <c r="H310" t="s">
        <v>1069</v>
      </c>
      <c r="J310" s="31" t="str">
        <f t="shared" si="38"/>
        <v>Male</v>
      </c>
      <c r="K310" s="31" t="str">
        <f t="shared" si="39"/>
        <v>Singaporean</v>
      </c>
      <c r="L310" s="31" t="str">
        <f t="shared" si="40"/>
        <v xml:space="preserve">Case 575 is a Imported  case, 28 years old male Singapore Permanent Resident  and has been to Pending . He is currently admitted at NTFGH . </v>
      </c>
      <c r="M310" s="31">
        <f t="shared" si="41"/>
        <v>575</v>
      </c>
      <c r="N310" s="31" t="str">
        <f t="shared" si="42"/>
        <v xml:space="preserve">Pending </v>
      </c>
      <c r="O310" s="31" t="str">
        <f t="shared" si="43"/>
        <v/>
      </c>
      <c r="P310" s="31" t="str">
        <f t="shared" si="44"/>
        <v/>
      </c>
    </row>
    <row r="311" spans="1:16" x14ac:dyDescent="0.3">
      <c r="A311">
        <v>576</v>
      </c>
      <c r="B311" s="23">
        <v>43914</v>
      </c>
      <c r="C311" t="s">
        <v>343</v>
      </c>
      <c r="D311">
        <v>21</v>
      </c>
      <c r="E311" t="s">
        <v>1073</v>
      </c>
      <c r="F311" t="s">
        <v>1072</v>
      </c>
      <c r="G311" t="s">
        <v>1085</v>
      </c>
      <c r="H311" t="s">
        <v>77</v>
      </c>
      <c r="J311" s="31" t="str">
        <f t="shared" si="38"/>
        <v>Female</v>
      </c>
      <c r="K311" s="31" t="str">
        <f t="shared" si="39"/>
        <v>Singaporean</v>
      </c>
      <c r="L311" s="31" t="str">
        <f t="shared" si="40"/>
        <v xml:space="preserve">Case 576 is a Imported case, 21 years old female Singapore Permanent Resident  and has been to US . She is currently admitted at NUH . </v>
      </c>
      <c r="M311" s="31">
        <f t="shared" si="41"/>
        <v>576</v>
      </c>
      <c r="N311" s="31" t="str">
        <f t="shared" si="42"/>
        <v xml:space="preserve">US </v>
      </c>
      <c r="O311" s="31" t="str">
        <f t="shared" si="43"/>
        <v/>
      </c>
      <c r="P311" s="31" t="str">
        <f t="shared" si="44"/>
        <v/>
      </c>
    </row>
    <row r="312" spans="1:16" x14ac:dyDescent="0.3">
      <c r="A312">
        <v>577</v>
      </c>
      <c r="B312" s="23">
        <v>43914</v>
      </c>
      <c r="C312" t="s">
        <v>1058</v>
      </c>
      <c r="D312">
        <v>37</v>
      </c>
      <c r="E312" t="s">
        <v>1073</v>
      </c>
      <c r="F312" t="s">
        <v>1177</v>
      </c>
      <c r="H312" t="s">
        <v>1086</v>
      </c>
      <c r="I312" t="s">
        <v>1243</v>
      </c>
      <c r="J312" s="31" t="str">
        <f t="shared" si="38"/>
        <v>Female</v>
      </c>
      <c r="K312" s="31" t="str">
        <f t="shared" si="39"/>
        <v xml:space="preserve">Pending </v>
      </c>
      <c r="L312" s="31" t="str">
        <f t="shared" si="40"/>
        <v>Case 577 is a Local linked  case, 37 years old female Pending  and has not been overseas. She is currently admitted at KTPH . Contact of Case 527</v>
      </c>
      <c r="M312" s="31" t="str">
        <f t="shared" si="41"/>
        <v/>
      </c>
      <c r="N312" s="31" t="str">
        <f t="shared" si="42"/>
        <v/>
      </c>
      <c r="O312" s="31">
        <f t="shared" si="43"/>
        <v>577</v>
      </c>
      <c r="P312" s="31" t="str">
        <f t="shared" si="44"/>
        <v>Contact of Case 527</v>
      </c>
    </row>
    <row r="313" spans="1:16" x14ac:dyDescent="0.3">
      <c r="A313">
        <v>578</v>
      </c>
      <c r="B313" s="23">
        <v>43914</v>
      </c>
      <c r="C313" t="s">
        <v>1161</v>
      </c>
      <c r="D313">
        <v>11</v>
      </c>
      <c r="E313" t="s">
        <v>1059</v>
      </c>
      <c r="F313" t="s">
        <v>1060</v>
      </c>
      <c r="H313" t="s">
        <v>1086</v>
      </c>
      <c r="I313" t="s">
        <v>1244</v>
      </c>
      <c r="J313" s="31" t="str">
        <f t="shared" si="38"/>
        <v>Male</v>
      </c>
      <c r="K313" s="31" t="str">
        <f t="shared" si="39"/>
        <v>Singaporean</v>
      </c>
      <c r="L313" s="31" t="str">
        <f t="shared" si="40"/>
        <v>Case 578 is a Local linked  case, 11 years old male Singapore Citizen  and has not been overseas. He is currently admitted at KKH . Contact of Case 532</v>
      </c>
      <c r="M313" s="31" t="str">
        <f t="shared" si="41"/>
        <v/>
      </c>
      <c r="N313" s="31" t="str">
        <f t="shared" si="42"/>
        <v/>
      </c>
      <c r="O313" s="31">
        <f t="shared" si="43"/>
        <v>578</v>
      </c>
      <c r="P313" s="31" t="str">
        <f t="shared" si="44"/>
        <v>Contact of Case 532</v>
      </c>
    </row>
    <row r="314" spans="1:16" x14ac:dyDescent="0.3">
      <c r="A314">
        <v>579</v>
      </c>
      <c r="B314" s="23">
        <v>43914</v>
      </c>
      <c r="C314" t="s">
        <v>1138</v>
      </c>
      <c r="D314">
        <v>25</v>
      </c>
      <c r="E314" t="s">
        <v>1059</v>
      </c>
      <c r="F314" t="s">
        <v>1060</v>
      </c>
      <c r="G314" t="s">
        <v>1063</v>
      </c>
      <c r="H314" t="s">
        <v>77</v>
      </c>
      <c r="J314" s="31" t="str">
        <f t="shared" si="38"/>
        <v>Male</v>
      </c>
      <c r="K314" s="31" t="str">
        <f t="shared" si="39"/>
        <v>Singaporean</v>
      </c>
      <c r="L314" s="31" t="str">
        <f t="shared" si="40"/>
        <v xml:space="preserve">Case 579 is a Imported case, 25 years old male Singapore Citizen  and has been to UK . He is currently admitted at SGH . </v>
      </c>
      <c r="M314" s="31">
        <f t="shared" si="41"/>
        <v>579</v>
      </c>
      <c r="N314" s="31" t="str">
        <f t="shared" si="42"/>
        <v xml:space="preserve">UK </v>
      </c>
      <c r="O314" s="31" t="str">
        <f t="shared" si="43"/>
        <v/>
      </c>
      <c r="P314" s="31" t="str">
        <f t="shared" si="44"/>
        <v/>
      </c>
    </row>
    <row r="315" spans="1:16" x14ac:dyDescent="0.3">
      <c r="A315">
        <v>580</v>
      </c>
      <c r="B315" s="23">
        <v>43914</v>
      </c>
      <c r="C315" t="s">
        <v>1138</v>
      </c>
      <c r="D315">
        <v>35</v>
      </c>
      <c r="E315" t="s">
        <v>1073</v>
      </c>
      <c r="F315" t="s">
        <v>1245</v>
      </c>
      <c r="H315" t="s">
        <v>1086</v>
      </c>
      <c r="I315" t="s">
        <v>1246</v>
      </c>
      <c r="J315" s="31" t="str">
        <f t="shared" si="38"/>
        <v>Female</v>
      </c>
      <c r="K315" s="31" t="str">
        <f t="shared" si="39"/>
        <v>US</v>
      </c>
      <c r="L315" s="31" t="str">
        <f t="shared" si="40"/>
        <v>Case 580 is a Local linked  case, 35 years old female US (Singapore Work Pass holder)  and has not been overseas. She is currently admitted at SGH . Contact of Case 518</v>
      </c>
      <c r="M315" s="31" t="str">
        <f t="shared" si="41"/>
        <v/>
      </c>
      <c r="N315" s="31" t="str">
        <f t="shared" si="42"/>
        <v/>
      </c>
      <c r="O315" s="31">
        <f t="shared" si="43"/>
        <v>580</v>
      </c>
      <c r="P315" s="31" t="str">
        <f t="shared" si="44"/>
        <v>Contact of Case 518</v>
      </c>
    </row>
    <row r="316" spans="1:16" x14ac:dyDescent="0.3">
      <c r="A316">
        <v>581</v>
      </c>
      <c r="B316" s="23">
        <v>43914</v>
      </c>
      <c r="C316" t="s">
        <v>1138</v>
      </c>
      <c r="D316">
        <v>47</v>
      </c>
      <c r="E316" t="s">
        <v>1059</v>
      </c>
      <c r="F316" t="s">
        <v>1072</v>
      </c>
      <c r="H316" t="s">
        <v>1061</v>
      </c>
      <c r="J316" s="31" t="str">
        <f t="shared" si="38"/>
        <v>Male</v>
      </c>
      <c r="K316" s="31" t="str">
        <f t="shared" si="39"/>
        <v>Singaporean</v>
      </c>
      <c r="L316" s="31" t="str">
        <f t="shared" si="40"/>
        <v xml:space="preserve">Case 581 is a Local unlinked case, 47 years old male Singapore Permanent Resident  and has not been overseas. He is currently admitted at SGH . </v>
      </c>
      <c r="M316" s="31" t="str">
        <f t="shared" si="41"/>
        <v/>
      </c>
      <c r="N316" s="31" t="str">
        <f t="shared" si="42"/>
        <v/>
      </c>
      <c r="O316" s="31" t="str">
        <f t="shared" si="43"/>
        <v/>
      </c>
      <c r="P316" s="31" t="str">
        <f t="shared" si="44"/>
        <v/>
      </c>
    </row>
    <row r="317" spans="1:16" x14ac:dyDescent="0.3">
      <c r="A317">
        <v>582</v>
      </c>
      <c r="B317" s="23">
        <v>43914</v>
      </c>
      <c r="C317" t="s">
        <v>1161</v>
      </c>
      <c r="D317">
        <v>3</v>
      </c>
      <c r="E317" t="s">
        <v>1073</v>
      </c>
      <c r="F317" t="s">
        <v>1060</v>
      </c>
      <c r="G317" t="s">
        <v>1085</v>
      </c>
      <c r="H317" t="s">
        <v>1069</v>
      </c>
      <c r="I317" t="s">
        <v>1247</v>
      </c>
      <c r="J317" s="31" t="str">
        <f t="shared" si="38"/>
        <v>Female</v>
      </c>
      <c r="K317" s="31" t="str">
        <f t="shared" si="39"/>
        <v>Singaporean</v>
      </c>
      <c r="L317" s="31" t="str">
        <f t="shared" si="40"/>
        <v>Case 582 is a Imported  case, 3 years old female Singapore Citizen  and has been to US . She is currently admitted at KKH . Contact of Case 418</v>
      </c>
      <c r="M317" s="31">
        <f t="shared" si="41"/>
        <v>582</v>
      </c>
      <c r="N317" s="31" t="str">
        <f t="shared" si="42"/>
        <v xml:space="preserve">US </v>
      </c>
      <c r="O317" s="31">
        <f t="shared" si="43"/>
        <v>582</v>
      </c>
      <c r="P317" s="31" t="str">
        <f t="shared" si="44"/>
        <v>Contact of Case 418</v>
      </c>
    </row>
    <row r="318" spans="1:16" x14ac:dyDescent="0.3">
      <c r="A318">
        <v>583</v>
      </c>
      <c r="B318" s="23">
        <v>43914</v>
      </c>
      <c r="C318" t="s">
        <v>1071</v>
      </c>
      <c r="D318">
        <v>61</v>
      </c>
      <c r="E318" t="s">
        <v>1073</v>
      </c>
      <c r="F318" t="s">
        <v>1060</v>
      </c>
      <c r="H318" t="s">
        <v>1086</v>
      </c>
      <c r="I318" t="s">
        <v>1248</v>
      </c>
      <c r="J318" s="31" t="str">
        <f t="shared" si="38"/>
        <v>Female</v>
      </c>
      <c r="K318" s="31" t="str">
        <f t="shared" si="39"/>
        <v>Singaporean</v>
      </c>
      <c r="L318" s="31" t="str">
        <f t="shared" si="40"/>
        <v>Case 583 is a Local linked  case, 61 years old female Singapore Citizen  and has not been overseas. She is currently admitted at NCID . Contact of Cases 516 and 584 PCF Fengshan</v>
      </c>
      <c r="M318" s="31" t="str">
        <f t="shared" si="41"/>
        <v/>
      </c>
      <c r="N318" s="31" t="str">
        <f t="shared" si="42"/>
        <v/>
      </c>
      <c r="O318" s="31">
        <f t="shared" si="43"/>
        <v>583</v>
      </c>
      <c r="P318" s="31" t="str">
        <f t="shared" si="44"/>
        <v>Contact of Cases 516 and 584 PCF Fengshan</v>
      </c>
    </row>
    <row r="319" spans="1:16" x14ac:dyDescent="0.3">
      <c r="A319">
        <v>584</v>
      </c>
      <c r="B319" s="23">
        <v>43914</v>
      </c>
      <c r="C319" t="s">
        <v>1071</v>
      </c>
      <c r="D319">
        <v>37</v>
      </c>
      <c r="E319" t="s">
        <v>1073</v>
      </c>
      <c r="F319" t="s">
        <v>1072</v>
      </c>
      <c r="H319" t="s">
        <v>1086</v>
      </c>
      <c r="I319" t="s">
        <v>1249</v>
      </c>
      <c r="J319" s="31" t="str">
        <f t="shared" si="38"/>
        <v>Female</v>
      </c>
      <c r="K319" s="31" t="str">
        <f t="shared" si="39"/>
        <v>Singaporean</v>
      </c>
      <c r="L319" s="31" t="str">
        <f t="shared" si="40"/>
        <v>Case 584 is a Local linked  case, 37 years old female Singapore Permanent Resident  and has not been overseas. She is currently admitted at NCID . Contact of Cases 516 and 583 PCF Fengshan</v>
      </c>
      <c r="M319" s="31" t="str">
        <f t="shared" si="41"/>
        <v/>
      </c>
      <c r="N319" s="31" t="str">
        <f t="shared" si="42"/>
        <v/>
      </c>
      <c r="O319" s="31">
        <f t="shared" si="43"/>
        <v>584</v>
      </c>
      <c r="P319" s="31" t="str">
        <f t="shared" si="44"/>
        <v>Contact of Cases 516 and 583 PCF Fengshan</v>
      </c>
    </row>
    <row r="320" spans="1:16" x14ac:dyDescent="0.3">
      <c r="A320">
        <v>585</v>
      </c>
      <c r="B320" s="23">
        <v>43914</v>
      </c>
      <c r="C320" t="s">
        <v>1161</v>
      </c>
      <c r="D320">
        <v>38</v>
      </c>
      <c r="E320" t="s">
        <v>1073</v>
      </c>
      <c r="F320" t="s">
        <v>1250</v>
      </c>
      <c r="H320" t="s">
        <v>1086</v>
      </c>
      <c r="I320" t="s">
        <v>1251</v>
      </c>
      <c r="J320" s="31" t="str">
        <f t="shared" si="38"/>
        <v>Female</v>
      </c>
      <c r="K320" s="31" t="str">
        <f t="shared" si="39"/>
        <v>Philippines</v>
      </c>
      <c r="L320" s="31" t="str">
        <f t="shared" si="40"/>
        <v>Case 585 is a Local linked  case, 38 years old female Philippines (Singapore Work Pass holder)  and has not been overseas. She is currently admitted at KKH . Contact of Case 523</v>
      </c>
      <c r="M320" s="31" t="str">
        <f t="shared" si="41"/>
        <v/>
      </c>
      <c r="N320" s="31" t="str">
        <f t="shared" si="42"/>
        <v/>
      </c>
      <c r="O320" s="31">
        <f t="shared" si="43"/>
        <v>585</v>
      </c>
      <c r="P320" s="31" t="str">
        <f t="shared" si="44"/>
        <v>Contact of Case 523</v>
      </c>
    </row>
    <row r="321" spans="1:16" x14ac:dyDescent="0.3">
      <c r="A321">
        <v>586</v>
      </c>
      <c r="B321" s="23">
        <v>43914</v>
      </c>
      <c r="C321" t="s">
        <v>1062</v>
      </c>
      <c r="D321">
        <v>51</v>
      </c>
      <c r="E321" t="s">
        <v>1059</v>
      </c>
      <c r="F321" t="s">
        <v>1060</v>
      </c>
      <c r="H321" t="s">
        <v>1061</v>
      </c>
      <c r="J321" s="31" t="str">
        <f t="shared" si="38"/>
        <v>Male</v>
      </c>
      <c r="K321" s="31" t="str">
        <f t="shared" si="39"/>
        <v>Singaporean</v>
      </c>
      <c r="L321" s="31" t="str">
        <f t="shared" si="40"/>
        <v xml:space="preserve">Case 586 is a Local unlinked case, 51 years old male Singapore Citizen  and has not been overseas. He is currently admitted at NTFGH . </v>
      </c>
      <c r="M321" s="31" t="str">
        <f t="shared" si="41"/>
        <v/>
      </c>
      <c r="N321" s="31" t="str">
        <f t="shared" si="42"/>
        <v/>
      </c>
      <c r="O321" s="31" t="str">
        <f t="shared" si="43"/>
        <v/>
      </c>
      <c r="P321" s="31" t="str">
        <f t="shared" si="44"/>
        <v/>
      </c>
    </row>
    <row r="322" spans="1:16" x14ac:dyDescent="0.3">
      <c r="A322">
        <v>587</v>
      </c>
      <c r="B322" s="23">
        <v>43914</v>
      </c>
      <c r="C322" t="s">
        <v>1071</v>
      </c>
      <c r="D322">
        <v>25</v>
      </c>
      <c r="E322" t="s">
        <v>1059</v>
      </c>
      <c r="F322" t="s">
        <v>1060</v>
      </c>
      <c r="G322" t="s">
        <v>1063</v>
      </c>
      <c r="H322" t="s">
        <v>77</v>
      </c>
      <c r="J322" s="31" t="str">
        <f t="shared" si="38"/>
        <v>Male</v>
      </c>
      <c r="K322" s="31" t="str">
        <f t="shared" si="39"/>
        <v>Singaporean</v>
      </c>
      <c r="L322" s="31" t="str">
        <f t="shared" si="40"/>
        <v xml:space="preserve">Case 587 is a Imported case, 25 years old male Singapore Citizen  and has been to UK . He is currently admitted at NCID . </v>
      </c>
      <c r="M322" s="31">
        <f t="shared" si="41"/>
        <v>587</v>
      </c>
      <c r="N322" s="31" t="str">
        <f t="shared" si="42"/>
        <v xml:space="preserve">UK </v>
      </c>
      <c r="O322" s="31" t="str">
        <f t="shared" si="43"/>
        <v/>
      </c>
      <c r="P322" s="31" t="str">
        <f t="shared" si="44"/>
        <v/>
      </c>
    </row>
    <row r="323" spans="1:16" x14ac:dyDescent="0.3">
      <c r="A323">
        <v>588</v>
      </c>
      <c r="B323" s="23">
        <v>43914</v>
      </c>
      <c r="C323" t="s">
        <v>1071</v>
      </c>
      <c r="D323">
        <v>62</v>
      </c>
      <c r="E323" t="s">
        <v>1059</v>
      </c>
      <c r="F323" t="s">
        <v>1252</v>
      </c>
      <c r="G323" t="s">
        <v>1063</v>
      </c>
      <c r="H323" t="s">
        <v>77</v>
      </c>
      <c r="J323" s="31" t="str">
        <f t="shared" si="38"/>
        <v>Male</v>
      </c>
      <c r="K323" s="31" t="str">
        <f t="shared" si="39"/>
        <v>UK</v>
      </c>
      <c r="L323" s="31" t="str">
        <f t="shared" si="40"/>
        <v xml:space="preserve">Case 588 is a Imported case, 62 years old male UK (Singapore Work Pass holder) and has been to UK . He is currently admitted at NCID . </v>
      </c>
      <c r="M323" s="31">
        <f t="shared" si="41"/>
        <v>588</v>
      </c>
      <c r="N323" s="31" t="str">
        <f t="shared" si="42"/>
        <v xml:space="preserve">UK </v>
      </c>
      <c r="O323" s="31" t="str">
        <f t="shared" si="43"/>
        <v/>
      </c>
      <c r="P323" s="31" t="str">
        <f t="shared" si="44"/>
        <v/>
      </c>
    </row>
    <row r="324" spans="1:16" x14ac:dyDescent="0.3">
      <c r="A324">
        <v>589</v>
      </c>
      <c r="B324" s="23">
        <v>43914</v>
      </c>
      <c r="C324" t="s">
        <v>1071</v>
      </c>
      <c r="D324">
        <v>47</v>
      </c>
      <c r="E324" t="s">
        <v>1059</v>
      </c>
      <c r="F324" t="s">
        <v>1060</v>
      </c>
      <c r="H324" t="s">
        <v>1061</v>
      </c>
      <c r="J324" s="31" t="str">
        <f t="shared" si="38"/>
        <v>Male</v>
      </c>
      <c r="K324" s="31" t="str">
        <f t="shared" si="39"/>
        <v>Singaporean</v>
      </c>
      <c r="L324" s="31" t="str">
        <f t="shared" si="40"/>
        <v xml:space="preserve">Case 589 is a Local unlinked case, 47 years old male Singapore Citizen  and has not been overseas. He is currently admitted at NCID . </v>
      </c>
      <c r="M324" s="31" t="str">
        <f t="shared" si="41"/>
        <v/>
      </c>
      <c r="N324" s="31" t="str">
        <f t="shared" si="42"/>
        <v/>
      </c>
      <c r="O324" s="31" t="str">
        <f t="shared" si="43"/>
        <v/>
      </c>
      <c r="P324" s="31" t="str">
        <f t="shared" si="44"/>
        <v/>
      </c>
    </row>
    <row r="325" spans="1:16" x14ac:dyDescent="0.3">
      <c r="A325">
        <v>590</v>
      </c>
      <c r="B325" s="23">
        <v>43914</v>
      </c>
      <c r="C325" t="s">
        <v>343</v>
      </c>
      <c r="D325">
        <v>21</v>
      </c>
      <c r="E325" t="s">
        <v>1073</v>
      </c>
      <c r="F325" t="s">
        <v>1072</v>
      </c>
      <c r="G325" t="s">
        <v>1063</v>
      </c>
      <c r="H325" t="s">
        <v>77</v>
      </c>
      <c r="J325" s="31" t="str">
        <f t="shared" si="38"/>
        <v>Female</v>
      </c>
      <c r="K325" s="31" t="str">
        <f t="shared" si="39"/>
        <v>Singaporean</v>
      </c>
      <c r="L325" s="31" t="str">
        <f t="shared" si="40"/>
        <v xml:space="preserve">Case 590 is a Imported case, 21 years old female Singapore Permanent Resident  and has been to UK . She is currently admitted at NUH . </v>
      </c>
      <c r="M325" s="31">
        <f t="shared" si="41"/>
        <v>590</v>
      </c>
      <c r="N325" s="31" t="str">
        <f t="shared" si="42"/>
        <v xml:space="preserve">UK </v>
      </c>
      <c r="O325" s="31" t="str">
        <f t="shared" si="43"/>
        <v/>
      </c>
      <c r="P325" s="31" t="str">
        <f t="shared" si="44"/>
        <v/>
      </c>
    </row>
    <row r="326" spans="1:16" x14ac:dyDescent="0.3">
      <c r="A326">
        <v>591</v>
      </c>
      <c r="B326" s="23">
        <v>43914</v>
      </c>
      <c r="C326" t="s">
        <v>1138</v>
      </c>
      <c r="D326">
        <v>64</v>
      </c>
      <c r="E326" t="s">
        <v>1059</v>
      </c>
      <c r="F326" t="s">
        <v>1060</v>
      </c>
      <c r="G326" t="s">
        <v>355</v>
      </c>
      <c r="H326" t="s">
        <v>77</v>
      </c>
      <c r="J326" s="31" t="str">
        <f t="shared" si="38"/>
        <v>Male</v>
      </c>
      <c r="K326" s="31" t="str">
        <f t="shared" si="39"/>
        <v>Singaporean</v>
      </c>
      <c r="L326" s="31" t="str">
        <f t="shared" si="40"/>
        <v xml:space="preserve">Case 591 is a Imported case, 64 years old male Singapore Citizen  and has been to Portugal . He is currently admitted at SGH . </v>
      </c>
      <c r="M326" s="31">
        <f t="shared" si="41"/>
        <v>591</v>
      </c>
      <c r="N326" s="31" t="str">
        <f t="shared" si="42"/>
        <v xml:space="preserve">Portugal </v>
      </c>
      <c r="O326" s="31" t="str">
        <f t="shared" si="43"/>
        <v/>
      </c>
      <c r="P326" s="31" t="str">
        <f t="shared" si="44"/>
        <v/>
      </c>
    </row>
    <row r="327" spans="1:16" x14ac:dyDescent="0.3">
      <c r="A327">
        <v>592</v>
      </c>
      <c r="B327" s="23">
        <v>43914</v>
      </c>
      <c r="C327" t="s">
        <v>1071</v>
      </c>
      <c r="D327">
        <v>24</v>
      </c>
      <c r="E327" t="s">
        <v>1059</v>
      </c>
      <c r="F327" t="s">
        <v>1060</v>
      </c>
      <c r="G327" t="s">
        <v>1063</v>
      </c>
      <c r="H327" t="s">
        <v>77</v>
      </c>
      <c r="J327" s="31" t="str">
        <f t="shared" si="38"/>
        <v>Male</v>
      </c>
      <c r="K327" s="31" t="str">
        <f t="shared" si="39"/>
        <v>Singaporean</v>
      </c>
      <c r="L327" s="31" t="str">
        <f t="shared" si="40"/>
        <v xml:space="preserve">Case 592 is a Imported case, 24 years old male Singapore Citizen  and has been to UK . He is currently admitted at NCID . </v>
      </c>
      <c r="M327" s="31">
        <f t="shared" si="41"/>
        <v>592</v>
      </c>
      <c r="N327" s="31" t="str">
        <f t="shared" si="42"/>
        <v xml:space="preserve">UK </v>
      </c>
      <c r="O327" s="31" t="str">
        <f t="shared" si="43"/>
        <v/>
      </c>
      <c r="P327" s="31" t="str">
        <f t="shared" si="44"/>
        <v/>
      </c>
    </row>
    <row r="328" spans="1:16" x14ac:dyDescent="0.3">
      <c r="A328">
        <v>593</v>
      </c>
      <c r="B328" s="23">
        <v>43914</v>
      </c>
      <c r="C328" t="s">
        <v>1071</v>
      </c>
      <c r="D328">
        <v>24</v>
      </c>
      <c r="E328" t="s">
        <v>1059</v>
      </c>
      <c r="F328" t="s">
        <v>1060</v>
      </c>
      <c r="G328" t="s">
        <v>1085</v>
      </c>
      <c r="H328" t="s">
        <v>77</v>
      </c>
      <c r="J328" s="31" t="str">
        <f t="shared" si="38"/>
        <v>Male</v>
      </c>
      <c r="K328" s="31" t="str">
        <f t="shared" si="39"/>
        <v>Singaporean</v>
      </c>
      <c r="L328" s="31" t="str">
        <f t="shared" si="40"/>
        <v xml:space="preserve">Case 593 is a Imported case, 24 years old male Singapore Citizen  and has been to US . He is currently admitted at NCID . </v>
      </c>
      <c r="M328" s="31">
        <f t="shared" si="41"/>
        <v>593</v>
      </c>
      <c r="N328" s="31" t="str">
        <f t="shared" si="42"/>
        <v xml:space="preserve">US </v>
      </c>
      <c r="O328" s="31" t="str">
        <f t="shared" si="43"/>
        <v/>
      </c>
      <c r="P328" s="31" t="str">
        <f t="shared" si="44"/>
        <v/>
      </c>
    </row>
    <row r="329" spans="1:16" x14ac:dyDescent="0.3">
      <c r="A329">
        <v>594</v>
      </c>
      <c r="B329" s="23">
        <v>43914</v>
      </c>
      <c r="C329" t="s">
        <v>1071</v>
      </c>
      <c r="D329">
        <v>23</v>
      </c>
      <c r="E329" t="s">
        <v>1073</v>
      </c>
      <c r="F329" t="s">
        <v>1253</v>
      </c>
      <c r="H329" t="s">
        <v>1061</v>
      </c>
      <c r="J329" s="31" t="str">
        <f t="shared" si="38"/>
        <v>Female</v>
      </c>
      <c r="K329" s="31" t="str">
        <f t="shared" si="39"/>
        <v>China</v>
      </c>
      <c r="L329" s="31" t="str">
        <f t="shared" si="40"/>
        <v xml:space="preserve">Case 594 is a Local unlinked case, 23 years old female China (Long Term Pass holder)  and has not been overseas. She is currently admitted at NCID . </v>
      </c>
      <c r="M329" s="31" t="str">
        <f t="shared" si="41"/>
        <v/>
      </c>
      <c r="N329" s="31" t="str">
        <f t="shared" si="42"/>
        <v/>
      </c>
      <c r="O329" s="31" t="str">
        <f t="shared" si="43"/>
        <v/>
      </c>
      <c r="P329" s="31" t="str">
        <f t="shared" si="44"/>
        <v/>
      </c>
    </row>
    <row r="330" spans="1:16" x14ac:dyDescent="0.3">
      <c r="A330">
        <v>595</v>
      </c>
      <c r="B330" s="23">
        <v>43914</v>
      </c>
      <c r="C330" t="s">
        <v>1071</v>
      </c>
      <c r="D330">
        <v>19</v>
      </c>
      <c r="E330" t="s">
        <v>1073</v>
      </c>
      <c r="F330" t="s">
        <v>1060</v>
      </c>
      <c r="G330" t="s">
        <v>1177</v>
      </c>
      <c r="H330" t="s">
        <v>77</v>
      </c>
      <c r="J330" s="31" t="str">
        <f t="shared" si="38"/>
        <v>Female</v>
      </c>
      <c r="K330" s="31" t="str">
        <f t="shared" si="39"/>
        <v>Singaporean</v>
      </c>
      <c r="L330" s="31" t="str">
        <f t="shared" si="40"/>
        <v xml:space="preserve">Case 595 is a Imported case, 19 years old female Singapore Citizen  and has been to Pending . She is currently admitted at NCID . </v>
      </c>
      <c r="M330" s="31">
        <f t="shared" si="41"/>
        <v>595</v>
      </c>
      <c r="N330" s="31" t="str">
        <f t="shared" si="42"/>
        <v xml:space="preserve">Pending </v>
      </c>
      <c r="O330" s="31" t="str">
        <f t="shared" si="43"/>
        <v/>
      </c>
      <c r="P330" s="31" t="str">
        <f t="shared" si="44"/>
        <v/>
      </c>
    </row>
    <row r="331" spans="1:16" x14ac:dyDescent="0.3">
      <c r="A331">
        <v>596</v>
      </c>
      <c r="B331" s="23">
        <v>43915</v>
      </c>
      <c r="C331" t="s">
        <v>1071</v>
      </c>
      <c r="D331">
        <v>35</v>
      </c>
      <c r="E331" t="s">
        <v>1059</v>
      </c>
      <c r="F331" t="s">
        <v>1060</v>
      </c>
      <c r="G331" t="s">
        <v>1063</v>
      </c>
      <c r="H331" t="s">
        <v>77</v>
      </c>
      <c r="J331" s="31" t="str">
        <f t="shared" si="38"/>
        <v>Male</v>
      </c>
      <c r="K331" s="31" t="str">
        <f t="shared" si="39"/>
        <v>Singaporean</v>
      </c>
      <c r="L331" s="31" t="str">
        <f t="shared" si="40"/>
        <v xml:space="preserve">Case 596 is a Imported case, 35 years old male Singapore Citizen  and has been to UK . He is currently admitted at NCID . </v>
      </c>
      <c r="M331" s="31">
        <f t="shared" si="41"/>
        <v>596</v>
      </c>
      <c r="N331" s="31" t="str">
        <f t="shared" si="42"/>
        <v xml:space="preserve">UK </v>
      </c>
      <c r="O331" s="31" t="str">
        <f t="shared" si="43"/>
        <v/>
      </c>
      <c r="P331" s="31" t="str">
        <f t="shared" si="44"/>
        <v/>
      </c>
    </row>
    <row r="332" spans="1:16" x14ac:dyDescent="0.3">
      <c r="A332">
        <v>597</v>
      </c>
      <c r="B332" s="23">
        <v>43915</v>
      </c>
      <c r="C332" t="s">
        <v>1066</v>
      </c>
      <c r="D332">
        <v>50</v>
      </c>
      <c r="E332" t="s">
        <v>1073</v>
      </c>
      <c r="F332" t="s">
        <v>1060</v>
      </c>
      <c r="H332" t="s">
        <v>1086</v>
      </c>
      <c r="I332" t="s">
        <v>1254</v>
      </c>
      <c r="J332" s="31" t="str">
        <f t="shared" si="38"/>
        <v>Female</v>
      </c>
      <c r="K332" s="31" t="str">
        <f t="shared" si="39"/>
        <v>Singaporean</v>
      </c>
      <c r="L332" s="31" t="str">
        <f t="shared" si="40"/>
        <v>Case 597 is a Local linked  case, 50 years old female Singapore Citizen  and has not been overseas. She is currently admitted at SKH . Family member of Case 570</v>
      </c>
      <c r="M332" s="31" t="str">
        <f t="shared" si="41"/>
        <v/>
      </c>
      <c r="N332" s="31" t="str">
        <f t="shared" si="42"/>
        <v/>
      </c>
      <c r="O332" s="31">
        <f t="shared" si="43"/>
        <v>597</v>
      </c>
      <c r="P332" s="31" t="str">
        <f t="shared" si="44"/>
        <v>Family member of Case 570</v>
      </c>
    </row>
    <row r="333" spans="1:16" x14ac:dyDescent="0.3">
      <c r="A333">
        <v>598</v>
      </c>
      <c r="B333" s="23">
        <v>43915</v>
      </c>
      <c r="C333" t="s">
        <v>1066</v>
      </c>
      <c r="D333">
        <v>35</v>
      </c>
      <c r="E333" t="s">
        <v>1073</v>
      </c>
      <c r="F333" t="s">
        <v>1255</v>
      </c>
      <c r="H333" t="s">
        <v>1061</v>
      </c>
      <c r="J333" s="31" t="str">
        <f t="shared" si="38"/>
        <v>Female</v>
      </c>
      <c r="K333" s="31" t="str">
        <f t="shared" si="39"/>
        <v>India</v>
      </c>
      <c r="L333" s="31" t="str">
        <f t="shared" si="40"/>
        <v xml:space="preserve">Case 598 is a Local unlinked case, 35 years old female India (Singapore Work Pass holder)  and has not been overseas. She is currently admitted at SKH . </v>
      </c>
      <c r="M333" s="31" t="str">
        <f t="shared" si="41"/>
        <v/>
      </c>
      <c r="N333" s="31" t="str">
        <f t="shared" si="42"/>
        <v/>
      </c>
      <c r="O333" s="31" t="str">
        <f t="shared" si="43"/>
        <v/>
      </c>
      <c r="P333" s="31" t="str">
        <f t="shared" si="44"/>
        <v/>
      </c>
    </row>
    <row r="334" spans="1:16" x14ac:dyDescent="0.3">
      <c r="A334">
        <v>599</v>
      </c>
      <c r="B334" s="23">
        <v>43915</v>
      </c>
      <c r="C334" t="s">
        <v>1071</v>
      </c>
      <c r="D334">
        <v>32</v>
      </c>
      <c r="E334" t="s">
        <v>1059</v>
      </c>
      <c r="F334" t="s">
        <v>1060</v>
      </c>
      <c r="G334" t="s">
        <v>1063</v>
      </c>
      <c r="H334" t="s">
        <v>1069</v>
      </c>
      <c r="I334" t="s">
        <v>1256</v>
      </c>
      <c r="J334" s="31" t="str">
        <f t="shared" si="38"/>
        <v>Male</v>
      </c>
      <c r="K334" s="31" t="str">
        <f t="shared" si="39"/>
        <v>Singaporean</v>
      </c>
      <c r="L334" s="31" t="str">
        <f t="shared" si="40"/>
        <v>Case 599 is a Imported  case, 32 years old male Singapore Citizen  and has been to UK . He is currently admitted at NCID . Contact of Case 385</v>
      </c>
      <c r="M334" s="31">
        <f t="shared" si="41"/>
        <v>599</v>
      </c>
      <c r="N334" s="31" t="str">
        <f t="shared" si="42"/>
        <v xml:space="preserve">UK </v>
      </c>
      <c r="O334" s="31">
        <f t="shared" si="43"/>
        <v>599</v>
      </c>
      <c r="P334" s="31" t="str">
        <f t="shared" si="44"/>
        <v>Contact of Case 385</v>
      </c>
    </row>
    <row r="335" spans="1:16" x14ac:dyDescent="0.3">
      <c r="A335">
        <v>600</v>
      </c>
      <c r="B335" s="23">
        <v>43915</v>
      </c>
      <c r="C335" t="s">
        <v>1071</v>
      </c>
      <c r="D335">
        <v>66</v>
      </c>
      <c r="E335" t="s">
        <v>1059</v>
      </c>
      <c r="F335" t="s">
        <v>1072</v>
      </c>
      <c r="G335" t="s">
        <v>1177</v>
      </c>
      <c r="H335" t="s">
        <v>77</v>
      </c>
      <c r="J335" s="31" t="str">
        <f t="shared" si="38"/>
        <v>Male</v>
      </c>
      <c r="K335" s="31" t="str">
        <f t="shared" si="39"/>
        <v>Singaporean</v>
      </c>
      <c r="L335" s="31" t="str">
        <f t="shared" si="40"/>
        <v xml:space="preserve">Case 600 is a Imported case, 66 years old male Singapore Permanent Resident  and has been to Pending . He is currently admitted at NCID . </v>
      </c>
      <c r="M335" s="31">
        <f t="shared" si="41"/>
        <v>600</v>
      </c>
      <c r="N335" s="31" t="str">
        <f t="shared" si="42"/>
        <v xml:space="preserve">Pending </v>
      </c>
      <c r="O335" s="31" t="str">
        <f t="shared" si="43"/>
        <v/>
      </c>
      <c r="P335" s="31" t="str">
        <f t="shared" si="44"/>
        <v/>
      </c>
    </row>
    <row r="336" spans="1:16" x14ac:dyDescent="0.3">
      <c r="A336">
        <v>601</v>
      </c>
      <c r="B336" s="23">
        <v>43914</v>
      </c>
      <c r="C336" t="s">
        <v>1071</v>
      </c>
      <c r="D336">
        <v>47</v>
      </c>
      <c r="E336" t="s">
        <v>1073</v>
      </c>
      <c r="F336" t="s">
        <v>1060</v>
      </c>
      <c r="H336" t="s">
        <v>1086</v>
      </c>
      <c r="I336" t="s">
        <v>1257</v>
      </c>
      <c r="J336" s="31" t="str">
        <f t="shared" si="38"/>
        <v>Female</v>
      </c>
      <c r="K336" s="31" t="str">
        <f t="shared" si="39"/>
        <v>Singaporean</v>
      </c>
      <c r="L336" s="31" t="str">
        <f t="shared" si="40"/>
        <v>Case 601 is a Local linked  case, 47 years old female Singapore Citizen  and has not been overseas. She is currently admitted at NCID . Family member of Cases 521, 566, 567 and 572 PCF Fengshan</v>
      </c>
      <c r="M336" s="31" t="str">
        <f t="shared" si="41"/>
        <v/>
      </c>
      <c r="N336" s="31" t="str">
        <f t="shared" si="42"/>
        <v/>
      </c>
      <c r="O336" s="31">
        <f t="shared" si="43"/>
        <v>601</v>
      </c>
      <c r="P336" s="31" t="str">
        <f t="shared" si="44"/>
        <v>Family member of Cases 521, 566, 567 and 572 PCF Fengshan</v>
      </c>
    </row>
    <row r="337" spans="1:16" x14ac:dyDescent="0.3">
      <c r="A337">
        <v>602</v>
      </c>
      <c r="B337" s="23">
        <v>43914</v>
      </c>
      <c r="C337" t="s">
        <v>1071</v>
      </c>
      <c r="D337">
        <v>56</v>
      </c>
      <c r="E337" t="s">
        <v>1073</v>
      </c>
      <c r="F337" t="s">
        <v>1060</v>
      </c>
      <c r="H337" t="s">
        <v>1086</v>
      </c>
      <c r="I337" t="s">
        <v>1258</v>
      </c>
      <c r="J337" s="31" t="str">
        <f t="shared" si="38"/>
        <v>Female</v>
      </c>
      <c r="K337" s="31" t="str">
        <f t="shared" si="39"/>
        <v>Singaporean</v>
      </c>
      <c r="L337" s="31" t="str">
        <f t="shared" si="40"/>
        <v>Case 602 is a Local linked  case, 56 years old female Singapore Citizen  and has not been overseas. She is currently admitted at NCID . Contact of Case 516 PCF Fengshan</v>
      </c>
      <c r="M337" s="31" t="str">
        <f t="shared" si="41"/>
        <v/>
      </c>
      <c r="N337" s="31" t="str">
        <f t="shared" si="42"/>
        <v/>
      </c>
      <c r="O337" s="31">
        <f t="shared" si="43"/>
        <v>602</v>
      </c>
      <c r="P337" s="31" t="str">
        <f t="shared" si="44"/>
        <v>Contact of Case 516 PCF Fengshan</v>
      </c>
    </row>
    <row r="338" spans="1:16" x14ac:dyDescent="0.3">
      <c r="A338">
        <v>603</v>
      </c>
      <c r="B338" s="23">
        <v>43914</v>
      </c>
      <c r="C338" t="s">
        <v>1071</v>
      </c>
      <c r="D338">
        <v>23</v>
      </c>
      <c r="E338" t="s">
        <v>1073</v>
      </c>
      <c r="F338" t="s">
        <v>1060</v>
      </c>
      <c r="H338" t="s">
        <v>1086</v>
      </c>
      <c r="I338" t="s">
        <v>1259</v>
      </c>
      <c r="J338" s="31" t="str">
        <f t="shared" si="38"/>
        <v>Female</v>
      </c>
      <c r="K338" s="31" t="str">
        <f t="shared" si="39"/>
        <v>Singaporean</v>
      </c>
      <c r="L338" s="31" t="str">
        <f t="shared" si="40"/>
        <v>Case 603 is a Local linked  case, 23 years old female Singapore Citizen  and has not been overseas. She is currently admitted at NCID . PCF Fengshan</v>
      </c>
      <c r="M338" s="31" t="str">
        <f t="shared" si="41"/>
        <v/>
      </c>
      <c r="N338" s="31" t="str">
        <f t="shared" si="42"/>
        <v/>
      </c>
      <c r="O338" s="31">
        <f t="shared" si="43"/>
        <v>603</v>
      </c>
      <c r="P338" s="31" t="str">
        <f t="shared" si="44"/>
        <v>PCF Fengshan</v>
      </c>
    </row>
    <row r="339" spans="1:16" x14ac:dyDescent="0.3">
      <c r="A339">
        <v>604</v>
      </c>
      <c r="B339" s="23">
        <v>43914</v>
      </c>
      <c r="C339" t="s">
        <v>1071</v>
      </c>
      <c r="D339">
        <v>36</v>
      </c>
      <c r="E339" t="s">
        <v>1073</v>
      </c>
      <c r="F339" t="s">
        <v>1165</v>
      </c>
      <c r="H339" t="s">
        <v>1086</v>
      </c>
      <c r="I339" t="s">
        <v>1259</v>
      </c>
      <c r="J339" s="31" t="str">
        <f t="shared" si="38"/>
        <v>Female</v>
      </c>
      <c r="K339" s="31" t="str">
        <f t="shared" si="39"/>
        <v>Philippines</v>
      </c>
      <c r="L339" s="31" t="str">
        <f t="shared" si="40"/>
        <v>Case 604 is a Local linked  case, 36 years old female Philippines (Long Term Pass holder)  and has not been overseas. She is currently admitted at NCID . PCF Fengshan</v>
      </c>
      <c r="M339" s="31" t="str">
        <f t="shared" si="41"/>
        <v/>
      </c>
      <c r="N339" s="31" t="str">
        <f t="shared" si="42"/>
        <v/>
      </c>
      <c r="O339" s="31">
        <f t="shared" si="43"/>
        <v>604</v>
      </c>
      <c r="P339" s="31" t="str">
        <f t="shared" si="44"/>
        <v>PCF Fengshan</v>
      </c>
    </row>
    <row r="340" spans="1:16" x14ac:dyDescent="0.3">
      <c r="A340">
        <v>605</v>
      </c>
      <c r="B340" s="23">
        <v>43914</v>
      </c>
      <c r="C340" t="s">
        <v>1071</v>
      </c>
      <c r="D340">
        <v>29</v>
      </c>
      <c r="E340" t="s">
        <v>1073</v>
      </c>
      <c r="F340" t="s">
        <v>1060</v>
      </c>
      <c r="H340" t="s">
        <v>1086</v>
      </c>
      <c r="I340" t="s">
        <v>1259</v>
      </c>
      <c r="J340" s="31" t="str">
        <f t="shared" si="38"/>
        <v>Female</v>
      </c>
      <c r="K340" s="31" t="str">
        <f t="shared" si="39"/>
        <v>Singaporean</v>
      </c>
      <c r="L340" s="31" t="str">
        <f t="shared" si="40"/>
        <v>Case 605 is a Local linked  case, 29 years old female Singapore Citizen  and has not been overseas. She is currently admitted at NCID . PCF Fengshan</v>
      </c>
      <c r="M340" s="31" t="str">
        <f t="shared" si="41"/>
        <v/>
      </c>
      <c r="N340" s="31" t="str">
        <f t="shared" si="42"/>
        <v/>
      </c>
      <c r="O340" s="31">
        <f t="shared" si="43"/>
        <v>605</v>
      </c>
      <c r="P340" s="31" t="str">
        <f t="shared" si="44"/>
        <v>PCF Fengshan</v>
      </c>
    </row>
    <row r="341" spans="1:16" x14ac:dyDescent="0.3">
      <c r="A341">
        <v>606</v>
      </c>
      <c r="B341" s="23">
        <v>43915</v>
      </c>
      <c r="C341" t="s">
        <v>1071</v>
      </c>
      <c r="D341">
        <v>55</v>
      </c>
      <c r="E341" t="s">
        <v>1059</v>
      </c>
      <c r="F341" t="s">
        <v>1060</v>
      </c>
      <c r="H341" t="s">
        <v>1061</v>
      </c>
      <c r="J341" s="31" t="str">
        <f t="shared" si="38"/>
        <v>Male</v>
      </c>
      <c r="K341" s="31" t="str">
        <f t="shared" si="39"/>
        <v>Singaporean</v>
      </c>
      <c r="L341" s="31" t="str">
        <f t="shared" si="40"/>
        <v xml:space="preserve">Case 606 is a Local unlinked case, 55 years old male Singapore Citizen  and has not been overseas. He is currently admitted at NCID . </v>
      </c>
      <c r="M341" s="31" t="str">
        <f t="shared" si="41"/>
        <v/>
      </c>
      <c r="N341" s="31" t="str">
        <f t="shared" si="42"/>
        <v/>
      </c>
      <c r="O341" s="31" t="str">
        <f t="shared" si="43"/>
        <v/>
      </c>
      <c r="P341" s="31" t="str">
        <f t="shared" si="44"/>
        <v/>
      </c>
    </row>
    <row r="342" spans="1:16" x14ac:dyDescent="0.3">
      <c r="A342">
        <v>607</v>
      </c>
      <c r="B342" s="23">
        <v>43915</v>
      </c>
      <c r="C342" t="s">
        <v>1071</v>
      </c>
      <c r="D342">
        <v>40</v>
      </c>
      <c r="E342" t="s">
        <v>1073</v>
      </c>
      <c r="F342" t="s">
        <v>1060</v>
      </c>
      <c r="G342" t="s">
        <v>1063</v>
      </c>
      <c r="H342" t="s">
        <v>77</v>
      </c>
      <c r="J342" s="31" t="str">
        <f t="shared" si="38"/>
        <v>Female</v>
      </c>
      <c r="K342" s="31" t="str">
        <f t="shared" si="39"/>
        <v>Singaporean</v>
      </c>
      <c r="L342" s="31" t="str">
        <f t="shared" si="40"/>
        <v xml:space="preserve">Case 607 is a Imported case, 40 years old female Singapore Citizen  and has been to UK . She is currently admitted at NCID . </v>
      </c>
      <c r="M342" s="31">
        <f t="shared" si="41"/>
        <v>607</v>
      </c>
      <c r="N342" s="31" t="str">
        <f t="shared" si="42"/>
        <v xml:space="preserve">UK </v>
      </c>
      <c r="O342" s="31" t="str">
        <f t="shared" si="43"/>
        <v/>
      </c>
      <c r="P342" s="31" t="str">
        <f t="shared" si="44"/>
        <v/>
      </c>
    </row>
    <row r="343" spans="1:16" x14ac:dyDescent="0.3">
      <c r="A343">
        <v>608</v>
      </c>
      <c r="B343" s="23">
        <v>43915</v>
      </c>
      <c r="C343" t="s">
        <v>1071</v>
      </c>
      <c r="D343">
        <v>18</v>
      </c>
      <c r="E343" t="s">
        <v>1073</v>
      </c>
      <c r="F343" t="s">
        <v>1180</v>
      </c>
      <c r="G343" t="s">
        <v>809</v>
      </c>
      <c r="H343" t="s">
        <v>77</v>
      </c>
      <c r="J343" s="31" t="str">
        <f t="shared" si="38"/>
        <v>Female</v>
      </c>
      <c r="K343" s="31" t="str">
        <f t="shared" si="39"/>
        <v>France</v>
      </c>
      <c r="L343" s="31" t="str">
        <f t="shared" si="40"/>
        <v xml:space="preserve">Case 608 is a Imported case, 18 years old female France (Long Term Pass holder)  and has been to Canada . She is currently admitted at NCID . </v>
      </c>
      <c r="M343" s="31">
        <f t="shared" si="41"/>
        <v>608</v>
      </c>
      <c r="N343" s="31" t="str">
        <f t="shared" si="42"/>
        <v xml:space="preserve">Canada </v>
      </c>
      <c r="O343" s="31" t="str">
        <f t="shared" si="43"/>
        <v/>
      </c>
      <c r="P343" s="31" t="str">
        <f t="shared" si="44"/>
        <v/>
      </c>
    </row>
    <row r="344" spans="1:16" x14ac:dyDescent="0.3">
      <c r="A344">
        <v>609</v>
      </c>
      <c r="B344" s="23">
        <v>43914</v>
      </c>
      <c r="C344" t="s">
        <v>1071</v>
      </c>
      <c r="D344">
        <v>30</v>
      </c>
      <c r="E344" t="s">
        <v>1073</v>
      </c>
      <c r="F344" t="s">
        <v>1060</v>
      </c>
      <c r="H344" t="s">
        <v>1086</v>
      </c>
      <c r="I344" t="s">
        <v>1258</v>
      </c>
      <c r="J344" s="31" t="str">
        <f t="shared" si="38"/>
        <v>Female</v>
      </c>
      <c r="K344" s="31" t="str">
        <f t="shared" si="39"/>
        <v>Singaporean</v>
      </c>
      <c r="L344" s="31" t="str">
        <f t="shared" si="40"/>
        <v>Case 609 is a Local linked  case, 30 years old female Singapore Citizen  and has not been overseas. She is currently admitted at NCID . Contact of Case 516 PCF Fengshan</v>
      </c>
      <c r="M344" s="31" t="str">
        <f t="shared" si="41"/>
        <v/>
      </c>
      <c r="N344" s="31" t="str">
        <f t="shared" si="42"/>
        <v/>
      </c>
      <c r="O344" s="31">
        <f t="shared" si="43"/>
        <v>609</v>
      </c>
      <c r="P344" s="31" t="str">
        <f t="shared" si="44"/>
        <v>Contact of Case 516 PCF Fengshan</v>
      </c>
    </row>
    <row r="345" spans="1:16" x14ac:dyDescent="0.3">
      <c r="A345">
        <v>610</v>
      </c>
      <c r="B345" s="23">
        <v>43914</v>
      </c>
      <c r="C345" t="s">
        <v>1071</v>
      </c>
      <c r="D345">
        <v>25</v>
      </c>
      <c r="E345" t="s">
        <v>1073</v>
      </c>
      <c r="F345" t="s">
        <v>1060</v>
      </c>
      <c r="H345" t="s">
        <v>1086</v>
      </c>
      <c r="I345" t="s">
        <v>1258</v>
      </c>
      <c r="J345" s="31" t="str">
        <f t="shared" si="38"/>
        <v>Female</v>
      </c>
      <c r="K345" s="31" t="str">
        <f t="shared" si="39"/>
        <v>Singaporean</v>
      </c>
      <c r="L345" s="31" t="str">
        <f t="shared" si="40"/>
        <v>Case 610 is a Local linked  case, 25 years old female Singapore Citizen  and has not been overseas. She is currently admitted at NCID . Contact of Case 516 PCF Fengshan</v>
      </c>
      <c r="M345" s="31" t="str">
        <f t="shared" si="41"/>
        <v/>
      </c>
      <c r="N345" s="31" t="str">
        <f t="shared" si="42"/>
        <v/>
      </c>
      <c r="O345" s="31">
        <f t="shared" si="43"/>
        <v>610</v>
      </c>
      <c r="P345" s="31" t="str">
        <f t="shared" si="44"/>
        <v>Contact of Case 516 PCF Fengshan</v>
      </c>
    </row>
    <row r="346" spans="1:16" x14ac:dyDescent="0.3">
      <c r="A346">
        <v>611</v>
      </c>
      <c r="B346" s="23">
        <v>43915</v>
      </c>
      <c r="C346" t="s">
        <v>1071</v>
      </c>
      <c r="D346">
        <v>24</v>
      </c>
      <c r="E346" t="s">
        <v>1059</v>
      </c>
      <c r="F346" t="s">
        <v>1060</v>
      </c>
      <c r="G346" t="s">
        <v>1063</v>
      </c>
      <c r="H346" t="s">
        <v>77</v>
      </c>
      <c r="J346" s="31" t="str">
        <f t="shared" si="38"/>
        <v>Male</v>
      </c>
      <c r="K346" s="31" t="str">
        <f t="shared" si="39"/>
        <v>Singaporean</v>
      </c>
      <c r="L346" s="31" t="str">
        <f t="shared" si="40"/>
        <v xml:space="preserve">Case 611 is a Imported case, 24 years old male Singapore Citizen  and has been to UK . He is currently admitted at NCID . </v>
      </c>
      <c r="M346" s="31">
        <f t="shared" si="41"/>
        <v>611</v>
      </c>
      <c r="N346" s="31" t="str">
        <f t="shared" si="42"/>
        <v xml:space="preserve">UK </v>
      </c>
      <c r="O346" s="31" t="str">
        <f t="shared" si="43"/>
        <v/>
      </c>
      <c r="P346" s="31" t="str">
        <f t="shared" si="44"/>
        <v/>
      </c>
    </row>
    <row r="347" spans="1:16" x14ac:dyDescent="0.3">
      <c r="A347">
        <v>612</v>
      </c>
      <c r="B347" s="23">
        <v>43914</v>
      </c>
      <c r="C347" t="s">
        <v>1071</v>
      </c>
      <c r="D347">
        <v>22</v>
      </c>
      <c r="E347" t="s">
        <v>1073</v>
      </c>
      <c r="F347" t="s">
        <v>1060</v>
      </c>
      <c r="H347" t="s">
        <v>1086</v>
      </c>
      <c r="I347" t="s">
        <v>1259</v>
      </c>
      <c r="J347" s="31" t="str">
        <f t="shared" si="38"/>
        <v>Female</v>
      </c>
      <c r="K347" s="31" t="str">
        <f t="shared" si="39"/>
        <v>Singaporean</v>
      </c>
      <c r="L347" s="31" t="str">
        <f t="shared" si="40"/>
        <v>Case 612 is a Local linked  case, 22 years old female Singapore Citizen  and has not been overseas. She is currently admitted at NCID . PCF Fengshan</v>
      </c>
      <c r="M347" s="31" t="str">
        <f t="shared" si="41"/>
        <v/>
      </c>
      <c r="N347" s="31" t="str">
        <f t="shared" si="42"/>
        <v/>
      </c>
      <c r="O347" s="31">
        <f t="shared" si="43"/>
        <v>612</v>
      </c>
      <c r="P347" s="31" t="str">
        <f t="shared" si="44"/>
        <v>PCF Fengshan</v>
      </c>
    </row>
    <row r="348" spans="1:16" x14ac:dyDescent="0.3">
      <c r="A348">
        <v>613</v>
      </c>
      <c r="B348" s="23">
        <v>43915</v>
      </c>
      <c r="C348" t="s">
        <v>1071</v>
      </c>
      <c r="D348">
        <v>62</v>
      </c>
      <c r="E348" t="s">
        <v>1073</v>
      </c>
      <c r="F348" t="s">
        <v>1060</v>
      </c>
      <c r="G348" t="s">
        <v>794</v>
      </c>
      <c r="H348" t="s">
        <v>77</v>
      </c>
      <c r="J348" s="31" t="str">
        <f t="shared" si="38"/>
        <v>Female</v>
      </c>
      <c r="K348" s="31" t="str">
        <f t="shared" si="39"/>
        <v>Singaporean</v>
      </c>
      <c r="L348" s="31" t="str">
        <f t="shared" si="40"/>
        <v xml:space="preserve">Case 613 is a Imported case, 62 years old female Singapore Citizen  and has been to Thailand . She is currently admitted at NCID . </v>
      </c>
      <c r="M348" s="31">
        <f t="shared" si="41"/>
        <v>613</v>
      </c>
      <c r="N348" s="31" t="str">
        <f t="shared" si="42"/>
        <v xml:space="preserve">Thailand </v>
      </c>
      <c r="O348" s="31" t="str">
        <f t="shared" si="43"/>
        <v/>
      </c>
      <c r="P348" s="31" t="str">
        <f t="shared" si="44"/>
        <v/>
      </c>
    </row>
    <row r="349" spans="1:16" x14ac:dyDescent="0.3">
      <c r="A349">
        <v>614</v>
      </c>
      <c r="B349" s="23">
        <v>43915</v>
      </c>
      <c r="C349" t="s">
        <v>1071</v>
      </c>
      <c r="D349">
        <v>62</v>
      </c>
      <c r="E349" t="s">
        <v>1073</v>
      </c>
      <c r="F349" t="s">
        <v>1060</v>
      </c>
      <c r="H349" t="s">
        <v>1086</v>
      </c>
      <c r="I349" t="s">
        <v>1259</v>
      </c>
      <c r="J349" s="31" t="str">
        <f t="shared" si="38"/>
        <v>Female</v>
      </c>
      <c r="K349" s="31" t="str">
        <f t="shared" si="39"/>
        <v>Singaporean</v>
      </c>
      <c r="L349" s="31" t="str">
        <f t="shared" si="40"/>
        <v>Case 614 is a Local linked  case, 62 years old female Singapore Citizen  and has not been overseas. She is currently admitted at NCID . PCF Fengshan</v>
      </c>
      <c r="M349" s="31" t="str">
        <f t="shared" si="41"/>
        <v/>
      </c>
      <c r="N349" s="31" t="str">
        <f t="shared" si="42"/>
        <v/>
      </c>
      <c r="O349" s="31">
        <f t="shared" si="43"/>
        <v>614</v>
      </c>
      <c r="P349" s="31" t="str">
        <f t="shared" si="44"/>
        <v>PCF Fengshan</v>
      </c>
    </row>
    <row r="350" spans="1:16" x14ac:dyDescent="0.3">
      <c r="A350">
        <v>615</v>
      </c>
      <c r="B350" s="23">
        <v>43915</v>
      </c>
      <c r="C350" t="s">
        <v>1071</v>
      </c>
      <c r="D350">
        <v>44</v>
      </c>
      <c r="E350" t="s">
        <v>1073</v>
      </c>
      <c r="F350" t="s">
        <v>1060</v>
      </c>
      <c r="G350" t="s">
        <v>802</v>
      </c>
      <c r="H350" t="s">
        <v>77</v>
      </c>
      <c r="J350" s="31" t="str">
        <f t="shared" si="38"/>
        <v>Female</v>
      </c>
      <c r="K350" s="31" t="str">
        <f t="shared" si="39"/>
        <v>Singaporean</v>
      </c>
      <c r="L350" s="31" t="str">
        <f t="shared" si="40"/>
        <v xml:space="preserve">Case 615 is a Imported case, 44 years old female Singapore Citizen  and has been to Germany . She is currently admitted at NCID . </v>
      </c>
      <c r="M350" s="31">
        <f t="shared" si="41"/>
        <v>615</v>
      </c>
      <c r="N350" s="31" t="str">
        <f t="shared" si="42"/>
        <v xml:space="preserve">Germany </v>
      </c>
      <c r="O350" s="31" t="str">
        <f t="shared" si="43"/>
        <v/>
      </c>
      <c r="P350" s="31" t="str">
        <f t="shared" si="44"/>
        <v/>
      </c>
    </row>
    <row r="351" spans="1:16" x14ac:dyDescent="0.3">
      <c r="A351">
        <v>616</v>
      </c>
      <c r="B351" s="23">
        <v>43915</v>
      </c>
      <c r="C351" t="s">
        <v>1071</v>
      </c>
      <c r="D351">
        <v>39</v>
      </c>
      <c r="E351" t="s">
        <v>1059</v>
      </c>
      <c r="F351" t="s">
        <v>1156</v>
      </c>
      <c r="G351" t="s">
        <v>360</v>
      </c>
      <c r="H351" t="s">
        <v>77</v>
      </c>
      <c r="J351" s="31" t="str">
        <f t="shared" si="38"/>
        <v>Male</v>
      </c>
      <c r="K351" s="31" t="str">
        <f t="shared" si="39"/>
        <v>Malaysia</v>
      </c>
      <c r="L351" s="31" t="str">
        <f t="shared" si="40"/>
        <v xml:space="preserve">Case 616 is a Imported case, 39 years old male Malaysia (Singapore Work Pass holder)  and has been to Malaysia . He is currently admitted at NCID . </v>
      </c>
      <c r="M351" s="31">
        <f t="shared" si="41"/>
        <v>616</v>
      </c>
      <c r="N351" s="31" t="str">
        <f t="shared" si="42"/>
        <v xml:space="preserve">Malaysia </v>
      </c>
      <c r="O351" s="31" t="str">
        <f t="shared" si="43"/>
        <v/>
      </c>
      <c r="P351" s="31" t="str">
        <f t="shared" si="44"/>
        <v/>
      </c>
    </row>
    <row r="352" spans="1:16" x14ac:dyDescent="0.3">
      <c r="A352">
        <v>617</v>
      </c>
      <c r="B352" s="23">
        <v>43915</v>
      </c>
      <c r="C352" t="s">
        <v>1071</v>
      </c>
      <c r="D352">
        <v>26</v>
      </c>
      <c r="E352" t="s">
        <v>1073</v>
      </c>
      <c r="F352" t="s">
        <v>1250</v>
      </c>
      <c r="H352" t="s">
        <v>1086</v>
      </c>
      <c r="I352" t="s">
        <v>1259</v>
      </c>
      <c r="J352" s="31" t="str">
        <f t="shared" si="38"/>
        <v>Female</v>
      </c>
      <c r="K352" s="31" t="str">
        <f t="shared" si="39"/>
        <v>Philippines</v>
      </c>
      <c r="L352" s="31" t="str">
        <f t="shared" si="40"/>
        <v>Case 617 is a Local linked  case, 26 years old female Philippines (Singapore Work Pass holder)  and has not been overseas. She is currently admitted at NCID . PCF Fengshan</v>
      </c>
      <c r="M352" s="31" t="str">
        <f t="shared" si="41"/>
        <v/>
      </c>
      <c r="N352" s="31" t="str">
        <f t="shared" si="42"/>
        <v/>
      </c>
      <c r="O352" s="31">
        <f t="shared" si="43"/>
        <v>617</v>
      </c>
      <c r="P352" s="31" t="str">
        <f t="shared" si="44"/>
        <v>PCF Fengshan</v>
      </c>
    </row>
    <row r="353" spans="1:16" x14ac:dyDescent="0.3">
      <c r="A353">
        <v>618</v>
      </c>
      <c r="B353" s="23">
        <v>43915</v>
      </c>
      <c r="C353" t="s">
        <v>1071</v>
      </c>
      <c r="D353">
        <v>29</v>
      </c>
      <c r="E353" t="s">
        <v>1073</v>
      </c>
      <c r="F353" t="s">
        <v>1186</v>
      </c>
      <c r="H353" t="s">
        <v>1086</v>
      </c>
      <c r="I353" t="s">
        <v>1260</v>
      </c>
      <c r="J353" s="31" t="str">
        <f t="shared" si="38"/>
        <v>Female</v>
      </c>
      <c r="K353" s="31" t="str">
        <f t="shared" si="39"/>
        <v>UK</v>
      </c>
      <c r="L353" s="31" t="str">
        <f t="shared" si="40"/>
        <v>Case 618 is a Local linked  case, 29 years old female UK (Singapore Work Pass holder)  and has not been overseas. She is currently admitted at NCID . Contact of Case 556 Dover Court International School</v>
      </c>
      <c r="M353" s="31" t="str">
        <f t="shared" si="41"/>
        <v/>
      </c>
      <c r="N353" s="31" t="str">
        <f t="shared" si="42"/>
        <v/>
      </c>
      <c r="O353" s="31">
        <f t="shared" si="43"/>
        <v>618</v>
      </c>
      <c r="P353" s="31" t="str">
        <f t="shared" si="44"/>
        <v>Contact of Case 556 Dover Court International School</v>
      </c>
    </row>
    <row r="354" spans="1:16" x14ac:dyDescent="0.3">
      <c r="A354">
        <v>619</v>
      </c>
      <c r="B354" s="23">
        <v>43915</v>
      </c>
      <c r="C354" t="s">
        <v>1071</v>
      </c>
      <c r="D354">
        <v>65</v>
      </c>
      <c r="E354" t="s">
        <v>1073</v>
      </c>
      <c r="F354" t="s">
        <v>1060</v>
      </c>
      <c r="H354" t="s">
        <v>1086</v>
      </c>
      <c r="I354" t="s">
        <v>1261</v>
      </c>
      <c r="J354" s="31" t="str">
        <f t="shared" si="38"/>
        <v>Female</v>
      </c>
      <c r="K354" s="31" t="str">
        <f t="shared" si="39"/>
        <v>Singaporean</v>
      </c>
      <c r="L354" s="31" t="str">
        <f t="shared" si="40"/>
        <v>Case 619 is a Local linked  case, 65 years old female Singapore Citizen  and has not been overseas. She is currently admitted at NCID . Family member of Case 557</v>
      </c>
      <c r="M354" s="31" t="str">
        <f t="shared" si="41"/>
        <v/>
      </c>
      <c r="N354" s="31" t="str">
        <f t="shared" si="42"/>
        <v/>
      </c>
      <c r="O354" s="31">
        <f t="shared" si="43"/>
        <v>619</v>
      </c>
      <c r="P354" s="31" t="str">
        <f t="shared" si="44"/>
        <v>Family member of Case 557</v>
      </c>
    </row>
    <row r="355" spans="1:16" x14ac:dyDescent="0.3">
      <c r="A355">
        <v>620</v>
      </c>
      <c r="B355" s="23">
        <v>43915</v>
      </c>
      <c r="C355" t="s">
        <v>1071</v>
      </c>
      <c r="D355">
        <v>18</v>
      </c>
      <c r="E355" t="s">
        <v>1073</v>
      </c>
      <c r="F355" t="s">
        <v>1060</v>
      </c>
      <c r="G355" t="s">
        <v>1063</v>
      </c>
      <c r="H355" t="s">
        <v>77</v>
      </c>
      <c r="J355" s="31" t="str">
        <f t="shared" si="38"/>
        <v>Female</v>
      </c>
      <c r="K355" s="31" t="str">
        <f t="shared" si="39"/>
        <v>Singaporean</v>
      </c>
      <c r="L355" s="31" t="str">
        <f t="shared" si="40"/>
        <v xml:space="preserve">Case 620 is a Imported case, 18 years old female Singapore Citizen  and has been to UK . She is currently admitted at NCID . </v>
      </c>
      <c r="M355" s="31">
        <f t="shared" si="41"/>
        <v>620</v>
      </c>
      <c r="N355" s="31" t="str">
        <f t="shared" si="42"/>
        <v xml:space="preserve">UK </v>
      </c>
      <c r="O355" s="31" t="str">
        <f t="shared" si="43"/>
        <v/>
      </c>
      <c r="P355" s="31" t="str">
        <f t="shared" si="44"/>
        <v/>
      </c>
    </row>
    <row r="356" spans="1:16" x14ac:dyDescent="0.3">
      <c r="A356">
        <v>621</v>
      </c>
      <c r="B356" s="23">
        <v>43915</v>
      </c>
      <c r="C356" t="s">
        <v>1071</v>
      </c>
      <c r="D356">
        <v>50</v>
      </c>
      <c r="E356" t="s">
        <v>1059</v>
      </c>
      <c r="F356" t="s">
        <v>1072</v>
      </c>
      <c r="H356" t="s">
        <v>1061</v>
      </c>
      <c r="J356" s="31" t="str">
        <f t="shared" si="38"/>
        <v>Male</v>
      </c>
      <c r="K356" s="31" t="str">
        <f t="shared" si="39"/>
        <v>Singaporean</v>
      </c>
      <c r="L356" s="31" t="str">
        <f t="shared" si="40"/>
        <v xml:space="preserve">Case 621 is a Local unlinked case, 50 years old male Singapore Permanent Resident  and has not been overseas. He is currently admitted at NCID . </v>
      </c>
      <c r="M356" s="31" t="str">
        <f t="shared" si="41"/>
        <v/>
      </c>
      <c r="N356" s="31" t="str">
        <f t="shared" si="42"/>
        <v/>
      </c>
      <c r="O356" s="31" t="str">
        <f t="shared" si="43"/>
        <v/>
      </c>
      <c r="P356" s="31" t="str">
        <f t="shared" si="44"/>
        <v/>
      </c>
    </row>
    <row r="357" spans="1:16" x14ac:dyDescent="0.3">
      <c r="A357">
        <v>622</v>
      </c>
      <c r="B357" s="23">
        <v>43915</v>
      </c>
      <c r="C357" t="s">
        <v>1071</v>
      </c>
      <c r="D357">
        <v>27</v>
      </c>
      <c r="E357" t="s">
        <v>1073</v>
      </c>
      <c r="F357" t="s">
        <v>1060</v>
      </c>
      <c r="G357" t="s">
        <v>1063</v>
      </c>
      <c r="H357" t="s">
        <v>77</v>
      </c>
      <c r="J357" s="31" t="str">
        <f t="shared" si="38"/>
        <v>Female</v>
      </c>
      <c r="K357" s="31" t="str">
        <f t="shared" si="39"/>
        <v>Singaporean</v>
      </c>
      <c r="L357" s="31" t="str">
        <f t="shared" si="40"/>
        <v xml:space="preserve">Case 622 is a Imported case, 27 years old female Singapore Citizen  and has been to UK . She is currently admitted at NCID . </v>
      </c>
      <c r="M357" s="31">
        <f t="shared" si="41"/>
        <v>622</v>
      </c>
      <c r="N357" s="31" t="str">
        <f t="shared" si="42"/>
        <v xml:space="preserve">UK </v>
      </c>
      <c r="O357" s="31" t="str">
        <f t="shared" si="43"/>
        <v/>
      </c>
      <c r="P357" s="31" t="str">
        <f t="shared" si="44"/>
        <v/>
      </c>
    </row>
    <row r="358" spans="1:16" x14ac:dyDescent="0.3">
      <c r="A358">
        <v>623</v>
      </c>
      <c r="B358" s="23">
        <v>43915</v>
      </c>
      <c r="C358" t="s">
        <v>1071</v>
      </c>
      <c r="D358">
        <v>58</v>
      </c>
      <c r="E358" t="s">
        <v>1073</v>
      </c>
      <c r="F358" t="s">
        <v>1173</v>
      </c>
      <c r="G358" t="s">
        <v>687</v>
      </c>
      <c r="H358" t="s">
        <v>77</v>
      </c>
      <c r="J358" s="31" t="str">
        <f t="shared" si="38"/>
        <v>Female</v>
      </c>
      <c r="K358" s="31" t="str">
        <f t="shared" si="39"/>
        <v>Indonesia</v>
      </c>
      <c r="L358" s="31" t="str">
        <f t="shared" si="40"/>
        <v xml:space="preserve">Case 623 is a Imported case, 58 years old female Indonesia (Long Term Pass holder)  and has been to Indonesia . She is currently admitted at NCID . </v>
      </c>
      <c r="M358" s="31">
        <f t="shared" si="41"/>
        <v>623</v>
      </c>
      <c r="N358" s="31" t="str">
        <f t="shared" si="42"/>
        <v xml:space="preserve">Indonesia </v>
      </c>
      <c r="O358" s="31" t="str">
        <f t="shared" si="43"/>
        <v/>
      </c>
      <c r="P358" s="31" t="str">
        <f t="shared" si="44"/>
        <v/>
      </c>
    </row>
    <row r="359" spans="1:16" x14ac:dyDescent="0.3">
      <c r="A359">
        <v>624</v>
      </c>
      <c r="B359" s="23">
        <v>43915</v>
      </c>
      <c r="C359" t="s">
        <v>1071</v>
      </c>
      <c r="D359">
        <v>48</v>
      </c>
      <c r="E359" t="s">
        <v>1073</v>
      </c>
      <c r="F359" t="s">
        <v>1060</v>
      </c>
      <c r="H359" t="s">
        <v>1086</v>
      </c>
      <c r="I359" t="s">
        <v>1259</v>
      </c>
      <c r="J359" s="31" t="str">
        <f t="shared" ref="J359:J366" si="45">IF(TRIM(E359)="M","Male",IF(TRIM(E359)="F","Female",""))</f>
        <v>Female</v>
      </c>
      <c r="K359" s="31" t="str">
        <f t="shared" ref="K359:K366" si="46">IF(LEFT(F359,9)="Singapore","Singaporean",IF(ISERR(FIND("(",F359)),F359,LEFT(F359,FIND("(",F359)-2)))</f>
        <v>Singaporean</v>
      </c>
      <c r="L359" s="31" t="str">
        <f t="shared" ref="L359:L366" si="47">"Case "&amp;A359&amp;" is a "&amp;H359&amp;" case, "&amp;D359&amp;" years old "&amp;LOWER(J359)&amp;" "&amp;F359 &amp;IF(G359=""," and has not been overseas"," and has been to "&amp;G359)&amp;". "&amp;IF(TRIM(E359)="F","She",IF(TRIM(E359)="M","He"))&amp;" is currently admitted at "&amp;C359&amp;". "&amp;I359</f>
        <v>Case 624 is a Local linked  case, 48 years old female Singapore Citizen  and has not been overseas. She is currently admitted at NCID . PCF Fengshan</v>
      </c>
      <c r="M359" s="31" t="str">
        <f t="shared" ref="M359:M366" si="48">IF(G359="","",A359)</f>
        <v/>
      </c>
      <c r="N359" s="31" t="str">
        <f t="shared" ref="N359:N366" si="49">IF(G359="","",G359)</f>
        <v/>
      </c>
      <c r="O359" s="31">
        <f t="shared" ref="O359:O366" si="50">IF(I359="","",A359)</f>
        <v>624</v>
      </c>
      <c r="P359" s="31" t="str">
        <f t="shared" ref="P359:P366" si="51">IF(I359="","",I359)</f>
        <v>PCF Fengshan</v>
      </c>
    </row>
    <row r="360" spans="1:16" x14ac:dyDescent="0.3">
      <c r="A360">
        <v>625</v>
      </c>
      <c r="B360" s="23">
        <v>43915</v>
      </c>
      <c r="C360" t="s">
        <v>1064</v>
      </c>
      <c r="D360">
        <v>27</v>
      </c>
      <c r="E360" t="s">
        <v>1059</v>
      </c>
      <c r="F360" t="s">
        <v>1250</v>
      </c>
      <c r="G360" t="s">
        <v>706</v>
      </c>
      <c r="H360" t="s">
        <v>77</v>
      </c>
      <c r="J360" s="31" t="str">
        <f t="shared" si="45"/>
        <v>Male</v>
      </c>
      <c r="K360" s="31" t="str">
        <f t="shared" si="46"/>
        <v>Philippines</v>
      </c>
      <c r="L360" s="31" t="str">
        <f t="shared" si="47"/>
        <v xml:space="preserve">Case 625 is a Imported case, 27 years old male Philippines (Singapore Work Pass holder)  and has been to Philippines . He is currently admitted at CGH . </v>
      </c>
      <c r="M360" s="31">
        <f t="shared" si="48"/>
        <v>625</v>
      </c>
      <c r="N360" s="31" t="str">
        <f t="shared" si="49"/>
        <v xml:space="preserve">Philippines </v>
      </c>
      <c r="O360" s="31" t="str">
        <f t="shared" si="50"/>
        <v/>
      </c>
      <c r="P360" s="31" t="str">
        <f t="shared" si="51"/>
        <v/>
      </c>
    </row>
    <row r="361" spans="1:16" x14ac:dyDescent="0.3">
      <c r="A361">
        <v>626</v>
      </c>
      <c r="B361" s="23">
        <v>43915</v>
      </c>
      <c r="C361" t="s">
        <v>343</v>
      </c>
      <c r="D361">
        <v>44</v>
      </c>
      <c r="E361" t="s">
        <v>1073</v>
      </c>
      <c r="F361" t="s">
        <v>1186</v>
      </c>
      <c r="H361" t="s">
        <v>1086</v>
      </c>
      <c r="I361" t="s">
        <v>1260</v>
      </c>
      <c r="J361" s="31" t="str">
        <f t="shared" si="45"/>
        <v>Female</v>
      </c>
      <c r="K361" s="31" t="str">
        <f t="shared" si="46"/>
        <v>UK</v>
      </c>
      <c r="L361" s="31" t="str">
        <f t="shared" si="47"/>
        <v>Case 626 is a Local linked  case, 44 years old female UK (Singapore Work Pass holder)  and has not been overseas. She is currently admitted at NUH . Contact of Case 556 Dover Court International School</v>
      </c>
      <c r="M361" s="31" t="str">
        <f t="shared" si="48"/>
        <v/>
      </c>
      <c r="N361" s="31" t="str">
        <f t="shared" si="49"/>
        <v/>
      </c>
      <c r="O361" s="31">
        <f t="shared" si="50"/>
        <v>626</v>
      </c>
      <c r="P361" s="31" t="str">
        <f t="shared" si="51"/>
        <v>Contact of Case 556 Dover Court International School</v>
      </c>
    </row>
    <row r="362" spans="1:16" x14ac:dyDescent="0.3">
      <c r="A362">
        <v>627</v>
      </c>
      <c r="B362" s="23">
        <v>43915</v>
      </c>
      <c r="C362" t="s">
        <v>1066</v>
      </c>
      <c r="D362">
        <v>18</v>
      </c>
      <c r="E362" t="s">
        <v>1073</v>
      </c>
      <c r="F362" t="s">
        <v>1060</v>
      </c>
      <c r="G362" t="s">
        <v>1063</v>
      </c>
      <c r="H362" t="s">
        <v>1069</v>
      </c>
      <c r="J362" s="31" t="str">
        <f t="shared" si="45"/>
        <v>Female</v>
      </c>
      <c r="K362" s="31" t="str">
        <f t="shared" si="46"/>
        <v>Singaporean</v>
      </c>
      <c r="L362" s="31" t="str">
        <f t="shared" si="47"/>
        <v xml:space="preserve">Case 627 is a Imported  case, 18 years old female Singapore Citizen  and has been to UK . She is currently admitted at SKH . </v>
      </c>
      <c r="M362" s="31">
        <f t="shared" si="48"/>
        <v>627</v>
      </c>
      <c r="N362" s="31" t="str">
        <f t="shared" si="49"/>
        <v xml:space="preserve">UK </v>
      </c>
      <c r="O362" s="31" t="str">
        <f t="shared" si="50"/>
        <v/>
      </c>
      <c r="P362" s="31" t="str">
        <f t="shared" si="51"/>
        <v/>
      </c>
    </row>
    <row r="363" spans="1:16" x14ac:dyDescent="0.3">
      <c r="A363">
        <v>628</v>
      </c>
      <c r="B363" s="23">
        <v>43915</v>
      </c>
      <c r="C363" t="s">
        <v>1071</v>
      </c>
      <c r="D363">
        <v>23</v>
      </c>
      <c r="E363" t="s">
        <v>1059</v>
      </c>
      <c r="F363" t="s">
        <v>1060</v>
      </c>
      <c r="G363" t="s">
        <v>1063</v>
      </c>
      <c r="H363" t="s">
        <v>77</v>
      </c>
      <c r="J363" s="31" t="str">
        <f t="shared" si="45"/>
        <v>Male</v>
      </c>
      <c r="K363" s="31" t="str">
        <f t="shared" si="46"/>
        <v>Singaporean</v>
      </c>
      <c r="L363" s="31" t="str">
        <f t="shared" si="47"/>
        <v xml:space="preserve">Case 628 is a Imported case, 23 years old male Singapore Citizen  and has been to UK . He is currently admitted at NCID . </v>
      </c>
      <c r="M363" s="31">
        <f t="shared" si="48"/>
        <v>628</v>
      </c>
      <c r="N363" s="31" t="str">
        <f t="shared" si="49"/>
        <v xml:space="preserve">UK </v>
      </c>
      <c r="O363" s="31" t="str">
        <f t="shared" si="50"/>
        <v/>
      </c>
      <c r="P363" s="31" t="str">
        <f t="shared" si="51"/>
        <v/>
      </c>
    </row>
    <row r="364" spans="1:16" x14ac:dyDescent="0.3">
      <c r="A364">
        <v>629</v>
      </c>
      <c r="B364" s="23">
        <v>43915</v>
      </c>
      <c r="C364" t="s">
        <v>1138</v>
      </c>
      <c r="D364">
        <v>46</v>
      </c>
      <c r="E364" t="s">
        <v>1059</v>
      </c>
      <c r="F364" t="s">
        <v>1060</v>
      </c>
      <c r="G364" t="s">
        <v>1233</v>
      </c>
      <c r="H364" t="s">
        <v>1069</v>
      </c>
      <c r="I364" t="s">
        <v>1262</v>
      </c>
      <c r="J364" s="31" t="str">
        <f t="shared" si="45"/>
        <v>Male</v>
      </c>
      <c r="K364" s="31" t="str">
        <f t="shared" si="46"/>
        <v>Singaporean</v>
      </c>
      <c r="L364" s="31" t="str">
        <f t="shared" si="47"/>
        <v>Case 629 is a Imported  case, 46 years old male Singapore Citizen  and has been to Pakistan . He is currently admitted at SGH . Contact of Case 557</v>
      </c>
      <c r="M364" s="31">
        <f t="shared" si="48"/>
        <v>629</v>
      </c>
      <c r="N364" s="31" t="str">
        <f t="shared" si="49"/>
        <v xml:space="preserve">Pakistan </v>
      </c>
      <c r="O364" s="31">
        <f t="shared" si="50"/>
        <v>629</v>
      </c>
      <c r="P364" s="31" t="str">
        <f t="shared" si="51"/>
        <v>Contact of Case 557</v>
      </c>
    </row>
    <row r="365" spans="1:16" x14ac:dyDescent="0.3">
      <c r="A365">
        <v>630</v>
      </c>
      <c r="B365" s="23">
        <v>43915</v>
      </c>
      <c r="C365" t="s">
        <v>1138</v>
      </c>
      <c r="D365">
        <v>43</v>
      </c>
      <c r="E365" t="s">
        <v>1073</v>
      </c>
      <c r="F365" t="s">
        <v>1060</v>
      </c>
      <c r="H365" t="s">
        <v>1086</v>
      </c>
      <c r="I365" t="s">
        <v>1244</v>
      </c>
      <c r="J365" s="31" t="str">
        <f t="shared" si="45"/>
        <v>Female</v>
      </c>
      <c r="K365" s="31" t="str">
        <f t="shared" si="46"/>
        <v>Singaporean</v>
      </c>
      <c r="L365" s="31" t="str">
        <f t="shared" si="47"/>
        <v>Case 630 is a Local linked  case, 43 years old female Singapore Citizen  and has not been overseas. She is currently admitted at SGH . Contact of Case 532</v>
      </c>
      <c r="M365" s="31" t="str">
        <f t="shared" si="48"/>
        <v/>
      </c>
      <c r="N365" s="31" t="str">
        <f t="shared" si="49"/>
        <v/>
      </c>
      <c r="O365" s="31">
        <f t="shared" si="50"/>
        <v>630</v>
      </c>
      <c r="P365" s="31" t="str">
        <f t="shared" si="51"/>
        <v>Contact of Case 532</v>
      </c>
    </row>
    <row r="366" spans="1:16" x14ac:dyDescent="0.3">
      <c r="A366">
        <v>631</v>
      </c>
      <c r="B366" s="23">
        <v>43915</v>
      </c>
      <c r="C366" t="s">
        <v>1161</v>
      </c>
      <c r="D366">
        <v>3</v>
      </c>
      <c r="E366" t="s">
        <v>1073</v>
      </c>
      <c r="F366" t="s">
        <v>1194</v>
      </c>
      <c r="H366" t="s">
        <v>1086</v>
      </c>
      <c r="I366" t="s">
        <v>1263</v>
      </c>
      <c r="J366" s="31" t="str">
        <f t="shared" si="45"/>
        <v>Female</v>
      </c>
      <c r="K366" s="31" t="str">
        <f t="shared" si="46"/>
        <v>India</v>
      </c>
      <c r="L366" s="31" t="str">
        <f t="shared" si="47"/>
        <v>Case 631 is a Local linked  case, 3 years old female India (Long Term Pass holder)  and has not been overseas. She is currently admitted at KKH . Contact of Case 453</v>
      </c>
      <c r="M366" s="31" t="str">
        <f t="shared" si="48"/>
        <v/>
      </c>
      <c r="N366" s="31" t="str">
        <f t="shared" si="49"/>
        <v/>
      </c>
      <c r="O366" s="31">
        <f t="shared" si="50"/>
        <v>631</v>
      </c>
      <c r="P366" s="31" t="str">
        <f t="shared" si="51"/>
        <v>Contact of Case 453</v>
      </c>
    </row>
    <row r="367" spans="1:16" x14ac:dyDescent="0.3">
      <c r="A367">
        <v>632</v>
      </c>
      <c r="B367" s="23">
        <v>43915</v>
      </c>
      <c r="C367" t="s">
        <v>1058</v>
      </c>
      <c r="D367">
        <v>32</v>
      </c>
      <c r="E367" t="s">
        <v>1059</v>
      </c>
      <c r="F367" t="s">
        <v>1060</v>
      </c>
      <c r="H367" t="s">
        <v>1086</v>
      </c>
      <c r="I367" t="s">
        <v>1265</v>
      </c>
      <c r="J367" s="32" t="str">
        <f t="shared" ref="J367" si="52">IF(TRIM(E367)="M","Male",IF(TRIM(E367)="F","Female",""))</f>
        <v>Male</v>
      </c>
      <c r="K367" s="32" t="str">
        <f t="shared" ref="K367" si="53">IF(LEFT(F367,9)="Singapore","Singaporean",IF(ISERR(FIND("(",F367)),F367,LEFT(F367,FIND("(",F367)-2)))</f>
        <v>Singaporean</v>
      </c>
      <c r="L367" s="32" t="str">
        <f t="shared" ref="L367" si="54">"Case "&amp;A367&amp;" is a "&amp;H367&amp;" case, "&amp;D367&amp;" years old "&amp;LOWER(J367)&amp;" "&amp;F367 &amp;IF(G367=""," and has not been overseas"," and has been to "&amp;G367)&amp;". "&amp;IF(TRIM(E367)="F","She",IF(TRIM(E367)="M","He"))&amp;" is currently admitted at "&amp;C367&amp;". "&amp;I367</f>
        <v>Case 632 is a Local linked  case, 32 years old male Singapore Citizen  and has not been overseas. He is currently admitted at KTPH . Contact of Case 644</v>
      </c>
      <c r="M367" s="32" t="str">
        <f t="shared" ref="M367" si="55">IF(G367="","",A367)</f>
        <v/>
      </c>
      <c r="N367" s="32" t="str">
        <f t="shared" ref="N367" si="56">IF(G367="","",G367)</f>
        <v/>
      </c>
      <c r="O367" s="32">
        <f t="shared" ref="O367" si="57">IF(I367="","",A367)</f>
        <v>632</v>
      </c>
      <c r="P367" s="32" t="str">
        <f t="shared" ref="P367" si="58">IF(I367="","",I367)</f>
        <v>Contact of Case 644</v>
      </c>
    </row>
    <row r="368" spans="1:16" x14ac:dyDescent="0.3">
      <c r="A368">
        <v>633</v>
      </c>
      <c r="B368" s="23">
        <v>43915</v>
      </c>
      <c r="C368" t="s">
        <v>1071</v>
      </c>
      <c r="D368">
        <v>35</v>
      </c>
      <c r="E368" t="s">
        <v>1059</v>
      </c>
      <c r="F368" t="s">
        <v>1060</v>
      </c>
      <c r="G368" t="s">
        <v>1063</v>
      </c>
      <c r="H368" t="s">
        <v>77</v>
      </c>
      <c r="J368" s="32" t="str">
        <f t="shared" ref="J368:J418" si="59">IF(TRIM(E368)="M","Male",IF(TRIM(E368)="F","Female",""))</f>
        <v>Male</v>
      </c>
      <c r="K368" s="32" t="str">
        <f t="shared" ref="K368:K418" si="60">IF(LEFT(F368,9)="Singapore","Singaporean",IF(ISERR(FIND("(",F368)),F368,LEFT(F368,FIND("(",F368)-2)))</f>
        <v>Singaporean</v>
      </c>
      <c r="L368" s="32" t="str">
        <f t="shared" ref="L368:L418" si="61">"Case "&amp;A368&amp;" is a "&amp;H368&amp;" case, "&amp;D368&amp;" years old "&amp;LOWER(J368)&amp;" "&amp;F368 &amp;IF(G368=""," and has not been overseas"," and has been to "&amp;G368)&amp;". "&amp;IF(TRIM(E368)="F","She",IF(TRIM(E368)="M","He"))&amp;" is currently admitted at "&amp;C368&amp;". "&amp;I368</f>
        <v xml:space="preserve">Case 633 is a Imported case, 35 years old male Singapore Citizen  and has been to UK . He is currently admitted at NCID . </v>
      </c>
      <c r="M368" s="32">
        <f t="shared" ref="M368:M418" si="62">IF(G368="","",A368)</f>
        <v>633</v>
      </c>
      <c r="N368" s="32" t="str">
        <f t="shared" ref="N368:N418" si="63">IF(G368="","",G368)</f>
        <v xml:space="preserve">UK </v>
      </c>
      <c r="O368" s="32" t="str">
        <f t="shared" ref="O368:O418" si="64">IF(I368="","",A368)</f>
        <v/>
      </c>
      <c r="P368" s="32" t="str">
        <f t="shared" ref="P368:P418" si="65">IF(I368="","",I368)</f>
        <v/>
      </c>
    </row>
    <row r="369" spans="1:16" x14ac:dyDescent="0.3">
      <c r="A369">
        <v>634</v>
      </c>
      <c r="B369" s="23">
        <v>43915</v>
      </c>
      <c r="C369" t="s">
        <v>1071</v>
      </c>
      <c r="D369">
        <v>42</v>
      </c>
      <c r="E369" t="s">
        <v>1073</v>
      </c>
      <c r="F369" t="s">
        <v>1060</v>
      </c>
      <c r="G369" t="s">
        <v>1266</v>
      </c>
      <c r="H369" t="s">
        <v>1069</v>
      </c>
      <c r="I369" t="s">
        <v>1267</v>
      </c>
      <c r="J369" s="32" t="str">
        <f t="shared" si="59"/>
        <v>Female</v>
      </c>
      <c r="K369" s="32" t="str">
        <f t="shared" si="60"/>
        <v>Singaporean</v>
      </c>
      <c r="L369" s="32" t="str">
        <f t="shared" si="61"/>
        <v>Case 634 is a Imported  case, 42 years old female Singapore Citizen  and has been to Taiwan, Philippines . She is currently admitted at NCID . Contact of Case 222</v>
      </c>
      <c r="M369" s="32">
        <f t="shared" si="62"/>
        <v>634</v>
      </c>
      <c r="N369" s="32" t="str">
        <f t="shared" si="63"/>
        <v xml:space="preserve">Taiwan, Philippines </v>
      </c>
      <c r="O369" s="32">
        <f t="shared" si="64"/>
        <v>634</v>
      </c>
      <c r="P369" s="32" t="str">
        <f t="shared" si="65"/>
        <v>Contact of Case 222</v>
      </c>
    </row>
    <row r="370" spans="1:16" x14ac:dyDescent="0.3">
      <c r="A370">
        <v>635</v>
      </c>
      <c r="B370" s="23">
        <v>43915</v>
      </c>
      <c r="C370" t="s">
        <v>1071</v>
      </c>
      <c r="D370">
        <v>21</v>
      </c>
      <c r="E370" t="s">
        <v>1073</v>
      </c>
      <c r="F370" t="s">
        <v>1060</v>
      </c>
      <c r="G370" t="s">
        <v>1085</v>
      </c>
      <c r="H370" t="s">
        <v>77</v>
      </c>
      <c r="J370" s="32" t="str">
        <f t="shared" si="59"/>
        <v>Female</v>
      </c>
      <c r="K370" s="32" t="str">
        <f t="shared" si="60"/>
        <v>Singaporean</v>
      </c>
      <c r="L370" s="32" t="str">
        <f t="shared" si="61"/>
        <v xml:space="preserve">Case 635 is a Imported case, 21 years old female Singapore Citizen  and has been to US . She is currently admitted at NCID . </v>
      </c>
      <c r="M370" s="32">
        <f t="shared" si="62"/>
        <v>635</v>
      </c>
      <c r="N370" s="32" t="str">
        <f t="shared" si="63"/>
        <v xml:space="preserve">US </v>
      </c>
      <c r="O370" s="32" t="str">
        <f t="shared" si="64"/>
        <v/>
      </c>
      <c r="P370" s="32" t="str">
        <f t="shared" si="65"/>
        <v/>
      </c>
    </row>
    <row r="371" spans="1:16" x14ac:dyDescent="0.3">
      <c r="A371">
        <v>636</v>
      </c>
      <c r="B371" s="23">
        <v>43915</v>
      </c>
      <c r="C371" t="s">
        <v>1071</v>
      </c>
      <c r="D371">
        <v>22</v>
      </c>
      <c r="E371" t="s">
        <v>1073</v>
      </c>
      <c r="F371" t="s">
        <v>1060</v>
      </c>
      <c r="G371" t="s">
        <v>1063</v>
      </c>
      <c r="H371" t="s">
        <v>77</v>
      </c>
      <c r="J371" s="32" t="str">
        <f t="shared" si="59"/>
        <v>Female</v>
      </c>
      <c r="K371" s="32" t="str">
        <f t="shared" si="60"/>
        <v>Singaporean</v>
      </c>
      <c r="L371" s="32" t="str">
        <f t="shared" si="61"/>
        <v xml:space="preserve">Case 636 is a Imported case, 22 years old female Singapore Citizen  and has been to UK . She is currently admitted at NCID . </v>
      </c>
      <c r="M371" s="32">
        <f t="shared" si="62"/>
        <v>636</v>
      </c>
      <c r="N371" s="32" t="str">
        <f t="shared" si="63"/>
        <v xml:space="preserve">UK </v>
      </c>
      <c r="O371" s="32" t="str">
        <f t="shared" si="64"/>
        <v/>
      </c>
      <c r="P371" s="32" t="str">
        <f t="shared" si="65"/>
        <v/>
      </c>
    </row>
    <row r="372" spans="1:16" x14ac:dyDescent="0.3">
      <c r="A372">
        <v>637</v>
      </c>
      <c r="B372" s="23">
        <v>43915</v>
      </c>
      <c r="C372" t="s">
        <v>1071</v>
      </c>
      <c r="D372">
        <v>24</v>
      </c>
      <c r="E372" t="s">
        <v>1059</v>
      </c>
      <c r="F372" t="s">
        <v>1253</v>
      </c>
      <c r="H372" t="s">
        <v>1061</v>
      </c>
      <c r="J372" s="32" t="str">
        <f t="shared" si="59"/>
        <v>Male</v>
      </c>
      <c r="K372" s="32" t="str">
        <f t="shared" si="60"/>
        <v>China</v>
      </c>
      <c r="L372" s="32" t="str">
        <f t="shared" si="61"/>
        <v xml:space="preserve">Case 637 is a Local unlinked case, 24 years old male China (Long Term Pass holder)  and has not been overseas. He is currently admitted at NCID . </v>
      </c>
      <c r="M372" s="32" t="str">
        <f t="shared" si="62"/>
        <v/>
      </c>
      <c r="N372" s="32" t="str">
        <f t="shared" si="63"/>
        <v/>
      </c>
      <c r="O372" s="32" t="str">
        <f t="shared" si="64"/>
        <v/>
      </c>
      <c r="P372" s="32" t="str">
        <f t="shared" si="65"/>
        <v/>
      </c>
    </row>
    <row r="373" spans="1:16" x14ac:dyDescent="0.3">
      <c r="A373">
        <v>638</v>
      </c>
      <c r="B373" s="23">
        <v>43915</v>
      </c>
      <c r="C373" t="s">
        <v>1064</v>
      </c>
      <c r="D373">
        <v>49</v>
      </c>
      <c r="E373" t="s">
        <v>1059</v>
      </c>
      <c r="F373" t="s">
        <v>1060</v>
      </c>
      <c r="H373" t="s">
        <v>1086</v>
      </c>
      <c r="I373" t="s">
        <v>1259</v>
      </c>
      <c r="J373" s="32" t="str">
        <f t="shared" si="59"/>
        <v>Male</v>
      </c>
      <c r="K373" s="32" t="str">
        <f t="shared" si="60"/>
        <v>Singaporean</v>
      </c>
      <c r="L373" s="32" t="str">
        <f t="shared" si="61"/>
        <v>Case 638 is a Local linked  case, 49 years old male Singapore Citizen  and has not been overseas. He is currently admitted at CGH . PCF Fengshan</v>
      </c>
      <c r="M373" s="32" t="str">
        <f t="shared" si="62"/>
        <v/>
      </c>
      <c r="N373" s="32" t="str">
        <f t="shared" si="63"/>
        <v/>
      </c>
      <c r="O373" s="32">
        <f t="shared" si="64"/>
        <v>638</v>
      </c>
      <c r="P373" s="32" t="str">
        <f t="shared" si="65"/>
        <v>PCF Fengshan</v>
      </c>
    </row>
    <row r="374" spans="1:16" x14ac:dyDescent="0.3">
      <c r="A374">
        <v>639</v>
      </c>
      <c r="B374" s="23">
        <v>43915</v>
      </c>
      <c r="C374" t="s">
        <v>1062</v>
      </c>
      <c r="D374">
        <v>40</v>
      </c>
      <c r="E374" t="s">
        <v>1059</v>
      </c>
      <c r="F374" t="s">
        <v>1060</v>
      </c>
      <c r="G374" t="s">
        <v>1063</v>
      </c>
      <c r="H374" t="s">
        <v>1069</v>
      </c>
      <c r="I374" t="s">
        <v>1268</v>
      </c>
      <c r="J374" s="32" t="str">
        <f t="shared" si="59"/>
        <v>Male</v>
      </c>
      <c r="K374" s="32" t="str">
        <f t="shared" si="60"/>
        <v>Singaporean</v>
      </c>
      <c r="L374" s="32" t="str">
        <f t="shared" si="61"/>
        <v>Case 639 is a Imported  case, 40 years old male Singapore Citizen  and has been to UK . He is currently admitted at NTFGH . Contact of Case 233</v>
      </c>
      <c r="M374" s="32">
        <f t="shared" si="62"/>
        <v>639</v>
      </c>
      <c r="N374" s="32" t="str">
        <f t="shared" si="63"/>
        <v xml:space="preserve">UK </v>
      </c>
      <c r="O374" s="32">
        <f t="shared" si="64"/>
        <v>639</v>
      </c>
      <c r="P374" s="32" t="str">
        <f t="shared" si="65"/>
        <v>Contact of Case 233</v>
      </c>
    </row>
    <row r="375" spans="1:16" x14ac:dyDescent="0.3">
      <c r="A375">
        <v>640</v>
      </c>
      <c r="B375" s="23">
        <v>43915</v>
      </c>
      <c r="C375" t="s">
        <v>1062</v>
      </c>
      <c r="D375">
        <v>18</v>
      </c>
      <c r="E375" t="s">
        <v>1059</v>
      </c>
      <c r="F375" t="s">
        <v>1060</v>
      </c>
      <c r="G375" t="s">
        <v>1269</v>
      </c>
      <c r="H375" t="s">
        <v>1069</v>
      </c>
      <c r="I375" t="s">
        <v>1270</v>
      </c>
      <c r="J375" s="32" t="str">
        <f t="shared" si="59"/>
        <v>Male</v>
      </c>
      <c r="K375" s="32" t="str">
        <f t="shared" si="60"/>
        <v>Singaporean</v>
      </c>
      <c r="L375" s="32" t="str">
        <f t="shared" si="61"/>
        <v>Case 640 is a Imported  case, 18 years old male Singapore Citizen  and has been to UAE, UK, Germany . He is currently admitted at NTFGH . Family member of Case 641</v>
      </c>
      <c r="M375" s="32">
        <f t="shared" si="62"/>
        <v>640</v>
      </c>
      <c r="N375" s="32" t="str">
        <f t="shared" si="63"/>
        <v xml:space="preserve">UAE, UK, Germany </v>
      </c>
      <c r="O375" s="32">
        <f t="shared" si="64"/>
        <v>640</v>
      </c>
      <c r="P375" s="32" t="str">
        <f t="shared" si="65"/>
        <v>Family member of Case 641</v>
      </c>
    </row>
    <row r="376" spans="1:16" x14ac:dyDescent="0.3">
      <c r="A376">
        <v>641</v>
      </c>
      <c r="B376" s="23">
        <v>43915</v>
      </c>
      <c r="C376" t="s">
        <v>1062</v>
      </c>
      <c r="D376">
        <v>55</v>
      </c>
      <c r="E376" t="s">
        <v>1059</v>
      </c>
      <c r="F376" t="s">
        <v>1060</v>
      </c>
      <c r="G376" t="s">
        <v>1269</v>
      </c>
      <c r="H376" t="s">
        <v>1069</v>
      </c>
      <c r="I376" t="s">
        <v>1271</v>
      </c>
      <c r="J376" s="32" t="str">
        <f t="shared" si="59"/>
        <v>Male</v>
      </c>
      <c r="K376" s="32" t="str">
        <f t="shared" si="60"/>
        <v>Singaporean</v>
      </c>
      <c r="L376" s="32" t="str">
        <f t="shared" si="61"/>
        <v>Case 641 is a Imported  case, 55 years old male Singapore Citizen  and has been to UAE, UK, Germany . He is currently admitted at NTFGH . Family member of Case 640</v>
      </c>
      <c r="M376" s="32">
        <f t="shared" si="62"/>
        <v>641</v>
      </c>
      <c r="N376" s="32" t="str">
        <f t="shared" si="63"/>
        <v xml:space="preserve">UAE, UK, Germany </v>
      </c>
      <c r="O376" s="32">
        <f t="shared" si="64"/>
        <v>641</v>
      </c>
      <c r="P376" s="32" t="str">
        <f t="shared" si="65"/>
        <v>Family member of Case 640</v>
      </c>
    </row>
    <row r="377" spans="1:16" x14ac:dyDescent="0.3">
      <c r="A377">
        <v>642</v>
      </c>
      <c r="B377" s="23">
        <v>43915</v>
      </c>
      <c r="C377" t="s">
        <v>1062</v>
      </c>
      <c r="D377">
        <v>19</v>
      </c>
      <c r="E377" t="s">
        <v>1059</v>
      </c>
      <c r="F377" t="s">
        <v>1060</v>
      </c>
      <c r="G377" t="s">
        <v>1063</v>
      </c>
      <c r="H377" t="s">
        <v>77</v>
      </c>
      <c r="J377" s="32" t="str">
        <f t="shared" si="59"/>
        <v>Male</v>
      </c>
      <c r="K377" s="32" t="str">
        <f t="shared" si="60"/>
        <v>Singaporean</v>
      </c>
      <c r="L377" s="32" t="str">
        <f t="shared" si="61"/>
        <v xml:space="preserve">Case 642 is a Imported case, 19 years old male Singapore Citizen  and has been to UK . He is currently admitted at NTFGH . </v>
      </c>
      <c r="M377" s="32">
        <f t="shared" si="62"/>
        <v>642</v>
      </c>
      <c r="N377" s="32" t="str">
        <f t="shared" si="63"/>
        <v xml:space="preserve">UK </v>
      </c>
      <c r="O377" s="32" t="str">
        <f t="shared" si="64"/>
        <v/>
      </c>
      <c r="P377" s="32" t="str">
        <f t="shared" si="65"/>
        <v/>
      </c>
    </row>
    <row r="378" spans="1:16" x14ac:dyDescent="0.3">
      <c r="A378">
        <v>643</v>
      </c>
      <c r="B378" s="23">
        <v>43915</v>
      </c>
      <c r="C378" t="s">
        <v>1062</v>
      </c>
      <c r="D378">
        <v>51</v>
      </c>
      <c r="E378" t="s">
        <v>1073</v>
      </c>
      <c r="F378" t="s">
        <v>1072</v>
      </c>
      <c r="H378" t="s">
        <v>1061</v>
      </c>
      <c r="J378" s="32" t="str">
        <f t="shared" si="59"/>
        <v>Female</v>
      </c>
      <c r="K378" s="32" t="str">
        <f t="shared" si="60"/>
        <v>Singaporean</v>
      </c>
      <c r="L378" s="32" t="str">
        <f t="shared" si="61"/>
        <v xml:space="preserve">Case 643 is a Local unlinked case, 51 years old female Singapore Permanent Resident  and has not been overseas. She is currently admitted at NTFGH . </v>
      </c>
      <c r="M378" s="32" t="str">
        <f t="shared" si="62"/>
        <v/>
      </c>
      <c r="N378" s="32" t="str">
        <f t="shared" si="63"/>
        <v/>
      </c>
      <c r="O378" s="32" t="str">
        <f t="shared" si="64"/>
        <v/>
      </c>
      <c r="P378" s="32" t="str">
        <f t="shared" si="65"/>
        <v/>
      </c>
    </row>
    <row r="379" spans="1:16" x14ac:dyDescent="0.3">
      <c r="A379">
        <v>644</v>
      </c>
      <c r="B379" s="23">
        <v>43915</v>
      </c>
      <c r="C379" t="s">
        <v>1064</v>
      </c>
      <c r="D379">
        <v>52</v>
      </c>
      <c r="E379" t="s">
        <v>1059</v>
      </c>
      <c r="F379" t="s">
        <v>1060</v>
      </c>
      <c r="H379" t="s">
        <v>1086</v>
      </c>
      <c r="I379" t="s">
        <v>1272</v>
      </c>
      <c r="J379" s="32" t="str">
        <f t="shared" si="59"/>
        <v>Male</v>
      </c>
      <c r="K379" s="32" t="str">
        <f t="shared" si="60"/>
        <v>Singaporean</v>
      </c>
      <c r="L379" s="32" t="str">
        <f t="shared" si="61"/>
        <v>Case 644 is a Local linked  case, 52 years old male Singapore Citizen  and has not been overseas. He is currently admitted at CGH . Contact of Case 632</v>
      </c>
      <c r="M379" s="32" t="str">
        <f t="shared" si="62"/>
        <v/>
      </c>
      <c r="N379" s="32" t="str">
        <f t="shared" si="63"/>
        <v/>
      </c>
      <c r="O379" s="32">
        <f t="shared" si="64"/>
        <v>644</v>
      </c>
      <c r="P379" s="32" t="str">
        <f t="shared" si="65"/>
        <v>Contact of Case 632</v>
      </c>
    </row>
    <row r="380" spans="1:16" x14ac:dyDescent="0.3">
      <c r="A380">
        <v>645</v>
      </c>
      <c r="B380" s="23">
        <v>43915</v>
      </c>
      <c r="C380" t="s">
        <v>1138</v>
      </c>
      <c r="D380">
        <v>27</v>
      </c>
      <c r="E380" t="s">
        <v>1059</v>
      </c>
      <c r="F380" t="s">
        <v>1060</v>
      </c>
      <c r="G380" t="s">
        <v>1273</v>
      </c>
      <c r="H380" t="s">
        <v>1086</v>
      </c>
      <c r="J380" s="32" t="str">
        <f t="shared" si="59"/>
        <v>Male</v>
      </c>
      <c r="K380" s="32" t="str">
        <f t="shared" si="60"/>
        <v>Singaporean</v>
      </c>
      <c r="L380" s="32" t="str">
        <f t="shared" si="61"/>
        <v xml:space="preserve">Case 645 is a Local linked  case, 27 years old male Singapore Citizen  and has been to Thailand, Malaysia . He is currently admitted at SGH . </v>
      </c>
      <c r="M380" s="32">
        <f t="shared" si="62"/>
        <v>645</v>
      </c>
      <c r="N380" s="32" t="str">
        <f t="shared" si="63"/>
        <v xml:space="preserve">Thailand, Malaysia </v>
      </c>
      <c r="O380" s="32">
        <f>IF(H380="","",A380)</f>
        <v>645</v>
      </c>
      <c r="P380" s="32" t="str">
        <f>IF(H380="","",H380)</f>
        <v xml:space="preserve">Local linked </v>
      </c>
    </row>
    <row r="381" spans="1:16" x14ac:dyDescent="0.3">
      <c r="A381">
        <v>646</v>
      </c>
      <c r="B381" s="23">
        <v>43915</v>
      </c>
      <c r="C381" t="s">
        <v>1138</v>
      </c>
      <c r="D381">
        <v>56</v>
      </c>
      <c r="E381" t="s">
        <v>1073</v>
      </c>
      <c r="F381" t="s">
        <v>1072</v>
      </c>
      <c r="G381" t="s">
        <v>687</v>
      </c>
      <c r="H381" t="s">
        <v>77</v>
      </c>
      <c r="J381" s="32" t="str">
        <f t="shared" si="59"/>
        <v>Female</v>
      </c>
      <c r="K381" s="32" t="str">
        <f t="shared" si="60"/>
        <v>Singaporean</v>
      </c>
      <c r="L381" s="32" t="str">
        <f t="shared" si="61"/>
        <v xml:space="preserve">Case 646 is a Imported case, 56 years old female Singapore Permanent Resident  and has been to Indonesia . She is currently admitted at SGH . </v>
      </c>
      <c r="M381" s="32">
        <f t="shared" si="62"/>
        <v>646</v>
      </c>
      <c r="N381" s="32" t="str">
        <f t="shared" si="63"/>
        <v xml:space="preserve">Indonesia </v>
      </c>
      <c r="O381" s="32" t="str">
        <f t="shared" si="64"/>
        <v/>
      </c>
      <c r="P381" s="32" t="str">
        <f t="shared" si="65"/>
        <v/>
      </c>
    </row>
    <row r="382" spans="1:16" x14ac:dyDescent="0.3">
      <c r="A382">
        <v>647</v>
      </c>
      <c r="B382" s="23">
        <v>43915</v>
      </c>
      <c r="C382" t="s">
        <v>1161</v>
      </c>
      <c r="D382">
        <v>46</v>
      </c>
      <c r="E382" t="s">
        <v>1073</v>
      </c>
      <c r="F382" t="s">
        <v>1060</v>
      </c>
      <c r="G382" t="s">
        <v>1085</v>
      </c>
      <c r="H382" t="s">
        <v>1069</v>
      </c>
      <c r="I382" t="s">
        <v>1274</v>
      </c>
      <c r="J382" s="32" t="str">
        <f t="shared" si="59"/>
        <v>Female</v>
      </c>
      <c r="K382" s="32" t="str">
        <f t="shared" si="60"/>
        <v>Singaporean</v>
      </c>
      <c r="L382" s="32" t="str">
        <f t="shared" si="61"/>
        <v>Case 647 is a Imported  case, 46 years old female Singapore Citizen  and has been to US . She is currently admitted at KKH . Contact of Cases 418 and 582</v>
      </c>
      <c r="M382" s="32">
        <f t="shared" si="62"/>
        <v>647</v>
      </c>
      <c r="N382" s="32" t="str">
        <f t="shared" si="63"/>
        <v xml:space="preserve">US </v>
      </c>
      <c r="O382" s="32">
        <f t="shared" si="64"/>
        <v>647</v>
      </c>
      <c r="P382" s="32" t="str">
        <f t="shared" si="65"/>
        <v>Contact of Cases 418 and 582</v>
      </c>
    </row>
    <row r="383" spans="1:16" x14ac:dyDescent="0.3">
      <c r="A383">
        <v>648</v>
      </c>
      <c r="B383" s="23">
        <v>43915</v>
      </c>
      <c r="C383" t="s">
        <v>1071</v>
      </c>
      <c r="D383">
        <v>26</v>
      </c>
      <c r="E383" t="s">
        <v>1059</v>
      </c>
      <c r="F383" t="s">
        <v>1238</v>
      </c>
      <c r="G383" t="s">
        <v>1275</v>
      </c>
      <c r="H383" t="s">
        <v>77</v>
      </c>
      <c r="J383" s="32" t="str">
        <f t="shared" si="59"/>
        <v>Male</v>
      </c>
      <c r="K383" s="32" t="str">
        <f t="shared" si="60"/>
        <v>France</v>
      </c>
      <c r="L383" s="32" t="str">
        <f t="shared" si="61"/>
        <v xml:space="preserve">Case 648 is a Imported case, 26 years old male France (Singapore Work Pass holder)  and has been to Sri Lanka . He is currently admitted at NCID . </v>
      </c>
      <c r="M383" s="32">
        <f t="shared" si="62"/>
        <v>648</v>
      </c>
      <c r="N383" s="32" t="str">
        <f t="shared" si="63"/>
        <v xml:space="preserve">Sri Lanka </v>
      </c>
      <c r="O383" s="32" t="str">
        <f t="shared" si="64"/>
        <v/>
      </c>
      <c r="P383" s="32" t="str">
        <f t="shared" si="65"/>
        <v/>
      </c>
    </row>
    <row r="384" spans="1:16" x14ac:dyDescent="0.3">
      <c r="A384">
        <v>649</v>
      </c>
      <c r="B384" s="23">
        <v>43915</v>
      </c>
      <c r="C384" t="s">
        <v>1071</v>
      </c>
      <c r="D384">
        <v>36</v>
      </c>
      <c r="E384" t="s">
        <v>1059</v>
      </c>
      <c r="F384" t="s">
        <v>1060</v>
      </c>
      <c r="G384" t="s">
        <v>844</v>
      </c>
      <c r="H384" t="s">
        <v>77</v>
      </c>
      <c r="J384" s="32" t="str">
        <f t="shared" si="59"/>
        <v>Male</v>
      </c>
      <c r="K384" s="32" t="str">
        <f t="shared" si="60"/>
        <v>Singaporean</v>
      </c>
      <c r="L384" s="32" t="str">
        <f t="shared" si="61"/>
        <v xml:space="preserve">Case 649 is a Imported case, 36 years old male Singapore Citizen  and has been to Australia . He is currently admitted at NCID . </v>
      </c>
      <c r="M384" s="32">
        <f t="shared" si="62"/>
        <v>649</v>
      </c>
      <c r="N384" s="32" t="str">
        <f t="shared" si="63"/>
        <v xml:space="preserve">Australia </v>
      </c>
      <c r="O384" s="32" t="str">
        <f t="shared" si="64"/>
        <v/>
      </c>
      <c r="P384" s="32" t="str">
        <f t="shared" si="65"/>
        <v/>
      </c>
    </row>
    <row r="385" spans="1:16" x14ac:dyDescent="0.3">
      <c r="A385">
        <v>650</v>
      </c>
      <c r="B385" s="23">
        <v>43915</v>
      </c>
      <c r="C385" t="s">
        <v>1071</v>
      </c>
      <c r="D385">
        <v>19</v>
      </c>
      <c r="E385" t="s">
        <v>1059</v>
      </c>
      <c r="F385" t="s">
        <v>1072</v>
      </c>
      <c r="G385" t="s">
        <v>1063</v>
      </c>
      <c r="H385" t="s">
        <v>77</v>
      </c>
      <c r="J385" s="32" t="str">
        <f t="shared" si="59"/>
        <v>Male</v>
      </c>
      <c r="K385" s="32" t="str">
        <f t="shared" si="60"/>
        <v>Singaporean</v>
      </c>
      <c r="L385" s="32" t="str">
        <f t="shared" si="61"/>
        <v xml:space="preserve">Case 650 is a Imported case, 19 years old male Singapore Permanent Resident  and has been to UK . He is currently admitted at NCID . </v>
      </c>
      <c r="M385" s="32">
        <f t="shared" si="62"/>
        <v>650</v>
      </c>
      <c r="N385" s="32" t="str">
        <f t="shared" si="63"/>
        <v xml:space="preserve">UK </v>
      </c>
      <c r="O385" s="32" t="str">
        <f t="shared" si="64"/>
        <v/>
      </c>
      <c r="P385" s="32" t="str">
        <f t="shared" si="65"/>
        <v/>
      </c>
    </row>
    <row r="386" spans="1:16" x14ac:dyDescent="0.3">
      <c r="A386">
        <v>651</v>
      </c>
      <c r="B386" s="23">
        <v>43915</v>
      </c>
      <c r="C386" t="s">
        <v>1071</v>
      </c>
      <c r="D386">
        <v>31</v>
      </c>
      <c r="E386" t="s">
        <v>1059</v>
      </c>
      <c r="F386" t="s">
        <v>1156</v>
      </c>
      <c r="G386" t="s">
        <v>794</v>
      </c>
      <c r="H386" t="s">
        <v>77</v>
      </c>
      <c r="J386" s="32" t="str">
        <f t="shared" si="59"/>
        <v>Male</v>
      </c>
      <c r="K386" s="32" t="str">
        <f t="shared" si="60"/>
        <v>Malaysia</v>
      </c>
      <c r="L386" s="32" t="str">
        <f t="shared" si="61"/>
        <v xml:space="preserve">Case 651 is a Imported case, 31 years old male Malaysia (Singapore Work Pass holder)  and has been to Thailand . He is currently admitted at NCID . </v>
      </c>
      <c r="M386" s="32">
        <f t="shared" si="62"/>
        <v>651</v>
      </c>
      <c r="N386" s="32" t="str">
        <f t="shared" si="63"/>
        <v xml:space="preserve">Thailand </v>
      </c>
      <c r="O386" s="32" t="str">
        <f t="shared" si="64"/>
        <v/>
      </c>
      <c r="P386" s="32" t="str">
        <f t="shared" si="65"/>
        <v/>
      </c>
    </row>
    <row r="387" spans="1:16" x14ac:dyDescent="0.3">
      <c r="A387">
        <v>652</v>
      </c>
      <c r="B387" s="23">
        <v>43915</v>
      </c>
      <c r="C387" t="s">
        <v>1071</v>
      </c>
      <c r="D387">
        <v>37</v>
      </c>
      <c r="E387" t="s">
        <v>1059</v>
      </c>
      <c r="F387" t="s">
        <v>1218</v>
      </c>
      <c r="H387" t="s">
        <v>1061</v>
      </c>
      <c r="J387" s="32" t="str">
        <f t="shared" si="59"/>
        <v>Male</v>
      </c>
      <c r="K387" s="32" t="str">
        <f t="shared" si="60"/>
        <v>Australia</v>
      </c>
      <c r="L387" s="32" t="str">
        <f t="shared" si="61"/>
        <v xml:space="preserve">Case 652 is a Local unlinked case, 37 years old male Australia (Singapore Work Pass holder)  and has not been overseas. He is currently admitted at NCID . </v>
      </c>
      <c r="M387" s="32" t="str">
        <f t="shared" si="62"/>
        <v/>
      </c>
      <c r="N387" s="32" t="str">
        <f t="shared" si="63"/>
        <v/>
      </c>
      <c r="O387" s="32" t="str">
        <f t="shared" si="64"/>
        <v/>
      </c>
      <c r="P387" s="32" t="str">
        <f t="shared" si="65"/>
        <v/>
      </c>
    </row>
    <row r="388" spans="1:16" x14ac:dyDescent="0.3">
      <c r="A388">
        <v>653</v>
      </c>
      <c r="B388" s="23">
        <v>43915</v>
      </c>
      <c r="C388" t="s">
        <v>1138</v>
      </c>
      <c r="D388">
        <v>25</v>
      </c>
      <c r="E388" t="s">
        <v>1073</v>
      </c>
      <c r="F388" t="s">
        <v>1060</v>
      </c>
      <c r="G388" t="s">
        <v>1085</v>
      </c>
      <c r="H388" t="s">
        <v>77</v>
      </c>
      <c r="J388" s="32" t="str">
        <f t="shared" si="59"/>
        <v>Female</v>
      </c>
      <c r="K388" s="32" t="str">
        <f t="shared" si="60"/>
        <v>Singaporean</v>
      </c>
      <c r="L388" s="32" t="str">
        <f t="shared" si="61"/>
        <v xml:space="preserve">Case 653 is a Imported case, 25 years old female Singapore Citizen  and has been to US . She is currently admitted at SGH . </v>
      </c>
      <c r="M388" s="32">
        <f t="shared" si="62"/>
        <v>653</v>
      </c>
      <c r="N388" s="32" t="str">
        <f t="shared" si="63"/>
        <v xml:space="preserve">US </v>
      </c>
      <c r="O388" s="32" t="str">
        <f t="shared" si="64"/>
        <v/>
      </c>
      <c r="P388" s="32" t="str">
        <f t="shared" si="65"/>
        <v/>
      </c>
    </row>
    <row r="389" spans="1:16" x14ac:dyDescent="0.3">
      <c r="A389">
        <v>654</v>
      </c>
      <c r="B389" s="23">
        <v>43915</v>
      </c>
      <c r="C389" t="s">
        <v>1074</v>
      </c>
      <c r="D389">
        <v>66</v>
      </c>
      <c r="E389" t="s">
        <v>1073</v>
      </c>
      <c r="F389" t="s">
        <v>1060</v>
      </c>
      <c r="G389" t="s">
        <v>1276</v>
      </c>
      <c r="H389" t="s">
        <v>1069</v>
      </c>
      <c r="I389" t="s">
        <v>1277</v>
      </c>
      <c r="J389" s="32" t="str">
        <f t="shared" si="59"/>
        <v>Female</v>
      </c>
      <c r="K389" s="32" t="str">
        <f t="shared" si="60"/>
        <v>Singaporean</v>
      </c>
      <c r="L389" s="32" t="str">
        <f t="shared" si="61"/>
        <v>Case 654 is a Imported  case, 66 years old female Singapore Citizen  and has been to Italy, Switzerland . She is currently admitted at AH . Family member of Cases 459 and 517</v>
      </c>
      <c r="M389" s="32">
        <f t="shared" si="62"/>
        <v>654</v>
      </c>
      <c r="N389" s="32" t="str">
        <f t="shared" si="63"/>
        <v xml:space="preserve">Italy, Switzerland </v>
      </c>
      <c r="O389" s="32">
        <f t="shared" si="64"/>
        <v>654</v>
      </c>
      <c r="P389" s="32" t="str">
        <f t="shared" si="65"/>
        <v>Family member of Cases 459 and 517</v>
      </c>
    </row>
    <row r="390" spans="1:16" x14ac:dyDescent="0.3">
      <c r="A390">
        <v>655</v>
      </c>
      <c r="B390" s="23">
        <v>43915</v>
      </c>
      <c r="C390" t="s">
        <v>1071</v>
      </c>
      <c r="D390">
        <v>30</v>
      </c>
      <c r="E390" t="s">
        <v>1059</v>
      </c>
      <c r="F390" t="s">
        <v>1194</v>
      </c>
      <c r="H390" t="s">
        <v>1061</v>
      </c>
      <c r="J390" s="32" t="str">
        <f t="shared" si="59"/>
        <v>Male</v>
      </c>
      <c r="K390" s="32" t="str">
        <f t="shared" si="60"/>
        <v>India</v>
      </c>
      <c r="L390" s="32" t="str">
        <f t="shared" si="61"/>
        <v xml:space="preserve">Case 655 is a Local unlinked case, 30 years old male India (Long Term Pass holder)  and has not been overseas. He is currently admitted at NCID . </v>
      </c>
      <c r="M390" s="32" t="str">
        <f t="shared" si="62"/>
        <v/>
      </c>
      <c r="N390" s="32" t="str">
        <f t="shared" si="63"/>
        <v/>
      </c>
      <c r="O390" s="32" t="str">
        <f t="shared" si="64"/>
        <v/>
      </c>
      <c r="P390" s="32" t="str">
        <f t="shared" si="65"/>
        <v/>
      </c>
    </row>
    <row r="391" spans="1:16" x14ac:dyDescent="0.3">
      <c r="A391">
        <v>656</v>
      </c>
      <c r="B391" s="23">
        <v>43915</v>
      </c>
      <c r="C391" t="s">
        <v>1071</v>
      </c>
      <c r="D391">
        <v>30</v>
      </c>
      <c r="E391" t="s">
        <v>1059</v>
      </c>
      <c r="F391" t="s">
        <v>1060</v>
      </c>
      <c r="G391" t="s">
        <v>1177</v>
      </c>
      <c r="H391" t="s">
        <v>77</v>
      </c>
      <c r="J391" s="32" t="str">
        <f t="shared" si="59"/>
        <v>Male</v>
      </c>
      <c r="K391" s="32" t="str">
        <f t="shared" si="60"/>
        <v>Singaporean</v>
      </c>
      <c r="L391" s="32" t="str">
        <f t="shared" si="61"/>
        <v xml:space="preserve">Case 656 is a Imported case, 30 years old male Singapore Citizen  and has been to Pending . He is currently admitted at NCID . </v>
      </c>
      <c r="M391" s="32">
        <f t="shared" si="62"/>
        <v>656</v>
      </c>
      <c r="N391" s="32" t="str">
        <f t="shared" si="63"/>
        <v xml:space="preserve">Pending </v>
      </c>
      <c r="O391" s="32" t="str">
        <f t="shared" si="64"/>
        <v/>
      </c>
      <c r="P391" s="32" t="str">
        <f t="shared" si="65"/>
        <v/>
      </c>
    </row>
    <row r="392" spans="1:16" x14ac:dyDescent="0.3">
      <c r="A392">
        <v>657</v>
      </c>
      <c r="B392" s="23">
        <v>43915</v>
      </c>
      <c r="C392" t="s">
        <v>1071</v>
      </c>
      <c r="D392">
        <v>46</v>
      </c>
      <c r="E392" t="s">
        <v>1059</v>
      </c>
      <c r="F392" t="s">
        <v>1186</v>
      </c>
      <c r="H392" t="s">
        <v>1061</v>
      </c>
      <c r="J392" s="32" t="str">
        <f t="shared" si="59"/>
        <v>Male</v>
      </c>
      <c r="K392" s="32" t="str">
        <f t="shared" si="60"/>
        <v>UK</v>
      </c>
      <c r="L392" s="32" t="str">
        <f t="shared" si="61"/>
        <v xml:space="preserve">Case 657 is a Local unlinked case, 46 years old male UK (Singapore Work Pass holder)  and has not been overseas. He is currently admitted at NCID . </v>
      </c>
      <c r="M392" s="32" t="str">
        <f t="shared" si="62"/>
        <v/>
      </c>
      <c r="N392" s="32" t="str">
        <f t="shared" si="63"/>
        <v/>
      </c>
      <c r="O392" s="32" t="str">
        <f t="shared" si="64"/>
        <v/>
      </c>
      <c r="P392" s="32" t="str">
        <f t="shared" si="65"/>
        <v/>
      </c>
    </row>
    <row r="393" spans="1:16" x14ac:dyDescent="0.3">
      <c r="A393">
        <v>658</v>
      </c>
      <c r="B393" s="23">
        <v>43915</v>
      </c>
      <c r="C393" t="s">
        <v>1071</v>
      </c>
      <c r="D393">
        <v>28</v>
      </c>
      <c r="E393" t="s">
        <v>1059</v>
      </c>
      <c r="F393" t="s">
        <v>1278</v>
      </c>
      <c r="H393" t="s">
        <v>1061</v>
      </c>
      <c r="J393" s="32" t="str">
        <f t="shared" si="59"/>
        <v>Male</v>
      </c>
      <c r="K393" s="32" t="str">
        <f t="shared" si="60"/>
        <v>Bangladesh</v>
      </c>
      <c r="L393" s="32" t="str">
        <f t="shared" si="61"/>
        <v xml:space="preserve">Case 658 is a Local unlinked case, 28 years old male Bangladesh (Long Term Pass holder)  and has not been overseas. He is currently admitted at NCID . </v>
      </c>
      <c r="M393" s="32" t="str">
        <f t="shared" si="62"/>
        <v/>
      </c>
      <c r="N393" s="32" t="str">
        <f t="shared" si="63"/>
        <v/>
      </c>
      <c r="O393" s="32" t="str">
        <f t="shared" si="64"/>
        <v/>
      </c>
      <c r="P393" s="32" t="str">
        <f t="shared" si="65"/>
        <v/>
      </c>
    </row>
    <row r="394" spans="1:16" x14ac:dyDescent="0.3">
      <c r="A394">
        <v>659</v>
      </c>
      <c r="B394" s="23">
        <v>43915</v>
      </c>
      <c r="C394" t="s">
        <v>1161</v>
      </c>
      <c r="D394">
        <v>27</v>
      </c>
      <c r="E394" t="s">
        <v>1073</v>
      </c>
      <c r="F394" t="s">
        <v>1060</v>
      </c>
      <c r="H394" t="s">
        <v>1061</v>
      </c>
      <c r="J394" s="32" t="str">
        <f t="shared" si="59"/>
        <v>Female</v>
      </c>
      <c r="K394" s="32" t="str">
        <f t="shared" si="60"/>
        <v>Singaporean</v>
      </c>
      <c r="L394" s="32" t="str">
        <f t="shared" si="61"/>
        <v xml:space="preserve">Case 659 is a Local unlinked case, 27 years old female Singapore Citizen  and has not been overseas. She is currently admitted at KKH . </v>
      </c>
      <c r="M394" s="32" t="str">
        <f t="shared" si="62"/>
        <v/>
      </c>
      <c r="N394" s="32" t="str">
        <f t="shared" si="63"/>
        <v/>
      </c>
      <c r="O394" s="32" t="str">
        <f t="shared" si="64"/>
        <v/>
      </c>
      <c r="P394" s="32" t="str">
        <f t="shared" si="65"/>
        <v/>
      </c>
    </row>
    <row r="395" spans="1:16" x14ac:dyDescent="0.3">
      <c r="A395">
        <v>660</v>
      </c>
      <c r="B395" s="23">
        <v>43915</v>
      </c>
      <c r="C395" t="s">
        <v>1071</v>
      </c>
      <c r="D395">
        <v>22</v>
      </c>
      <c r="E395" t="s">
        <v>1073</v>
      </c>
      <c r="F395" t="s">
        <v>1250</v>
      </c>
      <c r="H395" t="s">
        <v>1086</v>
      </c>
      <c r="I395" t="s">
        <v>1259</v>
      </c>
      <c r="J395" s="32" t="str">
        <f t="shared" si="59"/>
        <v>Female</v>
      </c>
      <c r="K395" s="32" t="str">
        <f t="shared" si="60"/>
        <v>Philippines</v>
      </c>
      <c r="L395" s="32" t="str">
        <f t="shared" si="61"/>
        <v>Case 660 is a Local linked  case, 22 years old female Philippines (Singapore Work Pass holder)  and has not been overseas. She is currently admitted at NCID . PCF Fengshan</v>
      </c>
      <c r="M395" s="32" t="str">
        <f t="shared" si="62"/>
        <v/>
      </c>
      <c r="N395" s="32" t="str">
        <f t="shared" si="63"/>
        <v/>
      </c>
      <c r="O395" s="32">
        <f t="shared" si="64"/>
        <v>660</v>
      </c>
      <c r="P395" s="32" t="str">
        <f t="shared" si="65"/>
        <v>PCF Fengshan</v>
      </c>
    </row>
    <row r="396" spans="1:16" x14ac:dyDescent="0.3">
      <c r="A396">
        <v>661</v>
      </c>
      <c r="B396" s="23">
        <v>43916</v>
      </c>
      <c r="C396" t="s">
        <v>1071</v>
      </c>
      <c r="D396">
        <v>44</v>
      </c>
      <c r="E396" t="s">
        <v>1073</v>
      </c>
      <c r="F396" t="s">
        <v>1060</v>
      </c>
      <c r="H396" t="s">
        <v>1061</v>
      </c>
      <c r="J396" s="32" t="str">
        <f t="shared" si="59"/>
        <v>Female</v>
      </c>
      <c r="K396" s="32" t="str">
        <f t="shared" si="60"/>
        <v>Singaporean</v>
      </c>
      <c r="L396" s="32" t="str">
        <f t="shared" si="61"/>
        <v xml:space="preserve">Case 661 is a Local unlinked case, 44 years old female Singapore Citizen  and has not been overseas. She is currently admitted at NCID . </v>
      </c>
      <c r="M396" s="32" t="str">
        <f t="shared" si="62"/>
        <v/>
      </c>
      <c r="N396" s="32" t="str">
        <f t="shared" si="63"/>
        <v/>
      </c>
      <c r="O396" s="32" t="str">
        <f t="shared" si="64"/>
        <v/>
      </c>
      <c r="P396" s="32" t="str">
        <f t="shared" si="65"/>
        <v/>
      </c>
    </row>
    <row r="397" spans="1:16" x14ac:dyDescent="0.3">
      <c r="A397">
        <v>662</v>
      </c>
      <c r="B397" s="23">
        <v>43916</v>
      </c>
      <c r="C397" t="s">
        <v>1071</v>
      </c>
      <c r="D397">
        <v>42</v>
      </c>
      <c r="E397" t="s">
        <v>1059</v>
      </c>
      <c r="F397" t="s">
        <v>1186</v>
      </c>
      <c r="G397" t="s">
        <v>360</v>
      </c>
      <c r="H397" t="s">
        <v>1086</v>
      </c>
      <c r="I397" t="s">
        <v>1236</v>
      </c>
      <c r="J397" s="32" t="str">
        <f t="shared" si="59"/>
        <v>Male</v>
      </c>
      <c r="K397" s="32" t="str">
        <f t="shared" si="60"/>
        <v>UK</v>
      </c>
      <c r="L397" s="32" t="str">
        <f t="shared" si="61"/>
        <v>Case 662 is a Local linked  case, 42 years old male UK (Singapore Work Pass holder)  and has been to Malaysia . He is currently admitted at NCID . Dover Court International School</v>
      </c>
      <c r="M397" s="32">
        <f t="shared" si="62"/>
        <v>662</v>
      </c>
      <c r="N397" s="32" t="str">
        <f t="shared" si="63"/>
        <v xml:space="preserve">Malaysia </v>
      </c>
      <c r="O397" s="32">
        <f t="shared" si="64"/>
        <v>662</v>
      </c>
      <c r="P397" s="32" t="str">
        <f t="shared" si="65"/>
        <v>Dover Court International School</v>
      </c>
    </row>
    <row r="398" spans="1:16" x14ac:dyDescent="0.3">
      <c r="A398">
        <v>663</v>
      </c>
      <c r="B398" s="23">
        <v>43916</v>
      </c>
      <c r="C398" t="s">
        <v>1071</v>
      </c>
      <c r="D398">
        <v>21</v>
      </c>
      <c r="E398" t="s">
        <v>1073</v>
      </c>
      <c r="F398" t="s">
        <v>1060</v>
      </c>
      <c r="G398" t="s">
        <v>1063</v>
      </c>
      <c r="H398" t="s">
        <v>77</v>
      </c>
      <c r="J398" s="32" t="str">
        <f t="shared" si="59"/>
        <v>Female</v>
      </c>
      <c r="K398" s="32" t="str">
        <f t="shared" si="60"/>
        <v>Singaporean</v>
      </c>
      <c r="L398" s="32" t="str">
        <f t="shared" si="61"/>
        <v xml:space="preserve">Case 663 is a Imported case, 21 years old female Singapore Citizen  and has been to UK . She is currently admitted at NCID . </v>
      </c>
      <c r="M398" s="32">
        <f t="shared" si="62"/>
        <v>663</v>
      </c>
      <c r="N398" s="32" t="str">
        <f t="shared" si="63"/>
        <v xml:space="preserve">UK </v>
      </c>
      <c r="O398" s="32" t="str">
        <f t="shared" si="64"/>
        <v/>
      </c>
      <c r="P398" s="32" t="str">
        <f t="shared" si="65"/>
        <v/>
      </c>
    </row>
    <row r="399" spans="1:16" x14ac:dyDescent="0.3">
      <c r="A399">
        <v>664</v>
      </c>
      <c r="B399" s="23">
        <v>43916</v>
      </c>
      <c r="C399" t="s">
        <v>1071</v>
      </c>
      <c r="D399">
        <v>38</v>
      </c>
      <c r="E399" t="s">
        <v>1073</v>
      </c>
      <c r="F399" t="s">
        <v>1085</v>
      </c>
      <c r="G399" t="s">
        <v>1177</v>
      </c>
      <c r="H399" t="s">
        <v>77</v>
      </c>
      <c r="J399" s="32" t="str">
        <f t="shared" si="59"/>
        <v>Female</v>
      </c>
      <c r="K399" s="32" t="str">
        <f t="shared" si="60"/>
        <v xml:space="preserve">US </v>
      </c>
      <c r="L399" s="32" t="str">
        <f t="shared" si="61"/>
        <v xml:space="preserve">Case 664 is a Imported case, 38 years old female US  and has been to Pending . She is currently admitted at NCID . </v>
      </c>
      <c r="M399" s="32">
        <f t="shared" si="62"/>
        <v>664</v>
      </c>
      <c r="N399" s="32" t="str">
        <f t="shared" si="63"/>
        <v xml:space="preserve">Pending </v>
      </c>
      <c r="O399" s="32" t="str">
        <f t="shared" si="64"/>
        <v/>
      </c>
      <c r="P399" s="32" t="str">
        <f t="shared" si="65"/>
        <v/>
      </c>
    </row>
    <row r="400" spans="1:16" x14ac:dyDescent="0.3">
      <c r="A400">
        <v>665</v>
      </c>
      <c r="B400" s="23">
        <v>43916</v>
      </c>
      <c r="C400" t="s">
        <v>1071</v>
      </c>
      <c r="D400">
        <v>21</v>
      </c>
      <c r="E400" t="s">
        <v>1073</v>
      </c>
      <c r="F400" t="s">
        <v>1060</v>
      </c>
      <c r="G400" t="s">
        <v>1085</v>
      </c>
      <c r="H400" t="s">
        <v>77</v>
      </c>
      <c r="J400" s="32" t="str">
        <f t="shared" si="59"/>
        <v>Female</v>
      </c>
      <c r="K400" s="32" t="str">
        <f t="shared" si="60"/>
        <v>Singaporean</v>
      </c>
      <c r="L400" s="32" t="str">
        <f t="shared" si="61"/>
        <v xml:space="preserve">Case 665 is a Imported case, 21 years old female Singapore Citizen  and has been to US . She is currently admitted at NCID . </v>
      </c>
      <c r="M400" s="32">
        <f t="shared" si="62"/>
        <v>665</v>
      </c>
      <c r="N400" s="32" t="str">
        <f t="shared" si="63"/>
        <v xml:space="preserve">US </v>
      </c>
      <c r="O400" s="32" t="str">
        <f t="shared" si="64"/>
        <v/>
      </c>
      <c r="P400" s="32" t="str">
        <f t="shared" si="65"/>
        <v/>
      </c>
    </row>
    <row r="401" spans="1:16" x14ac:dyDescent="0.3">
      <c r="A401">
        <v>666</v>
      </c>
      <c r="B401" s="23">
        <v>43916</v>
      </c>
      <c r="C401" t="s">
        <v>1138</v>
      </c>
      <c r="D401">
        <v>32</v>
      </c>
      <c r="E401" t="s">
        <v>1073</v>
      </c>
      <c r="F401" t="s">
        <v>1060</v>
      </c>
      <c r="H401" t="s">
        <v>1061</v>
      </c>
      <c r="J401" s="32" t="str">
        <f t="shared" si="59"/>
        <v>Female</v>
      </c>
      <c r="K401" s="32" t="str">
        <f t="shared" si="60"/>
        <v>Singaporean</v>
      </c>
      <c r="L401" s="32" t="str">
        <f t="shared" si="61"/>
        <v xml:space="preserve">Case 666 is a Local unlinked case, 32 years old female Singapore Citizen  and has not been overseas. She is currently admitted at SGH . </v>
      </c>
      <c r="M401" s="32" t="str">
        <f t="shared" si="62"/>
        <v/>
      </c>
      <c r="N401" s="32" t="str">
        <f t="shared" si="63"/>
        <v/>
      </c>
      <c r="O401" s="32" t="str">
        <f t="shared" si="64"/>
        <v/>
      </c>
      <c r="P401" s="32" t="str">
        <f t="shared" si="65"/>
        <v/>
      </c>
    </row>
    <row r="402" spans="1:16" x14ac:dyDescent="0.3">
      <c r="A402">
        <v>667</v>
      </c>
      <c r="B402" s="23">
        <v>43916</v>
      </c>
      <c r="C402" t="s">
        <v>1071</v>
      </c>
      <c r="D402">
        <v>40</v>
      </c>
      <c r="E402" t="s">
        <v>1073</v>
      </c>
      <c r="F402" t="s">
        <v>1060</v>
      </c>
      <c r="G402" t="s">
        <v>1085</v>
      </c>
      <c r="H402" t="s">
        <v>77</v>
      </c>
      <c r="J402" s="32" t="str">
        <f t="shared" si="59"/>
        <v>Female</v>
      </c>
      <c r="K402" s="32" t="str">
        <f t="shared" si="60"/>
        <v>Singaporean</v>
      </c>
      <c r="L402" s="32" t="str">
        <f t="shared" si="61"/>
        <v xml:space="preserve">Case 667 is a Imported case, 40 years old female Singapore Citizen  and has been to US . She is currently admitted at NCID . </v>
      </c>
      <c r="M402" s="32">
        <f t="shared" si="62"/>
        <v>667</v>
      </c>
      <c r="N402" s="32" t="str">
        <f t="shared" si="63"/>
        <v xml:space="preserve">US </v>
      </c>
      <c r="O402" s="32" t="str">
        <f t="shared" si="64"/>
        <v/>
      </c>
      <c r="P402" s="32" t="str">
        <f t="shared" si="65"/>
        <v/>
      </c>
    </row>
    <row r="403" spans="1:16" x14ac:dyDescent="0.3">
      <c r="A403">
        <v>668</v>
      </c>
      <c r="B403" s="23">
        <v>43916</v>
      </c>
      <c r="C403" t="s">
        <v>1071</v>
      </c>
      <c r="D403">
        <v>31</v>
      </c>
      <c r="E403" t="s">
        <v>1073</v>
      </c>
      <c r="F403" t="s">
        <v>1255</v>
      </c>
      <c r="G403" t="s">
        <v>798</v>
      </c>
      <c r="H403" t="s">
        <v>1086</v>
      </c>
      <c r="I403" t="s">
        <v>1279</v>
      </c>
      <c r="J403" s="32" t="str">
        <f t="shared" si="59"/>
        <v>Female</v>
      </c>
      <c r="K403" s="32" t="str">
        <f t="shared" si="60"/>
        <v>India</v>
      </c>
      <c r="L403" s="32" t="str">
        <f t="shared" si="61"/>
        <v>Case 668 is a Local linked  case, 31 years old female India (Singapore Work Pass holder)  and has been to India . She is currently admitted at NCID . Contact of Case 600</v>
      </c>
      <c r="M403" s="32">
        <f t="shared" si="62"/>
        <v>668</v>
      </c>
      <c r="N403" s="32" t="str">
        <f t="shared" si="63"/>
        <v xml:space="preserve">India </v>
      </c>
      <c r="O403" s="32">
        <f t="shared" si="64"/>
        <v>668</v>
      </c>
      <c r="P403" s="32" t="str">
        <f t="shared" si="65"/>
        <v>Contact of Case 600</v>
      </c>
    </row>
    <row r="404" spans="1:16" x14ac:dyDescent="0.3">
      <c r="A404">
        <v>669</v>
      </c>
      <c r="B404" s="23">
        <v>43916</v>
      </c>
      <c r="C404" t="s">
        <v>1071</v>
      </c>
      <c r="D404">
        <v>54</v>
      </c>
      <c r="E404" t="s">
        <v>1059</v>
      </c>
      <c r="F404" t="s">
        <v>1186</v>
      </c>
      <c r="G404" t="s">
        <v>703</v>
      </c>
      <c r="H404" t="s">
        <v>77</v>
      </c>
      <c r="J404" s="32" t="str">
        <f t="shared" si="59"/>
        <v>Male</v>
      </c>
      <c r="K404" s="32" t="str">
        <f t="shared" si="60"/>
        <v>UK</v>
      </c>
      <c r="L404" s="32" t="str">
        <f t="shared" si="61"/>
        <v xml:space="preserve">Case 669 is a Imported case, 54 years old male UK (Singapore Work Pass holder)  and has been to France . He is currently admitted at NCID . </v>
      </c>
      <c r="M404" s="32">
        <f t="shared" si="62"/>
        <v>669</v>
      </c>
      <c r="N404" s="32" t="str">
        <f t="shared" si="63"/>
        <v xml:space="preserve">France </v>
      </c>
      <c r="O404" s="32" t="str">
        <f t="shared" si="64"/>
        <v/>
      </c>
      <c r="P404" s="32" t="str">
        <f t="shared" si="65"/>
        <v/>
      </c>
    </row>
    <row r="405" spans="1:16" x14ac:dyDescent="0.3">
      <c r="A405">
        <v>670</v>
      </c>
      <c r="B405" s="23">
        <v>43916</v>
      </c>
      <c r="C405" t="s">
        <v>1071</v>
      </c>
      <c r="D405">
        <v>34</v>
      </c>
      <c r="E405" t="s">
        <v>1059</v>
      </c>
      <c r="F405" t="s">
        <v>1218</v>
      </c>
      <c r="H405" t="s">
        <v>1061</v>
      </c>
      <c r="J405" s="32" t="str">
        <f t="shared" si="59"/>
        <v>Male</v>
      </c>
      <c r="K405" s="32" t="str">
        <f t="shared" si="60"/>
        <v>Australia</v>
      </c>
      <c r="L405" s="32" t="str">
        <f t="shared" si="61"/>
        <v xml:space="preserve">Case 670 is a Local unlinked case, 34 years old male Australia (Singapore Work Pass holder)  and has not been overseas. He is currently admitted at NCID . </v>
      </c>
      <c r="M405" s="32" t="str">
        <f t="shared" si="62"/>
        <v/>
      </c>
      <c r="N405" s="32" t="str">
        <f t="shared" si="63"/>
        <v/>
      </c>
      <c r="O405" s="32" t="str">
        <f t="shared" si="64"/>
        <v/>
      </c>
      <c r="P405" s="32" t="str">
        <f t="shared" si="65"/>
        <v/>
      </c>
    </row>
    <row r="406" spans="1:16" x14ac:dyDescent="0.3">
      <c r="A406">
        <v>671</v>
      </c>
      <c r="B406" s="23">
        <v>43916</v>
      </c>
      <c r="C406" t="s">
        <v>1071</v>
      </c>
      <c r="D406">
        <v>29</v>
      </c>
      <c r="E406" t="s">
        <v>1073</v>
      </c>
      <c r="F406" t="s">
        <v>1060</v>
      </c>
      <c r="G406" t="s">
        <v>1085</v>
      </c>
      <c r="H406" t="s">
        <v>77</v>
      </c>
      <c r="J406" s="32" t="str">
        <f t="shared" si="59"/>
        <v>Female</v>
      </c>
      <c r="K406" s="32" t="str">
        <f t="shared" si="60"/>
        <v>Singaporean</v>
      </c>
      <c r="L406" s="32" t="str">
        <f t="shared" si="61"/>
        <v xml:space="preserve">Case 671 is a Imported case, 29 years old female Singapore Citizen  and has been to US . She is currently admitted at NCID . </v>
      </c>
      <c r="M406" s="32">
        <f t="shared" si="62"/>
        <v>671</v>
      </c>
      <c r="N406" s="32" t="str">
        <f t="shared" si="63"/>
        <v xml:space="preserve">US </v>
      </c>
      <c r="O406" s="32" t="str">
        <f t="shared" si="64"/>
        <v/>
      </c>
      <c r="P406" s="32" t="str">
        <f t="shared" si="65"/>
        <v/>
      </c>
    </row>
    <row r="407" spans="1:16" x14ac:dyDescent="0.3">
      <c r="A407">
        <v>672</v>
      </c>
      <c r="B407" s="23">
        <v>43916</v>
      </c>
      <c r="C407" t="s">
        <v>1071</v>
      </c>
      <c r="D407">
        <v>24</v>
      </c>
      <c r="E407" t="s">
        <v>1073</v>
      </c>
      <c r="F407" t="s">
        <v>1060</v>
      </c>
      <c r="G407" t="s">
        <v>1085</v>
      </c>
      <c r="H407" t="s">
        <v>77</v>
      </c>
      <c r="J407" s="32" t="str">
        <f t="shared" si="59"/>
        <v>Female</v>
      </c>
      <c r="K407" s="32" t="str">
        <f t="shared" si="60"/>
        <v>Singaporean</v>
      </c>
      <c r="L407" s="32" t="str">
        <f t="shared" si="61"/>
        <v xml:space="preserve">Case 672 is a Imported case, 24 years old female Singapore Citizen  and has been to US . She is currently admitted at NCID . </v>
      </c>
      <c r="M407" s="32">
        <f t="shared" si="62"/>
        <v>672</v>
      </c>
      <c r="N407" s="32" t="str">
        <f t="shared" si="63"/>
        <v xml:space="preserve">US </v>
      </c>
      <c r="O407" s="32" t="str">
        <f t="shared" si="64"/>
        <v/>
      </c>
      <c r="P407" s="32" t="str">
        <f t="shared" si="65"/>
        <v/>
      </c>
    </row>
    <row r="408" spans="1:16" x14ac:dyDescent="0.3">
      <c r="A408">
        <v>673</v>
      </c>
      <c r="B408" s="23">
        <v>43916</v>
      </c>
      <c r="C408" t="s">
        <v>1071</v>
      </c>
      <c r="D408">
        <v>27</v>
      </c>
      <c r="E408" t="s">
        <v>1059</v>
      </c>
      <c r="F408" t="s">
        <v>1060</v>
      </c>
      <c r="G408" t="s">
        <v>1085</v>
      </c>
      <c r="H408" t="s">
        <v>77</v>
      </c>
      <c r="J408" s="32" t="str">
        <f t="shared" si="59"/>
        <v>Male</v>
      </c>
      <c r="K408" s="32" t="str">
        <f t="shared" si="60"/>
        <v>Singaporean</v>
      </c>
      <c r="L408" s="32" t="str">
        <f t="shared" si="61"/>
        <v xml:space="preserve">Case 673 is a Imported case, 27 years old male Singapore Citizen  and has been to US . He is currently admitted at NCID . </v>
      </c>
      <c r="M408" s="32">
        <f t="shared" si="62"/>
        <v>673</v>
      </c>
      <c r="N408" s="32" t="str">
        <f t="shared" si="63"/>
        <v xml:space="preserve">US </v>
      </c>
      <c r="O408" s="32" t="str">
        <f t="shared" si="64"/>
        <v/>
      </c>
      <c r="P408" s="32" t="str">
        <f t="shared" si="65"/>
        <v/>
      </c>
    </row>
    <row r="409" spans="1:16" x14ac:dyDescent="0.3">
      <c r="A409">
        <v>674</v>
      </c>
      <c r="B409" s="23">
        <v>43916</v>
      </c>
      <c r="C409" t="s">
        <v>1071</v>
      </c>
      <c r="D409">
        <v>59</v>
      </c>
      <c r="E409" t="s">
        <v>1059</v>
      </c>
      <c r="F409" t="s">
        <v>1060</v>
      </c>
      <c r="G409" t="s">
        <v>1063</v>
      </c>
      <c r="H409" t="s">
        <v>77</v>
      </c>
      <c r="J409" s="32" t="str">
        <f t="shared" si="59"/>
        <v>Male</v>
      </c>
      <c r="K409" s="32" t="str">
        <f t="shared" si="60"/>
        <v>Singaporean</v>
      </c>
      <c r="L409" s="32" t="str">
        <f t="shared" si="61"/>
        <v xml:space="preserve">Case 674 is a Imported case, 59 years old male Singapore Citizen  and has been to UK . He is currently admitted at NCID . </v>
      </c>
      <c r="M409" s="32">
        <f t="shared" si="62"/>
        <v>674</v>
      </c>
      <c r="N409" s="32" t="str">
        <f t="shared" si="63"/>
        <v xml:space="preserve">UK </v>
      </c>
      <c r="O409" s="32" t="str">
        <f t="shared" si="64"/>
        <v/>
      </c>
      <c r="P409" s="32" t="str">
        <f t="shared" si="65"/>
        <v/>
      </c>
    </row>
    <row r="410" spans="1:16" x14ac:dyDescent="0.3">
      <c r="A410">
        <v>675</v>
      </c>
      <c r="B410" s="23">
        <v>43916</v>
      </c>
      <c r="C410" t="s">
        <v>1071</v>
      </c>
      <c r="D410">
        <v>51</v>
      </c>
      <c r="E410" t="s">
        <v>1073</v>
      </c>
      <c r="F410" t="s">
        <v>1060</v>
      </c>
      <c r="H410" t="s">
        <v>1086</v>
      </c>
      <c r="I410" t="s">
        <v>1280</v>
      </c>
      <c r="J410" s="32" t="str">
        <f t="shared" si="59"/>
        <v>Female</v>
      </c>
      <c r="K410" s="32" t="str">
        <f t="shared" si="60"/>
        <v>Singaporean</v>
      </c>
      <c r="L410" s="32" t="str">
        <f t="shared" si="61"/>
        <v>Case 675 is a Local linked  case, 51 years old female Singapore Citizen  and has not been overseas. She is currently admitted at NCID . Family member of Case 528, 645 and 676</v>
      </c>
      <c r="M410" s="32" t="str">
        <f t="shared" si="62"/>
        <v/>
      </c>
      <c r="N410" s="32" t="str">
        <f t="shared" si="63"/>
        <v/>
      </c>
      <c r="O410" s="32">
        <f t="shared" si="64"/>
        <v>675</v>
      </c>
      <c r="P410" s="32" t="str">
        <f t="shared" si="65"/>
        <v>Family member of Case 528, 645 and 676</v>
      </c>
    </row>
    <row r="411" spans="1:16" x14ac:dyDescent="0.3">
      <c r="A411">
        <v>676</v>
      </c>
      <c r="B411" s="23">
        <v>43916</v>
      </c>
      <c r="C411" t="s">
        <v>1071</v>
      </c>
      <c r="D411">
        <v>29</v>
      </c>
      <c r="E411" t="s">
        <v>1059</v>
      </c>
      <c r="F411" t="s">
        <v>1060</v>
      </c>
      <c r="G411" t="s">
        <v>794</v>
      </c>
      <c r="H411" t="s">
        <v>1086</v>
      </c>
      <c r="I411" t="s">
        <v>1281</v>
      </c>
      <c r="J411" s="32" t="str">
        <f t="shared" si="59"/>
        <v>Male</v>
      </c>
      <c r="K411" s="32" t="str">
        <f t="shared" si="60"/>
        <v>Singaporean</v>
      </c>
      <c r="L411" s="32" t="str">
        <f t="shared" si="61"/>
        <v>Case 676 is a Local linked  case, 29 years old male Singapore Citizen  and has been to Thailand . He is currently admitted at NCID . Family member of Case 528, 645 and 675</v>
      </c>
      <c r="M411" s="32">
        <f t="shared" si="62"/>
        <v>676</v>
      </c>
      <c r="N411" s="32" t="str">
        <f t="shared" si="63"/>
        <v xml:space="preserve">Thailand </v>
      </c>
      <c r="O411" s="32">
        <f t="shared" si="64"/>
        <v>676</v>
      </c>
      <c r="P411" s="32" t="str">
        <f t="shared" si="65"/>
        <v>Family member of Case 528, 645 and 675</v>
      </c>
    </row>
    <row r="412" spans="1:16" x14ac:dyDescent="0.3">
      <c r="A412">
        <v>677</v>
      </c>
      <c r="B412" s="23">
        <v>43916</v>
      </c>
      <c r="C412" t="s">
        <v>1071</v>
      </c>
      <c r="D412">
        <v>40</v>
      </c>
      <c r="E412" t="s">
        <v>1073</v>
      </c>
      <c r="F412" t="s">
        <v>1060</v>
      </c>
      <c r="H412" t="s">
        <v>1061</v>
      </c>
      <c r="J412" s="32" t="str">
        <f t="shared" si="59"/>
        <v>Female</v>
      </c>
      <c r="K412" s="32" t="str">
        <f t="shared" si="60"/>
        <v>Singaporean</v>
      </c>
      <c r="L412" s="32" t="str">
        <f t="shared" si="61"/>
        <v xml:space="preserve">Case 677 is a Local unlinked case, 40 years old female Singapore Citizen  and has not been overseas. She is currently admitted at NCID . </v>
      </c>
      <c r="M412" s="32" t="str">
        <f t="shared" si="62"/>
        <v/>
      </c>
      <c r="N412" s="32" t="str">
        <f t="shared" si="63"/>
        <v/>
      </c>
      <c r="O412" s="32" t="str">
        <f t="shared" si="64"/>
        <v/>
      </c>
      <c r="P412" s="32" t="str">
        <f t="shared" si="65"/>
        <v/>
      </c>
    </row>
    <row r="413" spans="1:16" x14ac:dyDescent="0.3">
      <c r="A413">
        <v>678</v>
      </c>
      <c r="B413" s="23">
        <v>43916</v>
      </c>
      <c r="C413" t="s">
        <v>1071</v>
      </c>
      <c r="D413">
        <v>71</v>
      </c>
      <c r="E413" t="s">
        <v>1059</v>
      </c>
      <c r="F413" t="s">
        <v>1072</v>
      </c>
      <c r="H413" t="s">
        <v>1061</v>
      </c>
      <c r="J413" s="32" t="str">
        <f t="shared" si="59"/>
        <v>Male</v>
      </c>
      <c r="K413" s="32" t="str">
        <f t="shared" si="60"/>
        <v>Singaporean</v>
      </c>
      <c r="L413" s="32" t="str">
        <f t="shared" si="61"/>
        <v xml:space="preserve">Case 678 is a Local unlinked case, 71 years old male Singapore Permanent Resident  and has not been overseas. He is currently admitted at NCID . </v>
      </c>
      <c r="M413" s="32" t="str">
        <f t="shared" si="62"/>
        <v/>
      </c>
      <c r="N413" s="32" t="str">
        <f t="shared" si="63"/>
        <v/>
      </c>
      <c r="O413" s="32" t="str">
        <f t="shared" si="64"/>
        <v/>
      </c>
      <c r="P413" s="32" t="str">
        <f t="shared" si="65"/>
        <v/>
      </c>
    </row>
    <row r="414" spans="1:16" x14ac:dyDescent="0.3">
      <c r="A414">
        <v>679</v>
      </c>
      <c r="B414" s="23">
        <v>43916</v>
      </c>
      <c r="C414" t="s">
        <v>1071</v>
      </c>
      <c r="D414">
        <v>45</v>
      </c>
      <c r="E414" t="s">
        <v>1059</v>
      </c>
      <c r="F414" t="s">
        <v>1245</v>
      </c>
      <c r="H414" t="s">
        <v>1061</v>
      </c>
      <c r="J414" s="32" t="str">
        <f t="shared" si="59"/>
        <v>Male</v>
      </c>
      <c r="K414" s="32" t="str">
        <f t="shared" si="60"/>
        <v>US</v>
      </c>
      <c r="L414" s="32" t="str">
        <f t="shared" si="61"/>
        <v xml:space="preserve">Case 679 is a Local unlinked case, 45 years old male US (Singapore Work Pass holder)  and has not been overseas. He is currently admitted at NCID . </v>
      </c>
      <c r="M414" s="32" t="str">
        <f t="shared" si="62"/>
        <v/>
      </c>
      <c r="N414" s="32" t="str">
        <f t="shared" si="63"/>
        <v/>
      </c>
      <c r="O414" s="32" t="str">
        <f t="shared" si="64"/>
        <v/>
      </c>
      <c r="P414" s="32" t="str">
        <f t="shared" si="65"/>
        <v/>
      </c>
    </row>
    <row r="415" spans="1:16" x14ac:dyDescent="0.3">
      <c r="A415">
        <v>680</v>
      </c>
      <c r="B415" s="23">
        <v>43916</v>
      </c>
      <c r="C415" t="s">
        <v>1071</v>
      </c>
      <c r="D415">
        <v>19</v>
      </c>
      <c r="E415" t="s">
        <v>1059</v>
      </c>
      <c r="F415" t="s">
        <v>1063</v>
      </c>
      <c r="G415" t="s">
        <v>1177</v>
      </c>
      <c r="H415" t="s">
        <v>77</v>
      </c>
      <c r="J415" s="32" t="str">
        <f t="shared" si="59"/>
        <v>Male</v>
      </c>
      <c r="K415" s="32" t="str">
        <f t="shared" si="60"/>
        <v xml:space="preserve">UK </v>
      </c>
      <c r="L415" s="32" t="str">
        <f t="shared" si="61"/>
        <v xml:space="preserve">Case 680 is a Imported case, 19 years old male UK  and has been to Pending . He is currently admitted at NCID . </v>
      </c>
      <c r="M415" s="32">
        <f t="shared" si="62"/>
        <v>680</v>
      </c>
      <c r="N415" s="32" t="str">
        <f t="shared" si="63"/>
        <v xml:space="preserve">Pending </v>
      </c>
      <c r="O415" s="32" t="str">
        <f t="shared" si="64"/>
        <v/>
      </c>
      <c r="P415" s="32" t="str">
        <f t="shared" si="65"/>
        <v/>
      </c>
    </row>
    <row r="416" spans="1:16" x14ac:dyDescent="0.3">
      <c r="A416">
        <v>681</v>
      </c>
      <c r="B416" s="23">
        <v>43916</v>
      </c>
      <c r="C416" t="s">
        <v>1071</v>
      </c>
      <c r="D416">
        <v>42</v>
      </c>
      <c r="E416" t="s">
        <v>1059</v>
      </c>
      <c r="F416" t="s">
        <v>1282</v>
      </c>
      <c r="G416" t="s">
        <v>687</v>
      </c>
      <c r="H416" t="s">
        <v>1086</v>
      </c>
      <c r="I416" t="s">
        <v>1283</v>
      </c>
      <c r="J416" s="32" t="str">
        <f t="shared" si="59"/>
        <v>Male</v>
      </c>
      <c r="K416" s="32" t="str">
        <f t="shared" si="60"/>
        <v>New Zealand</v>
      </c>
      <c r="L416" s="32" t="str">
        <f t="shared" si="61"/>
        <v>Case 681 is a Local linked  case, 42 years old male New Zealand (Singapore Work Pass holder)  and has been to Indonesia . He is currently admitted at NCID . Contact of Case 477</v>
      </c>
      <c r="M416" s="32">
        <f t="shared" si="62"/>
        <v>681</v>
      </c>
      <c r="N416" s="32" t="str">
        <f t="shared" si="63"/>
        <v xml:space="preserve">Indonesia </v>
      </c>
      <c r="O416" s="32">
        <f t="shared" si="64"/>
        <v>681</v>
      </c>
      <c r="P416" s="32" t="str">
        <f t="shared" si="65"/>
        <v>Contact of Case 477</v>
      </c>
    </row>
    <row r="417" spans="1:16" x14ac:dyDescent="0.3">
      <c r="A417">
        <v>682</v>
      </c>
      <c r="B417" s="23">
        <v>43916</v>
      </c>
      <c r="C417" t="s">
        <v>1071</v>
      </c>
      <c r="D417">
        <v>22</v>
      </c>
      <c r="E417" t="s">
        <v>1059</v>
      </c>
      <c r="F417" t="s">
        <v>1060</v>
      </c>
      <c r="H417" t="s">
        <v>1061</v>
      </c>
      <c r="J417" s="32" t="str">
        <f t="shared" si="59"/>
        <v>Male</v>
      </c>
      <c r="K417" s="32" t="str">
        <f t="shared" si="60"/>
        <v>Singaporean</v>
      </c>
      <c r="L417" s="32" t="str">
        <f t="shared" si="61"/>
        <v xml:space="preserve">Case 682 is a Local unlinked case, 22 years old male Singapore Citizen  and has not been overseas. He is currently admitted at NCID . </v>
      </c>
      <c r="M417" s="32" t="str">
        <f t="shared" si="62"/>
        <v/>
      </c>
      <c r="N417" s="32" t="str">
        <f t="shared" si="63"/>
        <v/>
      </c>
      <c r="O417" s="32" t="str">
        <f t="shared" si="64"/>
        <v/>
      </c>
      <c r="P417" s="32" t="str">
        <f t="shared" si="65"/>
        <v/>
      </c>
    </row>
    <row r="418" spans="1:16" x14ac:dyDescent="0.3">
      <c r="A418">
        <v>683</v>
      </c>
      <c r="B418" s="23">
        <v>43916</v>
      </c>
      <c r="C418" t="s">
        <v>1071</v>
      </c>
      <c r="D418">
        <v>40</v>
      </c>
      <c r="E418" t="s">
        <v>1073</v>
      </c>
      <c r="F418" t="s">
        <v>1060</v>
      </c>
      <c r="G418" t="s">
        <v>1177</v>
      </c>
      <c r="H418" t="s">
        <v>77</v>
      </c>
      <c r="J418" s="32" t="str">
        <f t="shared" si="59"/>
        <v>Female</v>
      </c>
      <c r="K418" s="32" t="str">
        <f t="shared" si="60"/>
        <v>Singaporean</v>
      </c>
      <c r="L418" s="32" t="str">
        <f t="shared" si="61"/>
        <v xml:space="preserve">Case 683 is a Imported case, 40 years old female Singapore Citizen  and has been to Pending . She is currently admitted at NCID . </v>
      </c>
      <c r="M418" s="32">
        <f t="shared" si="62"/>
        <v>683</v>
      </c>
      <c r="N418" s="32" t="str">
        <f t="shared" si="63"/>
        <v xml:space="preserve">Pending </v>
      </c>
      <c r="O418" s="32" t="str">
        <f t="shared" si="64"/>
        <v/>
      </c>
      <c r="P418" s="32" t="str">
        <f t="shared" si="65"/>
        <v/>
      </c>
    </row>
    <row r="419" spans="1:16" x14ac:dyDescent="0.3">
      <c r="A419" s="33">
        <v>684</v>
      </c>
      <c r="B419" s="37">
        <v>43916</v>
      </c>
      <c r="C419" s="33" t="s">
        <v>1071</v>
      </c>
      <c r="D419" s="33">
        <v>21</v>
      </c>
      <c r="E419" s="33" t="s">
        <v>1059</v>
      </c>
      <c r="F419" s="33" t="s">
        <v>1072</v>
      </c>
      <c r="G419" s="33" t="s">
        <v>1063</v>
      </c>
      <c r="H419" s="33" t="s">
        <v>77</v>
      </c>
      <c r="I419" s="33"/>
      <c r="J419" s="33" t="str">
        <f t="shared" ref="J419:J467" si="66">IF(TRIM(E419)="M","Male",IF(TRIM(E419)="F","Female",""))</f>
        <v>Male</v>
      </c>
      <c r="K419" s="33" t="str">
        <f t="shared" ref="K419:K467" si="67">IF(LEFT(F419,9)="Singapore","Singaporean",IF(ISERR(FIND("(",F419)),F419,LEFT(F419,FIND("(",F419)-2)))</f>
        <v>Singaporean</v>
      </c>
      <c r="L419" s="33" t="str">
        <f t="shared" ref="L419:L467" si="68">"Case "&amp;A419&amp;" is a "&amp;H419&amp;" case, "&amp;D419&amp;" years old "&amp;LOWER(J419)&amp;" "&amp;F419 &amp;IF(G419=""," and has not been overseas"," and has been to "&amp;G419)&amp;". "&amp;IF(TRIM(E419)="F","She",IF(TRIM(E419)="M","He"))&amp;" is currently admitted at "&amp;C419&amp;". "&amp;I419</f>
        <v xml:space="preserve">Case 684 is a Imported case, 21 years old male Singapore Permanent Resident  and has been to UK . He is currently admitted at NCID . </v>
      </c>
      <c r="M419" s="33">
        <f t="shared" ref="M419:M467" si="69">IF(G419="","",A419)</f>
        <v>684</v>
      </c>
      <c r="N419" s="33" t="str">
        <f t="shared" ref="N419:N467" si="70">IF(G419="","",G419)</f>
        <v xml:space="preserve">UK </v>
      </c>
      <c r="O419" s="33" t="str">
        <f t="shared" ref="O419:O467" si="71">IF(I419="","",A419)</f>
        <v/>
      </c>
      <c r="P419" s="33" t="str">
        <f t="shared" ref="P419:P467" si="72">IF(I419="","",I419)</f>
        <v/>
      </c>
    </row>
    <row r="420" spans="1:16" x14ac:dyDescent="0.3">
      <c r="A420" s="33">
        <v>685</v>
      </c>
      <c r="B420" s="37">
        <v>43916</v>
      </c>
      <c r="C420" s="33" t="s">
        <v>1071</v>
      </c>
      <c r="D420" s="33">
        <v>59</v>
      </c>
      <c r="E420" s="33" t="s">
        <v>1059</v>
      </c>
      <c r="F420" s="33" t="s">
        <v>1288</v>
      </c>
      <c r="G420" s="33"/>
      <c r="H420" s="33" t="s">
        <v>1086</v>
      </c>
      <c r="I420" s="33" t="s">
        <v>1289</v>
      </c>
      <c r="J420" s="33" t="str">
        <f t="shared" si="66"/>
        <v>Male</v>
      </c>
      <c r="K420" s="33" t="str">
        <f t="shared" si="67"/>
        <v>New Zealand</v>
      </c>
      <c r="L420" s="33" t="str">
        <f t="shared" si="68"/>
        <v>Case 685 is a Local linked  case, 59 years old male New Zealand (Long Term Pass holder)  and has not been overseas. He is currently admitted at NCID . Contact of Case 588</v>
      </c>
      <c r="M420" s="33" t="str">
        <f t="shared" si="69"/>
        <v/>
      </c>
      <c r="N420" s="33" t="str">
        <f t="shared" si="70"/>
        <v/>
      </c>
      <c r="O420" s="33">
        <f t="shared" si="71"/>
        <v>685</v>
      </c>
      <c r="P420" s="33" t="str">
        <f t="shared" si="72"/>
        <v>Contact of Case 588</v>
      </c>
    </row>
    <row r="421" spans="1:16" x14ac:dyDescent="0.3">
      <c r="A421" s="33">
        <v>686</v>
      </c>
      <c r="B421" s="37">
        <v>43916</v>
      </c>
      <c r="C421" s="33" t="s">
        <v>1138</v>
      </c>
      <c r="D421" s="33">
        <v>37</v>
      </c>
      <c r="E421" s="33" t="s">
        <v>1059</v>
      </c>
      <c r="F421" s="33" t="s">
        <v>1186</v>
      </c>
      <c r="G421" s="33"/>
      <c r="H421" s="33" t="s">
        <v>1086</v>
      </c>
      <c r="I421" s="33" t="s">
        <v>1236</v>
      </c>
      <c r="J421" s="33" t="str">
        <f t="shared" si="66"/>
        <v>Male</v>
      </c>
      <c r="K421" s="33" t="str">
        <f t="shared" si="67"/>
        <v>UK</v>
      </c>
      <c r="L421" s="33" t="str">
        <f t="shared" si="68"/>
        <v>Case 686 is a Local linked  case, 37 years old male UK (Singapore Work Pass holder)  and has not been overseas. He is currently admitted at SGH . Dover Court International School</v>
      </c>
      <c r="M421" s="33" t="str">
        <f t="shared" si="69"/>
        <v/>
      </c>
      <c r="N421" s="33" t="str">
        <f t="shared" si="70"/>
        <v/>
      </c>
      <c r="O421" s="33">
        <f t="shared" si="71"/>
        <v>686</v>
      </c>
      <c r="P421" s="33" t="str">
        <f t="shared" si="72"/>
        <v>Dover Court International School</v>
      </c>
    </row>
    <row r="422" spans="1:16" x14ac:dyDescent="0.3">
      <c r="A422" s="33">
        <v>687</v>
      </c>
      <c r="B422" s="37">
        <v>43916</v>
      </c>
      <c r="C422" s="33" t="s">
        <v>1071</v>
      </c>
      <c r="D422" s="33">
        <v>77</v>
      </c>
      <c r="E422" s="33" t="s">
        <v>1059</v>
      </c>
      <c r="F422" s="33" t="s">
        <v>1060</v>
      </c>
      <c r="G422" s="33"/>
      <c r="H422" s="33" t="s">
        <v>1086</v>
      </c>
      <c r="I422" s="33" t="s">
        <v>1290</v>
      </c>
      <c r="J422" s="33" t="str">
        <f t="shared" si="66"/>
        <v>Male</v>
      </c>
      <c r="K422" s="33" t="str">
        <f t="shared" si="67"/>
        <v>Singaporean</v>
      </c>
      <c r="L422" s="33" t="str">
        <f t="shared" si="68"/>
        <v>Case 687 is a Local linked  case, 77 years old male Singapore Citizen  and has not been overseas. He is currently admitted at NCID . Family member of Case 196</v>
      </c>
      <c r="M422" s="33" t="str">
        <f t="shared" si="69"/>
        <v/>
      </c>
      <c r="N422" s="33" t="str">
        <f t="shared" si="70"/>
        <v/>
      </c>
      <c r="O422" s="33">
        <f t="shared" si="71"/>
        <v>687</v>
      </c>
      <c r="P422" s="33" t="str">
        <f t="shared" si="72"/>
        <v>Family member of Case 196</v>
      </c>
    </row>
    <row r="423" spans="1:16" x14ac:dyDescent="0.3">
      <c r="A423" s="33">
        <v>688</v>
      </c>
      <c r="B423" s="37">
        <v>43916</v>
      </c>
      <c r="C423" s="33" t="s">
        <v>1064</v>
      </c>
      <c r="D423" s="33">
        <v>76</v>
      </c>
      <c r="E423" s="33" t="s">
        <v>1073</v>
      </c>
      <c r="F423" s="33" t="s">
        <v>1060</v>
      </c>
      <c r="G423" s="33"/>
      <c r="H423" s="33" t="s">
        <v>1061</v>
      </c>
      <c r="I423" s="33"/>
      <c r="J423" s="33" t="str">
        <f t="shared" si="66"/>
        <v>Female</v>
      </c>
      <c r="K423" s="33" t="str">
        <f t="shared" si="67"/>
        <v>Singaporean</v>
      </c>
      <c r="L423" s="33" t="str">
        <f t="shared" si="68"/>
        <v xml:space="preserve">Case 688 is a Local unlinked case, 76 years old female Singapore Citizen  and has not been overseas. She is currently admitted at CGH . </v>
      </c>
      <c r="M423" s="33" t="str">
        <f t="shared" si="69"/>
        <v/>
      </c>
      <c r="N423" s="33" t="str">
        <f t="shared" si="70"/>
        <v/>
      </c>
      <c r="O423" s="33" t="str">
        <f t="shared" si="71"/>
        <v/>
      </c>
      <c r="P423" s="33" t="str">
        <f t="shared" si="72"/>
        <v/>
      </c>
    </row>
    <row r="424" spans="1:16" x14ac:dyDescent="0.3">
      <c r="A424" s="33">
        <v>689</v>
      </c>
      <c r="B424" s="37">
        <v>43916</v>
      </c>
      <c r="C424" s="33" t="s">
        <v>1064</v>
      </c>
      <c r="D424" s="33">
        <v>76</v>
      </c>
      <c r="E424" s="33" t="s">
        <v>1073</v>
      </c>
      <c r="F424" s="33" t="s">
        <v>1060</v>
      </c>
      <c r="G424" s="33" t="s">
        <v>360</v>
      </c>
      <c r="H424" s="33" t="s">
        <v>1086</v>
      </c>
      <c r="I424" s="33" t="s">
        <v>1287</v>
      </c>
      <c r="J424" s="33" t="str">
        <f t="shared" si="66"/>
        <v>Female</v>
      </c>
      <c r="K424" s="33" t="str">
        <f t="shared" si="67"/>
        <v>Singaporean</v>
      </c>
      <c r="L424" s="33" t="str">
        <f t="shared" si="68"/>
        <v>Case 689 is a Local linked  case, 76 years old female Singapore Citizen  and has been to Malaysia . She is currently admitted at CGH . SingPost Centre</v>
      </c>
      <c r="M424" s="33">
        <f t="shared" si="69"/>
        <v>689</v>
      </c>
      <c r="N424" s="33" t="str">
        <f t="shared" si="70"/>
        <v xml:space="preserve">Malaysia </v>
      </c>
      <c r="O424" s="33">
        <f t="shared" si="71"/>
        <v>689</v>
      </c>
      <c r="P424" s="33" t="str">
        <f t="shared" si="72"/>
        <v>SingPost Centre</v>
      </c>
    </row>
    <row r="425" spans="1:16" x14ac:dyDescent="0.3">
      <c r="A425" s="33">
        <v>690</v>
      </c>
      <c r="B425" s="37">
        <v>43916</v>
      </c>
      <c r="C425" s="33" t="s">
        <v>1064</v>
      </c>
      <c r="D425" s="33">
        <v>31</v>
      </c>
      <c r="E425" s="33" t="s">
        <v>1073</v>
      </c>
      <c r="F425" s="33" t="s">
        <v>1072</v>
      </c>
      <c r="G425" s="33" t="s">
        <v>1273</v>
      </c>
      <c r="H425" s="33" t="s">
        <v>77</v>
      </c>
      <c r="I425" s="33"/>
      <c r="J425" s="33" t="str">
        <f t="shared" si="66"/>
        <v>Female</v>
      </c>
      <c r="K425" s="33" t="str">
        <f t="shared" si="67"/>
        <v>Singaporean</v>
      </c>
      <c r="L425" s="33" t="str">
        <f t="shared" si="68"/>
        <v xml:space="preserve">Case 690 is a Imported case, 31 years old female Singapore Permanent Resident  and has been to Thailand, Malaysia . She is currently admitted at CGH . </v>
      </c>
      <c r="M425" s="33">
        <f t="shared" si="69"/>
        <v>690</v>
      </c>
      <c r="N425" s="33" t="str">
        <f t="shared" si="70"/>
        <v xml:space="preserve">Thailand, Malaysia </v>
      </c>
      <c r="O425" s="33" t="str">
        <f t="shared" si="71"/>
        <v/>
      </c>
      <c r="P425" s="33" t="str">
        <f t="shared" si="72"/>
        <v/>
      </c>
    </row>
    <row r="426" spans="1:16" x14ac:dyDescent="0.3">
      <c r="A426" s="33">
        <v>691</v>
      </c>
      <c r="B426" s="37">
        <v>43916</v>
      </c>
      <c r="C426" s="33" t="s">
        <v>1138</v>
      </c>
      <c r="D426" s="33">
        <v>39</v>
      </c>
      <c r="E426" s="33" t="s">
        <v>1073</v>
      </c>
      <c r="F426" s="33" t="s">
        <v>1186</v>
      </c>
      <c r="G426" s="33"/>
      <c r="H426" s="33" t="s">
        <v>1061</v>
      </c>
      <c r="I426" s="33"/>
      <c r="J426" s="33" t="str">
        <f t="shared" si="66"/>
        <v>Female</v>
      </c>
      <c r="K426" s="33" t="str">
        <f t="shared" si="67"/>
        <v>UK</v>
      </c>
      <c r="L426" s="33" t="str">
        <f t="shared" si="68"/>
        <v xml:space="preserve">Case 691 is a Local unlinked case, 39 years old female UK (Singapore Work Pass holder)  and has not been overseas. She is currently admitted at SGH . </v>
      </c>
      <c r="M426" s="33" t="str">
        <f t="shared" si="69"/>
        <v/>
      </c>
      <c r="N426" s="33" t="str">
        <f t="shared" si="70"/>
        <v/>
      </c>
      <c r="O426" s="33" t="str">
        <f t="shared" si="71"/>
        <v/>
      </c>
      <c r="P426" s="33" t="str">
        <f t="shared" si="72"/>
        <v/>
      </c>
    </row>
    <row r="427" spans="1:16" x14ac:dyDescent="0.3">
      <c r="A427" s="33">
        <v>692</v>
      </c>
      <c r="B427" s="37">
        <v>43916</v>
      </c>
      <c r="C427" s="33" t="s">
        <v>1071</v>
      </c>
      <c r="D427" s="33">
        <v>67</v>
      </c>
      <c r="E427" s="33" t="s">
        <v>1073</v>
      </c>
      <c r="F427" s="33" t="s">
        <v>1060</v>
      </c>
      <c r="G427" s="33" t="s">
        <v>360</v>
      </c>
      <c r="H427" s="33" t="s">
        <v>77</v>
      </c>
      <c r="I427" s="33"/>
      <c r="J427" s="33" t="str">
        <f t="shared" si="66"/>
        <v>Female</v>
      </c>
      <c r="K427" s="33" t="str">
        <f t="shared" si="67"/>
        <v>Singaporean</v>
      </c>
      <c r="L427" s="33" t="str">
        <f t="shared" si="68"/>
        <v xml:space="preserve">Case 692 is a Imported case, 67 years old female Singapore Citizen  and has been to Malaysia . She is currently admitted at NCID . </v>
      </c>
      <c r="M427" s="33">
        <f t="shared" si="69"/>
        <v>692</v>
      </c>
      <c r="N427" s="33" t="str">
        <f t="shared" si="70"/>
        <v xml:space="preserve">Malaysia </v>
      </c>
      <c r="O427" s="33" t="str">
        <f t="shared" si="71"/>
        <v/>
      </c>
      <c r="P427" s="33" t="str">
        <f t="shared" si="72"/>
        <v/>
      </c>
    </row>
    <row r="428" spans="1:16" x14ac:dyDescent="0.3">
      <c r="A428" s="33">
        <v>693</v>
      </c>
      <c r="B428" s="37">
        <v>43916</v>
      </c>
      <c r="C428" s="33" t="s">
        <v>1071</v>
      </c>
      <c r="D428" s="33">
        <v>30</v>
      </c>
      <c r="E428" s="33" t="s">
        <v>1073</v>
      </c>
      <c r="F428" s="33" t="s">
        <v>1060</v>
      </c>
      <c r="G428" s="33" t="s">
        <v>1177</v>
      </c>
      <c r="H428" s="33" t="s">
        <v>77</v>
      </c>
      <c r="I428" s="33"/>
      <c r="J428" s="33" t="str">
        <f t="shared" si="66"/>
        <v>Female</v>
      </c>
      <c r="K428" s="33" t="str">
        <f t="shared" si="67"/>
        <v>Singaporean</v>
      </c>
      <c r="L428" s="33" t="str">
        <f t="shared" si="68"/>
        <v xml:space="preserve">Case 693 is a Imported case, 30 years old female Singapore Citizen  and has been to Pending . She is currently admitted at NCID . </v>
      </c>
      <c r="M428" s="33">
        <f t="shared" si="69"/>
        <v>693</v>
      </c>
      <c r="N428" s="33" t="str">
        <f t="shared" si="70"/>
        <v xml:space="preserve">Pending </v>
      </c>
      <c r="O428" s="33" t="str">
        <f t="shared" si="71"/>
        <v/>
      </c>
      <c r="P428" s="33" t="str">
        <f t="shared" si="72"/>
        <v/>
      </c>
    </row>
    <row r="429" spans="1:16" x14ac:dyDescent="0.3">
      <c r="A429" s="33">
        <v>694</v>
      </c>
      <c r="B429" s="37">
        <v>43916</v>
      </c>
      <c r="C429" s="33" t="s">
        <v>1071</v>
      </c>
      <c r="D429" s="33">
        <v>41</v>
      </c>
      <c r="E429" s="33" t="s">
        <v>1059</v>
      </c>
      <c r="F429" s="33" t="s">
        <v>1060</v>
      </c>
      <c r="G429" s="33" t="s">
        <v>1177</v>
      </c>
      <c r="H429" s="33" t="s">
        <v>77</v>
      </c>
      <c r="I429" s="33"/>
      <c r="J429" s="33" t="str">
        <f t="shared" si="66"/>
        <v>Male</v>
      </c>
      <c r="K429" s="33" t="str">
        <f t="shared" si="67"/>
        <v>Singaporean</v>
      </c>
      <c r="L429" s="33" t="str">
        <f t="shared" si="68"/>
        <v xml:space="preserve">Case 694 is a Imported case, 41 years old male Singapore Citizen  and has been to Pending . He is currently admitted at NCID . </v>
      </c>
      <c r="M429" s="33">
        <f t="shared" si="69"/>
        <v>694</v>
      </c>
      <c r="N429" s="33" t="str">
        <f t="shared" si="70"/>
        <v xml:space="preserve">Pending </v>
      </c>
      <c r="O429" s="33" t="str">
        <f t="shared" si="71"/>
        <v/>
      </c>
      <c r="P429" s="33" t="str">
        <f t="shared" si="72"/>
        <v/>
      </c>
    </row>
    <row r="430" spans="1:16" x14ac:dyDescent="0.3">
      <c r="A430" s="33">
        <v>695</v>
      </c>
      <c r="B430" s="37">
        <v>43916</v>
      </c>
      <c r="C430" s="33" t="s">
        <v>1161</v>
      </c>
      <c r="D430" s="33">
        <v>1</v>
      </c>
      <c r="E430" s="33" t="s">
        <v>1073</v>
      </c>
      <c r="F430" s="33" t="s">
        <v>798</v>
      </c>
      <c r="G430" s="33" t="s">
        <v>1177</v>
      </c>
      <c r="H430" s="33" t="s">
        <v>77</v>
      </c>
      <c r="I430" s="33"/>
      <c r="J430" s="33" t="str">
        <f t="shared" si="66"/>
        <v>Female</v>
      </c>
      <c r="K430" s="33" t="str">
        <f t="shared" si="67"/>
        <v xml:space="preserve">India </v>
      </c>
      <c r="L430" s="33" t="str">
        <f t="shared" si="68"/>
        <v xml:space="preserve">Case 695 is a Imported case, 1 years old female India  and has been to Pending . She is currently admitted at KKH . </v>
      </c>
      <c r="M430" s="33">
        <f t="shared" si="69"/>
        <v>695</v>
      </c>
      <c r="N430" s="33" t="str">
        <f t="shared" si="70"/>
        <v xml:space="preserve">Pending </v>
      </c>
      <c r="O430" s="33" t="str">
        <f t="shared" si="71"/>
        <v/>
      </c>
      <c r="P430" s="33" t="str">
        <f t="shared" si="72"/>
        <v/>
      </c>
    </row>
    <row r="431" spans="1:16" x14ac:dyDescent="0.3">
      <c r="A431" s="33">
        <v>696</v>
      </c>
      <c r="B431" s="37">
        <v>43916</v>
      </c>
      <c r="C431" s="33" t="s">
        <v>1138</v>
      </c>
      <c r="D431" s="33">
        <v>54</v>
      </c>
      <c r="E431" s="33" t="s">
        <v>1059</v>
      </c>
      <c r="F431" s="33" t="s">
        <v>1072</v>
      </c>
      <c r="G431" s="33"/>
      <c r="H431" s="33" t="s">
        <v>1061</v>
      </c>
      <c r="I431" s="33"/>
      <c r="J431" s="33" t="str">
        <f t="shared" si="66"/>
        <v>Male</v>
      </c>
      <c r="K431" s="33" t="str">
        <f t="shared" si="67"/>
        <v>Singaporean</v>
      </c>
      <c r="L431" s="33" t="str">
        <f t="shared" si="68"/>
        <v xml:space="preserve">Case 696 is a Local unlinked case, 54 years old male Singapore Permanent Resident  and has not been overseas. He is currently admitted at SGH . </v>
      </c>
      <c r="M431" s="33" t="str">
        <f t="shared" si="69"/>
        <v/>
      </c>
      <c r="N431" s="33" t="str">
        <f t="shared" si="70"/>
        <v/>
      </c>
      <c r="O431" s="33" t="str">
        <f t="shared" si="71"/>
        <v/>
      </c>
      <c r="P431" s="33" t="str">
        <f t="shared" si="72"/>
        <v/>
      </c>
    </row>
    <row r="432" spans="1:16" x14ac:dyDescent="0.3">
      <c r="A432" s="33">
        <v>697</v>
      </c>
      <c r="B432" s="37">
        <v>43916</v>
      </c>
      <c r="C432" s="33" t="s">
        <v>1172</v>
      </c>
      <c r="D432" s="33">
        <v>57</v>
      </c>
      <c r="E432" s="33" t="s">
        <v>1073</v>
      </c>
      <c r="F432" s="33" t="s">
        <v>1072</v>
      </c>
      <c r="G432" s="33"/>
      <c r="H432" s="33" t="s">
        <v>1086</v>
      </c>
      <c r="I432" s="33" t="s">
        <v>1291</v>
      </c>
      <c r="J432" s="33" t="str">
        <f t="shared" si="66"/>
        <v>Female</v>
      </c>
      <c r="K432" s="33" t="str">
        <f t="shared" si="67"/>
        <v>Singaporean</v>
      </c>
      <c r="L432" s="33" t="str">
        <f t="shared" si="68"/>
        <v>Case 697 is a Local linked  case, 57 years old female Singapore Permanent Resident  and has not been overseas. She is currently admitted at MEH . Family member of Case 698</v>
      </c>
      <c r="M432" s="33" t="str">
        <f t="shared" si="69"/>
        <v/>
      </c>
      <c r="N432" s="33" t="str">
        <f t="shared" si="70"/>
        <v/>
      </c>
      <c r="O432" s="33">
        <f t="shared" si="71"/>
        <v>697</v>
      </c>
      <c r="P432" s="33" t="str">
        <f t="shared" si="72"/>
        <v>Family member of Case 698</v>
      </c>
    </row>
    <row r="433" spans="1:16" x14ac:dyDescent="0.3">
      <c r="A433" s="33">
        <v>698</v>
      </c>
      <c r="B433" s="37">
        <v>43916</v>
      </c>
      <c r="C433" s="33" t="s">
        <v>1172</v>
      </c>
      <c r="D433" s="33">
        <v>60</v>
      </c>
      <c r="E433" s="33" t="s">
        <v>1059</v>
      </c>
      <c r="F433" s="33" t="s">
        <v>1060</v>
      </c>
      <c r="G433" s="33"/>
      <c r="H433" s="33" t="s">
        <v>1086</v>
      </c>
      <c r="I433" s="33" t="s">
        <v>1292</v>
      </c>
      <c r="J433" s="33" t="str">
        <f t="shared" si="66"/>
        <v>Male</v>
      </c>
      <c r="K433" s="33" t="str">
        <f t="shared" si="67"/>
        <v>Singaporean</v>
      </c>
      <c r="L433" s="33" t="str">
        <f t="shared" si="68"/>
        <v>Case 698 is a Local linked  case, 60 years old male Singapore Citizen  and has not been overseas. He is currently admitted at MEH . Family member of Case 697</v>
      </c>
      <c r="M433" s="33" t="str">
        <f t="shared" si="69"/>
        <v/>
      </c>
      <c r="N433" s="33" t="str">
        <f t="shared" si="70"/>
        <v/>
      </c>
      <c r="O433" s="33">
        <f t="shared" si="71"/>
        <v>698</v>
      </c>
      <c r="P433" s="33" t="str">
        <f t="shared" si="72"/>
        <v>Family member of Case 697</v>
      </c>
    </row>
    <row r="434" spans="1:16" x14ac:dyDescent="0.3">
      <c r="A434" s="33">
        <v>699</v>
      </c>
      <c r="B434" s="37">
        <v>43916</v>
      </c>
      <c r="C434" s="33" t="s">
        <v>1074</v>
      </c>
      <c r="D434" s="33">
        <v>53</v>
      </c>
      <c r="E434" s="33" t="s">
        <v>1059</v>
      </c>
      <c r="F434" s="33" t="s">
        <v>1072</v>
      </c>
      <c r="G434" s="33" t="s">
        <v>1177</v>
      </c>
      <c r="H434" s="33" t="s">
        <v>77</v>
      </c>
      <c r="I434" s="33"/>
      <c r="J434" s="33" t="str">
        <f t="shared" si="66"/>
        <v>Male</v>
      </c>
      <c r="K434" s="33" t="str">
        <f t="shared" si="67"/>
        <v>Singaporean</v>
      </c>
      <c r="L434" s="33" t="str">
        <f t="shared" si="68"/>
        <v xml:space="preserve">Case 699 is a Imported case, 53 years old male Singapore Permanent Resident  and has been to Pending . He is currently admitted at AH . </v>
      </c>
      <c r="M434" s="33">
        <f t="shared" si="69"/>
        <v>699</v>
      </c>
      <c r="N434" s="33" t="str">
        <f t="shared" si="70"/>
        <v xml:space="preserve">Pending </v>
      </c>
      <c r="O434" s="33" t="str">
        <f t="shared" si="71"/>
        <v/>
      </c>
      <c r="P434" s="33" t="str">
        <f t="shared" si="72"/>
        <v/>
      </c>
    </row>
    <row r="435" spans="1:16" x14ac:dyDescent="0.3">
      <c r="A435" s="33">
        <v>700</v>
      </c>
      <c r="B435" s="37">
        <v>43916</v>
      </c>
      <c r="C435" s="33" t="s">
        <v>343</v>
      </c>
      <c r="D435" s="33">
        <v>55</v>
      </c>
      <c r="E435" s="33" t="s">
        <v>1073</v>
      </c>
      <c r="F435" s="33" t="s">
        <v>1060</v>
      </c>
      <c r="G435" s="33" t="s">
        <v>1051</v>
      </c>
      <c r="H435" s="33" t="s">
        <v>77</v>
      </c>
      <c r="I435" s="33"/>
      <c r="J435" s="33" t="str">
        <f t="shared" si="66"/>
        <v>Female</v>
      </c>
      <c r="K435" s="33" t="str">
        <f t="shared" si="67"/>
        <v>Singaporean</v>
      </c>
      <c r="L435" s="33" t="str">
        <f t="shared" si="68"/>
        <v xml:space="preserve">Case 700 is a Imported case, 55 years old female Singapore Citizen  and has been to Europe . She is currently admitted at NUH . </v>
      </c>
      <c r="M435" s="33">
        <f t="shared" si="69"/>
        <v>700</v>
      </c>
      <c r="N435" s="33" t="str">
        <f t="shared" si="70"/>
        <v xml:space="preserve">Europe </v>
      </c>
      <c r="O435" s="33" t="str">
        <f t="shared" si="71"/>
        <v/>
      </c>
      <c r="P435" s="33" t="str">
        <f t="shared" si="72"/>
        <v/>
      </c>
    </row>
    <row r="436" spans="1:16" x14ac:dyDescent="0.3">
      <c r="A436" s="33">
        <v>701</v>
      </c>
      <c r="B436" s="37">
        <v>43916</v>
      </c>
      <c r="C436" s="33" t="s">
        <v>343</v>
      </c>
      <c r="D436" s="33">
        <v>50</v>
      </c>
      <c r="E436" s="33" t="s">
        <v>1059</v>
      </c>
      <c r="F436" s="33" t="s">
        <v>1060</v>
      </c>
      <c r="G436" s="33" t="s">
        <v>1085</v>
      </c>
      <c r="H436" s="33" t="s">
        <v>77</v>
      </c>
      <c r="I436" s="33"/>
      <c r="J436" s="33" t="str">
        <f t="shared" si="66"/>
        <v>Male</v>
      </c>
      <c r="K436" s="33" t="str">
        <f t="shared" si="67"/>
        <v>Singaporean</v>
      </c>
      <c r="L436" s="33" t="str">
        <f t="shared" si="68"/>
        <v xml:space="preserve">Case 701 is a Imported case, 50 years old male Singapore Citizen  and has been to US . He is currently admitted at NUH . </v>
      </c>
      <c r="M436" s="33">
        <f t="shared" si="69"/>
        <v>701</v>
      </c>
      <c r="N436" s="33" t="str">
        <f t="shared" si="70"/>
        <v xml:space="preserve">US </v>
      </c>
      <c r="O436" s="33" t="str">
        <f t="shared" si="71"/>
        <v/>
      </c>
      <c r="P436" s="33" t="str">
        <f t="shared" si="72"/>
        <v/>
      </c>
    </row>
    <row r="437" spans="1:16" x14ac:dyDescent="0.3">
      <c r="A437" s="33">
        <v>702</v>
      </c>
      <c r="B437" s="37">
        <v>43916</v>
      </c>
      <c r="C437" s="33" t="s">
        <v>1062</v>
      </c>
      <c r="D437" s="33">
        <v>61</v>
      </c>
      <c r="E437" s="33" t="s">
        <v>1059</v>
      </c>
      <c r="F437" s="33" t="s">
        <v>1060</v>
      </c>
      <c r="G437" s="33" t="s">
        <v>1051</v>
      </c>
      <c r="H437" s="33" t="s">
        <v>1069</v>
      </c>
      <c r="I437" s="33" t="s">
        <v>1293</v>
      </c>
      <c r="J437" s="33" t="str">
        <f t="shared" si="66"/>
        <v>Male</v>
      </c>
      <c r="K437" s="33" t="str">
        <f t="shared" si="67"/>
        <v>Singaporean</v>
      </c>
      <c r="L437" s="33" t="str">
        <f t="shared" si="68"/>
        <v>Case 702 is a Imported  case, 61 years old male Singapore Citizen  and has been to Europe . He is currently admitted at NTFGH . Family member of Cases 682 and 703</v>
      </c>
      <c r="M437" s="33">
        <f t="shared" si="69"/>
        <v>702</v>
      </c>
      <c r="N437" s="33" t="str">
        <f t="shared" si="70"/>
        <v xml:space="preserve">Europe </v>
      </c>
      <c r="O437" s="33">
        <f t="shared" si="71"/>
        <v>702</v>
      </c>
      <c r="P437" s="33" t="str">
        <f t="shared" si="72"/>
        <v>Family member of Cases 682 and 703</v>
      </c>
    </row>
    <row r="438" spans="1:16" x14ac:dyDescent="0.3">
      <c r="A438" s="33">
        <v>703</v>
      </c>
      <c r="B438" s="37">
        <v>43916</v>
      </c>
      <c r="C438" s="33" t="s">
        <v>1062</v>
      </c>
      <c r="D438" s="33">
        <v>58</v>
      </c>
      <c r="E438" s="33" t="s">
        <v>1073</v>
      </c>
      <c r="F438" s="33" t="s">
        <v>1060</v>
      </c>
      <c r="G438" s="33" t="s">
        <v>1051</v>
      </c>
      <c r="H438" s="33" t="s">
        <v>1069</v>
      </c>
      <c r="I438" s="33" t="s">
        <v>1294</v>
      </c>
      <c r="J438" s="33" t="str">
        <f t="shared" si="66"/>
        <v>Female</v>
      </c>
      <c r="K438" s="33" t="str">
        <f t="shared" si="67"/>
        <v>Singaporean</v>
      </c>
      <c r="L438" s="33" t="str">
        <f t="shared" si="68"/>
        <v>Case 703 is a Imported  case, 58 years old female Singapore Citizen  and has been to Europe . She is currently admitted at NTFGH . Family member of Cases 682 and 702</v>
      </c>
      <c r="M438" s="33">
        <f t="shared" si="69"/>
        <v>703</v>
      </c>
      <c r="N438" s="33" t="str">
        <f t="shared" si="70"/>
        <v xml:space="preserve">Europe </v>
      </c>
      <c r="O438" s="33">
        <f t="shared" si="71"/>
        <v>703</v>
      </c>
      <c r="P438" s="33" t="str">
        <f t="shared" si="72"/>
        <v>Family member of Cases 682 and 702</v>
      </c>
    </row>
    <row r="439" spans="1:16" x14ac:dyDescent="0.3">
      <c r="A439" s="33">
        <v>704</v>
      </c>
      <c r="B439" s="37">
        <v>43916</v>
      </c>
      <c r="C439" s="33" t="s">
        <v>1066</v>
      </c>
      <c r="D439" s="33">
        <v>19</v>
      </c>
      <c r="E439" s="33" t="s">
        <v>1059</v>
      </c>
      <c r="F439" s="33" t="s">
        <v>1060</v>
      </c>
      <c r="G439" s="33" t="s">
        <v>1051</v>
      </c>
      <c r="H439" s="33" t="s">
        <v>77</v>
      </c>
      <c r="I439" s="33"/>
      <c r="J439" s="33" t="str">
        <f t="shared" si="66"/>
        <v>Male</v>
      </c>
      <c r="K439" s="33" t="str">
        <f t="shared" si="67"/>
        <v>Singaporean</v>
      </c>
      <c r="L439" s="33" t="str">
        <f t="shared" si="68"/>
        <v xml:space="preserve">Case 704 is a Imported case, 19 years old male Singapore Citizen  and has been to Europe . He is currently admitted at SKH . </v>
      </c>
      <c r="M439" s="33">
        <f t="shared" si="69"/>
        <v>704</v>
      </c>
      <c r="N439" s="33" t="str">
        <f t="shared" si="70"/>
        <v xml:space="preserve">Europe </v>
      </c>
      <c r="O439" s="33" t="str">
        <f t="shared" si="71"/>
        <v/>
      </c>
      <c r="P439" s="33" t="str">
        <f t="shared" si="72"/>
        <v/>
      </c>
    </row>
    <row r="440" spans="1:16" x14ac:dyDescent="0.3">
      <c r="A440" s="33">
        <v>705</v>
      </c>
      <c r="B440" s="37">
        <v>43916</v>
      </c>
      <c r="C440" s="33" t="s">
        <v>1161</v>
      </c>
      <c r="D440" s="33">
        <v>2</v>
      </c>
      <c r="E440" s="33" t="s">
        <v>1073</v>
      </c>
      <c r="F440" s="33" t="s">
        <v>1060</v>
      </c>
      <c r="G440" s="33"/>
      <c r="H440" s="33" t="s">
        <v>1086</v>
      </c>
      <c r="I440" s="33" t="s">
        <v>1259</v>
      </c>
      <c r="J440" s="33" t="str">
        <f t="shared" si="66"/>
        <v>Female</v>
      </c>
      <c r="K440" s="33" t="str">
        <f t="shared" si="67"/>
        <v>Singaporean</v>
      </c>
      <c r="L440" s="33" t="str">
        <f t="shared" si="68"/>
        <v>Case 705 is a Local linked  case, 2 years old female Singapore Citizen  and has not been overseas. She is currently admitted at KKH . PCF Fengshan</v>
      </c>
      <c r="M440" s="33" t="str">
        <f t="shared" si="69"/>
        <v/>
      </c>
      <c r="N440" s="33" t="str">
        <f t="shared" si="70"/>
        <v/>
      </c>
      <c r="O440" s="33">
        <f t="shared" si="71"/>
        <v>705</v>
      </c>
      <c r="P440" s="33" t="str">
        <f t="shared" si="72"/>
        <v>PCF Fengshan</v>
      </c>
    </row>
    <row r="441" spans="1:16" x14ac:dyDescent="0.3">
      <c r="A441" s="33">
        <v>706</v>
      </c>
      <c r="B441" s="37">
        <v>43916</v>
      </c>
      <c r="C441" s="33" t="s">
        <v>1161</v>
      </c>
      <c r="D441" s="33">
        <v>6</v>
      </c>
      <c r="E441" s="33" t="s">
        <v>1073</v>
      </c>
      <c r="F441" s="33" t="s">
        <v>1060</v>
      </c>
      <c r="G441" s="33"/>
      <c r="H441" s="33" t="s">
        <v>1086</v>
      </c>
      <c r="I441" s="33" t="s">
        <v>1259</v>
      </c>
      <c r="J441" s="33" t="str">
        <f t="shared" si="66"/>
        <v>Female</v>
      </c>
      <c r="K441" s="33" t="str">
        <f t="shared" si="67"/>
        <v>Singaporean</v>
      </c>
      <c r="L441" s="33" t="str">
        <f t="shared" si="68"/>
        <v>Case 706 is a Local linked  case, 6 years old female Singapore Citizen  and has not been overseas. She is currently admitted at KKH . PCF Fengshan</v>
      </c>
      <c r="M441" s="33" t="str">
        <f t="shared" si="69"/>
        <v/>
      </c>
      <c r="N441" s="33" t="str">
        <f t="shared" si="70"/>
        <v/>
      </c>
      <c r="O441" s="33">
        <f t="shared" si="71"/>
        <v>706</v>
      </c>
      <c r="P441" s="33" t="str">
        <f t="shared" si="72"/>
        <v>PCF Fengshan</v>
      </c>
    </row>
    <row r="442" spans="1:16" x14ac:dyDescent="0.3">
      <c r="A442" s="33">
        <v>707</v>
      </c>
      <c r="B442" s="37">
        <v>43916</v>
      </c>
      <c r="C442" s="33" t="s">
        <v>1161</v>
      </c>
      <c r="D442" s="33">
        <v>11</v>
      </c>
      <c r="E442" s="33" t="s">
        <v>1059</v>
      </c>
      <c r="F442" s="33" t="s">
        <v>1060</v>
      </c>
      <c r="G442" s="33"/>
      <c r="H442" s="33" t="s">
        <v>1086</v>
      </c>
      <c r="I442" s="33" t="s">
        <v>1259</v>
      </c>
      <c r="J442" s="33" t="str">
        <f t="shared" si="66"/>
        <v>Male</v>
      </c>
      <c r="K442" s="33" t="str">
        <f t="shared" si="67"/>
        <v>Singaporean</v>
      </c>
      <c r="L442" s="33" t="str">
        <f t="shared" si="68"/>
        <v>Case 707 is a Local linked  case, 11 years old male Singapore Citizen  and has not been overseas. He is currently admitted at KKH . PCF Fengshan</v>
      </c>
      <c r="M442" s="33" t="str">
        <f t="shared" si="69"/>
        <v/>
      </c>
      <c r="N442" s="33" t="str">
        <f t="shared" si="70"/>
        <v/>
      </c>
      <c r="O442" s="33">
        <f t="shared" si="71"/>
        <v>707</v>
      </c>
      <c r="P442" s="33" t="str">
        <f t="shared" si="72"/>
        <v>PCF Fengshan</v>
      </c>
    </row>
    <row r="443" spans="1:16" x14ac:dyDescent="0.3">
      <c r="A443" s="33">
        <v>708</v>
      </c>
      <c r="B443" s="37">
        <v>43916</v>
      </c>
      <c r="C443" s="33" t="s">
        <v>1161</v>
      </c>
      <c r="D443" s="33">
        <v>13</v>
      </c>
      <c r="E443" s="33" t="s">
        <v>1073</v>
      </c>
      <c r="F443" s="33" t="s">
        <v>1060</v>
      </c>
      <c r="G443" s="33"/>
      <c r="H443" s="33" t="s">
        <v>1086</v>
      </c>
      <c r="I443" s="33" t="s">
        <v>1259</v>
      </c>
      <c r="J443" s="33" t="str">
        <f t="shared" si="66"/>
        <v>Female</v>
      </c>
      <c r="K443" s="33" t="str">
        <f t="shared" si="67"/>
        <v>Singaporean</v>
      </c>
      <c r="L443" s="33" t="str">
        <f t="shared" si="68"/>
        <v>Case 708 is a Local linked  case, 13 years old female Singapore Citizen  and has not been overseas. She is currently admitted at KKH . PCF Fengshan</v>
      </c>
      <c r="M443" s="33" t="str">
        <f t="shared" si="69"/>
        <v/>
      </c>
      <c r="N443" s="33" t="str">
        <f t="shared" si="70"/>
        <v/>
      </c>
      <c r="O443" s="33">
        <f t="shared" si="71"/>
        <v>708</v>
      </c>
      <c r="P443" s="33" t="str">
        <f t="shared" si="72"/>
        <v>PCF Fengshan</v>
      </c>
    </row>
    <row r="444" spans="1:16" x14ac:dyDescent="0.3">
      <c r="A444" s="33">
        <v>709</v>
      </c>
      <c r="B444" s="37">
        <v>43916</v>
      </c>
      <c r="C444" s="33" t="s">
        <v>1071</v>
      </c>
      <c r="D444" s="33">
        <v>26</v>
      </c>
      <c r="E444" s="33" t="s">
        <v>1059</v>
      </c>
      <c r="F444" s="33" t="s">
        <v>1060</v>
      </c>
      <c r="G444" s="33"/>
      <c r="H444" s="33" t="s">
        <v>1061</v>
      </c>
      <c r="I444" s="33"/>
      <c r="J444" s="33" t="str">
        <f t="shared" si="66"/>
        <v>Male</v>
      </c>
      <c r="K444" s="33" t="str">
        <f t="shared" si="67"/>
        <v>Singaporean</v>
      </c>
      <c r="L444" s="33" t="str">
        <f t="shared" si="68"/>
        <v xml:space="preserve">Case 709 is a Local unlinked case, 26 years old male Singapore Citizen  and has not been overseas. He is currently admitted at NCID . </v>
      </c>
      <c r="M444" s="33" t="str">
        <f t="shared" si="69"/>
        <v/>
      </c>
      <c r="N444" s="33" t="str">
        <f t="shared" si="70"/>
        <v/>
      </c>
      <c r="O444" s="33" t="str">
        <f t="shared" si="71"/>
        <v/>
      </c>
      <c r="P444" s="33" t="str">
        <f t="shared" si="72"/>
        <v/>
      </c>
    </row>
    <row r="445" spans="1:16" x14ac:dyDescent="0.3">
      <c r="A445" s="33">
        <v>710</v>
      </c>
      <c r="B445" s="37">
        <v>43916</v>
      </c>
      <c r="C445" s="33" t="s">
        <v>1071</v>
      </c>
      <c r="D445" s="33">
        <v>28</v>
      </c>
      <c r="E445" s="33" t="s">
        <v>1059</v>
      </c>
      <c r="F445" s="33" t="s">
        <v>1278</v>
      </c>
      <c r="G445" s="33"/>
      <c r="H445" s="33" t="s">
        <v>1086</v>
      </c>
      <c r="I445" s="33" t="s">
        <v>1295</v>
      </c>
      <c r="J445" s="33" t="str">
        <f t="shared" si="66"/>
        <v>Male</v>
      </c>
      <c r="K445" s="33" t="str">
        <f t="shared" si="67"/>
        <v>Bangladesh</v>
      </c>
      <c r="L445" s="33" t="str">
        <f t="shared" si="68"/>
        <v>Case 710 is a Local linked  case, 28 years old male Bangladesh (Long Term Pass holder)  and has not been overseas. He is currently admitted at NCID . Contact of Cases 404 and 456</v>
      </c>
      <c r="M445" s="33" t="str">
        <f t="shared" si="69"/>
        <v/>
      </c>
      <c r="N445" s="33" t="str">
        <f t="shared" si="70"/>
        <v/>
      </c>
      <c r="O445" s="33">
        <f t="shared" si="71"/>
        <v>710</v>
      </c>
      <c r="P445" s="33" t="str">
        <f t="shared" si="72"/>
        <v>Contact of Cases 404 and 456</v>
      </c>
    </row>
    <row r="446" spans="1:16" x14ac:dyDescent="0.3">
      <c r="A446" s="33">
        <v>711</v>
      </c>
      <c r="B446" s="37">
        <v>43916</v>
      </c>
      <c r="C446" s="33" t="s">
        <v>1071</v>
      </c>
      <c r="D446" s="33">
        <v>21</v>
      </c>
      <c r="E446" s="33" t="s">
        <v>1073</v>
      </c>
      <c r="F446" s="33" t="s">
        <v>1072</v>
      </c>
      <c r="G446" s="33" t="s">
        <v>1051</v>
      </c>
      <c r="H446" s="33" t="s">
        <v>77</v>
      </c>
      <c r="I446" s="33"/>
      <c r="J446" s="33" t="str">
        <f t="shared" si="66"/>
        <v>Female</v>
      </c>
      <c r="K446" s="33" t="str">
        <f t="shared" si="67"/>
        <v>Singaporean</v>
      </c>
      <c r="L446" s="33" t="str">
        <f t="shared" si="68"/>
        <v xml:space="preserve">Case 711 is a Imported case, 21 years old female Singapore Permanent Resident  and has been to Europe . She is currently admitted at NCID . </v>
      </c>
      <c r="M446" s="33">
        <f t="shared" si="69"/>
        <v>711</v>
      </c>
      <c r="N446" s="33" t="str">
        <f t="shared" si="70"/>
        <v xml:space="preserve">Europe </v>
      </c>
      <c r="O446" s="33" t="str">
        <f t="shared" si="71"/>
        <v/>
      </c>
      <c r="P446" s="33" t="str">
        <f t="shared" si="72"/>
        <v/>
      </c>
    </row>
    <row r="447" spans="1:16" x14ac:dyDescent="0.3">
      <c r="A447" s="33">
        <v>712</v>
      </c>
      <c r="B447" s="37">
        <v>43916</v>
      </c>
      <c r="C447" s="33" t="s">
        <v>1071</v>
      </c>
      <c r="D447" s="33">
        <v>38</v>
      </c>
      <c r="E447" s="33" t="s">
        <v>1073</v>
      </c>
      <c r="F447" s="33" t="s">
        <v>1060</v>
      </c>
      <c r="G447" s="33" t="s">
        <v>1051</v>
      </c>
      <c r="H447" s="33" t="s">
        <v>77</v>
      </c>
      <c r="I447" s="33"/>
      <c r="J447" s="33" t="str">
        <f t="shared" si="66"/>
        <v>Female</v>
      </c>
      <c r="K447" s="33" t="str">
        <f t="shared" si="67"/>
        <v>Singaporean</v>
      </c>
      <c r="L447" s="33" t="str">
        <f t="shared" si="68"/>
        <v xml:space="preserve">Case 712 is a Imported case, 38 years old female Singapore Citizen  and has been to Europe . She is currently admitted at NCID . </v>
      </c>
      <c r="M447" s="33">
        <f t="shared" si="69"/>
        <v>712</v>
      </c>
      <c r="N447" s="33" t="str">
        <f t="shared" si="70"/>
        <v xml:space="preserve">Europe </v>
      </c>
      <c r="O447" s="33" t="str">
        <f t="shared" si="71"/>
        <v/>
      </c>
      <c r="P447" s="33" t="str">
        <f t="shared" si="72"/>
        <v/>
      </c>
    </row>
    <row r="448" spans="1:16" x14ac:dyDescent="0.3">
      <c r="A448" s="33">
        <v>713</v>
      </c>
      <c r="B448" s="37">
        <v>43916</v>
      </c>
      <c r="C448" s="33" t="s">
        <v>1071</v>
      </c>
      <c r="D448" s="33">
        <v>59</v>
      </c>
      <c r="E448" s="33" t="s">
        <v>1073</v>
      </c>
      <c r="F448" s="33" t="s">
        <v>1185</v>
      </c>
      <c r="G448" s="33"/>
      <c r="H448" s="33" t="s">
        <v>1086</v>
      </c>
      <c r="I448" s="33" t="s">
        <v>1236</v>
      </c>
      <c r="J448" s="33" t="str">
        <f t="shared" si="66"/>
        <v>Female</v>
      </c>
      <c r="K448" s="33" t="str">
        <f t="shared" si="67"/>
        <v>UK</v>
      </c>
      <c r="L448" s="33" t="str">
        <f t="shared" si="68"/>
        <v>Case 713 is a Local linked  case, 59 years old female UK (Long Term Pass holder)  and has not been overseas. She is currently admitted at NCID . Dover Court International School</v>
      </c>
      <c r="M448" s="33" t="str">
        <f t="shared" si="69"/>
        <v/>
      </c>
      <c r="N448" s="33" t="str">
        <f t="shared" si="70"/>
        <v/>
      </c>
      <c r="O448" s="33">
        <f t="shared" si="71"/>
        <v>713</v>
      </c>
      <c r="P448" s="33" t="str">
        <f t="shared" si="72"/>
        <v>Dover Court International School</v>
      </c>
    </row>
    <row r="449" spans="1:16" x14ac:dyDescent="0.3">
      <c r="A449" s="33">
        <v>714</v>
      </c>
      <c r="B449" s="37">
        <v>43916</v>
      </c>
      <c r="C449" s="33" t="s">
        <v>1071</v>
      </c>
      <c r="D449" s="33">
        <v>27</v>
      </c>
      <c r="E449" s="33" t="s">
        <v>1073</v>
      </c>
      <c r="F449" s="33" t="s">
        <v>1296</v>
      </c>
      <c r="G449" s="33"/>
      <c r="H449" s="33" t="s">
        <v>1086</v>
      </c>
      <c r="I449" s="33" t="s">
        <v>1297</v>
      </c>
      <c r="J449" s="33" t="str">
        <f t="shared" si="66"/>
        <v>Female</v>
      </c>
      <c r="K449" s="33" t="str">
        <f t="shared" si="67"/>
        <v>South Korea</v>
      </c>
      <c r="L449" s="33" t="str">
        <f t="shared" si="68"/>
        <v>Case 714 is a Local linked  case, 27 years old female South Korea (Singapore Work Pass holder)  and has not been overseas. She is currently admitted at NCID . Contact of Case 670</v>
      </c>
      <c r="M449" s="33" t="str">
        <f t="shared" si="69"/>
        <v/>
      </c>
      <c r="N449" s="33" t="str">
        <f t="shared" si="70"/>
        <v/>
      </c>
      <c r="O449" s="33">
        <f t="shared" si="71"/>
        <v>714</v>
      </c>
      <c r="P449" s="33" t="str">
        <f t="shared" si="72"/>
        <v>Contact of Case 670</v>
      </c>
    </row>
    <row r="450" spans="1:16" x14ac:dyDescent="0.3">
      <c r="A450" s="33">
        <v>715</v>
      </c>
      <c r="B450" s="37">
        <v>43917</v>
      </c>
      <c r="C450" s="33" t="s">
        <v>1071</v>
      </c>
      <c r="D450" s="33">
        <v>71</v>
      </c>
      <c r="E450" s="33" t="s">
        <v>1059</v>
      </c>
      <c r="F450" s="33" t="s">
        <v>1060</v>
      </c>
      <c r="G450" s="33" t="s">
        <v>360</v>
      </c>
      <c r="H450" s="33" t="s">
        <v>77</v>
      </c>
      <c r="I450" s="33"/>
      <c r="J450" s="33" t="str">
        <f t="shared" si="66"/>
        <v>Male</v>
      </c>
      <c r="K450" s="33" t="str">
        <f t="shared" si="67"/>
        <v>Singaporean</v>
      </c>
      <c r="L450" s="33" t="str">
        <f t="shared" si="68"/>
        <v xml:space="preserve">Case 715 is a Imported case, 71 years old male Singapore Citizen  and has been to Malaysia . He is currently admitted at NCID . </v>
      </c>
      <c r="M450" s="33">
        <f t="shared" si="69"/>
        <v>715</v>
      </c>
      <c r="N450" s="33" t="str">
        <f t="shared" si="70"/>
        <v xml:space="preserve">Malaysia </v>
      </c>
      <c r="O450" s="33" t="str">
        <f t="shared" si="71"/>
        <v/>
      </c>
      <c r="P450" s="33" t="str">
        <f t="shared" si="72"/>
        <v/>
      </c>
    </row>
    <row r="451" spans="1:16" x14ac:dyDescent="0.3">
      <c r="A451" s="33">
        <v>716</v>
      </c>
      <c r="B451" s="37">
        <v>43917</v>
      </c>
      <c r="C451" s="33" t="s">
        <v>1071</v>
      </c>
      <c r="D451" s="33">
        <v>67</v>
      </c>
      <c r="E451" s="33" t="s">
        <v>1073</v>
      </c>
      <c r="F451" s="33" t="s">
        <v>1060</v>
      </c>
      <c r="G451" s="33"/>
      <c r="H451" s="33" t="s">
        <v>1086</v>
      </c>
      <c r="I451" s="33" t="s">
        <v>1259</v>
      </c>
      <c r="J451" s="33" t="str">
        <f t="shared" si="66"/>
        <v>Female</v>
      </c>
      <c r="K451" s="33" t="str">
        <f t="shared" si="67"/>
        <v>Singaporean</v>
      </c>
      <c r="L451" s="33" t="str">
        <f t="shared" si="68"/>
        <v>Case 716 is a Local linked  case, 67 years old female Singapore Citizen  and has not been overseas. She is currently admitted at NCID . PCF Fengshan</v>
      </c>
      <c r="M451" s="33" t="str">
        <f t="shared" si="69"/>
        <v/>
      </c>
      <c r="N451" s="33" t="str">
        <f t="shared" si="70"/>
        <v/>
      </c>
      <c r="O451" s="33">
        <f t="shared" si="71"/>
        <v>716</v>
      </c>
      <c r="P451" s="33" t="str">
        <f t="shared" si="72"/>
        <v>PCF Fengshan</v>
      </c>
    </row>
    <row r="452" spans="1:16" x14ac:dyDescent="0.3">
      <c r="A452" s="33">
        <v>717</v>
      </c>
      <c r="B452" s="37">
        <v>43917</v>
      </c>
      <c r="C452" s="33" t="s">
        <v>1071</v>
      </c>
      <c r="D452" s="33">
        <v>19</v>
      </c>
      <c r="E452" s="33" t="s">
        <v>1073</v>
      </c>
      <c r="F452" s="33" t="s">
        <v>1298</v>
      </c>
      <c r="G452" s="33" t="s">
        <v>1177</v>
      </c>
      <c r="H452" s="33" t="s">
        <v>1069</v>
      </c>
      <c r="I452" s="33"/>
      <c r="J452" s="33" t="str">
        <f t="shared" si="66"/>
        <v>Female</v>
      </c>
      <c r="K452" s="33" t="str">
        <f t="shared" si="67"/>
        <v>Indi</v>
      </c>
      <c r="L452" s="33" t="str">
        <f t="shared" si="68"/>
        <v xml:space="preserve">Case 717 is a Imported  case, 19 years old female India(Long Term Pass holder)  and has been to Pending . She is currently admitted at NCID . </v>
      </c>
      <c r="M452" s="33">
        <f t="shared" si="69"/>
        <v>717</v>
      </c>
      <c r="N452" s="33" t="str">
        <f t="shared" si="70"/>
        <v xml:space="preserve">Pending </v>
      </c>
      <c r="O452" s="33" t="str">
        <f t="shared" si="71"/>
        <v/>
      </c>
      <c r="P452" s="33" t="str">
        <f t="shared" si="72"/>
        <v/>
      </c>
    </row>
    <row r="453" spans="1:16" x14ac:dyDescent="0.3">
      <c r="A453" s="33">
        <v>718</v>
      </c>
      <c r="B453" s="37">
        <v>43917</v>
      </c>
      <c r="C453" s="33" t="s">
        <v>1071</v>
      </c>
      <c r="D453" s="33">
        <v>33</v>
      </c>
      <c r="E453" s="33" t="s">
        <v>1059</v>
      </c>
      <c r="F453" s="33" t="s">
        <v>1278</v>
      </c>
      <c r="G453" s="33"/>
      <c r="H453" s="33" t="s">
        <v>1086</v>
      </c>
      <c r="I453" s="33" t="s">
        <v>1299</v>
      </c>
      <c r="J453" s="33" t="str">
        <f t="shared" si="66"/>
        <v>Male</v>
      </c>
      <c r="K453" s="33" t="str">
        <f t="shared" si="67"/>
        <v>Bangladesh</v>
      </c>
      <c r="L453" s="33" t="str">
        <f t="shared" si="68"/>
        <v>Case 718 is a Local linked  case, 33 years old male Bangladesh (Long Term Pass holder)  and has not been overseas. He is currently admitted at NCID . Contact of Case 658</v>
      </c>
      <c r="M453" s="33" t="str">
        <f t="shared" si="69"/>
        <v/>
      </c>
      <c r="N453" s="33" t="str">
        <f t="shared" si="70"/>
        <v/>
      </c>
      <c r="O453" s="33">
        <f t="shared" si="71"/>
        <v>718</v>
      </c>
      <c r="P453" s="33" t="str">
        <f t="shared" si="72"/>
        <v>Contact of Case 658</v>
      </c>
    </row>
    <row r="454" spans="1:16" x14ac:dyDescent="0.3">
      <c r="A454" s="33">
        <v>719</v>
      </c>
      <c r="B454" s="37">
        <v>43917</v>
      </c>
      <c r="C454" s="33" t="s">
        <v>1071</v>
      </c>
      <c r="D454" s="33">
        <v>29</v>
      </c>
      <c r="E454" s="33" t="s">
        <v>1059</v>
      </c>
      <c r="F454" s="33" t="s">
        <v>1060</v>
      </c>
      <c r="G454" s="33" t="s">
        <v>1063</v>
      </c>
      <c r="H454" s="33" t="s">
        <v>77</v>
      </c>
      <c r="I454" s="33"/>
      <c r="J454" s="33" t="str">
        <f t="shared" si="66"/>
        <v>Male</v>
      </c>
      <c r="K454" s="33" t="str">
        <f t="shared" si="67"/>
        <v>Singaporean</v>
      </c>
      <c r="L454" s="33" t="str">
        <f t="shared" si="68"/>
        <v xml:space="preserve">Case 719 is a Imported case, 29 years old male Singapore Citizen  and has been to UK . He is currently admitted at NCID . </v>
      </c>
      <c r="M454" s="33">
        <f t="shared" si="69"/>
        <v>719</v>
      </c>
      <c r="N454" s="33" t="str">
        <f t="shared" si="70"/>
        <v xml:space="preserve">UK </v>
      </c>
      <c r="O454" s="33" t="str">
        <f t="shared" si="71"/>
        <v/>
      </c>
      <c r="P454" s="33" t="str">
        <f t="shared" si="72"/>
        <v/>
      </c>
    </row>
    <row r="455" spans="1:16" x14ac:dyDescent="0.3">
      <c r="A455" s="33">
        <v>720</v>
      </c>
      <c r="B455" s="37">
        <v>43917</v>
      </c>
      <c r="C455" s="33" t="s">
        <v>1071</v>
      </c>
      <c r="D455" s="33">
        <v>20</v>
      </c>
      <c r="E455" s="33" t="s">
        <v>1059</v>
      </c>
      <c r="F455" s="33" t="s">
        <v>687</v>
      </c>
      <c r="G455" s="33" t="s">
        <v>1085</v>
      </c>
      <c r="H455" s="33" t="s">
        <v>77</v>
      </c>
      <c r="I455" s="33"/>
      <c r="J455" s="33" t="str">
        <f t="shared" si="66"/>
        <v>Male</v>
      </c>
      <c r="K455" s="33" t="str">
        <f t="shared" si="67"/>
        <v xml:space="preserve">Indonesia </v>
      </c>
      <c r="L455" s="33" t="str">
        <f t="shared" si="68"/>
        <v xml:space="preserve">Case 720 is a Imported case, 20 years old male Indonesia  and has been to US . He is currently admitted at NCID . </v>
      </c>
      <c r="M455" s="33">
        <f t="shared" si="69"/>
        <v>720</v>
      </c>
      <c r="N455" s="33" t="str">
        <f t="shared" si="70"/>
        <v xml:space="preserve">US </v>
      </c>
      <c r="O455" s="33" t="str">
        <f t="shared" si="71"/>
        <v/>
      </c>
      <c r="P455" s="33" t="str">
        <f t="shared" si="72"/>
        <v/>
      </c>
    </row>
    <row r="456" spans="1:16" x14ac:dyDescent="0.3">
      <c r="A456" s="33">
        <v>721</v>
      </c>
      <c r="B456" s="37">
        <v>43917</v>
      </c>
      <c r="C456" s="33" t="s">
        <v>1071</v>
      </c>
      <c r="D456" s="33">
        <v>68</v>
      </c>
      <c r="E456" s="33" t="s">
        <v>1073</v>
      </c>
      <c r="F456" s="33" t="s">
        <v>1060</v>
      </c>
      <c r="G456" s="33"/>
      <c r="H456" s="33" t="s">
        <v>1061</v>
      </c>
      <c r="I456" s="33"/>
      <c r="J456" s="33" t="str">
        <f t="shared" si="66"/>
        <v>Female</v>
      </c>
      <c r="K456" s="33" t="str">
        <f t="shared" si="67"/>
        <v>Singaporean</v>
      </c>
      <c r="L456" s="33" t="str">
        <f t="shared" si="68"/>
        <v xml:space="preserve">Case 721 is a Local unlinked case, 68 years old female Singapore Citizen  and has not been overseas. She is currently admitted at NCID . </v>
      </c>
      <c r="M456" s="33" t="str">
        <f t="shared" si="69"/>
        <v/>
      </c>
      <c r="N456" s="33" t="str">
        <f t="shared" si="70"/>
        <v/>
      </c>
      <c r="O456" s="33" t="str">
        <f t="shared" si="71"/>
        <v/>
      </c>
      <c r="P456" s="33" t="str">
        <f t="shared" si="72"/>
        <v/>
      </c>
    </row>
    <row r="457" spans="1:16" x14ac:dyDescent="0.3">
      <c r="A457" s="33">
        <v>722</v>
      </c>
      <c r="B457" s="37">
        <v>43917</v>
      </c>
      <c r="C457" s="33" t="s">
        <v>1071</v>
      </c>
      <c r="D457" s="33">
        <v>56</v>
      </c>
      <c r="E457" s="33" t="s">
        <v>1059</v>
      </c>
      <c r="F457" s="33" t="s">
        <v>1060</v>
      </c>
      <c r="G457" s="33"/>
      <c r="H457" s="33" t="s">
        <v>1061</v>
      </c>
      <c r="I457" s="33"/>
      <c r="J457" s="33" t="str">
        <f t="shared" si="66"/>
        <v>Male</v>
      </c>
      <c r="K457" s="33" t="str">
        <f t="shared" si="67"/>
        <v>Singaporean</v>
      </c>
      <c r="L457" s="33" t="str">
        <f t="shared" si="68"/>
        <v xml:space="preserve">Case 722 is a Local unlinked case, 56 years old male Singapore Citizen  and has not been overseas. He is currently admitted at NCID . </v>
      </c>
      <c r="M457" s="33" t="str">
        <f t="shared" si="69"/>
        <v/>
      </c>
      <c r="N457" s="33" t="str">
        <f t="shared" si="70"/>
        <v/>
      </c>
      <c r="O457" s="33" t="str">
        <f t="shared" si="71"/>
        <v/>
      </c>
      <c r="P457" s="33" t="str">
        <f t="shared" si="72"/>
        <v/>
      </c>
    </row>
    <row r="458" spans="1:16" x14ac:dyDescent="0.3">
      <c r="A458" s="33">
        <v>723</v>
      </c>
      <c r="B458" s="37">
        <v>43917</v>
      </c>
      <c r="C458" s="33" t="s">
        <v>1071</v>
      </c>
      <c r="D458" s="33">
        <v>27</v>
      </c>
      <c r="E458" s="33" t="s">
        <v>1073</v>
      </c>
      <c r="F458" s="33" t="s">
        <v>1060</v>
      </c>
      <c r="G458" s="33" t="s">
        <v>1063</v>
      </c>
      <c r="H458" s="33" t="s">
        <v>77</v>
      </c>
      <c r="I458" s="33"/>
      <c r="J458" s="33" t="str">
        <f t="shared" si="66"/>
        <v>Female</v>
      </c>
      <c r="K458" s="33" t="str">
        <f t="shared" si="67"/>
        <v>Singaporean</v>
      </c>
      <c r="L458" s="33" t="str">
        <f t="shared" si="68"/>
        <v xml:space="preserve">Case 723 is a Imported case, 27 years old female Singapore Citizen  and has been to UK . She is currently admitted at NCID . </v>
      </c>
      <c r="M458" s="33">
        <f t="shared" si="69"/>
        <v>723</v>
      </c>
      <c r="N458" s="33" t="str">
        <f t="shared" si="70"/>
        <v xml:space="preserve">UK </v>
      </c>
      <c r="O458" s="33" t="str">
        <f t="shared" si="71"/>
        <v/>
      </c>
      <c r="P458" s="33" t="str">
        <f t="shared" si="72"/>
        <v/>
      </c>
    </row>
    <row r="459" spans="1:16" x14ac:dyDescent="0.3">
      <c r="A459" s="33">
        <v>724</v>
      </c>
      <c r="B459" s="37">
        <v>43917</v>
      </c>
      <c r="C459" s="33" t="s">
        <v>1071</v>
      </c>
      <c r="D459" s="33">
        <v>29</v>
      </c>
      <c r="E459" s="33" t="s">
        <v>1059</v>
      </c>
      <c r="F459" s="33" t="s">
        <v>1156</v>
      </c>
      <c r="G459" s="33"/>
      <c r="H459" s="33" t="s">
        <v>1086</v>
      </c>
      <c r="I459" s="33" t="s">
        <v>1287</v>
      </c>
      <c r="J459" s="33" t="str">
        <f t="shared" si="66"/>
        <v>Male</v>
      </c>
      <c r="K459" s="33" t="str">
        <f t="shared" si="67"/>
        <v>Malaysia</v>
      </c>
      <c r="L459" s="33" t="str">
        <f t="shared" si="68"/>
        <v>Case 724 is a Local linked  case, 29 years old male Malaysia (Singapore Work Pass holder)  and has not been overseas. He is currently admitted at NCID . SingPost Centre</v>
      </c>
      <c r="M459" s="33" t="str">
        <f t="shared" si="69"/>
        <v/>
      </c>
      <c r="N459" s="33" t="str">
        <f t="shared" si="70"/>
        <v/>
      </c>
      <c r="O459" s="33">
        <f t="shared" si="71"/>
        <v>724</v>
      </c>
      <c r="P459" s="33" t="str">
        <f t="shared" si="72"/>
        <v>SingPost Centre</v>
      </c>
    </row>
    <row r="460" spans="1:16" x14ac:dyDescent="0.3">
      <c r="A460" s="33">
        <v>725</v>
      </c>
      <c r="B460" s="37">
        <v>43917</v>
      </c>
      <c r="C460" s="33" t="s">
        <v>1062</v>
      </c>
      <c r="D460" s="33">
        <v>23</v>
      </c>
      <c r="E460" s="33" t="s">
        <v>1059</v>
      </c>
      <c r="F460" s="33" t="s">
        <v>1060</v>
      </c>
      <c r="G460" s="33" t="s">
        <v>1063</v>
      </c>
      <c r="H460" s="33" t="s">
        <v>77</v>
      </c>
      <c r="I460" s="33"/>
      <c r="J460" s="33" t="str">
        <f t="shared" si="66"/>
        <v>Male</v>
      </c>
      <c r="K460" s="33" t="str">
        <f t="shared" si="67"/>
        <v>Singaporean</v>
      </c>
      <c r="L460" s="33" t="str">
        <f t="shared" si="68"/>
        <v xml:space="preserve">Case 725 is a Imported case, 23 years old male Singapore Citizen  and has been to UK . He is currently admitted at NTFGH . </v>
      </c>
      <c r="M460" s="33">
        <f t="shared" si="69"/>
        <v>725</v>
      </c>
      <c r="N460" s="33" t="str">
        <f t="shared" si="70"/>
        <v xml:space="preserve">UK </v>
      </c>
      <c r="O460" s="33" t="str">
        <f t="shared" si="71"/>
        <v/>
      </c>
      <c r="P460" s="33" t="str">
        <f t="shared" si="72"/>
        <v/>
      </c>
    </row>
    <row r="461" spans="1:16" x14ac:dyDescent="0.3">
      <c r="A461" s="33">
        <v>726</v>
      </c>
      <c r="B461" s="37">
        <v>43917</v>
      </c>
      <c r="C461" s="33" t="s">
        <v>1071</v>
      </c>
      <c r="D461" s="33">
        <v>59</v>
      </c>
      <c r="E461" s="33" t="s">
        <v>1059</v>
      </c>
      <c r="F461" s="33" t="s">
        <v>1060</v>
      </c>
      <c r="G461" s="33"/>
      <c r="H461" s="33" t="s">
        <v>1086</v>
      </c>
      <c r="I461" s="33" t="s">
        <v>1300</v>
      </c>
      <c r="J461" s="33" t="str">
        <f t="shared" si="66"/>
        <v>Male</v>
      </c>
      <c r="K461" s="33" t="str">
        <f t="shared" si="67"/>
        <v>Singaporean</v>
      </c>
      <c r="L461" s="33" t="str">
        <f t="shared" si="68"/>
        <v>Case 726 is a Local linked  case, 59 years old male Singapore Citizen  and has not been overseas. He is currently admitted at NCID . Contact of Cases 557 and 629</v>
      </c>
      <c r="M461" s="33" t="str">
        <f t="shared" si="69"/>
        <v/>
      </c>
      <c r="N461" s="33" t="str">
        <f t="shared" si="70"/>
        <v/>
      </c>
      <c r="O461" s="33">
        <f t="shared" si="71"/>
        <v>726</v>
      </c>
      <c r="P461" s="33" t="str">
        <f t="shared" si="72"/>
        <v>Contact of Cases 557 and 629</v>
      </c>
    </row>
    <row r="462" spans="1:16" x14ac:dyDescent="0.3">
      <c r="A462" s="33">
        <v>727</v>
      </c>
      <c r="B462" s="37">
        <v>43917</v>
      </c>
      <c r="C462" s="33" t="s">
        <v>1071</v>
      </c>
      <c r="D462" s="33">
        <v>59</v>
      </c>
      <c r="E462" s="33" t="s">
        <v>1059</v>
      </c>
      <c r="F462" s="33" t="s">
        <v>1060</v>
      </c>
      <c r="G462" s="33" t="s">
        <v>1063</v>
      </c>
      <c r="H462" s="33" t="s">
        <v>77</v>
      </c>
      <c r="I462" s="33"/>
      <c r="J462" s="33" t="str">
        <f t="shared" si="66"/>
        <v>Male</v>
      </c>
      <c r="K462" s="33" t="str">
        <f t="shared" si="67"/>
        <v>Singaporean</v>
      </c>
      <c r="L462" s="33" t="str">
        <f t="shared" si="68"/>
        <v xml:space="preserve">Case 727 is a Imported case, 59 years old male Singapore Citizen  and has been to UK . He is currently admitted at NCID . </v>
      </c>
      <c r="M462" s="33">
        <f t="shared" si="69"/>
        <v>727</v>
      </c>
      <c r="N462" s="33" t="str">
        <f t="shared" si="70"/>
        <v xml:space="preserve">UK </v>
      </c>
      <c r="O462" s="33" t="str">
        <f t="shared" si="71"/>
        <v/>
      </c>
      <c r="P462" s="33" t="str">
        <f t="shared" si="72"/>
        <v/>
      </c>
    </row>
    <row r="463" spans="1:16" x14ac:dyDescent="0.3">
      <c r="A463" s="33">
        <v>728</v>
      </c>
      <c r="B463" s="37">
        <v>43917</v>
      </c>
      <c r="C463" s="33" t="s">
        <v>1064</v>
      </c>
      <c r="D463" s="33">
        <v>22</v>
      </c>
      <c r="E463" s="33" t="s">
        <v>1059</v>
      </c>
      <c r="F463" s="33" t="s">
        <v>1060</v>
      </c>
      <c r="G463" s="33"/>
      <c r="H463" s="33" t="s">
        <v>1061</v>
      </c>
      <c r="I463" s="33"/>
      <c r="J463" s="33" t="str">
        <f t="shared" si="66"/>
        <v>Male</v>
      </c>
      <c r="K463" s="33" t="str">
        <f t="shared" si="67"/>
        <v>Singaporean</v>
      </c>
      <c r="L463" s="33" t="str">
        <f t="shared" si="68"/>
        <v xml:space="preserve">Case 728 is a Local unlinked case, 22 years old male Singapore Citizen  and has not been overseas. He is currently admitted at CGH . </v>
      </c>
      <c r="M463" s="33" t="str">
        <f t="shared" si="69"/>
        <v/>
      </c>
      <c r="N463" s="33" t="str">
        <f t="shared" si="70"/>
        <v/>
      </c>
      <c r="O463" s="33" t="str">
        <f t="shared" si="71"/>
        <v/>
      </c>
      <c r="P463" s="33" t="str">
        <f t="shared" si="72"/>
        <v/>
      </c>
    </row>
    <row r="464" spans="1:16" x14ac:dyDescent="0.3">
      <c r="A464" s="33">
        <v>729</v>
      </c>
      <c r="B464" s="37">
        <v>43917</v>
      </c>
      <c r="C464" s="33" t="s">
        <v>1138</v>
      </c>
      <c r="D464" s="33">
        <v>53</v>
      </c>
      <c r="E464" s="33" t="s">
        <v>1059</v>
      </c>
      <c r="F464" s="33" t="s">
        <v>1072</v>
      </c>
      <c r="G464" s="33"/>
      <c r="H464" s="33" t="s">
        <v>1086</v>
      </c>
      <c r="I464" s="33" t="s">
        <v>1236</v>
      </c>
      <c r="J464" s="33" t="str">
        <f t="shared" si="66"/>
        <v>Male</v>
      </c>
      <c r="K464" s="33" t="str">
        <f t="shared" si="67"/>
        <v>Singaporean</v>
      </c>
      <c r="L464" s="33" t="str">
        <f t="shared" si="68"/>
        <v>Case 729 is a Local linked  case, 53 years old male Singapore Permanent Resident  and has not been overseas. He is currently admitted at SGH . Dover Court International School</v>
      </c>
      <c r="M464" s="33" t="str">
        <f t="shared" si="69"/>
        <v/>
      </c>
      <c r="N464" s="33" t="str">
        <f t="shared" si="70"/>
        <v/>
      </c>
      <c r="O464" s="33">
        <f t="shared" si="71"/>
        <v>729</v>
      </c>
      <c r="P464" s="33" t="str">
        <f t="shared" si="72"/>
        <v>Dover Court International School</v>
      </c>
    </row>
    <row r="465" spans="1:16" x14ac:dyDescent="0.3">
      <c r="A465" s="33">
        <v>730</v>
      </c>
      <c r="B465" s="37">
        <v>43917</v>
      </c>
      <c r="C465" s="33" t="s">
        <v>1071</v>
      </c>
      <c r="D465" s="33">
        <v>26</v>
      </c>
      <c r="E465" s="33" t="s">
        <v>1059</v>
      </c>
      <c r="F465" s="33" t="s">
        <v>1072</v>
      </c>
      <c r="G465" s="33"/>
      <c r="H465" s="33" t="s">
        <v>1061</v>
      </c>
      <c r="I465" s="33"/>
      <c r="J465" s="33" t="str">
        <f t="shared" si="66"/>
        <v>Male</v>
      </c>
      <c r="K465" s="33" t="str">
        <f t="shared" si="67"/>
        <v>Singaporean</v>
      </c>
      <c r="L465" s="33" t="str">
        <f t="shared" si="68"/>
        <v xml:space="preserve">Case 730 is a Local unlinked case, 26 years old male Singapore Permanent Resident  and has not been overseas. He is currently admitted at NCID . </v>
      </c>
      <c r="M465" s="33" t="str">
        <f t="shared" si="69"/>
        <v/>
      </c>
      <c r="N465" s="33" t="str">
        <f t="shared" si="70"/>
        <v/>
      </c>
      <c r="O465" s="33" t="str">
        <f t="shared" si="71"/>
        <v/>
      </c>
      <c r="P465" s="33" t="str">
        <f t="shared" si="72"/>
        <v/>
      </c>
    </row>
    <row r="466" spans="1:16" x14ac:dyDescent="0.3">
      <c r="A466" s="33">
        <v>731</v>
      </c>
      <c r="B466" s="37">
        <v>43917</v>
      </c>
      <c r="C466" s="33" t="s">
        <v>1064</v>
      </c>
      <c r="D466" s="33">
        <v>32</v>
      </c>
      <c r="E466" s="33" t="s">
        <v>1059</v>
      </c>
      <c r="F466" s="33" t="s">
        <v>1060</v>
      </c>
      <c r="G466" s="33"/>
      <c r="H466" s="33" t="s">
        <v>1061</v>
      </c>
      <c r="I466" s="33"/>
      <c r="J466" s="33" t="str">
        <f t="shared" si="66"/>
        <v>Male</v>
      </c>
      <c r="K466" s="33" t="str">
        <f t="shared" si="67"/>
        <v>Singaporean</v>
      </c>
      <c r="L466" s="33" t="str">
        <f t="shared" si="68"/>
        <v xml:space="preserve">Case 731 is a Local unlinked case, 32 years old male Singapore Citizen  and has not been overseas. He is currently admitted at CGH . </v>
      </c>
      <c r="M466" s="33" t="str">
        <f t="shared" si="69"/>
        <v/>
      </c>
      <c r="N466" s="33" t="str">
        <f t="shared" si="70"/>
        <v/>
      </c>
      <c r="O466" s="33" t="str">
        <f t="shared" si="71"/>
        <v/>
      </c>
      <c r="P466" s="33" t="str">
        <f t="shared" si="72"/>
        <v/>
      </c>
    </row>
    <row r="467" spans="1:16" x14ac:dyDescent="0.3">
      <c r="A467" s="33">
        <v>732</v>
      </c>
      <c r="B467" s="37">
        <v>43917</v>
      </c>
      <c r="C467" s="33" t="s">
        <v>1064</v>
      </c>
      <c r="D467" s="33">
        <v>23</v>
      </c>
      <c r="E467" s="33" t="s">
        <v>1073</v>
      </c>
      <c r="F467" s="33" t="s">
        <v>1060</v>
      </c>
      <c r="G467" s="33" t="s">
        <v>1063</v>
      </c>
      <c r="H467" s="33" t="s">
        <v>77</v>
      </c>
      <c r="I467" s="33"/>
      <c r="J467" s="33" t="str">
        <f t="shared" si="66"/>
        <v>Female</v>
      </c>
      <c r="K467" s="33" t="str">
        <f t="shared" si="67"/>
        <v>Singaporean</v>
      </c>
      <c r="L467" s="33" t="str">
        <f t="shared" si="68"/>
        <v xml:space="preserve">Case 732 is a Imported case, 23 years old female Singapore Citizen  and has been to UK . She is currently admitted at CGH . </v>
      </c>
      <c r="M467" s="33">
        <f t="shared" si="69"/>
        <v>732</v>
      </c>
      <c r="N467" s="33" t="str">
        <f t="shared" si="70"/>
        <v xml:space="preserve">UK </v>
      </c>
      <c r="O467" s="33" t="str">
        <f t="shared" si="71"/>
        <v/>
      </c>
      <c r="P467" s="33" t="str">
        <f t="shared" si="72"/>
        <v/>
      </c>
    </row>
    <row r="468" spans="1:16" x14ac:dyDescent="0.3">
      <c r="A468" s="39">
        <v>733</v>
      </c>
      <c r="B468" s="40">
        <v>43917</v>
      </c>
      <c r="C468" s="39" t="s">
        <v>1071</v>
      </c>
      <c r="D468" s="39">
        <v>52</v>
      </c>
      <c r="E468" s="39" t="s">
        <v>1059</v>
      </c>
      <c r="F468" s="39" t="s">
        <v>844</v>
      </c>
      <c r="G468" s="39" t="s">
        <v>1303</v>
      </c>
      <c r="H468" s="39" t="s">
        <v>77</v>
      </c>
      <c r="I468" s="39"/>
      <c r="J468" s="39" t="str">
        <f t="shared" ref="J468:J531" si="73">IF(TRIM(E468)="M","Male",IF(TRIM(E468)="F","Female",""))</f>
        <v>Male</v>
      </c>
      <c r="K468" s="39" t="str">
        <f t="shared" ref="K468:K531" si="74">IF(LEFT(F468,9)="Singapore","Singaporean",IF(ISERR(FIND("(",F468)),F468,LEFT(F468,FIND("(",F468)-2)))</f>
        <v xml:space="preserve">Australia </v>
      </c>
      <c r="L468" s="39" t="str">
        <f t="shared" ref="L468:L531" si="75">"Case "&amp;A468&amp;" is a "&amp;H468&amp;" case, "&amp;D468&amp;" years old "&amp;LOWER(J468)&amp;" "&amp;F468 &amp;IF(G468=""," and has not been overseas"," and has been to "&amp;G468)&amp;". "&amp;IF(TRIM(E468)="F","She",IF(TRIM(E468)="M","He"))&amp;" is currently admitted at "&amp;C468&amp;". "&amp;I468</f>
        <v xml:space="preserve">Case 733 is a Imported case, 52 years old male Australia  and has been to US, UK . He is currently admitted at NCID . </v>
      </c>
      <c r="M468" s="39">
        <f t="shared" ref="M468:M531" si="76">IF(G468="","",A468)</f>
        <v>733</v>
      </c>
      <c r="N468" s="39" t="str">
        <f t="shared" ref="N468:N531" si="77">IF(G468="","",G468)</f>
        <v xml:space="preserve">US, UK </v>
      </c>
      <c r="O468" s="39" t="str">
        <f t="shared" ref="O468:O531" si="78">IF(I468="","",A468)</f>
        <v/>
      </c>
      <c r="P468" s="39" t="str">
        <f t="shared" ref="P468:P531" si="79">IF(I468="","",I468)</f>
        <v/>
      </c>
    </row>
    <row r="469" spans="1:16" x14ac:dyDescent="0.3">
      <c r="A469" s="39">
        <v>734</v>
      </c>
      <c r="B469" s="40">
        <v>43917</v>
      </c>
      <c r="C469" s="39" t="s">
        <v>1071</v>
      </c>
      <c r="D469" s="39">
        <v>31</v>
      </c>
      <c r="E469" s="39" t="s">
        <v>1073</v>
      </c>
      <c r="F469" s="39" t="s">
        <v>1060</v>
      </c>
      <c r="G469" s="39"/>
      <c r="H469" s="39" t="s">
        <v>1086</v>
      </c>
      <c r="I469" s="39" t="s">
        <v>1304</v>
      </c>
      <c r="J469" s="39" t="str">
        <f t="shared" si="73"/>
        <v>Female</v>
      </c>
      <c r="K469" s="39" t="str">
        <f t="shared" si="74"/>
        <v>Singaporean</v>
      </c>
      <c r="L469" s="39" t="str">
        <f t="shared" si="75"/>
        <v>Case 734 is a Local linked  case, 31 years old female Singapore Citizen  and has not been overseas. She is currently admitted at NCID . Contact of Cases 533 and 659</v>
      </c>
      <c r="M469" s="39" t="str">
        <f t="shared" si="76"/>
        <v/>
      </c>
      <c r="N469" s="39" t="str">
        <f t="shared" si="77"/>
        <v/>
      </c>
      <c r="O469" s="39">
        <f t="shared" si="78"/>
        <v>734</v>
      </c>
      <c r="P469" s="39" t="str">
        <f t="shared" si="79"/>
        <v>Contact of Cases 533 and 659</v>
      </c>
    </row>
    <row r="470" spans="1:16" x14ac:dyDescent="0.3">
      <c r="A470" s="39">
        <v>735</v>
      </c>
      <c r="B470" s="40">
        <v>43917</v>
      </c>
      <c r="C470" s="39" t="s">
        <v>1138</v>
      </c>
      <c r="D470" s="39">
        <v>29</v>
      </c>
      <c r="E470" s="39" t="s">
        <v>1073</v>
      </c>
      <c r="F470" s="39" t="s">
        <v>1166</v>
      </c>
      <c r="G470" s="39" t="s">
        <v>1305</v>
      </c>
      <c r="H470" s="39" t="s">
        <v>77</v>
      </c>
      <c r="I470" s="39"/>
      <c r="J470" s="39" t="str">
        <f t="shared" si="73"/>
        <v>Female</v>
      </c>
      <c r="K470" s="39" t="str">
        <f t="shared" si="74"/>
        <v>Ireland</v>
      </c>
      <c r="L470" s="39" t="str">
        <f t="shared" si="75"/>
        <v xml:space="preserve">Case 735 is a Imported case, 29 years old female Ireland (Singapore Work Pass holder)  and has been to Vietnam . She is currently admitted at SGH . </v>
      </c>
      <c r="M470" s="39">
        <f t="shared" si="76"/>
        <v>735</v>
      </c>
      <c r="N470" s="39" t="str">
        <f t="shared" si="77"/>
        <v xml:space="preserve">Vietnam </v>
      </c>
      <c r="O470" s="39" t="str">
        <f t="shared" si="78"/>
        <v/>
      </c>
      <c r="P470" s="39" t="str">
        <f t="shared" si="79"/>
        <v/>
      </c>
    </row>
    <row r="471" spans="1:16" x14ac:dyDescent="0.3">
      <c r="A471" s="39">
        <v>736</v>
      </c>
      <c r="B471" s="40">
        <v>43917</v>
      </c>
      <c r="C471" s="39" t="s">
        <v>1071</v>
      </c>
      <c r="D471" s="39">
        <v>43</v>
      </c>
      <c r="E471" s="39" t="s">
        <v>1059</v>
      </c>
      <c r="F471" s="39" t="s">
        <v>1180</v>
      </c>
      <c r="G471" s="39" t="s">
        <v>687</v>
      </c>
      <c r="H471" s="39" t="s">
        <v>77</v>
      </c>
      <c r="I471" s="39"/>
      <c r="J471" s="39" t="str">
        <f t="shared" si="73"/>
        <v>Male</v>
      </c>
      <c r="K471" s="39" t="str">
        <f t="shared" si="74"/>
        <v>France</v>
      </c>
      <c r="L471" s="39" t="str">
        <f t="shared" si="75"/>
        <v xml:space="preserve">Case 736 is a Imported case, 43 years old male France (Long Term Pass holder)  and has been to Indonesia . He is currently admitted at NCID . </v>
      </c>
      <c r="M471" s="39">
        <f t="shared" si="76"/>
        <v>736</v>
      </c>
      <c r="N471" s="39" t="str">
        <f t="shared" si="77"/>
        <v xml:space="preserve">Indonesia </v>
      </c>
      <c r="O471" s="39" t="str">
        <f t="shared" si="78"/>
        <v/>
      </c>
      <c r="P471" s="39" t="str">
        <f t="shared" si="79"/>
        <v/>
      </c>
    </row>
    <row r="472" spans="1:16" x14ac:dyDescent="0.3">
      <c r="A472" s="39">
        <v>737</v>
      </c>
      <c r="B472" s="40">
        <v>43917</v>
      </c>
      <c r="C472" s="39" t="s">
        <v>1062</v>
      </c>
      <c r="D472" s="39">
        <v>28</v>
      </c>
      <c r="E472" s="39" t="s">
        <v>1059</v>
      </c>
      <c r="F472" s="39" t="s">
        <v>1156</v>
      </c>
      <c r="G472" s="39" t="s">
        <v>360</v>
      </c>
      <c r="H472" s="39" t="s">
        <v>77</v>
      </c>
      <c r="I472" s="39"/>
      <c r="J472" s="39" t="str">
        <f t="shared" si="73"/>
        <v>Male</v>
      </c>
      <c r="K472" s="39" t="str">
        <f t="shared" si="74"/>
        <v>Malaysia</v>
      </c>
      <c r="L472" s="39" t="str">
        <f t="shared" si="75"/>
        <v xml:space="preserve">Case 737 is a Imported case, 28 years old male Malaysia (Singapore Work Pass holder)  and has been to Malaysia . He is currently admitted at NTFGH . </v>
      </c>
      <c r="M472" s="39">
        <f t="shared" si="76"/>
        <v>737</v>
      </c>
      <c r="N472" s="39" t="str">
        <f t="shared" si="77"/>
        <v xml:space="preserve">Malaysia </v>
      </c>
      <c r="O472" s="39" t="str">
        <f t="shared" si="78"/>
        <v/>
      </c>
      <c r="P472" s="39" t="str">
        <f t="shared" si="79"/>
        <v/>
      </c>
    </row>
    <row r="473" spans="1:16" x14ac:dyDescent="0.3">
      <c r="A473" s="39">
        <v>738</v>
      </c>
      <c r="B473" s="40">
        <v>43917</v>
      </c>
      <c r="C473" s="39" t="s">
        <v>1062</v>
      </c>
      <c r="D473" s="39">
        <v>57</v>
      </c>
      <c r="E473" s="39" t="s">
        <v>1073</v>
      </c>
      <c r="F473" s="39" t="s">
        <v>1060</v>
      </c>
      <c r="G473" s="39" t="s">
        <v>1063</v>
      </c>
      <c r="H473" s="39" t="s">
        <v>77</v>
      </c>
      <c r="I473" s="39"/>
      <c r="J473" s="39" t="str">
        <f t="shared" si="73"/>
        <v>Female</v>
      </c>
      <c r="K473" s="39" t="str">
        <f t="shared" si="74"/>
        <v>Singaporean</v>
      </c>
      <c r="L473" s="39" t="str">
        <f t="shared" si="75"/>
        <v xml:space="preserve">Case 738 is a Imported case, 57 years old female Singapore Citizen  and has been to UK . She is currently admitted at NTFGH . </v>
      </c>
      <c r="M473" s="39">
        <f t="shared" si="76"/>
        <v>738</v>
      </c>
      <c r="N473" s="39" t="str">
        <f t="shared" si="77"/>
        <v xml:space="preserve">UK </v>
      </c>
      <c r="O473" s="39" t="str">
        <f t="shared" si="78"/>
        <v/>
      </c>
      <c r="P473" s="39" t="str">
        <f t="shared" si="79"/>
        <v/>
      </c>
    </row>
    <row r="474" spans="1:16" x14ac:dyDescent="0.3">
      <c r="A474" s="39">
        <v>739</v>
      </c>
      <c r="B474" s="40">
        <v>43917</v>
      </c>
      <c r="C474" s="39" t="s">
        <v>343</v>
      </c>
      <c r="D474" s="39">
        <v>30</v>
      </c>
      <c r="E474" s="39" t="s">
        <v>1073</v>
      </c>
      <c r="F474" s="39" t="s">
        <v>1060</v>
      </c>
      <c r="G474" s="39" t="s">
        <v>1063</v>
      </c>
      <c r="H474" s="39" t="s">
        <v>77</v>
      </c>
      <c r="I474" s="39"/>
      <c r="J474" s="39" t="str">
        <f t="shared" si="73"/>
        <v>Female</v>
      </c>
      <c r="K474" s="39" t="str">
        <f t="shared" si="74"/>
        <v>Singaporean</v>
      </c>
      <c r="L474" s="39" t="str">
        <f t="shared" si="75"/>
        <v xml:space="preserve">Case 739 is a Imported case, 30 years old female Singapore Citizen  and has been to UK . She is currently admitted at NUH . </v>
      </c>
      <c r="M474" s="39">
        <f t="shared" si="76"/>
        <v>739</v>
      </c>
      <c r="N474" s="39" t="str">
        <f t="shared" si="77"/>
        <v xml:space="preserve">UK </v>
      </c>
      <c r="O474" s="39" t="str">
        <f t="shared" si="78"/>
        <v/>
      </c>
      <c r="P474" s="39" t="str">
        <f t="shared" si="79"/>
        <v/>
      </c>
    </row>
    <row r="475" spans="1:16" x14ac:dyDescent="0.3">
      <c r="A475" s="39">
        <v>740</v>
      </c>
      <c r="B475" s="40">
        <v>43917</v>
      </c>
      <c r="C475" s="39" t="s">
        <v>1064</v>
      </c>
      <c r="D475" s="39">
        <v>25</v>
      </c>
      <c r="E475" s="39" t="s">
        <v>1059</v>
      </c>
      <c r="F475" s="39" t="s">
        <v>1306</v>
      </c>
      <c r="G475" s="39"/>
      <c r="H475" s="39" t="s">
        <v>1086</v>
      </c>
      <c r="I475" s="39" t="s">
        <v>1287</v>
      </c>
      <c r="J475" s="39" t="str">
        <f t="shared" si="73"/>
        <v>Male</v>
      </c>
      <c r="K475" s="39" t="str">
        <f t="shared" si="74"/>
        <v>China</v>
      </c>
      <c r="L475" s="39" t="str">
        <f t="shared" si="75"/>
        <v>Case 740 is a Local linked  case, 25 years old male China (Singapore Work Pass holder)  and has not been overseas. He is currently admitted at CGH . SingPost Centre</v>
      </c>
      <c r="M475" s="39" t="str">
        <f t="shared" si="76"/>
        <v/>
      </c>
      <c r="N475" s="39" t="str">
        <f t="shared" si="77"/>
        <v/>
      </c>
      <c r="O475" s="39">
        <f t="shared" si="78"/>
        <v>740</v>
      </c>
      <c r="P475" s="39" t="str">
        <f t="shared" si="79"/>
        <v>SingPost Centre</v>
      </c>
    </row>
    <row r="476" spans="1:16" x14ac:dyDescent="0.3">
      <c r="A476" s="39">
        <v>741</v>
      </c>
      <c r="B476" s="40">
        <v>43917</v>
      </c>
      <c r="C476" s="39" t="s">
        <v>1066</v>
      </c>
      <c r="D476" s="39">
        <v>42</v>
      </c>
      <c r="E476" s="39" t="s">
        <v>1073</v>
      </c>
      <c r="F476" s="39" t="s">
        <v>1072</v>
      </c>
      <c r="G476" s="39"/>
      <c r="H476" s="39" t="s">
        <v>1061</v>
      </c>
      <c r="I476" s="39"/>
      <c r="J476" s="39" t="str">
        <f t="shared" si="73"/>
        <v>Female</v>
      </c>
      <c r="K476" s="39" t="str">
        <f t="shared" si="74"/>
        <v>Singaporean</v>
      </c>
      <c r="L476" s="39" t="str">
        <f t="shared" si="75"/>
        <v xml:space="preserve">Case 741 is a Local unlinked case, 42 years old female Singapore Permanent Resident  and has not been overseas. She is currently admitted at SKH . </v>
      </c>
      <c r="M476" s="39" t="str">
        <f t="shared" si="76"/>
        <v/>
      </c>
      <c r="N476" s="39" t="str">
        <f t="shared" si="77"/>
        <v/>
      </c>
      <c r="O476" s="39" t="str">
        <f t="shared" si="78"/>
        <v/>
      </c>
      <c r="P476" s="39" t="str">
        <f t="shared" si="79"/>
        <v/>
      </c>
    </row>
    <row r="477" spans="1:16" x14ac:dyDescent="0.3">
      <c r="A477" s="39">
        <v>742</v>
      </c>
      <c r="B477" s="40">
        <v>43917</v>
      </c>
      <c r="C477" s="39" t="s">
        <v>1066</v>
      </c>
      <c r="D477" s="39">
        <v>39</v>
      </c>
      <c r="E477" s="39" t="s">
        <v>1059</v>
      </c>
      <c r="F477" s="39" t="s">
        <v>1060</v>
      </c>
      <c r="G477" s="39"/>
      <c r="H477" s="39" t="s">
        <v>1061</v>
      </c>
      <c r="I477" s="39"/>
      <c r="J477" s="39" t="str">
        <f t="shared" si="73"/>
        <v>Male</v>
      </c>
      <c r="K477" s="39" t="str">
        <f t="shared" si="74"/>
        <v>Singaporean</v>
      </c>
      <c r="L477" s="39" t="str">
        <f t="shared" si="75"/>
        <v xml:space="preserve">Case 742 is a Local unlinked case, 39 years old male Singapore Citizen  and has not been overseas. He is currently admitted at SKH . </v>
      </c>
      <c r="M477" s="39" t="str">
        <f t="shared" si="76"/>
        <v/>
      </c>
      <c r="N477" s="39" t="str">
        <f t="shared" si="77"/>
        <v/>
      </c>
      <c r="O477" s="39" t="str">
        <f t="shared" si="78"/>
        <v/>
      </c>
      <c r="P477" s="39" t="str">
        <f t="shared" si="79"/>
        <v/>
      </c>
    </row>
    <row r="478" spans="1:16" x14ac:dyDescent="0.3">
      <c r="A478" s="39">
        <v>743</v>
      </c>
      <c r="B478" s="40">
        <v>43917</v>
      </c>
      <c r="C478" s="39" t="s">
        <v>1071</v>
      </c>
      <c r="D478" s="39">
        <v>69</v>
      </c>
      <c r="E478" s="39" t="s">
        <v>1059</v>
      </c>
      <c r="F478" s="39" t="s">
        <v>1060</v>
      </c>
      <c r="G478" s="39" t="s">
        <v>360</v>
      </c>
      <c r="H478" s="39" t="s">
        <v>77</v>
      </c>
      <c r="I478" s="39"/>
      <c r="J478" s="39" t="str">
        <f t="shared" si="73"/>
        <v>Male</v>
      </c>
      <c r="K478" s="39" t="str">
        <f t="shared" si="74"/>
        <v>Singaporean</v>
      </c>
      <c r="L478" s="39" t="str">
        <f t="shared" si="75"/>
        <v xml:space="preserve">Case 743 is a Imported case, 69 years old male Singapore Citizen  and has been to Malaysia . He is currently admitted at NCID . </v>
      </c>
      <c r="M478" s="39">
        <f t="shared" si="76"/>
        <v>743</v>
      </c>
      <c r="N478" s="39" t="str">
        <f t="shared" si="77"/>
        <v xml:space="preserve">Malaysia </v>
      </c>
      <c r="O478" s="39" t="str">
        <f t="shared" si="78"/>
        <v/>
      </c>
      <c r="P478" s="39" t="str">
        <f t="shared" si="79"/>
        <v/>
      </c>
    </row>
    <row r="479" spans="1:16" x14ac:dyDescent="0.3">
      <c r="A479" s="39">
        <v>744</v>
      </c>
      <c r="B479" s="40">
        <v>43917</v>
      </c>
      <c r="C479" s="39" t="s">
        <v>1064</v>
      </c>
      <c r="D479" s="39">
        <v>40</v>
      </c>
      <c r="E479" s="39" t="s">
        <v>1073</v>
      </c>
      <c r="F479" s="39" t="s">
        <v>1072</v>
      </c>
      <c r="G479" s="39" t="s">
        <v>1063</v>
      </c>
      <c r="H479" s="39" t="s">
        <v>77</v>
      </c>
      <c r="I479" s="39"/>
      <c r="J479" s="39" t="str">
        <f t="shared" si="73"/>
        <v>Female</v>
      </c>
      <c r="K479" s="39" t="str">
        <f t="shared" si="74"/>
        <v>Singaporean</v>
      </c>
      <c r="L479" s="39" t="str">
        <f t="shared" si="75"/>
        <v xml:space="preserve">Case 744 is a Imported case, 40 years old female Singapore Permanent Resident  and has been to UK . She is currently admitted at CGH . </v>
      </c>
      <c r="M479" s="39">
        <f t="shared" si="76"/>
        <v>744</v>
      </c>
      <c r="N479" s="39" t="str">
        <f t="shared" si="77"/>
        <v xml:space="preserve">UK </v>
      </c>
      <c r="O479" s="39" t="str">
        <f t="shared" si="78"/>
        <v/>
      </c>
      <c r="P479" s="39" t="str">
        <f t="shared" si="79"/>
        <v/>
      </c>
    </row>
    <row r="480" spans="1:16" x14ac:dyDescent="0.3">
      <c r="A480" s="39">
        <v>745</v>
      </c>
      <c r="B480" s="40">
        <v>43917</v>
      </c>
      <c r="C480" s="39" t="s">
        <v>1058</v>
      </c>
      <c r="D480" s="39">
        <v>36</v>
      </c>
      <c r="E480" s="39" t="s">
        <v>1073</v>
      </c>
      <c r="F480" s="39" t="s">
        <v>1060</v>
      </c>
      <c r="G480" s="39"/>
      <c r="H480" s="39" t="s">
        <v>1061</v>
      </c>
      <c r="I480" s="39"/>
      <c r="J480" s="39" t="str">
        <f t="shared" si="73"/>
        <v>Female</v>
      </c>
      <c r="K480" s="39" t="str">
        <f t="shared" si="74"/>
        <v>Singaporean</v>
      </c>
      <c r="L480" s="39" t="str">
        <f t="shared" si="75"/>
        <v xml:space="preserve">Case 745 is a Local unlinked case, 36 years old female Singapore Citizen  and has not been overseas. She is currently admitted at KTPH . </v>
      </c>
      <c r="M480" s="39" t="str">
        <f t="shared" si="76"/>
        <v/>
      </c>
      <c r="N480" s="39" t="str">
        <f t="shared" si="77"/>
        <v/>
      </c>
      <c r="O480" s="39" t="str">
        <f t="shared" si="78"/>
        <v/>
      </c>
      <c r="P480" s="39" t="str">
        <f t="shared" si="79"/>
        <v/>
      </c>
    </row>
    <row r="481" spans="1:16" x14ac:dyDescent="0.3">
      <c r="A481" s="39">
        <v>746</v>
      </c>
      <c r="B481" s="40">
        <v>43917</v>
      </c>
      <c r="C481" s="39" t="s">
        <v>1161</v>
      </c>
      <c r="D481" s="39">
        <v>38</v>
      </c>
      <c r="E481" s="39" t="s">
        <v>1059</v>
      </c>
      <c r="F481" s="39" t="s">
        <v>1060</v>
      </c>
      <c r="G481" s="39" t="s">
        <v>360</v>
      </c>
      <c r="H481" s="39" t="s">
        <v>1086</v>
      </c>
      <c r="I481" s="39" t="s">
        <v>1259</v>
      </c>
      <c r="J481" s="39" t="str">
        <f t="shared" si="73"/>
        <v>Male</v>
      </c>
      <c r="K481" s="39" t="str">
        <f t="shared" si="74"/>
        <v>Singaporean</v>
      </c>
      <c r="L481" s="39" t="str">
        <f t="shared" si="75"/>
        <v>Case 746 is a Local linked  case, 38 years old male Singapore Citizen  and has been to Malaysia . He is currently admitted at KKH . PCF Fengshan</v>
      </c>
      <c r="M481" s="39">
        <f t="shared" si="76"/>
        <v>746</v>
      </c>
      <c r="N481" s="39" t="str">
        <f t="shared" si="77"/>
        <v xml:space="preserve">Malaysia </v>
      </c>
      <c r="O481" s="39">
        <f t="shared" si="78"/>
        <v>746</v>
      </c>
      <c r="P481" s="39" t="str">
        <f t="shared" si="79"/>
        <v>PCF Fengshan</v>
      </c>
    </row>
    <row r="482" spans="1:16" x14ac:dyDescent="0.3">
      <c r="A482" s="39">
        <v>747</v>
      </c>
      <c r="B482" s="40">
        <v>43917</v>
      </c>
      <c r="C482" s="39" t="s">
        <v>1071</v>
      </c>
      <c r="D482" s="39">
        <v>51</v>
      </c>
      <c r="E482" s="39" t="s">
        <v>1059</v>
      </c>
      <c r="F482" s="39" t="s">
        <v>1060</v>
      </c>
      <c r="G482" s="39"/>
      <c r="H482" s="39" t="s">
        <v>1061</v>
      </c>
      <c r="I482" s="39"/>
      <c r="J482" s="39" t="str">
        <f t="shared" si="73"/>
        <v>Male</v>
      </c>
      <c r="K482" s="39" t="str">
        <f t="shared" si="74"/>
        <v>Singaporean</v>
      </c>
      <c r="L482" s="39" t="str">
        <f t="shared" si="75"/>
        <v xml:space="preserve">Case 747 is a Local unlinked case, 51 years old male Singapore Citizen  and has not been overseas. He is currently admitted at NCID . </v>
      </c>
      <c r="M482" s="39" t="str">
        <f t="shared" si="76"/>
        <v/>
      </c>
      <c r="N482" s="39" t="str">
        <f t="shared" si="77"/>
        <v/>
      </c>
      <c r="O482" s="39" t="str">
        <f t="shared" si="78"/>
        <v/>
      </c>
      <c r="P482" s="39" t="str">
        <f t="shared" si="79"/>
        <v/>
      </c>
    </row>
    <row r="483" spans="1:16" x14ac:dyDescent="0.3">
      <c r="A483" s="39">
        <v>748</v>
      </c>
      <c r="B483" s="40">
        <v>43917</v>
      </c>
      <c r="C483" s="39" t="s">
        <v>1058</v>
      </c>
      <c r="D483" s="39">
        <v>36</v>
      </c>
      <c r="E483" s="39" t="s">
        <v>1073</v>
      </c>
      <c r="F483" s="39" t="s">
        <v>1156</v>
      </c>
      <c r="G483" s="39"/>
      <c r="H483" s="39" t="s">
        <v>1061</v>
      </c>
      <c r="I483" s="39"/>
      <c r="J483" s="39" t="str">
        <f t="shared" si="73"/>
        <v>Female</v>
      </c>
      <c r="K483" s="39" t="str">
        <f t="shared" si="74"/>
        <v>Malaysia</v>
      </c>
      <c r="L483" s="39" t="str">
        <f t="shared" si="75"/>
        <v xml:space="preserve">Case 748 is a Local unlinked case, 36 years old female Malaysia (Singapore Work Pass holder)  and has not been overseas. She is currently admitted at KTPH . </v>
      </c>
      <c r="M483" s="39" t="str">
        <f t="shared" si="76"/>
        <v/>
      </c>
      <c r="N483" s="39" t="str">
        <f t="shared" si="77"/>
        <v/>
      </c>
      <c r="O483" s="39" t="str">
        <f t="shared" si="78"/>
        <v/>
      </c>
      <c r="P483" s="39" t="str">
        <f t="shared" si="79"/>
        <v/>
      </c>
    </row>
    <row r="484" spans="1:16" x14ac:dyDescent="0.3">
      <c r="A484" s="39">
        <v>749</v>
      </c>
      <c r="B484" s="40">
        <v>43917</v>
      </c>
      <c r="C484" s="39" t="s">
        <v>1058</v>
      </c>
      <c r="D484" s="39">
        <v>24</v>
      </c>
      <c r="E484" s="39" t="s">
        <v>1073</v>
      </c>
      <c r="F484" s="39" t="s">
        <v>1060</v>
      </c>
      <c r="G484" s="39" t="s">
        <v>1063</v>
      </c>
      <c r="H484" s="39" t="s">
        <v>77</v>
      </c>
      <c r="I484" s="39"/>
      <c r="J484" s="39" t="str">
        <f t="shared" si="73"/>
        <v>Female</v>
      </c>
      <c r="K484" s="39" t="str">
        <f t="shared" si="74"/>
        <v>Singaporean</v>
      </c>
      <c r="L484" s="39" t="str">
        <f t="shared" si="75"/>
        <v xml:space="preserve">Case 749 is a Imported case, 24 years old female Singapore Citizen  and has been to UK . She is currently admitted at KTPH . </v>
      </c>
      <c r="M484" s="39">
        <f t="shared" si="76"/>
        <v>749</v>
      </c>
      <c r="N484" s="39" t="str">
        <f t="shared" si="77"/>
        <v xml:space="preserve">UK </v>
      </c>
      <c r="O484" s="39" t="str">
        <f t="shared" si="78"/>
        <v/>
      </c>
      <c r="P484" s="39" t="str">
        <f t="shared" si="79"/>
        <v/>
      </c>
    </row>
    <row r="485" spans="1:16" x14ac:dyDescent="0.3">
      <c r="A485" s="39">
        <v>750</v>
      </c>
      <c r="B485" s="40">
        <v>43917</v>
      </c>
      <c r="C485" s="39" t="s">
        <v>1071</v>
      </c>
      <c r="D485" s="39">
        <v>22</v>
      </c>
      <c r="E485" s="39" t="s">
        <v>1073</v>
      </c>
      <c r="F485" s="39" t="s">
        <v>1060</v>
      </c>
      <c r="G485" s="39" t="s">
        <v>1177</v>
      </c>
      <c r="H485" s="39" t="s">
        <v>77</v>
      </c>
      <c r="I485" s="39"/>
      <c r="J485" s="39" t="str">
        <f t="shared" si="73"/>
        <v>Female</v>
      </c>
      <c r="K485" s="39" t="str">
        <f t="shared" si="74"/>
        <v>Singaporean</v>
      </c>
      <c r="L485" s="39" t="str">
        <f t="shared" si="75"/>
        <v xml:space="preserve">Case 750 is a Imported case, 22 years old female Singapore Citizen  and has been to Pending . She is currently admitted at NCID . </v>
      </c>
      <c r="M485" s="39">
        <f t="shared" si="76"/>
        <v>750</v>
      </c>
      <c r="N485" s="39" t="str">
        <f t="shared" si="77"/>
        <v xml:space="preserve">Pending </v>
      </c>
      <c r="O485" s="39" t="str">
        <f t="shared" si="78"/>
        <v/>
      </c>
      <c r="P485" s="39" t="str">
        <f t="shared" si="79"/>
        <v/>
      </c>
    </row>
    <row r="486" spans="1:16" x14ac:dyDescent="0.3">
      <c r="A486" s="39">
        <v>751</v>
      </c>
      <c r="B486" s="40">
        <v>43917</v>
      </c>
      <c r="C486" s="39" t="s">
        <v>1066</v>
      </c>
      <c r="D486" s="39">
        <v>71</v>
      </c>
      <c r="E486" s="39" t="s">
        <v>1059</v>
      </c>
      <c r="F486" s="39" t="s">
        <v>1060</v>
      </c>
      <c r="G486" s="39" t="s">
        <v>1177</v>
      </c>
      <c r="H486" s="39" t="s">
        <v>77</v>
      </c>
      <c r="I486" s="39"/>
      <c r="J486" s="39" t="str">
        <f t="shared" si="73"/>
        <v>Male</v>
      </c>
      <c r="K486" s="39" t="str">
        <f t="shared" si="74"/>
        <v>Singaporean</v>
      </c>
      <c r="L486" s="39" t="str">
        <f t="shared" si="75"/>
        <v xml:space="preserve">Case 751 is a Imported case, 71 years old male Singapore Citizen  and has been to Pending . He is currently admitted at SKH . </v>
      </c>
      <c r="M486" s="39">
        <f t="shared" si="76"/>
        <v>751</v>
      </c>
      <c r="N486" s="39" t="str">
        <f t="shared" si="77"/>
        <v xml:space="preserve">Pending </v>
      </c>
      <c r="O486" s="39" t="str">
        <f t="shared" si="78"/>
        <v/>
      </c>
      <c r="P486" s="39" t="str">
        <f t="shared" si="79"/>
        <v/>
      </c>
    </row>
    <row r="487" spans="1:16" x14ac:dyDescent="0.3">
      <c r="A487" s="39">
        <v>752</v>
      </c>
      <c r="B487" s="40">
        <v>43917</v>
      </c>
      <c r="C487" s="39" t="s">
        <v>1066</v>
      </c>
      <c r="D487" s="39">
        <v>70</v>
      </c>
      <c r="E487" s="39" t="s">
        <v>1073</v>
      </c>
      <c r="F487" s="39" t="s">
        <v>1060</v>
      </c>
      <c r="G487" s="39" t="s">
        <v>1177</v>
      </c>
      <c r="H487" s="39" t="s">
        <v>77</v>
      </c>
      <c r="I487" s="39"/>
      <c r="J487" s="39" t="str">
        <f t="shared" si="73"/>
        <v>Female</v>
      </c>
      <c r="K487" s="39" t="str">
        <f t="shared" si="74"/>
        <v>Singaporean</v>
      </c>
      <c r="L487" s="39" t="str">
        <f t="shared" si="75"/>
        <v xml:space="preserve">Case 752 is a Imported case, 70 years old female Singapore Citizen  and has been to Pending . She is currently admitted at SKH . </v>
      </c>
      <c r="M487" s="39">
        <f t="shared" si="76"/>
        <v>752</v>
      </c>
      <c r="N487" s="39" t="str">
        <f t="shared" si="77"/>
        <v xml:space="preserve">Pending </v>
      </c>
      <c r="O487" s="39" t="str">
        <f t="shared" si="78"/>
        <v/>
      </c>
      <c r="P487" s="39" t="str">
        <f t="shared" si="79"/>
        <v/>
      </c>
    </row>
    <row r="488" spans="1:16" x14ac:dyDescent="0.3">
      <c r="A488" s="39">
        <v>753</v>
      </c>
      <c r="B488" s="40">
        <v>43917</v>
      </c>
      <c r="C488" s="39" t="s">
        <v>1066</v>
      </c>
      <c r="D488" s="39">
        <v>24</v>
      </c>
      <c r="E488" s="39" t="s">
        <v>1059</v>
      </c>
      <c r="F488" s="39" t="s">
        <v>1060</v>
      </c>
      <c r="G488" s="39" t="s">
        <v>809</v>
      </c>
      <c r="H488" s="39" t="s">
        <v>77</v>
      </c>
      <c r="I488" s="39"/>
      <c r="J488" s="39" t="str">
        <f t="shared" si="73"/>
        <v>Male</v>
      </c>
      <c r="K488" s="39" t="str">
        <f t="shared" si="74"/>
        <v>Singaporean</v>
      </c>
      <c r="L488" s="39" t="str">
        <f t="shared" si="75"/>
        <v xml:space="preserve">Case 753 is a Imported case, 24 years old male Singapore Citizen  and has been to Canada . He is currently admitted at SKH . </v>
      </c>
      <c r="M488" s="39">
        <f t="shared" si="76"/>
        <v>753</v>
      </c>
      <c r="N488" s="39" t="str">
        <f t="shared" si="77"/>
        <v xml:space="preserve">Canada </v>
      </c>
      <c r="O488" s="39" t="str">
        <f t="shared" si="78"/>
        <v/>
      </c>
      <c r="P488" s="39" t="str">
        <f t="shared" si="79"/>
        <v/>
      </c>
    </row>
    <row r="489" spans="1:16" x14ac:dyDescent="0.3">
      <c r="A489" s="39">
        <v>754</v>
      </c>
      <c r="B489" s="40">
        <v>43917</v>
      </c>
      <c r="C489" s="39" t="s">
        <v>1071</v>
      </c>
      <c r="D489" s="39">
        <v>22</v>
      </c>
      <c r="E489" s="39" t="s">
        <v>1059</v>
      </c>
      <c r="F489" s="39" t="s">
        <v>1060</v>
      </c>
      <c r="G489" s="39" t="s">
        <v>1063</v>
      </c>
      <c r="H489" s="39" t="s">
        <v>77</v>
      </c>
      <c r="I489" s="39"/>
      <c r="J489" s="39" t="str">
        <f t="shared" si="73"/>
        <v>Male</v>
      </c>
      <c r="K489" s="39" t="str">
        <f t="shared" si="74"/>
        <v>Singaporean</v>
      </c>
      <c r="L489" s="39" t="str">
        <f t="shared" si="75"/>
        <v xml:space="preserve">Case 754 is a Imported case, 22 years old male Singapore Citizen  and has been to UK . He is currently admitted at NCID . </v>
      </c>
      <c r="M489" s="39">
        <f t="shared" si="76"/>
        <v>754</v>
      </c>
      <c r="N489" s="39" t="str">
        <f t="shared" si="77"/>
        <v xml:space="preserve">UK </v>
      </c>
      <c r="O489" s="39" t="str">
        <f t="shared" si="78"/>
        <v/>
      </c>
      <c r="P489" s="39" t="str">
        <f t="shared" si="79"/>
        <v/>
      </c>
    </row>
    <row r="490" spans="1:16" x14ac:dyDescent="0.3">
      <c r="A490" s="39">
        <v>755</v>
      </c>
      <c r="B490" s="40">
        <v>43917</v>
      </c>
      <c r="C490" s="39" t="s">
        <v>1071</v>
      </c>
      <c r="D490" s="39">
        <v>25</v>
      </c>
      <c r="E490" s="39" t="s">
        <v>1059</v>
      </c>
      <c r="F490" s="39" t="s">
        <v>1060</v>
      </c>
      <c r="G490" s="39" t="s">
        <v>1307</v>
      </c>
      <c r="H490" s="39" t="s">
        <v>77</v>
      </c>
      <c r="I490" s="39"/>
      <c r="J490" s="39" t="str">
        <f t="shared" si="73"/>
        <v>Male</v>
      </c>
      <c r="K490" s="39" t="str">
        <f t="shared" si="74"/>
        <v>Singaporean</v>
      </c>
      <c r="L490" s="39" t="str">
        <f t="shared" si="75"/>
        <v xml:space="preserve">Case 755 is a Imported case, 25 years old male Singapore Citizen  and has been to Laos . He is currently admitted at NCID . </v>
      </c>
      <c r="M490" s="39">
        <f t="shared" si="76"/>
        <v>755</v>
      </c>
      <c r="N490" s="39" t="str">
        <f t="shared" si="77"/>
        <v xml:space="preserve">Laos </v>
      </c>
      <c r="O490" s="39" t="str">
        <f t="shared" si="78"/>
        <v/>
      </c>
      <c r="P490" s="39" t="str">
        <f t="shared" si="79"/>
        <v/>
      </c>
    </row>
    <row r="491" spans="1:16" x14ac:dyDescent="0.3">
      <c r="A491" s="39">
        <v>756</v>
      </c>
      <c r="B491" s="40">
        <v>43917</v>
      </c>
      <c r="C491" s="39" t="s">
        <v>1071</v>
      </c>
      <c r="D491" s="39">
        <v>42</v>
      </c>
      <c r="E491" s="39" t="s">
        <v>1059</v>
      </c>
      <c r="F491" s="39" t="s">
        <v>1060</v>
      </c>
      <c r="G491" s="39"/>
      <c r="H491" s="39" t="s">
        <v>1061</v>
      </c>
      <c r="I491" s="39"/>
      <c r="J491" s="39" t="str">
        <f t="shared" si="73"/>
        <v>Male</v>
      </c>
      <c r="K491" s="39" t="str">
        <f t="shared" si="74"/>
        <v>Singaporean</v>
      </c>
      <c r="L491" s="39" t="str">
        <f t="shared" si="75"/>
        <v xml:space="preserve">Case 756 is a Local unlinked case, 42 years old male Singapore Citizen  and has not been overseas. He is currently admitted at NCID . </v>
      </c>
      <c r="M491" s="39" t="str">
        <f t="shared" si="76"/>
        <v/>
      </c>
      <c r="N491" s="39" t="str">
        <f t="shared" si="77"/>
        <v/>
      </c>
      <c r="O491" s="39" t="str">
        <f t="shared" si="78"/>
        <v/>
      </c>
      <c r="P491" s="39" t="str">
        <f t="shared" si="79"/>
        <v/>
      </c>
    </row>
    <row r="492" spans="1:16" x14ac:dyDescent="0.3">
      <c r="A492" s="39">
        <v>757</v>
      </c>
      <c r="B492" s="40">
        <v>43917</v>
      </c>
      <c r="C492" s="39" t="s">
        <v>1064</v>
      </c>
      <c r="D492" s="39">
        <v>22</v>
      </c>
      <c r="E492" s="39" t="s">
        <v>1073</v>
      </c>
      <c r="F492" s="39" t="s">
        <v>1060</v>
      </c>
      <c r="G492" s="39"/>
      <c r="H492" s="39" t="s">
        <v>1061</v>
      </c>
      <c r="I492" s="39"/>
      <c r="J492" s="39" t="str">
        <f t="shared" si="73"/>
        <v>Female</v>
      </c>
      <c r="K492" s="39" t="str">
        <f t="shared" si="74"/>
        <v>Singaporean</v>
      </c>
      <c r="L492" s="39" t="str">
        <f t="shared" si="75"/>
        <v xml:space="preserve">Case 757 is a Local unlinked case, 22 years old female Singapore Citizen  and has not been overseas. She is currently admitted at CGH . </v>
      </c>
      <c r="M492" s="39" t="str">
        <f t="shared" si="76"/>
        <v/>
      </c>
      <c r="N492" s="39" t="str">
        <f t="shared" si="77"/>
        <v/>
      </c>
      <c r="O492" s="39" t="str">
        <f t="shared" si="78"/>
        <v/>
      </c>
      <c r="P492" s="39" t="str">
        <f t="shared" si="79"/>
        <v/>
      </c>
    </row>
    <row r="493" spans="1:16" x14ac:dyDescent="0.3">
      <c r="A493" s="39">
        <v>758</v>
      </c>
      <c r="B493" s="40">
        <v>43917</v>
      </c>
      <c r="C493" s="39" t="s">
        <v>1062</v>
      </c>
      <c r="D493" s="39">
        <v>23</v>
      </c>
      <c r="E493" s="39" t="s">
        <v>1059</v>
      </c>
      <c r="F493" s="39" t="s">
        <v>1060</v>
      </c>
      <c r="G493" s="39" t="s">
        <v>1085</v>
      </c>
      <c r="H493" s="39" t="s">
        <v>77</v>
      </c>
      <c r="I493" s="39"/>
      <c r="J493" s="39" t="str">
        <f t="shared" si="73"/>
        <v>Male</v>
      </c>
      <c r="K493" s="39" t="str">
        <f t="shared" si="74"/>
        <v>Singaporean</v>
      </c>
      <c r="L493" s="39" t="str">
        <f t="shared" si="75"/>
        <v xml:space="preserve">Case 758 is a Imported case, 23 years old male Singapore Citizen  and has been to US . He is currently admitted at NTFGH . </v>
      </c>
      <c r="M493" s="39">
        <f t="shared" si="76"/>
        <v>758</v>
      </c>
      <c r="N493" s="39" t="str">
        <f t="shared" si="77"/>
        <v xml:space="preserve">US </v>
      </c>
      <c r="O493" s="39" t="str">
        <f t="shared" si="78"/>
        <v/>
      </c>
      <c r="P493" s="39" t="str">
        <f t="shared" si="79"/>
        <v/>
      </c>
    </row>
    <row r="494" spans="1:16" x14ac:dyDescent="0.3">
      <c r="A494" s="39">
        <v>759</v>
      </c>
      <c r="B494" s="40">
        <v>43917</v>
      </c>
      <c r="C494" s="39" t="s">
        <v>343</v>
      </c>
      <c r="D494" s="39">
        <v>1</v>
      </c>
      <c r="E494" s="39" t="s">
        <v>1073</v>
      </c>
      <c r="F494" s="39" t="s">
        <v>1060</v>
      </c>
      <c r="G494" s="39" t="s">
        <v>1308</v>
      </c>
      <c r="H494" s="39" t="s">
        <v>77</v>
      </c>
      <c r="I494" s="39"/>
      <c r="J494" s="39" t="str">
        <f t="shared" si="73"/>
        <v>Female</v>
      </c>
      <c r="K494" s="39" t="str">
        <f t="shared" si="74"/>
        <v>Singaporean</v>
      </c>
      <c r="L494" s="39" t="str">
        <f t="shared" si="75"/>
        <v xml:space="preserve">Case 759 is a Imported case, 1 years old female Singapore Citizen  and has been to UK, France . She is currently admitted at NUH . </v>
      </c>
      <c r="M494" s="39">
        <f t="shared" si="76"/>
        <v>759</v>
      </c>
      <c r="N494" s="39" t="str">
        <f t="shared" si="77"/>
        <v xml:space="preserve">UK, France </v>
      </c>
      <c r="O494" s="39" t="str">
        <f t="shared" si="78"/>
        <v/>
      </c>
      <c r="P494" s="39" t="str">
        <f t="shared" si="79"/>
        <v/>
      </c>
    </row>
    <row r="495" spans="1:16" x14ac:dyDescent="0.3">
      <c r="A495" s="39">
        <v>760</v>
      </c>
      <c r="B495" s="40">
        <v>43917</v>
      </c>
      <c r="C495" s="39" t="s">
        <v>1058</v>
      </c>
      <c r="D495" s="39">
        <v>64</v>
      </c>
      <c r="E495" s="39" t="s">
        <v>1059</v>
      </c>
      <c r="F495" s="39" t="s">
        <v>1060</v>
      </c>
      <c r="G495" s="39" t="s">
        <v>1081</v>
      </c>
      <c r="H495" s="39" t="s">
        <v>1069</v>
      </c>
      <c r="I495" s="39" t="s">
        <v>1309</v>
      </c>
      <c r="J495" s="39" t="str">
        <f t="shared" si="73"/>
        <v>Male</v>
      </c>
      <c r="K495" s="39" t="str">
        <f t="shared" si="74"/>
        <v>Singaporean</v>
      </c>
      <c r="L495" s="39" t="str">
        <f t="shared" si="75"/>
        <v>Case 760 is a Imported  case, 64 years old male Singapore Citizen  and has been to Turkey . He is currently admitted at KTPH . Contact of Case 683, 700, 702, 703 and 798</v>
      </c>
      <c r="M495" s="39">
        <f t="shared" si="76"/>
        <v>760</v>
      </c>
      <c r="N495" s="39" t="str">
        <f t="shared" si="77"/>
        <v xml:space="preserve">Turkey </v>
      </c>
      <c r="O495" s="39">
        <f t="shared" si="78"/>
        <v>760</v>
      </c>
      <c r="P495" s="39" t="str">
        <f t="shared" si="79"/>
        <v>Contact of Case 683, 700, 702, 703 and 798</v>
      </c>
    </row>
    <row r="496" spans="1:16" x14ac:dyDescent="0.3">
      <c r="A496" s="39">
        <v>761</v>
      </c>
      <c r="B496" s="40">
        <v>43917</v>
      </c>
      <c r="C496" s="39" t="s">
        <v>343</v>
      </c>
      <c r="D496" s="39">
        <v>36</v>
      </c>
      <c r="E496" s="39" t="s">
        <v>1073</v>
      </c>
      <c r="F496" s="39" t="s">
        <v>1310</v>
      </c>
      <c r="G496" s="39"/>
      <c r="H496" s="39" t="s">
        <v>1086</v>
      </c>
      <c r="I496" s="39" t="s">
        <v>1236</v>
      </c>
      <c r="J496" s="39" t="str">
        <f t="shared" si="73"/>
        <v>Female</v>
      </c>
      <c r="K496" s="39" t="str">
        <f t="shared" si="74"/>
        <v>South Africa</v>
      </c>
      <c r="L496" s="39" t="str">
        <f t="shared" si="75"/>
        <v>Case 761 is a Local linked  case, 36 years old female South Africa (Singapore Work Pass holder)  and has not been overseas. She is currently admitted at NUH . Dover Court International School</v>
      </c>
      <c r="M496" s="39" t="str">
        <f t="shared" si="76"/>
        <v/>
      </c>
      <c r="N496" s="39" t="str">
        <f t="shared" si="77"/>
        <v/>
      </c>
      <c r="O496" s="39">
        <f t="shared" si="78"/>
        <v>761</v>
      </c>
      <c r="P496" s="39" t="str">
        <f t="shared" si="79"/>
        <v>Dover Court International School</v>
      </c>
    </row>
    <row r="497" spans="1:16" x14ac:dyDescent="0.3">
      <c r="A497" s="39">
        <v>762</v>
      </c>
      <c r="B497" s="40">
        <v>43917</v>
      </c>
      <c r="C497" s="39" t="s">
        <v>343</v>
      </c>
      <c r="D497" s="39">
        <v>21</v>
      </c>
      <c r="E497" s="39" t="s">
        <v>1059</v>
      </c>
      <c r="F497" s="39" t="s">
        <v>798</v>
      </c>
      <c r="G497" s="39" t="s">
        <v>1085</v>
      </c>
      <c r="H497" s="39" t="s">
        <v>77</v>
      </c>
      <c r="I497" s="39"/>
      <c r="J497" s="39" t="str">
        <f t="shared" si="73"/>
        <v>Male</v>
      </c>
      <c r="K497" s="39" t="str">
        <f t="shared" si="74"/>
        <v xml:space="preserve">India </v>
      </c>
      <c r="L497" s="39" t="str">
        <f t="shared" si="75"/>
        <v xml:space="preserve">Case 762 is a Imported case, 21 years old male India  and has been to US . He is currently admitted at NUH . </v>
      </c>
      <c r="M497" s="39">
        <f t="shared" si="76"/>
        <v>762</v>
      </c>
      <c r="N497" s="39" t="str">
        <f t="shared" si="77"/>
        <v xml:space="preserve">US </v>
      </c>
      <c r="O497" s="39" t="str">
        <f t="shared" si="78"/>
        <v/>
      </c>
      <c r="P497" s="39" t="str">
        <f t="shared" si="79"/>
        <v/>
      </c>
    </row>
    <row r="498" spans="1:16" x14ac:dyDescent="0.3">
      <c r="A498" s="39">
        <v>763</v>
      </c>
      <c r="B498" s="40">
        <v>43917</v>
      </c>
      <c r="C498" s="39" t="s">
        <v>343</v>
      </c>
      <c r="D498" s="39">
        <v>21</v>
      </c>
      <c r="E498" s="39" t="s">
        <v>1073</v>
      </c>
      <c r="F498" s="39" t="s">
        <v>1060</v>
      </c>
      <c r="G498" s="39" t="s">
        <v>1085</v>
      </c>
      <c r="H498" s="39" t="s">
        <v>77</v>
      </c>
      <c r="I498" s="39"/>
      <c r="J498" s="39" t="str">
        <f t="shared" si="73"/>
        <v>Female</v>
      </c>
      <c r="K498" s="39" t="str">
        <f t="shared" si="74"/>
        <v>Singaporean</v>
      </c>
      <c r="L498" s="39" t="str">
        <f t="shared" si="75"/>
        <v xml:space="preserve">Case 763 is a Imported case, 21 years old female Singapore Citizen  and has been to US . She is currently admitted at NUH . </v>
      </c>
      <c r="M498" s="39">
        <f t="shared" si="76"/>
        <v>763</v>
      </c>
      <c r="N498" s="39" t="str">
        <f t="shared" si="77"/>
        <v xml:space="preserve">US </v>
      </c>
      <c r="O498" s="39" t="str">
        <f t="shared" si="78"/>
        <v/>
      </c>
      <c r="P498" s="39" t="str">
        <f t="shared" si="79"/>
        <v/>
      </c>
    </row>
    <row r="499" spans="1:16" x14ac:dyDescent="0.3">
      <c r="A499" s="39">
        <v>764</v>
      </c>
      <c r="B499" s="40">
        <v>43917</v>
      </c>
      <c r="C499" s="39" t="s">
        <v>1071</v>
      </c>
      <c r="D499" s="39">
        <v>51</v>
      </c>
      <c r="E499" s="39" t="s">
        <v>1059</v>
      </c>
      <c r="F499" s="39" t="s">
        <v>1311</v>
      </c>
      <c r="G499" s="39"/>
      <c r="H499" s="39" t="s">
        <v>1061</v>
      </c>
      <c r="I499" s="39"/>
      <c r="J499" s="39" t="str">
        <f t="shared" si="73"/>
        <v>Male</v>
      </c>
      <c r="K499" s="39" t="str">
        <f t="shared" si="74"/>
        <v>Spain</v>
      </c>
      <c r="L499" s="39" t="str">
        <f t="shared" si="75"/>
        <v xml:space="preserve">Case 764 is a Local unlinked case, 51 years old male Spain (Singapore Work Pass holder)  and has not been overseas. He is currently admitted at NCID . </v>
      </c>
      <c r="M499" s="39" t="str">
        <f t="shared" si="76"/>
        <v/>
      </c>
      <c r="N499" s="39" t="str">
        <f t="shared" si="77"/>
        <v/>
      </c>
      <c r="O499" s="39" t="str">
        <f t="shared" si="78"/>
        <v/>
      </c>
      <c r="P499" s="39" t="str">
        <f t="shared" si="79"/>
        <v/>
      </c>
    </row>
    <row r="500" spans="1:16" x14ac:dyDescent="0.3">
      <c r="A500" s="39">
        <v>765</v>
      </c>
      <c r="B500" s="40">
        <v>43917</v>
      </c>
      <c r="C500" s="39" t="s">
        <v>1071</v>
      </c>
      <c r="D500" s="39">
        <v>31</v>
      </c>
      <c r="E500" s="39" t="s">
        <v>1059</v>
      </c>
      <c r="F500" s="39" t="s">
        <v>1060</v>
      </c>
      <c r="G500" s="39"/>
      <c r="H500" s="39" t="s">
        <v>1061</v>
      </c>
      <c r="I500" s="39"/>
      <c r="J500" s="39" t="str">
        <f t="shared" si="73"/>
        <v>Male</v>
      </c>
      <c r="K500" s="39" t="str">
        <f t="shared" si="74"/>
        <v>Singaporean</v>
      </c>
      <c r="L500" s="39" t="str">
        <f t="shared" si="75"/>
        <v xml:space="preserve">Case 765 is a Local unlinked case, 31 years old male Singapore Citizen  and has not been overseas. He is currently admitted at NCID . </v>
      </c>
      <c r="M500" s="39" t="str">
        <f t="shared" si="76"/>
        <v/>
      </c>
      <c r="N500" s="39" t="str">
        <f t="shared" si="77"/>
        <v/>
      </c>
      <c r="O500" s="39" t="str">
        <f t="shared" si="78"/>
        <v/>
      </c>
      <c r="P500" s="39" t="str">
        <f t="shared" si="79"/>
        <v/>
      </c>
    </row>
    <row r="501" spans="1:16" x14ac:dyDescent="0.3">
      <c r="A501" s="39">
        <v>766</v>
      </c>
      <c r="B501" s="40">
        <v>43917</v>
      </c>
      <c r="C501" s="39" t="s">
        <v>1071</v>
      </c>
      <c r="D501" s="39">
        <v>50</v>
      </c>
      <c r="E501" s="39" t="s">
        <v>1059</v>
      </c>
      <c r="F501" s="39" t="s">
        <v>1060</v>
      </c>
      <c r="G501" s="39" t="s">
        <v>1177</v>
      </c>
      <c r="H501" s="39" t="s">
        <v>77</v>
      </c>
      <c r="I501" s="39"/>
      <c r="J501" s="39" t="str">
        <f t="shared" si="73"/>
        <v>Male</v>
      </c>
      <c r="K501" s="39" t="str">
        <f t="shared" si="74"/>
        <v>Singaporean</v>
      </c>
      <c r="L501" s="39" t="str">
        <f t="shared" si="75"/>
        <v xml:space="preserve">Case 766 is a Imported case, 50 years old male Singapore Citizen  and has been to Pending . He is currently admitted at NCID . </v>
      </c>
      <c r="M501" s="39">
        <f t="shared" si="76"/>
        <v>766</v>
      </c>
      <c r="N501" s="39" t="str">
        <f t="shared" si="77"/>
        <v xml:space="preserve">Pending </v>
      </c>
      <c r="O501" s="39" t="str">
        <f t="shared" si="78"/>
        <v/>
      </c>
      <c r="P501" s="39" t="str">
        <f t="shared" si="79"/>
        <v/>
      </c>
    </row>
    <row r="502" spans="1:16" x14ac:dyDescent="0.3">
      <c r="A502" s="39">
        <v>767</v>
      </c>
      <c r="B502" s="40">
        <v>43917</v>
      </c>
      <c r="C502" s="39" t="s">
        <v>1071</v>
      </c>
      <c r="D502" s="39">
        <v>28</v>
      </c>
      <c r="E502" s="39" t="s">
        <v>1059</v>
      </c>
      <c r="F502" s="39" t="s">
        <v>1060</v>
      </c>
      <c r="G502" s="39"/>
      <c r="H502" s="39" t="s">
        <v>1061</v>
      </c>
      <c r="I502" s="39"/>
      <c r="J502" s="39" t="str">
        <f t="shared" si="73"/>
        <v>Male</v>
      </c>
      <c r="K502" s="39" t="str">
        <f t="shared" si="74"/>
        <v>Singaporean</v>
      </c>
      <c r="L502" s="39" t="str">
        <f t="shared" si="75"/>
        <v xml:space="preserve">Case 767 is a Local unlinked case, 28 years old male Singapore Citizen  and has not been overseas. He is currently admitted at NCID . </v>
      </c>
      <c r="M502" s="39" t="str">
        <f t="shared" si="76"/>
        <v/>
      </c>
      <c r="N502" s="39" t="str">
        <f t="shared" si="77"/>
        <v/>
      </c>
      <c r="O502" s="39" t="str">
        <f t="shared" si="78"/>
        <v/>
      </c>
      <c r="P502" s="39" t="str">
        <f t="shared" si="79"/>
        <v/>
      </c>
    </row>
    <row r="503" spans="1:16" x14ac:dyDescent="0.3">
      <c r="A503" s="39">
        <v>768</v>
      </c>
      <c r="B503" s="40">
        <v>43917</v>
      </c>
      <c r="C503" s="39" t="s">
        <v>1138</v>
      </c>
      <c r="D503" s="39">
        <v>42</v>
      </c>
      <c r="E503" s="39" t="s">
        <v>1312</v>
      </c>
      <c r="F503" s="39" t="s">
        <v>1313</v>
      </c>
      <c r="G503" s="39"/>
      <c r="H503" s="39" t="s">
        <v>1061</v>
      </c>
      <c r="I503" s="39"/>
      <c r="J503" s="39" t="str">
        <f t="shared" si="73"/>
        <v>Male</v>
      </c>
      <c r="K503" s="39" t="str">
        <f t="shared" si="74"/>
        <v>Banglades</v>
      </c>
      <c r="L503" s="39" t="str">
        <f t="shared" si="75"/>
        <v xml:space="preserve">Case 768 is a Local unlinked case, 42 years old male Bangladesh(Singapore Work Pass holder)  and has not been overseas. He is currently admitted at SGH . </v>
      </c>
      <c r="M503" s="39" t="str">
        <f t="shared" si="76"/>
        <v/>
      </c>
      <c r="N503" s="39" t="str">
        <f t="shared" si="77"/>
        <v/>
      </c>
      <c r="O503" s="39" t="str">
        <f t="shared" si="78"/>
        <v/>
      </c>
      <c r="P503" s="39" t="str">
        <f t="shared" si="79"/>
        <v/>
      </c>
    </row>
    <row r="504" spans="1:16" x14ac:dyDescent="0.3">
      <c r="A504" s="39">
        <v>769</v>
      </c>
      <c r="B504" s="40">
        <v>43917</v>
      </c>
      <c r="C504" s="39" t="s">
        <v>1062</v>
      </c>
      <c r="D504" s="39">
        <v>44</v>
      </c>
      <c r="E504" s="39" t="s">
        <v>1059</v>
      </c>
      <c r="F504" s="39" t="s">
        <v>1060</v>
      </c>
      <c r="G504" s="39" t="s">
        <v>1233</v>
      </c>
      <c r="H504" s="39" t="s">
        <v>1069</v>
      </c>
      <c r="I504" s="39" t="s">
        <v>1314</v>
      </c>
      <c r="J504" s="39" t="str">
        <f t="shared" si="73"/>
        <v>Male</v>
      </c>
      <c r="K504" s="39" t="str">
        <f t="shared" si="74"/>
        <v>Singaporean</v>
      </c>
      <c r="L504" s="39" t="str">
        <f t="shared" si="75"/>
        <v>Case 769 is a Imported  case, 44 years old male Singapore Citizen  and has been to Pakistan . He is currently admitted at NTFGH . Contact of Cases 577, 629 and 726</v>
      </c>
      <c r="M504" s="39">
        <f t="shared" si="76"/>
        <v>769</v>
      </c>
      <c r="N504" s="39" t="str">
        <f t="shared" si="77"/>
        <v xml:space="preserve">Pakistan </v>
      </c>
      <c r="O504" s="39">
        <f t="shared" si="78"/>
        <v>769</v>
      </c>
      <c r="P504" s="39" t="str">
        <f t="shared" si="79"/>
        <v>Contact of Cases 577, 629 and 726</v>
      </c>
    </row>
    <row r="505" spans="1:16" x14ac:dyDescent="0.3">
      <c r="A505" s="39">
        <v>770</v>
      </c>
      <c r="B505" s="40">
        <v>43917</v>
      </c>
      <c r="C505" s="39" t="s">
        <v>1071</v>
      </c>
      <c r="D505" s="39">
        <v>47</v>
      </c>
      <c r="E505" s="39" t="s">
        <v>1059</v>
      </c>
      <c r="F505" s="39" t="s">
        <v>1156</v>
      </c>
      <c r="G505" s="39" t="s">
        <v>360</v>
      </c>
      <c r="H505" s="39" t="s">
        <v>77</v>
      </c>
      <c r="I505" s="39"/>
      <c r="J505" s="39" t="str">
        <f t="shared" si="73"/>
        <v>Male</v>
      </c>
      <c r="K505" s="39" t="str">
        <f t="shared" si="74"/>
        <v>Malaysia</v>
      </c>
      <c r="L505" s="39" t="str">
        <f t="shared" si="75"/>
        <v xml:space="preserve">Case 770 is a Imported case, 47 years old male Malaysia (Singapore Work Pass holder)  and has been to Malaysia . He is currently admitted at NCID . </v>
      </c>
      <c r="M505" s="39">
        <f t="shared" si="76"/>
        <v>770</v>
      </c>
      <c r="N505" s="39" t="str">
        <f t="shared" si="77"/>
        <v xml:space="preserve">Malaysia </v>
      </c>
      <c r="O505" s="39" t="str">
        <f t="shared" si="78"/>
        <v/>
      </c>
      <c r="P505" s="39" t="str">
        <f t="shared" si="79"/>
        <v/>
      </c>
    </row>
    <row r="506" spans="1:16" x14ac:dyDescent="0.3">
      <c r="A506" s="39">
        <v>771</v>
      </c>
      <c r="B506" s="40">
        <v>43917</v>
      </c>
      <c r="C506" s="39" t="s">
        <v>1071</v>
      </c>
      <c r="D506" s="39">
        <v>30</v>
      </c>
      <c r="E506" s="39" t="s">
        <v>1059</v>
      </c>
      <c r="F506" s="39" t="s">
        <v>1060</v>
      </c>
      <c r="G506" s="39" t="s">
        <v>1315</v>
      </c>
      <c r="H506" s="39" t="s">
        <v>77</v>
      </c>
      <c r="I506" s="39"/>
      <c r="J506" s="39" t="str">
        <f t="shared" si="73"/>
        <v>Male</v>
      </c>
      <c r="K506" s="39" t="str">
        <f t="shared" si="74"/>
        <v>Singaporean</v>
      </c>
      <c r="L506" s="39" t="str">
        <f t="shared" si="75"/>
        <v xml:space="preserve">Case 771 is a Imported case, 30 years old male Singapore Citizen  and has been to UK, Portugal . He is currently admitted at NCID . </v>
      </c>
      <c r="M506" s="39">
        <f t="shared" si="76"/>
        <v>771</v>
      </c>
      <c r="N506" s="39" t="str">
        <f t="shared" si="77"/>
        <v xml:space="preserve">UK, Portugal </v>
      </c>
      <c r="O506" s="39" t="str">
        <f t="shared" si="78"/>
        <v/>
      </c>
      <c r="P506" s="39" t="str">
        <f t="shared" si="79"/>
        <v/>
      </c>
    </row>
    <row r="507" spans="1:16" x14ac:dyDescent="0.3">
      <c r="A507" s="39">
        <v>772</v>
      </c>
      <c r="B507" s="40">
        <v>43918</v>
      </c>
      <c r="C507" s="39" t="s">
        <v>1071</v>
      </c>
      <c r="D507" s="39">
        <v>43</v>
      </c>
      <c r="E507" s="39" t="s">
        <v>1059</v>
      </c>
      <c r="F507" s="39" t="s">
        <v>1060</v>
      </c>
      <c r="G507" s="39" t="s">
        <v>1316</v>
      </c>
      <c r="H507" s="39" t="s">
        <v>1069</v>
      </c>
      <c r="I507" s="39" t="s">
        <v>1317</v>
      </c>
      <c r="J507" s="39" t="str">
        <f t="shared" si="73"/>
        <v>Male</v>
      </c>
      <c r="K507" s="39" t="str">
        <f t="shared" si="74"/>
        <v>Singaporean</v>
      </c>
      <c r="L507" s="39" t="str">
        <f t="shared" si="75"/>
        <v>Case 772 is a Imported  case, 43 years old male Singapore Citizen  and has been to USA . He is currently admitted at NCID . Family member of Case 667</v>
      </c>
      <c r="M507" s="39">
        <f t="shared" si="76"/>
        <v>772</v>
      </c>
      <c r="N507" s="39" t="str">
        <f t="shared" si="77"/>
        <v xml:space="preserve">USA </v>
      </c>
      <c r="O507" s="39">
        <f t="shared" si="78"/>
        <v>772</v>
      </c>
      <c r="P507" s="39" t="str">
        <f t="shared" si="79"/>
        <v>Family member of Case 667</v>
      </c>
    </row>
    <row r="508" spans="1:16" x14ac:dyDescent="0.3">
      <c r="A508" s="39">
        <v>773</v>
      </c>
      <c r="B508" s="40">
        <v>43917</v>
      </c>
      <c r="C508" s="39" t="s">
        <v>1071</v>
      </c>
      <c r="D508" s="39">
        <v>55</v>
      </c>
      <c r="E508" s="39" t="s">
        <v>1073</v>
      </c>
      <c r="F508" s="39" t="s">
        <v>1194</v>
      </c>
      <c r="G508" s="39"/>
      <c r="H508" s="39" t="s">
        <v>936</v>
      </c>
      <c r="I508" s="39"/>
      <c r="J508" s="39" t="str">
        <f t="shared" si="73"/>
        <v>Female</v>
      </c>
      <c r="K508" s="39" t="str">
        <f t="shared" si="74"/>
        <v>India</v>
      </c>
      <c r="L508" s="39" t="str">
        <f t="shared" si="75"/>
        <v xml:space="preserve">Case 773 is a Local Unlinked case, 55 years old female India (Long Term Pass holder)  and has not been overseas. She is currently admitted at NCID . </v>
      </c>
      <c r="M508" s="39" t="str">
        <f t="shared" si="76"/>
        <v/>
      </c>
      <c r="N508" s="39" t="str">
        <f t="shared" si="77"/>
        <v/>
      </c>
      <c r="O508" s="39" t="str">
        <f t="shared" si="78"/>
        <v/>
      </c>
      <c r="P508" s="39" t="str">
        <f t="shared" si="79"/>
        <v/>
      </c>
    </row>
    <row r="509" spans="1:16" x14ac:dyDescent="0.3">
      <c r="A509" s="39">
        <v>774</v>
      </c>
      <c r="B509" s="40">
        <v>43917</v>
      </c>
      <c r="C509" s="39" t="s">
        <v>1066</v>
      </c>
      <c r="D509" s="39">
        <v>24</v>
      </c>
      <c r="E509" s="39" t="s">
        <v>1073</v>
      </c>
      <c r="F509" s="39" t="s">
        <v>1060</v>
      </c>
      <c r="G509" s="39" t="s">
        <v>1085</v>
      </c>
      <c r="H509" s="39" t="s">
        <v>1069</v>
      </c>
      <c r="I509" s="39" t="s">
        <v>1318</v>
      </c>
      <c r="J509" s="39" t="str">
        <f t="shared" si="73"/>
        <v>Female</v>
      </c>
      <c r="K509" s="39" t="str">
        <f t="shared" si="74"/>
        <v>Singaporean</v>
      </c>
      <c r="L509" s="39" t="str">
        <f t="shared" si="75"/>
        <v>Case 774 is a Imported  case, 24 years old female Singapore Citizen  and has been to US . She is currently admitted at SKH . Contact of Case 596</v>
      </c>
      <c r="M509" s="39">
        <f t="shared" si="76"/>
        <v>774</v>
      </c>
      <c r="N509" s="39" t="str">
        <f t="shared" si="77"/>
        <v xml:space="preserve">US </v>
      </c>
      <c r="O509" s="39">
        <f t="shared" si="78"/>
        <v>774</v>
      </c>
      <c r="P509" s="39" t="str">
        <f t="shared" si="79"/>
        <v>Contact of Case 596</v>
      </c>
    </row>
    <row r="510" spans="1:16" x14ac:dyDescent="0.3">
      <c r="A510" s="39">
        <v>775</v>
      </c>
      <c r="B510" s="40">
        <v>43917</v>
      </c>
      <c r="C510" s="39" t="s">
        <v>1066</v>
      </c>
      <c r="D510" s="39">
        <v>29</v>
      </c>
      <c r="E510" s="39" t="s">
        <v>1059</v>
      </c>
      <c r="F510" s="39" t="s">
        <v>1060</v>
      </c>
      <c r="G510" s="39" t="s">
        <v>1177</v>
      </c>
      <c r="H510" s="39" t="s">
        <v>1319</v>
      </c>
      <c r="I510" s="39"/>
      <c r="J510" s="39" t="str">
        <f t="shared" si="73"/>
        <v>Male</v>
      </c>
      <c r="K510" s="39" t="str">
        <f t="shared" si="74"/>
        <v>Singaporean</v>
      </c>
      <c r="L510" s="39" t="str">
        <f t="shared" si="75"/>
        <v xml:space="preserve">Case 775 is a imported case, 29 years old male Singapore Citizen  and has been to Pending . He is currently admitted at SKH . </v>
      </c>
      <c r="M510" s="39">
        <f t="shared" si="76"/>
        <v>775</v>
      </c>
      <c r="N510" s="39" t="str">
        <f t="shared" si="77"/>
        <v xml:space="preserve">Pending </v>
      </c>
      <c r="O510" s="39" t="str">
        <f t="shared" si="78"/>
        <v/>
      </c>
      <c r="P510" s="39" t="str">
        <f t="shared" si="79"/>
        <v/>
      </c>
    </row>
    <row r="511" spans="1:16" x14ac:dyDescent="0.3">
      <c r="A511" s="39">
        <v>776</v>
      </c>
      <c r="B511" s="40">
        <v>43917</v>
      </c>
      <c r="C511" s="39" t="s">
        <v>1066</v>
      </c>
      <c r="D511" s="39">
        <v>35</v>
      </c>
      <c r="E511" s="39" t="s">
        <v>1059</v>
      </c>
      <c r="F511" s="39" t="s">
        <v>1060</v>
      </c>
      <c r="G511" s="39" t="s">
        <v>1177</v>
      </c>
      <c r="H511" s="39" t="s">
        <v>77</v>
      </c>
      <c r="I511" s="39"/>
      <c r="J511" s="39" t="str">
        <f t="shared" si="73"/>
        <v>Male</v>
      </c>
      <c r="K511" s="39" t="str">
        <f t="shared" si="74"/>
        <v>Singaporean</v>
      </c>
      <c r="L511" s="39" t="str">
        <f t="shared" si="75"/>
        <v xml:space="preserve">Case 776 is a Imported case, 35 years old male Singapore Citizen  and has been to Pending . He is currently admitted at SKH . </v>
      </c>
      <c r="M511" s="39">
        <f t="shared" si="76"/>
        <v>776</v>
      </c>
      <c r="N511" s="39" t="str">
        <f t="shared" si="77"/>
        <v xml:space="preserve">Pending </v>
      </c>
      <c r="O511" s="39" t="str">
        <f t="shared" si="78"/>
        <v/>
      </c>
      <c r="P511" s="39" t="str">
        <f t="shared" si="79"/>
        <v/>
      </c>
    </row>
    <row r="512" spans="1:16" x14ac:dyDescent="0.3">
      <c r="A512" s="39">
        <v>777</v>
      </c>
      <c r="B512" s="40">
        <v>43918</v>
      </c>
      <c r="C512" s="39" t="s">
        <v>1071</v>
      </c>
      <c r="D512" s="39">
        <v>29</v>
      </c>
      <c r="E512" s="39" t="s">
        <v>1059</v>
      </c>
      <c r="F512" s="39" t="s">
        <v>1060</v>
      </c>
      <c r="G512" s="39" t="s">
        <v>703</v>
      </c>
      <c r="H512" s="39" t="s">
        <v>77</v>
      </c>
      <c r="I512" s="39"/>
      <c r="J512" s="39" t="str">
        <f t="shared" si="73"/>
        <v>Male</v>
      </c>
      <c r="K512" s="39" t="str">
        <f t="shared" si="74"/>
        <v>Singaporean</v>
      </c>
      <c r="L512" s="39" t="str">
        <f t="shared" si="75"/>
        <v xml:space="preserve">Case 777 is a Imported case, 29 years old male Singapore Citizen  and has been to France . He is currently admitted at NCID . </v>
      </c>
      <c r="M512" s="39">
        <f t="shared" si="76"/>
        <v>777</v>
      </c>
      <c r="N512" s="39" t="str">
        <f t="shared" si="77"/>
        <v xml:space="preserve">France </v>
      </c>
      <c r="O512" s="39" t="str">
        <f t="shared" si="78"/>
        <v/>
      </c>
      <c r="P512" s="39" t="str">
        <f t="shared" si="79"/>
        <v/>
      </c>
    </row>
    <row r="513" spans="1:16" x14ac:dyDescent="0.3">
      <c r="A513" s="39">
        <v>778</v>
      </c>
      <c r="B513" s="40">
        <v>43918</v>
      </c>
      <c r="C513" s="39" t="s">
        <v>1071</v>
      </c>
      <c r="D513" s="39">
        <v>21</v>
      </c>
      <c r="E513" s="39" t="s">
        <v>1073</v>
      </c>
      <c r="F513" s="39" t="s">
        <v>1060</v>
      </c>
      <c r="G513" s="39" t="s">
        <v>1063</v>
      </c>
      <c r="H513" s="39" t="s">
        <v>77</v>
      </c>
      <c r="I513" s="39"/>
      <c r="J513" s="39" t="str">
        <f t="shared" si="73"/>
        <v>Female</v>
      </c>
      <c r="K513" s="39" t="str">
        <f t="shared" si="74"/>
        <v>Singaporean</v>
      </c>
      <c r="L513" s="39" t="str">
        <f t="shared" si="75"/>
        <v xml:space="preserve">Case 778 is a Imported case, 21 years old female Singapore Citizen  and has been to UK . She is currently admitted at NCID . </v>
      </c>
      <c r="M513" s="39">
        <f t="shared" si="76"/>
        <v>778</v>
      </c>
      <c r="N513" s="39" t="str">
        <f t="shared" si="77"/>
        <v xml:space="preserve">UK </v>
      </c>
      <c r="O513" s="39" t="str">
        <f t="shared" si="78"/>
        <v/>
      </c>
      <c r="P513" s="39" t="str">
        <f t="shared" si="79"/>
        <v/>
      </c>
    </row>
    <row r="514" spans="1:16" x14ac:dyDescent="0.3">
      <c r="A514" s="39">
        <v>779</v>
      </c>
      <c r="B514" s="40">
        <v>43918</v>
      </c>
      <c r="C514" s="39" t="s">
        <v>1071</v>
      </c>
      <c r="D514" s="39">
        <v>55</v>
      </c>
      <c r="E514" s="39" t="s">
        <v>1073</v>
      </c>
      <c r="F514" s="39" t="s">
        <v>1060</v>
      </c>
      <c r="G514" s="39"/>
      <c r="H514" s="39" t="s">
        <v>1086</v>
      </c>
      <c r="I514" s="39" t="s">
        <v>1320</v>
      </c>
      <c r="J514" s="39" t="str">
        <f t="shared" si="73"/>
        <v>Female</v>
      </c>
      <c r="K514" s="39" t="str">
        <f t="shared" si="74"/>
        <v>Singaporean</v>
      </c>
      <c r="L514" s="39" t="str">
        <f t="shared" si="75"/>
        <v>Case 779 is a Local linked  case, 55 years old female Singapore Citizen  and has not been overseas. She is currently admitted at NCID . Family member of Case 653</v>
      </c>
      <c r="M514" s="39" t="str">
        <f t="shared" si="76"/>
        <v/>
      </c>
      <c r="N514" s="39" t="str">
        <f t="shared" si="77"/>
        <v/>
      </c>
      <c r="O514" s="39">
        <f t="shared" si="78"/>
        <v>779</v>
      </c>
      <c r="P514" s="39" t="str">
        <f t="shared" si="79"/>
        <v>Family member of Case 653</v>
      </c>
    </row>
    <row r="515" spans="1:16" x14ac:dyDescent="0.3">
      <c r="A515" s="39">
        <v>780</v>
      </c>
      <c r="B515" s="40">
        <v>43918</v>
      </c>
      <c r="C515" s="39" t="s">
        <v>1071</v>
      </c>
      <c r="D515" s="39">
        <v>50</v>
      </c>
      <c r="E515" s="39" t="s">
        <v>1073</v>
      </c>
      <c r="F515" s="39" t="s">
        <v>1250</v>
      </c>
      <c r="G515" s="39"/>
      <c r="H515" s="39" t="s">
        <v>1086</v>
      </c>
      <c r="I515" s="39" t="s">
        <v>1321</v>
      </c>
      <c r="J515" s="39" t="str">
        <f t="shared" si="73"/>
        <v>Female</v>
      </c>
      <c r="K515" s="39" t="str">
        <f t="shared" si="74"/>
        <v>Philippines</v>
      </c>
      <c r="L515" s="39" t="str">
        <f t="shared" si="75"/>
        <v>Case 780 is a Local linked  case, 50 years old female Philippines (Singapore Work Pass holder)  and has not been overseas. She is currently admitted at NCID . Contact of Case 652</v>
      </c>
      <c r="M515" s="39" t="str">
        <f t="shared" si="76"/>
        <v/>
      </c>
      <c r="N515" s="39" t="str">
        <f t="shared" si="77"/>
        <v/>
      </c>
      <c r="O515" s="39">
        <f t="shared" si="78"/>
        <v>780</v>
      </c>
      <c r="P515" s="39" t="str">
        <f t="shared" si="79"/>
        <v>Contact of Case 652</v>
      </c>
    </row>
    <row r="516" spans="1:16" x14ac:dyDescent="0.3">
      <c r="A516" s="39">
        <v>781</v>
      </c>
      <c r="B516" s="40">
        <v>43917</v>
      </c>
      <c r="C516" s="39" t="s">
        <v>1058</v>
      </c>
      <c r="D516" s="39">
        <v>43</v>
      </c>
      <c r="E516" s="39" t="s">
        <v>1073</v>
      </c>
      <c r="F516" s="39" t="s">
        <v>1072</v>
      </c>
      <c r="G516" s="39" t="s">
        <v>706</v>
      </c>
      <c r="H516" s="39" t="s">
        <v>77</v>
      </c>
      <c r="I516" s="39"/>
      <c r="J516" s="39" t="str">
        <f t="shared" si="73"/>
        <v>Female</v>
      </c>
      <c r="K516" s="39" t="str">
        <f t="shared" si="74"/>
        <v>Singaporean</v>
      </c>
      <c r="L516" s="39" t="str">
        <f t="shared" si="75"/>
        <v xml:space="preserve">Case 781 is a Imported case, 43 years old female Singapore Permanent Resident  and has been to Philippines . She is currently admitted at KTPH . </v>
      </c>
      <c r="M516" s="39">
        <f t="shared" si="76"/>
        <v>781</v>
      </c>
      <c r="N516" s="39" t="str">
        <f t="shared" si="77"/>
        <v xml:space="preserve">Philippines </v>
      </c>
      <c r="O516" s="39" t="str">
        <f t="shared" si="78"/>
        <v/>
      </c>
      <c r="P516" s="39" t="str">
        <f t="shared" si="79"/>
        <v/>
      </c>
    </row>
    <row r="517" spans="1:16" x14ac:dyDescent="0.3">
      <c r="A517" s="39">
        <v>782</v>
      </c>
      <c r="B517" s="40">
        <v>43917</v>
      </c>
      <c r="C517" s="39" t="s">
        <v>1071</v>
      </c>
      <c r="D517" s="39">
        <v>21</v>
      </c>
      <c r="E517" s="39" t="s">
        <v>1073</v>
      </c>
      <c r="F517" s="39" t="s">
        <v>1060</v>
      </c>
      <c r="G517" s="39" t="s">
        <v>1063</v>
      </c>
      <c r="H517" s="39" t="s">
        <v>77</v>
      </c>
      <c r="I517" s="39"/>
      <c r="J517" s="39" t="str">
        <f t="shared" si="73"/>
        <v>Female</v>
      </c>
      <c r="K517" s="39" t="str">
        <f t="shared" si="74"/>
        <v>Singaporean</v>
      </c>
      <c r="L517" s="39" t="str">
        <f t="shared" si="75"/>
        <v xml:space="preserve">Case 782 is a Imported case, 21 years old female Singapore Citizen  and has been to UK . She is currently admitted at NCID . </v>
      </c>
      <c r="M517" s="39">
        <f t="shared" si="76"/>
        <v>782</v>
      </c>
      <c r="N517" s="39" t="str">
        <f t="shared" si="77"/>
        <v xml:space="preserve">UK </v>
      </c>
      <c r="O517" s="39" t="str">
        <f t="shared" si="78"/>
        <v/>
      </c>
      <c r="P517" s="39" t="str">
        <f t="shared" si="79"/>
        <v/>
      </c>
    </row>
    <row r="518" spans="1:16" x14ac:dyDescent="0.3">
      <c r="A518" s="39">
        <v>783</v>
      </c>
      <c r="B518" s="40">
        <v>43917</v>
      </c>
      <c r="C518" s="39" t="s">
        <v>1071</v>
      </c>
      <c r="D518" s="39">
        <v>19</v>
      </c>
      <c r="E518" s="39" t="s">
        <v>1073</v>
      </c>
      <c r="F518" s="39" t="s">
        <v>1072</v>
      </c>
      <c r="G518" s="39" t="s">
        <v>1063</v>
      </c>
      <c r="H518" s="39" t="s">
        <v>77</v>
      </c>
      <c r="I518" s="39"/>
      <c r="J518" s="39" t="str">
        <f t="shared" si="73"/>
        <v>Female</v>
      </c>
      <c r="K518" s="39" t="str">
        <f t="shared" si="74"/>
        <v>Singaporean</v>
      </c>
      <c r="L518" s="39" t="str">
        <f t="shared" si="75"/>
        <v xml:space="preserve">Case 783 is a Imported case, 19 years old female Singapore Permanent Resident  and has been to UK . She is currently admitted at NCID . </v>
      </c>
      <c r="M518" s="39">
        <f t="shared" si="76"/>
        <v>783</v>
      </c>
      <c r="N518" s="39" t="str">
        <f t="shared" si="77"/>
        <v xml:space="preserve">UK </v>
      </c>
      <c r="O518" s="39" t="str">
        <f t="shared" si="78"/>
        <v/>
      </c>
      <c r="P518" s="39" t="str">
        <f t="shared" si="79"/>
        <v/>
      </c>
    </row>
    <row r="519" spans="1:16" x14ac:dyDescent="0.3">
      <c r="A519" s="39">
        <v>784</v>
      </c>
      <c r="B519" s="40">
        <v>43917</v>
      </c>
      <c r="C519" s="39" t="s">
        <v>1071</v>
      </c>
      <c r="D519" s="39">
        <v>23</v>
      </c>
      <c r="E519" s="39" t="s">
        <v>1073</v>
      </c>
      <c r="F519" s="39" t="s">
        <v>1060</v>
      </c>
      <c r="G519" s="39" t="s">
        <v>1063</v>
      </c>
      <c r="H519" s="39" t="s">
        <v>77</v>
      </c>
      <c r="I519" s="39"/>
      <c r="J519" s="39" t="str">
        <f t="shared" si="73"/>
        <v>Female</v>
      </c>
      <c r="K519" s="39" t="str">
        <f t="shared" si="74"/>
        <v>Singaporean</v>
      </c>
      <c r="L519" s="39" t="str">
        <f t="shared" si="75"/>
        <v xml:space="preserve">Case 784 is a Imported case, 23 years old female Singapore Citizen  and has been to UK . She is currently admitted at NCID . </v>
      </c>
      <c r="M519" s="39">
        <f t="shared" si="76"/>
        <v>784</v>
      </c>
      <c r="N519" s="39" t="str">
        <f t="shared" si="77"/>
        <v xml:space="preserve">UK </v>
      </c>
      <c r="O519" s="39" t="str">
        <f t="shared" si="78"/>
        <v/>
      </c>
      <c r="P519" s="39" t="str">
        <f t="shared" si="79"/>
        <v/>
      </c>
    </row>
    <row r="520" spans="1:16" x14ac:dyDescent="0.3">
      <c r="A520" s="39">
        <v>785</v>
      </c>
      <c r="B520" s="40">
        <v>43917</v>
      </c>
      <c r="C520" s="39" t="s">
        <v>1071</v>
      </c>
      <c r="D520" s="39">
        <v>31</v>
      </c>
      <c r="E520" s="39" t="s">
        <v>1059</v>
      </c>
      <c r="F520" s="39" t="s">
        <v>1060</v>
      </c>
      <c r="G520" s="39" t="s">
        <v>1177</v>
      </c>
      <c r="H520" s="39" t="s">
        <v>77</v>
      </c>
      <c r="I520" s="39"/>
      <c r="J520" s="39" t="str">
        <f t="shared" si="73"/>
        <v>Male</v>
      </c>
      <c r="K520" s="39" t="str">
        <f t="shared" si="74"/>
        <v>Singaporean</v>
      </c>
      <c r="L520" s="39" t="str">
        <f t="shared" si="75"/>
        <v xml:space="preserve">Case 785 is a Imported case, 31 years old male Singapore Citizen  and has been to Pending . He is currently admitted at NCID . </v>
      </c>
      <c r="M520" s="39">
        <f t="shared" si="76"/>
        <v>785</v>
      </c>
      <c r="N520" s="39" t="str">
        <f t="shared" si="77"/>
        <v xml:space="preserve">Pending </v>
      </c>
      <c r="O520" s="39" t="str">
        <f t="shared" si="78"/>
        <v/>
      </c>
      <c r="P520" s="39" t="str">
        <f t="shared" si="79"/>
        <v/>
      </c>
    </row>
    <row r="521" spans="1:16" x14ac:dyDescent="0.3">
      <c r="A521" s="39">
        <v>786</v>
      </c>
      <c r="B521" s="40">
        <v>43917</v>
      </c>
      <c r="C521" s="39" t="s">
        <v>1071</v>
      </c>
      <c r="D521" s="39">
        <v>51</v>
      </c>
      <c r="E521" s="39" t="s">
        <v>1059</v>
      </c>
      <c r="F521" s="39" t="s">
        <v>1060</v>
      </c>
      <c r="G521" s="39" t="s">
        <v>1177</v>
      </c>
      <c r="H521" s="39" t="s">
        <v>77</v>
      </c>
      <c r="I521" s="39"/>
      <c r="J521" s="39" t="str">
        <f t="shared" si="73"/>
        <v>Male</v>
      </c>
      <c r="K521" s="39" t="str">
        <f t="shared" si="74"/>
        <v>Singaporean</v>
      </c>
      <c r="L521" s="39" t="str">
        <f t="shared" si="75"/>
        <v xml:space="preserve">Case 786 is a Imported case, 51 years old male Singapore Citizen  and has been to Pending . He is currently admitted at NCID . </v>
      </c>
      <c r="M521" s="39">
        <f t="shared" si="76"/>
        <v>786</v>
      </c>
      <c r="N521" s="39" t="str">
        <f t="shared" si="77"/>
        <v xml:space="preserve">Pending </v>
      </c>
      <c r="O521" s="39" t="str">
        <f t="shared" si="78"/>
        <v/>
      </c>
      <c r="P521" s="39" t="str">
        <f t="shared" si="79"/>
        <v/>
      </c>
    </row>
    <row r="522" spans="1:16" x14ac:dyDescent="0.3">
      <c r="A522" s="39">
        <v>787</v>
      </c>
      <c r="B522" s="40">
        <v>43918</v>
      </c>
      <c r="C522" s="39" t="s">
        <v>1071</v>
      </c>
      <c r="D522" s="39">
        <v>40</v>
      </c>
      <c r="E522" s="39" t="s">
        <v>1059</v>
      </c>
      <c r="F522" s="39" t="s">
        <v>1060</v>
      </c>
      <c r="G522" s="39" t="s">
        <v>1063</v>
      </c>
      <c r="H522" s="39" t="s">
        <v>77</v>
      </c>
      <c r="I522" s="39"/>
      <c r="J522" s="39" t="str">
        <f t="shared" si="73"/>
        <v>Male</v>
      </c>
      <c r="K522" s="39" t="str">
        <f t="shared" si="74"/>
        <v>Singaporean</v>
      </c>
      <c r="L522" s="39" t="str">
        <f t="shared" si="75"/>
        <v xml:space="preserve">Case 787 is a Imported case, 40 years old male Singapore Citizen  and has been to UK . He is currently admitted at NCID . </v>
      </c>
      <c r="M522" s="39">
        <f t="shared" si="76"/>
        <v>787</v>
      </c>
      <c r="N522" s="39" t="str">
        <f t="shared" si="77"/>
        <v xml:space="preserve">UK </v>
      </c>
      <c r="O522" s="39" t="str">
        <f t="shared" si="78"/>
        <v/>
      </c>
      <c r="P522" s="39" t="str">
        <f t="shared" si="79"/>
        <v/>
      </c>
    </row>
    <row r="523" spans="1:16" x14ac:dyDescent="0.3">
      <c r="A523" s="39">
        <v>788</v>
      </c>
      <c r="B523" s="40">
        <v>43918</v>
      </c>
      <c r="C523" s="39" t="s">
        <v>1071</v>
      </c>
      <c r="D523" s="39">
        <v>57</v>
      </c>
      <c r="E523" s="39" t="s">
        <v>1073</v>
      </c>
      <c r="F523" s="39" t="s">
        <v>1060</v>
      </c>
      <c r="G523" s="39"/>
      <c r="H523" s="39" t="s">
        <v>1061</v>
      </c>
      <c r="I523" s="39"/>
      <c r="J523" s="39" t="str">
        <f t="shared" si="73"/>
        <v>Female</v>
      </c>
      <c r="K523" s="39" t="str">
        <f t="shared" si="74"/>
        <v>Singaporean</v>
      </c>
      <c r="L523" s="39" t="str">
        <f t="shared" si="75"/>
        <v xml:space="preserve">Case 788 is a Local unlinked case, 57 years old female Singapore Citizen  and has not been overseas. She is currently admitted at NCID . </v>
      </c>
      <c r="M523" s="39" t="str">
        <f t="shared" si="76"/>
        <v/>
      </c>
      <c r="N523" s="39" t="str">
        <f t="shared" si="77"/>
        <v/>
      </c>
      <c r="O523" s="39" t="str">
        <f t="shared" si="78"/>
        <v/>
      </c>
      <c r="P523" s="39" t="str">
        <f t="shared" si="79"/>
        <v/>
      </c>
    </row>
    <row r="524" spans="1:16" x14ac:dyDescent="0.3">
      <c r="A524" s="39">
        <v>789</v>
      </c>
      <c r="B524" s="40">
        <v>43918</v>
      </c>
      <c r="C524" s="39" t="s">
        <v>1071</v>
      </c>
      <c r="D524" s="39">
        <v>50</v>
      </c>
      <c r="E524" s="39" t="s">
        <v>1073</v>
      </c>
      <c r="F524" s="39" t="s">
        <v>1060</v>
      </c>
      <c r="G524" s="39"/>
      <c r="H524" s="39" t="s">
        <v>1086</v>
      </c>
      <c r="I524" s="39" t="s">
        <v>1322</v>
      </c>
      <c r="J524" s="39" t="str">
        <f t="shared" si="73"/>
        <v>Female</v>
      </c>
      <c r="K524" s="39" t="str">
        <f t="shared" si="74"/>
        <v>Singaporean</v>
      </c>
      <c r="L524" s="39" t="str">
        <f t="shared" si="75"/>
        <v>Case 789 is a Local linked  case, 50 years old female Singapore Citizen  and has not been overseas. She is currently admitted at NCID . Contact of Case 722</v>
      </c>
      <c r="M524" s="39" t="str">
        <f t="shared" si="76"/>
        <v/>
      </c>
      <c r="N524" s="39" t="str">
        <f t="shared" si="77"/>
        <v/>
      </c>
      <c r="O524" s="39">
        <f t="shared" si="78"/>
        <v>789</v>
      </c>
      <c r="P524" s="39" t="str">
        <f t="shared" si="79"/>
        <v>Contact of Case 722</v>
      </c>
    </row>
    <row r="525" spans="1:16" x14ac:dyDescent="0.3">
      <c r="A525" s="39">
        <v>790</v>
      </c>
      <c r="B525" s="40">
        <v>43918</v>
      </c>
      <c r="C525" s="39" t="s">
        <v>1071</v>
      </c>
      <c r="D525" s="39">
        <v>60</v>
      </c>
      <c r="E525" s="39" t="s">
        <v>1059</v>
      </c>
      <c r="F525" s="39" t="s">
        <v>1072</v>
      </c>
      <c r="G525" s="39" t="s">
        <v>1177</v>
      </c>
      <c r="H525" s="39" t="s">
        <v>77</v>
      </c>
      <c r="I525" s="39"/>
      <c r="J525" s="39" t="str">
        <f t="shared" si="73"/>
        <v>Male</v>
      </c>
      <c r="K525" s="39" t="str">
        <f t="shared" si="74"/>
        <v>Singaporean</v>
      </c>
      <c r="L525" s="39" t="str">
        <f t="shared" si="75"/>
        <v xml:space="preserve">Case 790 is a Imported case, 60 years old male Singapore Permanent Resident  and has been to Pending . He is currently admitted at NCID . </v>
      </c>
      <c r="M525" s="39">
        <f t="shared" si="76"/>
        <v>790</v>
      </c>
      <c r="N525" s="39" t="str">
        <f t="shared" si="77"/>
        <v xml:space="preserve">Pending </v>
      </c>
      <c r="O525" s="39" t="str">
        <f t="shared" si="78"/>
        <v/>
      </c>
      <c r="P525" s="39" t="str">
        <f t="shared" si="79"/>
        <v/>
      </c>
    </row>
    <row r="526" spans="1:16" x14ac:dyDescent="0.3">
      <c r="A526" s="39">
        <v>791</v>
      </c>
      <c r="B526" s="40">
        <v>43918</v>
      </c>
      <c r="C526" s="39" t="s">
        <v>1071</v>
      </c>
      <c r="D526" s="39">
        <v>40</v>
      </c>
      <c r="E526" s="39" t="s">
        <v>1073</v>
      </c>
      <c r="F526" s="39" t="s">
        <v>1173</v>
      </c>
      <c r="G526" s="39"/>
      <c r="H526" s="39" t="s">
        <v>1086</v>
      </c>
      <c r="I526" s="39" t="s">
        <v>1323</v>
      </c>
      <c r="J526" s="39" t="str">
        <f t="shared" si="73"/>
        <v>Female</v>
      </c>
      <c r="K526" s="39" t="str">
        <f t="shared" si="74"/>
        <v>Indonesia</v>
      </c>
      <c r="L526" s="39" t="str">
        <f t="shared" si="75"/>
        <v>Case 791 is a Local linked  case, 40 years old female Indonesia (Long Term Pass holder)  and has not been overseas. She is currently admitted at NCID . Contact of Cases 418 and 512</v>
      </c>
      <c r="M526" s="39" t="str">
        <f t="shared" si="76"/>
        <v/>
      </c>
      <c r="N526" s="39" t="str">
        <f t="shared" si="77"/>
        <v/>
      </c>
      <c r="O526" s="39">
        <f t="shared" si="78"/>
        <v>791</v>
      </c>
      <c r="P526" s="39" t="str">
        <f t="shared" si="79"/>
        <v>Contact of Cases 418 and 512</v>
      </c>
    </row>
    <row r="527" spans="1:16" x14ac:dyDescent="0.3">
      <c r="A527" s="39">
        <v>792</v>
      </c>
      <c r="B527" s="40">
        <v>43918</v>
      </c>
      <c r="C527" s="39" t="s">
        <v>1071</v>
      </c>
      <c r="D527" s="39">
        <v>50</v>
      </c>
      <c r="E527" s="39" t="s">
        <v>1073</v>
      </c>
      <c r="F527" s="39" t="s">
        <v>1072</v>
      </c>
      <c r="G527" s="39"/>
      <c r="H527" s="39" t="s">
        <v>1086</v>
      </c>
      <c r="I527" s="39" t="s">
        <v>1324</v>
      </c>
      <c r="J527" s="39" t="str">
        <f t="shared" si="73"/>
        <v>Female</v>
      </c>
      <c r="K527" s="39" t="str">
        <f t="shared" si="74"/>
        <v>Singaporean</v>
      </c>
      <c r="L527" s="39" t="str">
        <f t="shared" si="75"/>
        <v>Case 792 is a Local linked  case, 50 years old female Singapore Permanent Resident  and has not been overseas. She is currently admitted at NCID . Family member of Case 728</v>
      </c>
      <c r="M527" s="39" t="str">
        <f t="shared" si="76"/>
        <v/>
      </c>
      <c r="N527" s="39" t="str">
        <f t="shared" si="77"/>
        <v/>
      </c>
      <c r="O527" s="39">
        <f t="shared" si="78"/>
        <v>792</v>
      </c>
      <c r="P527" s="39" t="str">
        <f t="shared" si="79"/>
        <v>Family member of Case 728</v>
      </c>
    </row>
    <row r="528" spans="1:16" x14ac:dyDescent="0.3">
      <c r="A528" s="39">
        <v>793</v>
      </c>
      <c r="B528" s="40">
        <v>43918</v>
      </c>
      <c r="C528" s="39" t="s">
        <v>1071</v>
      </c>
      <c r="D528" s="39">
        <v>23</v>
      </c>
      <c r="E528" s="39" t="s">
        <v>1073</v>
      </c>
      <c r="F528" s="39" t="s">
        <v>1060</v>
      </c>
      <c r="G528" s="39"/>
      <c r="H528" s="39" t="s">
        <v>1086</v>
      </c>
      <c r="I528" s="39" t="s">
        <v>1325</v>
      </c>
      <c r="J528" s="39" t="str">
        <f t="shared" si="73"/>
        <v>Female</v>
      </c>
      <c r="K528" s="39" t="str">
        <f t="shared" si="74"/>
        <v>Singaporean</v>
      </c>
      <c r="L528" s="39" t="str">
        <f t="shared" si="75"/>
        <v>Case 793 is a Local linked  case, 23 years old female Singapore Citizen  and has not been overseas. She is currently admitted at NCID . Contact of Case 678</v>
      </c>
      <c r="M528" s="39" t="str">
        <f t="shared" si="76"/>
        <v/>
      </c>
      <c r="N528" s="39" t="str">
        <f t="shared" si="77"/>
        <v/>
      </c>
      <c r="O528" s="39">
        <f t="shared" si="78"/>
        <v>793</v>
      </c>
      <c r="P528" s="39" t="str">
        <f t="shared" si="79"/>
        <v>Contact of Case 678</v>
      </c>
    </row>
    <row r="529" spans="1:16" x14ac:dyDescent="0.3">
      <c r="A529" s="39">
        <v>794</v>
      </c>
      <c r="B529" s="40">
        <v>43917</v>
      </c>
      <c r="C529" s="39" t="s">
        <v>1071</v>
      </c>
      <c r="D529" s="39">
        <v>22</v>
      </c>
      <c r="E529" s="39" t="s">
        <v>1073</v>
      </c>
      <c r="F529" s="39" t="s">
        <v>1177</v>
      </c>
      <c r="G529" s="39" t="s">
        <v>1177</v>
      </c>
      <c r="H529" s="39" t="s">
        <v>77</v>
      </c>
      <c r="I529" s="39"/>
      <c r="J529" s="39" t="str">
        <f t="shared" si="73"/>
        <v>Female</v>
      </c>
      <c r="K529" s="39" t="str">
        <f t="shared" si="74"/>
        <v xml:space="preserve">Pending </v>
      </c>
      <c r="L529" s="39" t="str">
        <f t="shared" si="75"/>
        <v xml:space="preserve">Case 794 is a Imported case, 22 years old female Pending  and has been to Pending . She is currently admitted at NCID . </v>
      </c>
      <c r="M529" s="39">
        <f t="shared" si="76"/>
        <v>794</v>
      </c>
      <c r="N529" s="39" t="str">
        <f t="shared" si="77"/>
        <v xml:space="preserve">Pending </v>
      </c>
      <c r="O529" s="39" t="str">
        <f t="shared" si="78"/>
        <v/>
      </c>
      <c r="P529" s="39" t="str">
        <f t="shared" si="79"/>
        <v/>
      </c>
    </row>
    <row r="530" spans="1:16" x14ac:dyDescent="0.3">
      <c r="A530" s="39">
        <v>795</v>
      </c>
      <c r="B530" s="40">
        <v>43918</v>
      </c>
      <c r="C530" s="39" t="s">
        <v>1071</v>
      </c>
      <c r="D530" s="39">
        <v>18</v>
      </c>
      <c r="E530" s="39" t="s">
        <v>1059</v>
      </c>
      <c r="F530" s="39" t="s">
        <v>1060</v>
      </c>
      <c r="G530" s="39"/>
      <c r="H530" s="39" t="s">
        <v>1086</v>
      </c>
      <c r="I530" s="39" t="s">
        <v>1326</v>
      </c>
      <c r="J530" s="39" t="str">
        <f t="shared" si="73"/>
        <v>Male</v>
      </c>
      <c r="K530" s="39" t="str">
        <f t="shared" si="74"/>
        <v>Singaporean</v>
      </c>
      <c r="L530" s="39" t="str">
        <f t="shared" si="75"/>
        <v>Case 795 is a Local linked  case, 18 years old male Singapore Citizen  and has not been overseas. He is currently admitted at NCID . Contact of Cases 533, 659, 734 and 797</v>
      </c>
      <c r="M530" s="39" t="str">
        <f t="shared" si="76"/>
        <v/>
      </c>
      <c r="N530" s="39" t="str">
        <f t="shared" si="77"/>
        <v/>
      </c>
      <c r="O530" s="39">
        <f t="shared" si="78"/>
        <v>795</v>
      </c>
      <c r="P530" s="39" t="str">
        <f t="shared" si="79"/>
        <v>Contact of Cases 533, 659, 734 and 797</v>
      </c>
    </row>
    <row r="531" spans="1:16" x14ac:dyDescent="0.3">
      <c r="A531" s="39">
        <v>796</v>
      </c>
      <c r="B531" s="40">
        <v>43917</v>
      </c>
      <c r="C531" s="39" t="s">
        <v>1071</v>
      </c>
      <c r="D531" s="39">
        <v>26</v>
      </c>
      <c r="E531" s="39" t="s">
        <v>1059</v>
      </c>
      <c r="F531" s="39" t="s">
        <v>1156</v>
      </c>
      <c r="G531" s="39" t="s">
        <v>360</v>
      </c>
      <c r="H531" s="39" t="s">
        <v>1086</v>
      </c>
      <c r="I531" s="39" t="s">
        <v>1287</v>
      </c>
      <c r="J531" s="39" t="str">
        <f t="shared" si="73"/>
        <v>Male</v>
      </c>
      <c r="K531" s="39" t="str">
        <f t="shared" si="74"/>
        <v>Malaysia</v>
      </c>
      <c r="L531" s="39" t="str">
        <f t="shared" si="75"/>
        <v>Case 796 is a Local linked  case, 26 years old male Malaysia (Singapore Work Pass holder)  and has been to Malaysia . He is currently admitted at NCID . SingPost Centre</v>
      </c>
      <c r="M531" s="39">
        <f t="shared" si="76"/>
        <v>796</v>
      </c>
      <c r="N531" s="39" t="str">
        <f t="shared" si="77"/>
        <v xml:space="preserve">Malaysia </v>
      </c>
      <c r="O531" s="39">
        <f t="shared" si="78"/>
        <v>796</v>
      </c>
      <c r="P531" s="39" t="str">
        <f t="shared" si="79"/>
        <v>SingPost Centre</v>
      </c>
    </row>
    <row r="532" spans="1:16" x14ac:dyDescent="0.3">
      <c r="A532" s="39">
        <v>797</v>
      </c>
      <c r="B532" s="40">
        <v>43918</v>
      </c>
      <c r="C532" s="39" t="s">
        <v>1071</v>
      </c>
      <c r="D532" s="39">
        <v>35</v>
      </c>
      <c r="E532" s="39" t="s">
        <v>1073</v>
      </c>
      <c r="F532" s="39" t="s">
        <v>1173</v>
      </c>
      <c r="G532" s="39"/>
      <c r="H532" s="39" t="s">
        <v>1086</v>
      </c>
      <c r="I532" s="39" t="s">
        <v>1327</v>
      </c>
      <c r="J532" s="39" t="str">
        <f t="shared" ref="J532:J537" si="80">IF(TRIM(E532)="M","Male",IF(TRIM(E532)="F","Female",""))</f>
        <v>Female</v>
      </c>
      <c r="K532" s="39" t="str">
        <f t="shared" ref="K532:K537" si="81">IF(LEFT(F532,9)="Singapore","Singaporean",IF(ISERR(FIND("(",F532)),F532,LEFT(F532,FIND("(",F532)-2)))</f>
        <v>Indonesia</v>
      </c>
      <c r="L532" s="39" t="str">
        <f t="shared" ref="L532:L537" si="82">"Case "&amp;A532&amp;" is a "&amp;H532&amp;" case, "&amp;D532&amp;" years old "&amp;LOWER(J532)&amp;" "&amp;F532 &amp;IF(G532=""," and has not been overseas"," and has been to "&amp;G532)&amp;". "&amp;IF(TRIM(E532)="F","She",IF(TRIM(E532)="M","He"))&amp;" is currently admitted at "&amp;C532&amp;". "&amp;I532</f>
        <v>Case 797 is a Local linked  case, 35 years old female Indonesia (Long Term Pass holder)  and has not been overseas. She is currently admitted at NCID . Contact of Cases 533, 659, 734 and 795</v>
      </c>
      <c r="M532" s="39" t="str">
        <f t="shared" ref="M532:M537" si="83">IF(G532="","",A532)</f>
        <v/>
      </c>
      <c r="N532" s="39" t="str">
        <f t="shared" ref="N532:N537" si="84">IF(G532="","",G532)</f>
        <v/>
      </c>
      <c r="O532" s="39">
        <f t="shared" ref="O532:O537" si="85">IF(I532="","",A532)</f>
        <v>797</v>
      </c>
      <c r="P532" s="39" t="str">
        <f t="shared" ref="P532:P537" si="86">IF(I532="","",I532)</f>
        <v>Contact of Cases 533, 659, 734 and 795</v>
      </c>
    </row>
    <row r="533" spans="1:16" x14ac:dyDescent="0.3">
      <c r="A533" s="39">
        <v>798</v>
      </c>
      <c r="B533" s="40">
        <v>43918</v>
      </c>
      <c r="C533" s="39" t="s">
        <v>1071</v>
      </c>
      <c r="D533" s="39">
        <v>29</v>
      </c>
      <c r="E533" s="39" t="s">
        <v>1073</v>
      </c>
      <c r="F533" s="39" t="s">
        <v>1060</v>
      </c>
      <c r="G533" s="39" t="s">
        <v>1081</v>
      </c>
      <c r="H533" s="39" t="s">
        <v>1069</v>
      </c>
      <c r="I533" s="39" t="s">
        <v>1328</v>
      </c>
      <c r="J533" s="39" t="str">
        <f t="shared" si="80"/>
        <v>Female</v>
      </c>
      <c r="K533" s="39" t="str">
        <f t="shared" si="81"/>
        <v>Singaporean</v>
      </c>
      <c r="L533" s="39" t="str">
        <f t="shared" si="82"/>
        <v>Case 798 is a Imported  case, 29 years old female Singapore Citizen  and has been to Turkey . She is currently admitted at NCID . Contact of Cases 683, 700, 702, 703 and 760</v>
      </c>
      <c r="M533" s="39">
        <f t="shared" si="83"/>
        <v>798</v>
      </c>
      <c r="N533" s="39" t="str">
        <f t="shared" si="84"/>
        <v xml:space="preserve">Turkey </v>
      </c>
      <c r="O533" s="39">
        <f t="shared" si="85"/>
        <v>798</v>
      </c>
      <c r="P533" s="39" t="str">
        <f t="shared" si="86"/>
        <v>Contact of Cases 683, 700, 702, 703 and 760</v>
      </c>
    </row>
    <row r="534" spans="1:16" x14ac:dyDescent="0.3">
      <c r="A534" s="39">
        <v>799</v>
      </c>
      <c r="B534" s="40">
        <v>43918</v>
      </c>
      <c r="C534" s="39" t="s">
        <v>1058</v>
      </c>
      <c r="D534" s="39">
        <v>39</v>
      </c>
      <c r="E534" s="39" t="s">
        <v>1059</v>
      </c>
      <c r="F534" s="39" t="s">
        <v>1060</v>
      </c>
      <c r="G534" s="39"/>
      <c r="H534" s="39" t="s">
        <v>1086</v>
      </c>
      <c r="I534" s="39" t="s">
        <v>1329</v>
      </c>
      <c r="J534" s="39" t="str">
        <f t="shared" si="80"/>
        <v>Male</v>
      </c>
      <c r="K534" s="39" t="str">
        <f t="shared" si="81"/>
        <v>Singaporean</v>
      </c>
      <c r="L534" s="39" t="str">
        <f t="shared" si="82"/>
        <v>Case 799 is a Local linked  case, 39 years old male Singapore Citizen  and has not been overseas. He is currently admitted at KTPH . Contact of Case 683</v>
      </c>
      <c r="M534" s="39" t="str">
        <f t="shared" si="83"/>
        <v/>
      </c>
      <c r="N534" s="39" t="str">
        <f t="shared" si="84"/>
        <v/>
      </c>
      <c r="O534" s="39">
        <f t="shared" si="85"/>
        <v>799</v>
      </c>
      <c r="P534" s="39" t="str">
        <f t="shared" si="86"/>
        <v>Contact of Case 683</v>
      </c>
    </row>
    <row r="535" spans="1:16" x14ac:dyDescent="0.3">
      <c r="A535" s="39">
        <v>800</v>
      </c>
      <c r="B535" s="40">
        <v>43918</v>
      </c>
      <c r="C535" s="39" t="s">
        <v>1064</v>
      </c>
      <c r="D535" s="39">
        <v>22</v>
      </c>
      <c r="E535" s="39" t="s">
        <v>1059</v>
      </c>
      <c r="F535" s="39" t="s">
        <v>1060</v>
      </c>
      <c r="G535" s="39" t="s">
        <v>1063</v>
      </c>
      <c r="H535" s="39" t="s">
        <v>1069</v>
      </c>
      <c r="I535" s="39"/>
      <c r="J535" s="39" t="str">
        <f t="shared" si="80"/>
        <v>Male</v>
      </c>
      <c r="K535" s="39" t="str">
        <f t="shared" si="81"/>
        <v>Singaporean</v>
      </c>
      <c r="L535" s="39" t="str">
        <f t="shared" si="82"/>
        <v xml:space="preserve">Case 800 is a Imported  case, 22 years old male Singapore Citizen  and has been to UK . He is currently admitted at CGH . </v>
      </c>
      <c r="M535" s="39">
        <f t="shared" si="83"/>
        <v>800</v>
      </c>
      <c r="N535" s="39" t="str">
        <f t="shared" si="84"/>
        <v xml:space="preserve">UK </v>
      </c>
      <c r="O535" s="39" t="str">
        <f t="shared" si="85"/>
        <v/>
      </c>
      <c r="P535" s="39" t="str">
        <f t="shared" si="86"/>
        <v/>
      </c>
    </row>
    <row r="536" spans="1:16" x14ac:dyDescent="0.3">
      <c r="A536" s="39">
        <v>801</v>
      </c>
      <c r="B536" s="40">
        <v>43918</v>
      </c>
      <c r="C536" s="39" t="s">
        <v>1064</v>
      </c>
      <c r="D536" s="39">
        <v>39</v>
      </c>
      <c r="E536" s="39" t="s">
        <v>1059</v>
      </c>
      <c r="F536" s="39" t="s">
        <v>1206</v>
      </c>
      <c r="G536" s="39"/>
      <c r="H536" s="39" t="s">
        <v>1152</v>
      </c>
      <c r="I536" s="39"/>
      <c r="J536" s="39" t="str">
        <f t="shared" si="80"/>
        <v>Male</v>
      </c>
      <c r="K536" s="39" t="str">
        <f t="shared" si="81"/>
        <v>Myanmar</v>
      </c>
      <c r="L536" s="39" t="str">
        <f t="shared" si="82"/>
        <v xml:space="preserve">Case 801 is a Local linked case, 39 years old male Myanmar (Singapore Work Pass holder)  and has not been overseas. He is currently admitted at CGH . </v>
      </c>
      <c r="M536" s="39" t="str">
        <f t="shared" si="83"/>
        <v/>
      </c>
      <c r="N536" s="39" t="str">
        <f t="shared" si="84"/>
        <v/>
      </c>
      <c r="O536" s="39" t="str">
        <f t="shared" si="85"/>
        <v/>
      </c>
      <c r="P536" s="39" t="str">
        <f t="shared" si="86"/>
        <v/>
      </c>
    </row>
    <row r="537" spans="1:16" x14ac:dyDescent="0.3">
      <c r="A537" s="39">
        <v>802</v>
      </c>
      <c r="B537" s="40">
        <v>43918</v>
      </c>
      <c r="C537" s="39" t="s">
        <v>1062</v>
      </c>
      <c r="D537" s="39">
        <v>28</v>
      </c>
      <c r="E537" s="39" t="s">
        <v>1073</v>
      </c>
      <c r="F537" s="39" t="s">
        <v>1060</v>
      </c>
      <c r="G537" s="39"/>
      <c r="H537" s="39" t="s">
        <v>1061</v>
      </c>
      <c r="I537" s="39"/>
      <c r="J537" s="39" t="str">
        <f t="shared" si="80"/>
        <v>Female</v>
      </c>
      <c r="K537" s="39" t="str">
        <f t="shared" si="81"/>
        <v>Singaporean</v>
      </c>
      <c r="L537" s="39" t="str">
        <f t="shared" si="82"/>
        <v xml:space="preserve">Case 802 is a Local unlinked case, 28 years old female Singapore Citizen  and has not been overseas. She is currently admitted at NTFGH . </v>
      </c>
      <c r="M537" s="39" t="str">
        <f t="shared" si="83"/>
        <v/>
      </c>
      <c r="N537" s="39" t="str">
        <f t="shared" si="84"/>
        <v/>
      </c>
      <c r="O537" s="39" t="str">
        <f t="shared" si="85"/>
        <v/>
      </c>
      <c r="P537" s="39" t="str">
        <f t="shared" si="86"/>
        <v/>
      </c>
    </row>
    <row r="538" spans="1:16" x14ac:dyDescent="0.3">
      <c r="A538" s="44">
        <v>803</v>
      </c>
      <c r="B538" s="45">
        <v>43918</v>
      </c>
      <c r="C538" s="44" t="s">
        <v>1058</v>
      </c>
      <c r="D538" s="44">
        <v>23</v>
      </c>
      <c r="E538" s="44" t="s">
        <v>1059</v>
      </c>
      <c r="F538" s="44" t="s">
        <v>1060</v>
      </c>
      <c r="G538" s="44" t="s">
        <v>1085</v>
      </c>
      <c r="H538" s="44" t="s">
        <v>77</v>
      </c>
      <c r="I538" s="44"/>
      <c r="J538" s="44" t="str">
        <f t="shared" ref="J538" si="87">IF(TRIM(E538)="M","Male",IF(TRIM(E538)="F","Female",""))</f>
        <v>Male</v>
      </c>
      <c r="K538" s="44" t="str">
        <f t="shared" ref="K538" si="88">IF(LEFT(F538,9)="Singapore","Singaporean",IF(ISERR(FIND("(",F538)),F538,LEFT(F538,FIND("(",F538)-2)))</f>
        <v>Singaporean</v>
      </c>
      <c r="L538" s="44" t="str">
        <f t="shared" ref="L538" si="89">"Case "&amp;A538&amp;" is a "&amp;H538&amp;" case, "&amp;D538&amp;" years old "&amp;LOWER(J538)&amp;" "&amp;F538 &amp;IF(G538=""," and has not been overseas"," and has been to "&amp;G538)&amp;". "&amp;IF(TRIM(E538)="F","She",IF(TRIM(E538)="M","He"))&amp;" is currently admitted at "&amp;C538&amp;". "&amp;I538</f>
        <v xml:space="preserve">Case 803 is a Imported case, 23 years old male Singapore Citizen  and has been to US . He is currently admitted at KTPH . </v>
      </c>
      <c r="M538" s="44">
        <f t="shared" ref="M538" si="90">IF(G538="","",A538)</f>
        <v>803</v>
      </c>
      <c r="N538" s="44" t="str">
        <f t="shared" ref="N538" si="91">IF(G538="","",G538)</f>
        <v xml:space="preserve">US </v>
      </c>
      <c r="O538" s="44" t="str">
        <f t="shared" ref="O538" si="92">IF(I538="","",A538)</f>
        <v/>
      </c>
      <c r="P538" s="44" t="str">
        <f t="shared" ref="P538" si="93">IF(I538="","",I538)</f>
        <v/>
      </c>
    </row>
    <row r="539" spans="1:16" x14ac:dyDescent="0.3">
      <c r="A539" s="44">
        <v>804</v>
      </c>
      <c r="B539" s="45">
        <v>43918</v>
      </c>
      <c r="C539" s="44" t="s">
        <v>1071</v>
      </c>
      <c r="D539" s="44">
        <v>21</v>
      </c>
      <c r="E539" s="44" t="s">
        <v>1073</v>
      </c>
      <c r="F539" s="44" t="s">
        <v>1072</v>
      </c>
      <c r="G539" s="44" t="s">
        <v>1177</v>
      </c>
      <c r="H539" s="44" t="s">
        <v>77</v>
      </c>
      <c r="I539" s="44"/>
      <c r="J539" s="44" t="str">
        <f t="shared" ref="J539:J579" si="94">IF(TRIM(E539)="M","Male",IF(TRIM(E539)="F","Female",""))</f>
        <v>Female</v>
      </c>
      <c r="K539" s="44" t="str">
        <f t="shared" ref="K539:K579" si="95">IF(LEFT(F539,9)="Singapore","Singaporean",IF(ISERR(FIND("(",F539)),F539,LEFT(F539,FIND("(",F539)-2)))</f>
        <v>Singaporean</v>
      </c>
      <c r="L539" s="44" t="str">
        <f t="shared" ref="L539:L579" si="96">"Case "&amp;A539&amp;" is a "&amp;H539&amp;" case, "&amp;D539&amp;" years old "&amp;LOWER(J539)&amp;" "&amp;F539 &amp;IF(G539=""," and has not been overseas"," and has been to "&amp;G539)&amp;". "&amp;IF(TRIM(E539)="F","She",IF(TRIM(E539)="M","He"))&amp;" is currently admitted at "&amp;C539&amp;". "&amp;I539</f>
        <v xml:space="preserve">Case 804 is a Imported case, 21 years old female Singapore Permanent Resident  and has been to Pending . She is currently admitted at NCID . </v>
      </c>
      <c r="M539" s="44">
        <f t="shared" ref="M539:M579" si="97">IF(G539="","",A539)</f>
        <v>804</v>
      </c>
      <c r="N539" s="44" t="str">
        <f t="shared" ref="N539:N579" si="98">IF(G539="","",G539)</f>
        <v xml:space="preserve">Pending </v>
      </c>
      <c r="O539" s="44" t="str">
        <f t="shared" ref="O539:O579" si="99">IF(I539="","",A539)</f>
        <v/>
      </c>
      <c r="P539" s="44" t="str">
        <f t="shared" ref="P539:P579" si="100">IF(I539="","",I539)</f>
        <v/>
      </c>
    </row>
    <row r="540" spans="1:16" x14ac:dyDescent="0.3">
      <c r="A540" s="44">
        <v>805</v>
      </c>
      <c r="B540" s="45">
        <v>43918</v>
      </c>
      <c r="C540" s="44" t="s">
        <v>1071</v>
      </c>
      <c r="D540" s="44">
        <v>32</v>
      </c>
      <c r="E540" s="44" t="s">
        <v>1059</v>
      </c>
      <c r="F540" s="44" t="s">
        <v>1060</v>
      </c>
      <c r="G540" s="44" t="s">
        <v>1177</v>
      </c>
      <c r="H540" s="44" t="s">
        <v>77</v>
      </c>
      <c r="I540" s="44"/>
      <c r="J540" s="44" t="str">
        <f t="shared" si="94"/>
        <v>Male</v>
      </c>
      <c r="K540" s="44" t="str">
        <f t="shared" si="95"/>
        <v>Singaporean</v>
      </c>
      <c r="L540" s="44" t="str">
        <f t="shared" si="96"/>
        <v xml:space="preserve">Case 805 is a Imported case, 32 years old male Singapore Citizen  and has been to Pending . He is currently admitted at NCID . </v>
      </c>
      <c r="M540" s="44">
        <f t="shared" si="97"/>
        <v>805</v>
      </c>
      <c r="N540" s="44" t="str">
        <f t="shared" si="98"/>
        <v xml:space="preserve">Pending </v>
      </c>
      <c r="O540" s="44" t="str">
        <f t="shared" si="99"/>
        <v/>
      </c>
      <c r="P540" s="44" t="str">
        <f t="shared" si="100"/>
        <v/>
      </c>
    </row>
    <row r="541" spans="1:16" x14ac:dyDescent="0.3">
      <c r="A541" s="44">
        <v>806</v>
      </c>
      <c r="B541" s="45">
        <v>43918</v>
      </c>
      <c r="C541" s="44" t="s">
        <v>1071</v>
      </c>
      <c r="D541" s="44">
        <v>25</v>
      </c>
      <c r="E541" s="44" t="s">
        <v>1059</v>
      </c>
      <c r="F541" s="44" t="s">
        <v>1060</v>
      </c>
      <c r="G541" s="44" t="s">
        <v>1177</v>
      </c>
      <c r="H541" s="44" t="s">
        <v>77</v>
      </c>
      <c r="I541" s="44"/>
      <c r="J541" s="44" t="str">
        <f t="shared" si="94"/>
        <v>Male</v>
      </c>
      <c r="K541" s="44" t="str">
        <f t="shared" si="95"/>
        <v>Singaporean</v>
      </c>
      <c r="L541" s="44" t="str">
        <f t="shared" si="96"/>
        <v xml:space="preserve">Case 806 is a Imported case, 25 years old male Singapore Citizen  and has been to Pending . He is currently admitted at NCID . </v>
      </c>
      <c r="M541" s="44">
        <f t="shared" si="97"/>
        <v>806</v>
      </c>
      <c r="N541" s="44" t="str">
        <f t="shared" si="98"/>
        <v xml:space="preserve">Pending </v>
      </c>
      <c r="O541" s="44" t="str">
        <f t="shared" si="99"/>
        <v/>
      </c>
      <c r="P541" s="44" t="str">
        <f t="shared" si="100"/>
        <v/>
      </c>
    </row>
    <row r="542" spans="1:16" x14ac:dyDescent="0.3">
      <c r="A542" s="44">
        <v>807</v>
      </c>
      <c r="B542" s="45">
        <v>43918</v>
      </c>
      <c r="C542" s="44" t="s">
        <v>1064</v>
      </c>
      <c r="D542" s="44">
        <v>21</v>
      </c>
      <c r="E542" s="44" t="s">
        <v>1059</v>
      </c>
      <c r="F542" s="44" t="s">
        <v>1060</v>
      </c>
      <c r="G542" s="44"/>
      <c r="H542" s="44" t="s">
        <v>1061</v>
      </c>
      <c r="I542" s="44"/>
      <c r="J542" s="44" t="str">
        <f t="shared" si="94"/>
        <v>Male</v>
      </c>
      <c r="K542" s="44" t="str">
        <f t="shared" si="95"/>
        <v>Singaporean</v>
      </c>
      <c r="L542" s="44" t="str">
        <f t="shared" si="96"/>
        <v xml:space="preserve">Case 807 is a Local unlinked case, 21 years old male Singapore Citizen  and has not been overseas. He is currently admitted at CGH . </v>
      </c>
      <c r="M542" s="44" t="str">
        <f t="shared" si="97"/>
        <v/>
      </c>
      <c r="N542" s="44" t="str">
        <f t="shared" si="98"/>
        <v/>
      </c>
      <c r="O542" s="44" t="str">
        <f t="shared" si="99"/>
        <v/>
      </c>
      <c r="P542" s="44" t="str">
        <f t="shared" si="100"/>
        <v/>
      </c>
    </row>
    <row r="543" spans="1:16" x14ac:dyDescent="0.3">
      <c r="A543" s="44">
        <v>808</v>
      </c>
      <c r="B543" s="45">
        <v>43918</v>
      </c>
      <c r="C543" s="44" t="s">
        <v>1062</v>
      </c>
      <c r="D543" s="44">
        <v>44</v>
      </c>
      <c r="E543" s="44" t="s">
        <v>1059</v>
      </c>
      <c r="F543" s="44" t="s">
        <v>1072</v>
      </c>
      <c r="G543" s="44"/>
      <c r="H543" s="44" t="s">
        <v>1061</v>
      </c>
      <c r="I543" s="44"/>
      <c r="J543" s="44" t="str">
        <f t="shared" si="94"/>
        <v>Male</v>
      </c>
      <c r="K543" s="44" t="str">
        <f t="shared" si="95"/>
        <v>Singaporean</v>
      </c>
      <c r="L543" s="44" t="str">
        <f t="shared" si="96"/>
        <v xml:space="preserve">Case 808 is a Local unlinked case, 44 years old male Singapore Permanent Resident  and has not been overseas. He is currently admitted at NTFGH . </v>
      </c>
      <c r="M543" s="44" t="str">
        <f t="shared" si="97"/>
        <v/>
      </c>
      <c r="N543" s="44" t="str">
        <f t="shared" si="98"/>
        <v/>
      </c>
      <c r="O543" s="44" t="str">
        <f t="shared" si="99"/>
        <v/>
      </c>
      <c r="P543" s="44" t="str">
        <f t="shared" si="100"/>
        <v/>
      </c>
    </row>
    <row r="544" spans="1:16" x14ac:dyDescent="0.3">
      <c r="A544" s="44">
        <v>809</v>
      </c>
      <c r="B544" s="45">
        <v>43918</v>
      </c>
      <c r="C544" s="44" t="s">
        <v>1066</v>
      </c>
      <c r="D544" s="44">
        <v>37</v>
      </c>
      <c r="E544" s="44" t="s">
        <v>1059</v>
      </c>
      <c r="F544" s="44" t="s">
        <v>1060</v>
      </c>
      <c r="G544" s="44" t="s">
        <v>360</v>
      </c>
      <c r="H544" s="44" t="s">
        <v>1086</v>
      </c>
      <c r="I544" s="44" t="s">
        <v>1330</v>
      </c>
      <c r="J544" s="44" t="str">
        <f t="shared" si="94"/>
        <v>Male</v>
      </c>
      <c r="K544" s="44" t="str">
        <f t="shared" si="95"/>
        <v>Singaporean</v>
      </c>
      <c r="L544" s="44" t="str">
        <f t="shared" si="96"/>
        <v>Case 809 is a Local linked  case, 37 years old male Singapore Citizen  and has been to Malaysia . He is currently admitted at SKH . Family member of Case 742</v>
      </c>
      <c r="M544" s="44">
        <f t="shared" si="97"/>
        <v>809</v>
      </c>
      <c r="N544" s="44" t="str">
        <f t="shared" si="98"/>
        <v xml:space="preserve">Malaysia </v>
      </c>
      <c r="O544" s="44">
        <f t="shared" si="99"/>
        <v>809</v>
      </c>
      <c r="P544" s="44" t="str">
        <f t="shared" si="100"/>
        <v>Family member of Case 742</v>
      </c>
    </row>
    <row r="545" spans="1:16" x14ac:dyDescent="0.3">
      <c r="A545" s="44">
        <v>810</v>
      </c>
      <c r="B545" s="45">
        <v>43918</v>
      </c>
      <c r="C545" s="44" t="s">
        <v>1064</v>
      </c>
      <c r="D545" s="44">
        <v>22</v>
      </c>
      <c r="E545" s="44" t="s">
        <v>1073</v>
      </c>
      <c r="F545" s="44" t="s">
        <v>1060</v>
      </c>
      <c r="G545" s="44"/>
      <c r="H545" s="44" t="s">
        <v>1086</v>
      </c>
      <c r="I545" s="44" t="s">
        <v>1331</v>
      </c>
      <c r="J545" s="44" t="str">
        <f t="shared" si="94"/>
        <v>Female</v>
      </c>
      <c r="K545" s="44" t="str">
        <f t="shared" si="95"/>
        <v>Singaporean</v>
      </c>
      <c r="L545" s="44" t="str">
        <f t="shared" si="96"/>
        <v>Case 810 is a Local linked  case, 22 years old female Singapore Citizen  and has not been overseas. She is currently admitted at CGH . Contact of Cases 745 and 802 The Wedding Brocade</v>
      </c>
      <c r="M545" s="44" t="str">
        <f t="shared" si="97"/>
        <v/>
      </c>
      <c r="N545" s="44" t="str">
        <f t="shared" si="98"/>
        <v/>
      </c>
      <c r="O545" s="44">
        <f t="shared" si="99"/>
        <v>810</v>
      </c>
      <c r="P545" s="44" t="str">
        <f t="shared" si="100"/>
        <v>Contact of Cases 745 and 802 The Wedding Brocade</v>
      </c>
    </row>
    <row r="546" spans="1:16" x14ac:dyDescent="0.3">
      <c r="A546" s="44">
        <v>811</v>
      </c>
      <c r="B546" s="45">
        <v>43918</v>
      </c>
      <c r="C546" s="44" t="s">
        <v>343</v>
      </c>
      <c r="D546" s="44">
        <v>12</v>
      </c>
      <c r="E546" s="44" t="s">
        <v>1073</v>
      </c>
      <c r="F546" s="44" t="s">
        <v>1174</v>
      </c>
      <c r="G546" s="44"/>
      <c r="H546" s="44" t="s">
        <v>1086</v>
      </c>
      <c r="I546" s="44" t="s">
        <v>1332</v>
      </c>
      <c r="J546" s="44" t="str">
        <f t="shared" si="94"/>
        <v>Female</v>
      </c>
      <c r="K546" s="44" t="str">
        <f t="shared" si="95"/>
        <v>Australia</v>
      </c>
      <c r="L546" s="44" t="str">
        <f t="shared" si="96"/>
        <v>Case 811 is a Local linked  case, 12 years old female Australia (Long Term Pass holder)  and has not been overseas. She is currently admitted at NUH . Family member of Case 506</v>
      </c>
      <c r="M546" s="44" t="str">
        <f t="shared" si="97"/>
        <v/>
      </c>
      <c r="N546" s="44" t="str">
        <f t="shared" si="98"/>
        <v/>
      </c>
      <c r="O546" s="44">
        <f t="shared" si="99"/>
        <v>811</v>
      </c>
      <c r="P546" s="44" t="str">
        <f t="shared" si="100"/>
        <v>Family member of Case 506</v>
      </c>
    </row>
    <row r="547" spans="1:16" x14ac:dyDescent="0.3">
      <c r="A547" s="44">
        <v>812</v>
      </c>
      <c r="B547" s="45">
        <v>43918</v>
      </c>
      <c r="C547" s="44" t="s">
        <v>1071</v>
      </c>
      <c r="D547" s="44">
        <v>25</v>
      </c>
      <c r="E547" s="44" t="s">
        <v>1073</v>
      </c>
      <c r="F547" s="44" t="s">
        <v>1060</v>
      </c>
      <c r="G547" s="44"/>
      <c r="H547" s="44" t="s">
        <v>1333</v>
      </c>
      <c r="I547" s="44"/>
      <c r="J547" s="44" t="str">
        <f t="shared" si="94"/>
        <v>Female</v>
      </c>
      <c r="K547" s="44" t="str">
        <f t="shared" si="95"/>
        <v>Singaporean</v>
      </c>
      <c r="L547" s="44" t="str">
        <f t="shared" si="96"/>
        <v xml:space="preserve">Case 812 is a Local unlinked  case, 25 years old female Singapore Citizen  and has not been overseas. She is currently admitted at NCID . </v>
      </c>
      <c r="M547" s="44" t="str">
        <f t="shared" si="97"/>
        <v/>
      </c>
      <c r="N547" s="44" t="str">
        <f t="shared" si="98"/>
        <v/>
      </c>
      <c r="O547" s="44" t="str">
        <f t="shared" si="99"/>
        <v/>
      </c>
      <c r="P547" s="44" t="str">
        <f t="shared" si="100"/>
        <v/>
      </c>
    </row>
    <row r="548" spans="1:16" x14ac:dyDescent="0.3">
      <c r="A548" s="44">
        <v>813</v>
      </c>
      <c r="B548" s="45">
        <v>43918</v>
      </c>
      <c r="C548" s="44" t="s">
        <v>1138</v>
      </c>
      <c r="D548" s="44">
        <v>29</v>
      </c>
      <c r="E548" s="44" t="s">
        <v>1073</v>
      </c>
      <c r="F548" s="44" t="s">
        <v>1186</v>
      </c>
      <c r="G548" s="44"/>
      <c r="H548" s="44" t="s">
        <v>1061</v>
      </c>
      <c r="I548" s="44"/>
      <c r="J548" s="44" t="str">
        <f t="shared" si="94"/>
        <v>Female</v>
      </c>
      <c r="K548" s="44" t="str">
        <f t="shared" si="95"/>
        <v>UK</v>
      </c>
      <c r="L548" s="44" t="str">
        <f t="shared" si="96"/>
        <v xml:space="preserve">Case 813 is a Local unlinked case, 29 years old female UK (Singapore Work Pass holder)  and has not been overseas. She is currently admitted at SGH . </v>
      </c>
      <c r="M548" s="44" t="str">
        <f t="shared" si="97"/>
        <v/>
      </c>
      <c r="N548" s="44" t="str">
        <f t="shared" si="98"/>
        <v/>
      </c>
      <c r="O548" s="44" t="str">
        <f t="shared" si="99"/>
        <v/>
      </c>
      <c r="P548" s="44" t="str">
        <f t="shared" si="100"/>
        <v/>
      </c>
    </row>
    <row r="549" spans="1:16" x14ac:dyDescent="0.3">
      <c r="A549" s="44">
        <v>814</v>
      </c>
      <c r="B549" s="45">
        <v>43918</v>
      </c>
      <c r="C549" s="44" t="s">
        <v>1058</v>
      </c>
      <c r="D549" s="44">
        <v>61</v>
      </c>
      <c r="E549" s="44" t="s">
        <v>1059</v>
      </c>
      <c r="F549" s="44" t="s">
        <v>1060</v>
      </c>
      <c r="G549" s="44" t="s">
        <v>360</v>
      </c>
      <c r="H549" s="44" t="s">
        <v>77</v>
      </c>
      <c r="I549" s="44"/>
      <c r="J549" s="44" t="str">
        <f t="shared" si="94"/>
        <v>Male</v>
      </c>
      <c r="K549" s="44" t="str">
        <f t="shared" si="95"/>
        <v>Singaporean</v>
      </c>
      <c r="L549" s="44" t="str">
        <f t="shared" si="96"/>
        <v xml:space="preserve">Case 814 is a Imported case, 61 years old male Singapore Citizen  and has been to Malaysia . He is currently admitted at KTPH . </v>
      </c>
      <c r="M549" s="44">
        <f t="shared" si="97"/>
        <v>814</v>
      </c>
      <c r="N549" s="44" t="str">
        <f t="shared" si="98"/>
        <v xml:space="preserve">Malaysia </v>
      </c>
      <c r="O549" s="44" t="str">
        <f t="shared" si="99"/>
        <v/>
      </c>
      <c r="P549" s="44" t="str">
        <f t="shared" si="100"/>
        <v/>
      </c>
    </row>
    <row r="550" spans="1:16" x14ac:dyDescent="0.3">
      <c r="A550" s="44">
        <v>815</v>
      </c>
      <c r="B550" s="45">
        <v>43918</v>
      </c>
      <c r="C550" s="44" t="s">
        <v>1071</v>
      </c>
      <c r="D550" s="44">
        <v>21</v>
      </c>
      <c r="E550" s="44" t="s">
        <v>1073</v>
      </c>
      <c r="F550" s="44" t="s">
        <v>1060</v>
      </c>
      <c r="G550" s="44" t="s">
        <v>1085</v>
      </c>
      <c r="H550" s="44" t="s">
        <v>77</v>
      </c>
      <c r="I550" s="44"/>
      <c r="J550" s="44" t="str">
        <f t="shared" si="94"/>
        <v>Female</v>
      </c>
      <c r="K550" s="44" t="str">
        <f t="shared" si="95"/>
        <v>Singaporean</v>
      </c>
      <c r="L550" s="44" t="str">
        <f t="shared" si="96"/>
        <v xml:space="preserve">Case 815 is a Imported case, 21 years old female Singapore Citizen  and has been to US . She is currently admitted at NCID . </v>
      </c>
      <c r="M550" s="44">
        <f t="shared" si="97"/>
        <v>815</v>
      </c>
      <c r="N550" s="44" t="str">
        <f t="shared" si="98"/>
        <v xml:space="preserve">US </v>
      </c>
      <c r="O550" s="44" t="str">
        <f t="shared" si="99"/>
        <v/>
      </c>
      <c r="P550" s="44" t="str">
        <f t="shared" si="100"/>
        <v/>
      </c>
    </row>
    <row r="551" spans="1:16" x14ac:dyDescent="0.3">
      <c r="A551" s="44">
        <v>816</v>
      </c>
      <c r="B551" s="45">
        <v>43918</v>
      </c>
      <c r="C551" s="44" t="s">
        <v>1071</v>
      </c>
      <c r="D551" s="44">
        <v>36</v>
      </c>
      <c r="E551" s="44" t="s">
        <v>1073</v>
      </c>
      <c r="F551" s="44" t="s">
        <v>1060</v>
      </c>
      <c r="G551" s="44" t="s">
        <v>360</v>
      </c>
      <c r="H551" s="44" t="s">
        <v>1086</v>
      </c>
      <c r="I551" s="44" t="s">
        <v>1334</v>
      </c>
      <c r="J551" s="44" t="str">
        <f t="shared" si="94"/>
        <v>Female</v>
      </c>
      <c r="K551" s="44" t="str">
        <f t="shared" si="95"/>
        <v>Singaporean</v>
      </c>
      <c r="L551" s="44" t="str">
        <f t="shared" si="96"/>
        <v>Case 816 is a Local linked  case, 36 years old female Singapore Citizen  and has been to Malaysia . She is currently admitted at NCID . Family member of Case 787</v>
      </c>
      <c r="M551" s="44">
        <f t="shared" si="97"/>
        <v>816</v>
      </c>
      <c r="N551" s="44" t="str">
        <f t="shared" si="98"/>
        <v xml:space="preserve">Malaysia </v>
      </c>
      <c r="O551" s="44">
        <f t="shared" si="99"/>
        <v>816</v>
      </c>
      <c r="P551" s="44" t="str">
        <f t="shared" si="100"/>
        <v>Family member of Case 787</v>
      </c>
    </row>
    <row r="552" spans="1:16" x14ac:dyDescent="0.3">
      <c r="A552" s="44">
        <v>817</v>
      </c>
      <c r="B552" s="45">
        <v>43918</v>
      </c>
      <c r="C552" s="44" t="s">
        <v>1062</v>
      </c>
      <c r="D552" s="44">
        <v>43</v>
      </c>
      <c r="E552" s="44" t="s">
        <v>1059</v>
      </c>
      <c r="F552" s="44" t="s">
        <v>1072</v>
      </c>
      <c r="G552" s="44" t="s">
        <v>798</v>
      </c>
      <c r="H552" s="44" t="s">
        <v>77</v>
      </c>
      <c r="I552" s="44"/>
      <c r="J552" s="44" t="str">
        <f t="shared" si="94"/>
        <v>Male</v>
      </c>
      <c r="K552" s="44" t="str">
        <f t="shared" si="95"/>
        <v>Singaporean</v>
      </c>
      <c r="L552" s="44" t="str">
        <f t="shared" si="96"/>
        <v xml:space="preserve">Case 817 is a Imported case, 43 years old male Singapore Permanent Resident  and has been to India . He is currently admitted at NTFGH . </v>
      </c>
      <c r="M552" s="44">
        <f t="shared" si="97"/>
        <v>817</v>
      </c>
      <c r="N552" s="44" t="str">
        <f t="shared" si="98"/>
        <v xml:space="preserve">India </v>
      </c>
      <c r="O552" s="44" t="str">
        <f t="shared" si="99"/>
        <v/>
      </c>
      <c r="P552" s="44" t="str">
        <f t="shared" si="100"/>
        <v/>
      </c>
    </row>
    <row r="553" spans="1:16" x14ac:dyDescent="0.3">
      <c r="A553" s="44">
        <v>818</v>
      </c>
      <c r="B553" s="45">
        <v>43918</v>
      </c>
      <c r="C553" s="44" t="s">
        <v>1071</v>
      </c>
      <c r="D553" s="44">
        <v>22</v>
      </c>
      <c r="E553" s="44" t="s">
        <v>1073</v>
      </c>
      <c r="F553" s="44" t="s">
        <v>1335</v>
      </c>
      <c r="G553" s="44"/>
      <c r="H553" s="44" t="s">
        <v>1061</v>
      </c>
      <c r="I553" s="44"/>
      <c r="J553" s="44" t="str">
        <f t="shared" si="94"/>
        <v>Female</v>
      </c>
      <c r="K553" s="44" t="str">
        <f t="shared" si="95"/>
        <v>Japan</v>
      </c>
      <c r="L553" s="44" t="str">
        <f t="shared" si="96"/>
        <v xml:space="preserve">Case 818 is a Local unlinked case, 22 years old female Japan (Singapore Work Pass holder)  and has not been overseas. She is currently admitted at NCID . </v>
      </c>
      <c r="M553" s="44" t="str">
        <f t="shared" si="97"/>
        <v/>
      </c>
      <c r="N553" s="44" t="str">
        <f t="shared" si="98"/>
        <v/>
      </c>
      <c r="O553" s="44" t="str">
        <f t="shared" si="99"/>
        <v/>
      </c>
      <c r="P553" s="44" t="str">
        <f t="shared" si="100"/>
        <v/>
      </c>
    </row>
    <row r="554" spans="1:16" x14ac:dyDescent="0.3">
      <c r="A554" s="44">
        <v>819</v>
      </c>
      <c r="B554" s="45">
        <v>43918</v>
      </c>
      <c r="C554" s="44" t="s">
        <v>1161</v>
      </c>
      <c r="D554" s="44">
        <v>35</v>
      </c>
      <c r="E554" s="44" t="s">
        <v>1073</v>
      </c>
      <c r="F554" s="44" t="s">
        <v>1194</v>
      </c>
      <c r="G554" s="44" t="s">
        <v>798</v>
      </c>
      <c r="H554" s="44" t="s">
        <v>1069</v>
      </c>
      <c r="I554" s="44" t="s">
        <v>1336</v>
      </c>
      <c r="J554" s="44" t="str">
        <f t="shared" si="94"/>
        <v>Female</v>
      </c>
      <c r="K554" s="44" t="str">
        <f t="shared" si="95"/>
        <v>India</v>
      </c>
      <c r="L554" s="44" t="str">
        <f t="shared" si="96"/>
        <v>Case 819 is a Imported  case, 35 years old female India (Long Term Pass holder)  and has been to India . She is currently admitted at KKH . Family member of Cases 695 and 834</v>
      </c>
      <c r="M554" s="44">
        <f t="shared" si="97"/>
        <v>819</v>
      </c>
      <c r="N554" s="44" t="str">
        <f t="shared" si="98"/>
        <v xml:space="preserve">India </v>
      </c>
      <c r="O554" s="44">
        <f t="shared" si="99"/>
        <v>819</v>
      </c>
      <c r="P554" s="44" t="str">
        <f t="shared" si="100"/>
        <v>Family member of Cases 695 and 834</v>
      </c>
    </row>
    <row r="555" spans="1:16" x14ac:dyDescent="0.3">
      <c r="A555" s="44">
        <v>820</v>
      </c>
      <c r="B555" s="45">
        <v>43918</v>
      </c>
      <c r="C555" s="44" t="s">
        <v>1071</v>
      </c>
      <c r="D555" s="44">
        <v>55</v>
      </c>
      <c r="E555" s="44" t="s">
        <v>1073</v>
      </c>
      <c r="F555" s="44" t="s">
        <v>1060</v>
      </c>
      <c r="G555" s="44"/>
      <c r="H555" s="44" t="s">
        <v>1061</v>
      </c>
      <c r="I555" s="44"/>
      <c r="J555" s="44" t="str">
        <f t="shared" si="94"/>
        <v>Female</v>
      </c>
      <c r="K555" s="44" t="str">
        <f t="shared" si="95"/>
        <v>Singaporean</v>
      </c>
      <c r="L555" s="44" t="str">
        <f t="shared" si="96"/>
        <v xml:space="preserve">Case 820 is a Local unlinked case, 55 years old female Singapore Citizen  and has not been overseas. She is currently admitted at NCID . </v>
      </c>
      <c r="M555" s="44" t="str">
        <f t="shared" si="97"/>
        <v/>
      </c>
      <c r="N555" s="44" t="str">
        <f t="shared" si="98"/>
        <v/>
      </c>
      <c r="O555" s="44" t="str">
        <f t="shared" si="99"/>
        <v/>
      </c>
      <c r="P555" s="44" t="str">
        <f t="shared" si="100"/>
        <v/>
      </c>
    </row>
    <row r="556" spans="1:16" x14ac:dyDescent="0.3">
      <c r="A556" s="44">
        <v>821</v>
      </c>
      <c r="B556" s="45">
        <v>43918</v>
      </c>
      <c r="C556" s="44" t="s">
        <v>1071</v>
      </c>
      <c r="D556" s="44">
        <v>35</v>
      </c>
      <c r="E556" s="44" t="s">
        <v>1059</v>
      </c>
      <c r="F556" s="44" t="s">
        <v>1337</v>
      </c>
      <c r="G556" s="44"/>
      <c r="H556" s="44" t="s">
        <v>1061</v>
      </c>
      <c r="I556" s="44"/>
      <c r="J556" s="44" t="str">
        <f t="shared" si="94"/>
        <v>Male</v>
      </c>
      <c r="K556" s="44" t="str">
        <f t="shared" si="95"/>
        <v>Bangladeshi</v>
      </c>
      <c r="L556" s="44" t="str">
        <f t="shared" si="96"/>
        <v xml:space="preserve">Case 821 is a Local unlinked case, 35 years old male Bangladeshi (Long Term Pass holder)  and has not been overseas. He is currently admitted at NCID . </v>
      </c>
      <c r="M556" s="44" t="str">
        <f t="shared" si="97"/>
        <v/>
      </c>
      <c r="N556" s="44" t="str">
        <f t="shared" si="98"/>
        <v/>
      </c>
      <c r="O556" s="44" t="str">
        <f t="shared" si="99"/>
        <v/>
      </c>
      <c r="P556" s="44" t="str">
        <f t="shared" si="100"/>
        <v/>
      </c>
    </row>
    <row r="557" spans="1:16" x14ac:dyDescent="0.3">
      <c r="A557" s="44">
        <v>822</v>
      </c>
      <c r="B557" s="45">
        <v>43918</v>
      </c>
      <c r="C557" s="44" t="s">
        <v>1138</v>
      </c>
      <c r="D557" s="44">
        <v>22</v>
      </c>
      <c r="E557" s="44" t="s">
        <v>1059</v>
      </c>
      <c r="F557" s="44" t="s">
        <v>1060</v>
      </c>
      <c r="G557" s="44" t="s">
        <v>1085</v>
      </c>
      <c r="H557" s="44" t="s">
        <v>77</v>
      </c>
      <c r="I557" s="44"/>
      <c r="J557" s="44" t="str">
        <f t="shared" si="94"/>
        <v>Male</v>
      </c>
      <c r="K557" s="44" t="str">
        <f t="shared" si="95"/>
        <v>Singaporean</v>
      </c>
      <c r="L557" s="44" t="str">
        <f t="shared" si="96"/>
        <v xml:space="preserve">Case 822 is a Imported case, 22 years old male Singapore Citizen  and has been to US . He is currently admitted at SGH . </v>
      </c>
      <c r="M557" s="44">
        <f t="shared" si="97"/>
        <v>822</v>
      </c>
      <c r="N557" s="44" t="str">
        <f t="shared" si="98"/>
        <v xml:space="preserve">US </v>
      </c>
      <c r="O557" s="44" t="str">
        <f t="shared" si="99"/>
        <v/>
      </c>
      <c r="P557" s="44" t="str">
        <f t="shared" si="100"/>
        <v/>
      </c>
    </row>
    <row r="558" spans="1:16" x14ac:dyDescent="0.3">
      <c r="A558" s="44">
        <v>823</v>
      </c>
      <c r="B558" s="45">
        <v>43918</v>
      </c>
      <c r="C558" s="44" t="s">
        <v>1071</v>
      </c>
      <c r="D558" s="44">
        <v>43</v>
      </c>
      <c r="E558" s="44" t="s">
        <v>1059</v>
      </c>
      <c r="F558" s="44" t="s">
        <v>1060</v>
      </c>
      <c r="G558" s="44"/>
      <c r="H558" s="44" t="s">
        <v>1061</v>
      </c>
      <c r="I558" s="44"/>
      <c r="J558" s="44" t="str">
        <f t="shared" si="94"/>
        <v>Male</v>
      </c>
      <c r="K558" s="44" t="str">
        <f t="shared" si="95"/>
        <v>Singaporean</v>
      </c>
      <c r="L558" s="44" t="str">
        <f t="shared" si="96"/>
        <v xml:space="preserve">Case 823 is a Local unlinked case, 43 years old male Singapore Citizen  and has not been overseas. He is currently admitted at NCID . </v>
      </c>
      <c r="M558" s="44" t="str">
        <f t="shared" si="97"/>
        <v/>
      </c>
      <c r="N558" s="44" t="str">
        <f t="shared" si="98"/>
        <v/>
      </c>
      <c r="O558" s="44" t="str">
        <f t="shared" si="99"/>
        <v/>
      </c>
      <c r="P558" s="44" t="str">
        <f t="shared" si="100"/>
        <v/>
      </c>
    </row>
    <row r="559" spans="1:16" x14ac:dyDescent="0.3">
      <c r="A559" s="44">
        <v>824</v>
      </c>
      <c r="B559" s="45">
        <v>43918</v>
      </c>
      <c r="C559" s="44" t="s">
        <v>1071</v>
      </c>
      <c r="D559" s="44">
        <v>33</v>
      </c>
      <c r="E559" s="44" t="s">
        <v>1073</v>
      </c>
      <c r="F559" s="44" t="s">
        <v>1060</v>
      </c>
      <c r="G559" s="44"/>
      <c r="H559" s="44" t="s">
        <v>1061</v>
      </c>
      <c r="I559" s="44"/>
      <c r="J559" s="44" t="str">
        <f t="shared" si="94"/>
        <v>Female</v>
      </c>
      <c r="K559" s="44" t="str">
        <f t="shared" si="95"/>
        <v>Singaporean</v>
      </c>
      <c r="L559" s="44" t="str">
        <f t="shared" si="96"/>
        <v xml:space="preserve">Case 824 is a Local unlinked case, 33 years old female Singapore Citizen  and has not been overseas. She is currently admitted at NCID . </v>
      </c>
      <c r="M559" s="44" t="str">
        <f t="shared" si="97"/>
        <v/>
      </c>
      <c r="N559" s="44" t="str">
        <f t="shared" si="98"/>
        <v/>
      </c>
      <c r="O559" s="44" t="str">
        <f t="shared" si="99"/>
        <v/>
      </c>
      <c r="P559" s="44" t="str">
        <f t="shared" si="100"/>
        <v/>
      </c>
    </row>
    <row r="560" spans="1:16" x14ac:dyDescent="0.3">
      <c r="A560" s="44">
        <v>825</v>
      </c>
      <c r="B560" s="45">
        <v>43918</v>
      </c>
      <c r="C560" s="44" t="s">
        <v>1062</v>
      </c>
      <c r="D560" s="44">
        <v>36</v>
      </c>
      <c r="E560" s="44" t="s">
        <v>1059</v>
      </c>
      <c r="F560" s="44" t="s">
        <v>1250</v>
      </c>
      <c r="G560" s="44" t="s">
        <v>706</v>
      </c>
      <c r="H560" s="44" t="s">
        <v>1069</v>
      </c>
      <c r="I560" s="44"/>
      <c r="J560" s="44" t="str">
        <f t="shared" si="94"/>
        <v>Male</v>
      </c>
      <c r="K560" s="44" t="str">
        <f t="shared" si="95"/>
        <v>Philippines</v>
      </c>
      <c r="L560" s="44" t="str">
        <f t="shared" si="96"/>
        <v xml:space="preserve">Case 825 is a Imported  case, 36 years old male Philippines (Singapore Work Pass holder)  and has been to Philippines . He is currently admitted at NTFGH . </v>
      </c>
      <c r="M560" s="44">
        <f t="shared" si="97"/>
        <v>825</v>
      </c>
      <c r="N560" s="44" t="str">
        <f t="shared" si="98"/>
        <v xml:space="preserve">Philippines </v>
      </c>
      <c r="O560" s="44" t="str">
        <f t="shared" si="99"/>
        <v/>
      </c>
      <c r="P560" s="44" t="str">
        <f t="shared" si="100"/>
        <v/>
      </c>
    </row>
    <row r="561" spans="1:16" x14ac:dyDescent="0.3">
      <c r="A561" s="44">
        <v>826</v>
      </c>
      <c r="B561" s="45">
        <v>43918</v>
      </c>
      <c r="C561" s="44" t="s">
        <v>1066</v>
      </c>
      <c r="D561" s="44">
        <v>48</v>
      </c>
      <c r="E561" s="44" t="s">
        <v>1059</v>
      </c>
      <c r="F561" s="44" t="s">
        <v>1278</v>
      </c>
      <c r="G561" s="44"/>
      <c r="H561" s="44" t="s">
        <v>1086</v>
      </c>
      <c r="I561" s="44" t="s">
        <v>1338</v>
      </c>
      <c r="J561" s="44" t="str">
        <f t="shared" si="94"/>
        <v>Male</v>
      </c>
      <c r="K561" s="44" t="str">
        <f t="shared" si="95"/>
        <v>Bangladesh</v>
      </c>
      <c r="L561" s="44" t="str">
        <f t="shared" si="96"/>
        <v>Case 826 is a Local linked  case, 48 years old male Bangladesh (Long Term Pass holder)  and has not been overseas. He is currently admitted at SKH . Contact of Case 829</v>
      </c>
      <c r="M561" s="44" t="str">
        <f t="shared" si="97"/>
        <v/>
      </c>
      <c r="N561" s="44" t="str">
        <f t="shared" si="98"/>
        <v/>
      </c>
      <c r="O561" s="44">
        <f t="shared" si="99"/>
        <v>826</v>
      </c>
      <c r="P561" s="44" t="str">
        <f t="shared" si="100"/>
        <v>Contact of Case 829</v>
      </c>
    </row>
    <row r="562" spans="1:16" x14ac:dyDescent="0.3">
      <c r="A562" s="44">
        <v>827</v>
      </c>
      <c r="B562" s="45">
        <v>43918</v>
      </c>
      <c r="C562" s="44" t="s">
        <v>343</v>
      </c>
      <c r="D562" s="44">
        <v>27</v>
      </c>
      <c r="E562" s="44" t="s">
        <v>1073</v>
      </c>
      <c r="F562" s="44" t="s">
        <v>1060</v>
      </c>
      <c r="G562" s="44" t="s">
        <v>1085</v>
      </c>
      <c r="H562" s="44" t="s">
        <v>77</v>
      </c>
      <c r="I562" s="44"/>
      <c r="J562" s="44" t="str">
        <f t="shared" si="94"/>
        <v>Female</v>
      </c>
      <c r="K562" s="44" t="str">
        <f t="shared" si="95"/>
        <v>Singaporean</v>
      </c>
      <c r="L562" s="44" t="str">
        <f t="shared" si="96"/>
        <v xml:space="preserve">Case 827 is a Imported case, 27 years old female Singapore Citizen  and has been to US . She is currently admitted at NUH . </v>
      </c>
      <c r="M562" s="44">
        <f t="shared" si="97"/>
        <v>827</v>
      </c>
      <c r="N562" s="44" t="str">
        <f t="shared" si="98"/>
        <v xml:space="preserve">US </v>
      </c>
      <c r="O562" s="44" t="str">
        <f t="shared" si="99"/>
        <v/>
      </c>
      <c r="P562" s="44" t="str">
        <f t="shared" si="100"/>
        <v/>
      </c>
    </row>
    <row r="563" spans="1:16" x14ac:dyDescent="0.3">
      <c r="A563" s="44">
        <v>828</v>
      </c>
      <c r="B563" s="45">
        <v>43918</v>
      </c>
      <c r="C563" s="44" t="s">
        <v>343</v>
      </c>
      <c r="D563" s="44">
        <v>47</v>
      </c>
      <c r="E563" s="44" t="s">
        <v>1059</v>
      </c>
      <c r="F563" s="44" t="s">
        <v>1072</v>
      </c>
      <c r="G563" s="44" t="s">
        <v>1177</v>
      </c>
      <c r="H563" s="44" t="s">
        <v>77</v>
      </c>
      <c r="I563" s="44"/>
      <c r="J563" s="44" t="str">
        <f t="shared" si="94"/>
        <v>Male</v>
      </c>
      <c r="K563" s="44" t="str">
        <f t="shared" si="95"/>
        <v>Singaporean</v>
      </c>
      <c r="L563" s="44" t="str">
        <f t="shared" si="96"/>
        <v xml:space="preserve">Case 828 is a Imported case, 47 years old male Singapore Permanent Resident  and has been to Pending . He is currently admitted at NUH . </v>
      </c>
      <c r="M563" s="44">
        <f t="shared" si="97"/>
        <v>828</v>
      </c>
      <c r="N563" s="44" t="str">
        <f t="shared" si="98"/>
        <v xml:space="preserve">Pending </v>
      </c>
      <c r="O563" s="44" t="str">
        <f t="shared" si="99"/>
        <v/>
      </c>
      <c r="P563" s="44" t="str">
        <f t="shared" si="100"/>
        <v/>
      </c>
    </row>
    <row r="564" spans="1:16" x14ac:dyDescent="0.3">
      <c r="A564" s="44">
        <v>829</v>
      </c>
      <c r="B564" s="45">
        <v>43918</v>
      </c>
      <c r="C564" s="44" t="s">
        <v>1058</v>
      </c>
      <c r="D564" s="44">
        <v>34</v>
      </c>
      <c r="E564" s="44" t="s">
        <v>1059</v>
      </c>
      <c r="F564" s="44" t="s">
        <v>1255</v>
      </c>
      <c r="G564" s="44"/>
      <c r="H564" s="44" t="s">
        <v>1086</v>
      </c>
      <c r="I564" s="44" t="s">
        <v>1339</v>
      </c>
      <c r="J564" s="44" t="str">
        <f t="shared" si="94"/>
        <v>Male</v>
      </c>
      <c r="K564" s="44" t="str">
        <f t="shared" si="95"/>
        <v>India</v>
      </c>
      <c r="L564" s="44" t="str">
        <f t="shared" si="96"/>
        <v>Case 829 is a Local linked  case, 34 years old male India (Singapore Work Pass holder)  and has not been overseas. He is currently admitted at KTPH . Contact of Case 826</v>
      </c>
      <c r="M564" s="44" t="str">
        <f t="shared" si="97"/>
        <v/>
      </c>
      <c r="N564" s="44" t="str">
        <f t="shared" si="98"/>
        <v/>
      </c>
      <c r="O564" s="44">
        <f t="shared" si="99"/>
        <v>829</v>
      </c>
      <c r="P564" s="44" t="str">
        <f t="shared" si="100"/>
        <v>Contact of Case 826</v>
      </c>
    </row>
    <row r="565" spans="1:16" x14ac:dyDescent="0.3">
      <c r="A565" s="44">
        <v>830</v>
      </c>
      <c r="B565" s="45">
        <v>43918</v>
      </c>
      <c r="C565" s="44" t="s">
        <v>1071</v>
      </c>
      <c r="D565" s="44">
        <v>61</v>
      </c>
      <c r="E565" s="44" t="s">
        <v>1073</v>
      </c>
      <c r="F565" s="44" t="s">
        <v>1060</v>
      </c>
      <c r="G565" s="44" t="s">
        <v>1081</v>
      </c>
      <c r="H565" s="44" t="s">
        <v>1069</v>
      </c>
      <c r="I565" s="44" t="s">
        <v>1340</v>
      </c>
      <c r="J565" s="44" t="str">
        <f t="shared" si="94"/>
        <v>Female</v>
      </c>
      <c r="K565" s="44" t="str">
        <f t="shared" si="95"/>
        <v>Singaporean</v>
      </c>
      <c r="L565" s="44" t="str">
        <f t="shared" si="96"/>
        <v>Case 830 is a Imported  case, 61 years old female Singapore Citizen  and has been to Turkey . She is currently admitted at NCID . Family member of Case 760</v>
      </c>
      <c r="M565" s="44">
        <f t="shared" si="97"/>
        <v>830</v>
      </c>
      <c r="N565" s="44" t="str">
        <f t="shared" si="98"/>
        <v xml:space="preserve">Turkey </v>
      </c>
      <c r="O565" s="44">
        <f t="shared" si="99"/>
        <v>830</v>
      </c>
      <c r="P565" s="44" t="str">
        <f t="shared" si="100"/>
        <v>Family member of Case 760</v>
      </c>
    </row>
    <row r="566" spans="1:16" x14ac:dyDescent="0.3">
      <c r="A566" s="44">
        <v>831</v>
      </c>
      <c r="B566" s="45">
        <v>43919</v>
      </c>
      <c r="C566" s="44" t="s">
        <v>1071</v>
      </c>
      <c r="D566" s="44">
        <v>22</v>
      </c>
      <c r="E566" s="44" t="s">
        <v>1059</v>
      </c>
      <c r="F566" s="44" t="s">
        <v>1072</v>
      </c>
      <c r="G566" s="44" t="s">
        <v>1085</v>
      </c>
      <c r="H566" s="44" t="s">
        <v>77</v>
      </c>
      <c r="I566" s="44"/>
      <c r="J566" s="44" t="str">
        <f t="shared" si="94"/>
        <v>Male</v>
      </c>
      <c r="K566" s="44" t="str">
        <f t="shared" si="95"/>
        <v>Singaporean</v>
      </c>
      <c r="L566" s="44" t="str">
        <f t="shared" si="96"/>
        <v xml:space="preserve">Case 831 is a Imported case, 22 years old male Singapore Permanent Resident  and has been to US . He is currently admitted at NCID . </v>
      </c>
      <c r="M566" s="44">
        <f t="shared" si="97"/>
        <v>831</v>
      </c>
      <c r="N566" s="44" t="str">
        <f t="shared" si="98"/>
        <v xml:space="preserve">US </v>
      </c>
      <c r="O566" s="44" t="str">
        <f t="shared" si="99"/>
        <v/>
      </c>
      <c r="P566" s="44" t="str">
        <f t="shared" si="100"/>
        <v/>
      </c>
    </row>
    <row r="567" spans="1:16" x14ac:dyDescent="0.3">
      <c r="A567" s="44">
        <v>832</v>
      </c>
      <c r="B567" s="45">
        <v>43919</v>
      </c>
      <c r="C567" s="44" t="s">
        <v>1058</v>
      </c>
      <c r="D567" s="44">
        <v>52</v>
      </c>
      <c r="E567" s="44" t="s">
        <v>1059</v>
      </c>
      <c r="F567" s="44" t="s">
        <v>1060</v>
      </c>
      <c r="G567" s="44" t="s">
        <v>1341</v>
      </c>
      <c r="H567" s="44" t="s">
        <v>77</v>
      </c>
      <c r="I567" s="44"/>
      <c r="J567" s="44" t="str">
        <f t="shared" si="94"/>
        <v>Male</v>
      </c>
      <c r="K567" s="44" t="str">
        <f t="shared" si="95"/>
        <v>Singaporean</v>
      </c>
      <c r="L567" s="44" t="str">
        <f t="shared" si="96"/>
        <v xml:space="preserve">Case 832 is a Imported case, 52 years old male Singapore Citizen  and has been to UAE . He is currently admitted at KTPH . </v>
      </c>
      <c r="M567" s="44">
        <f t="shared" si="97"/>
        <v>832</v>
      </c>
      <c r="N567" s="44" t="str">
        <f t="shared" si="98"/>
        <v xml:space="preserve">UAE </v>
      </c>
      <c r="O567" s="44" t="str">
        <f t="shared" si="99"/>
        <v/>
      </c>
      <c r="P567" s="44" t="str">
        <f t="shared" si="100"/>
        <v/>
      </c>
    </row>
    <row r="568" spans="1:16" x14ac:dyDescent="0.3">
      <c r="A568" s="44">
        <v>833</v>
      </c>
      <c r="B568" s="45">
        <v>43919</v>
      </c>
      <c r="C568" s="44" t="s">
        <v>1071</v>
      </c>
      <c r="D568" s="44">
        <v>69</v>
      </c>
      <c r="E568" s="44" t="s">
        <v>1059</v>
      </c>
      <c r="F568" s="44" t="s">
        <v>1231</v>
      </c>
      <c r="G568" s="44" t="s">
        <v>1063</v>
      </c>
      <c r="H568" s="44" t="s">
        <v>77</v>
      </c>
      <c r="I568" s="44"/>
      <c r="J568" s="44" t="str">
        <f t="shared" si="94"/>
        <v>Male</v>
      </c>
      <c r="K568" s="44" t="str">
        <f t="shared" si="95"/>
        <v>Malaysia</v>
      </c>
      <c r="L568" s="44" t="str">
        <f t="shared" si="96"/>
        <v xml:space="preserve">Case 833 is a Imported case, 69 years old male Malaysia (Long Term Pass holder)  and has been to UK . He is currently admitted at NCID . </v>
      </c>
      <c r="M568" s="44">
        <f t="shared" si="97"/>
        <v>833</v>
      </c>
      <c r="N568" s="44" t="str">
        <f t="shared" si="98"/>
        <v xml:space="preserve">UK </v>
      </c>
      <c r="O568" s="44" t="str">
        <f t="shared" si="99"/>
        <v/>
      </c>
      <c r="P568" s="44" t="str">
        <f t="shared" si="100"/>
        <v/>
      </c>
    </row>
    <row r="569" spans="1:16" x14ac:dyDescent="0.3">
      <c r="A569" s="44">
        <v>834</v>
      </c>
      <c r="B569" s="45">
        <v>43918</v>
      </c>
      <c r="C569" s="44" t="s">
        <v>1071</v>
      </c>
      <c r="D569" s="44">
        <v>34</v>
      </c>
      <c r="E569" s="44" t="s">
        <v>1059</v>
      </c>
      <c r="F569" s="44" t="s">
        <v>1255</v>
      </c>
      <c r="G569" s="44" t="s">
        <v>798</v>
      </c>
      <c r="H569" s="44" t="s">
        <v>1069</v>
      </c>
      <c r="I569" s="44" t="s">
        <v>1342</v>
      </c>
      <c r="J569" s="44" t="str">
        <f t="shared" si="94"/>
        <v>Male</v>
      </c>
      <c r="K569" s="44" t="str">
        <f t="shared" si="95"/>
        <v>India</v>
      </c>
      <c r="L569" s="44" t="str">
        <f t="shared" si="96"/>
        <v>Case 834 is a Imported  case, 34 years old male India (Singapore Work Pass holder)  and has been to India . He is currently admitted at NCID . Family member of Cases 695 and 819</v>
      </c>
      <c r="M569" s="44">
        <f t="shared" si="97"/>
        <v>834</v>
      </c>
      <c r="N569" s="44" t="str">
        <f t="shared" si="98"/>
        <v xml:space="preserve">India </v>
      </c>
      <c r="O569" s="44">
        <f t="shared" si="99"/>
        <v>834</v>
      </c>
      <c r="P569" s="44" t="str">
        <f t="shared" si="100"/>
        <v>Family member of Cases 695 and 819</v>
      </c>
    </row>
    <row r="570" spans="1:16" x14ac:dyDescent="0.3">
      <c r="A570" s="44">
        <v>835</v>
      </c>
      <c r="B570" s="45">
        <v>43919</v>
      </c>
      <c r="C570" s="44" t="s">
        <v>1071</v>
      </c>
      <c r="D570" s="44">
        <v>68</v>
      </c>
      <c r="E570" s="44" t="s">
        <v>1073</v>
      </c>
      <c r="F570" s="44" t="s">
        <v>1060</v>
      </c>
      <c r="G570" s="44" t="s">
        <v>1081</v>
      </c>
      <c r="H570" s="44" t="s">
        <v>77</v>
      </c>
      <c r="I570" s="44"/>
      <c r="J570" s="44" t="str">
        <f t="shared" si="94"/>
        <v>Female</v>
      </c>
      <c r="K570" s="44" t="str">
        <f t="shared" si="95"/>
        <v>Singaporean</v>
      </c>
      <c r="L570" s="44" t="str">
        <f t="shared" si="96"/>
        <v xml:space="preserve">Case 835 is a Imported case, 68 years old female Singapore Citizen  and has been to Turkey . She is currently admitted at NCID . </v>
      </c>
      <c r="M570" s="44">
        <f t="shared" si="97"/>
        <v>835</v>
      </c>
      <c r="N570" s="44" t="str">
        <f t="shared" si="98"/>
        <v xml:space="preserve">Turkey </v>
      </c>
      <c r="O570" s="44" t="str">
        <f t="shared" si="99"/>
        <v/>
      </c>
      <c r="P570" s="44" t="str">
        <f t="shared" si="100"/>
        <v/>
      </c>
    </row>
    <row r="571" spans="1:16" x14ac:dyDescent="0.3">
      <c r="A571" s="44">
        <v>836</v>
      </c>
      <c r="B571" s="45">
        <v>43919</v>
      </c>
      <c r="C571" s="44" t="s">
        <v>1071</v>
      </c>
      <c r="D571" s="44">
        <v>43</v>
      </c>
      <c r="E571" s="44" t="s">
        <v>1059</v>
      </c>
      <c r="F571" s="44" t="s">
        <v>1060</v>
      </c>
      <c r="G571" s="44"/>
      <c r="H571" s="44" t="s">
        <v>1086</v>
      </c>
      <c r="I571" s="44" t="s">
        <v>1343</v>
      </c>
      <c r="J571" s="44" t="str">
        <f t="shared" si="94"/>
        <v>Male</v>
      </c>
      <c r="K571" s="44" t="str">
        <f t="shared" si="95"/>
        <v>Singaporean</v>
      </c>
      <c r="L571" s="44" t="str">
        <f t="shared" si="96"/>
        <v>Case 836 is a Local linked  case, 43 years old male Singapore Citizen  and has not been overseas. He is currently admitted at NCID . Contact of Case 747</v>
      </c>
      <c r="M571" s="44" t="str">
        <f t="shared" si="97"/>
        <v/>
      </c>
      <c r="N571" s="44" t="str">
        <f t="shared" si="98"/>
        <v/>
      </c>
      <c r="O571" s="44">
        <f t="shared" si="99"/>
        <v>836</v>
      </c>
      <c r="P571" s="44" t="str">
        <f t="shared" si="100"/>
        <v>Contact of Case 747</v>
      </c>
    </row>
    <row r="572" spans="1:16" x14ac:dyDescent="0.3">
      <c r="A572" s="44">
        <v>837</v>
      </c>
      <c r="B572" s="45">
        <v>43919</v>
      </c>
      <c r="C572" s="44" t="s">
        <v>1071</v>
      </c>
      <c r="D572" s="44">
        <v>68</v>
      </c>
      <c r="E572" s="44" t="s">
        <v>1073</v>
      </c>
      <c r="F572" s="44" t="s">
        <v>1060</v>
      </c>
      <c r="G572" s="44" t="s">
        <v>1081</v>
      </c>
      <c r="H572" s="44" t="s">
        <v>77</v>
      </c>
      <c r="I572" s="44"/>
      <c r="J572" s="44" t="str">
        <f t="shared" si="94"/>
        <v>Female</v>
      </c>
      <c r="K572" s="44" t="str">
        <f t="shared" si="95"/>
        <v>Singaporean</v>
      </c>
      <c r="L572" s="44" t="str">
        <f t="shared" si="96"/>
        <v xml:space="preserve">Case 837 is a Imported case, 68 years old female Singapore Citizen  and has been to Turkey . She is currently admitted at NCID . </v>
      </c>
      <c r="M572" s="44">
        <f t="shared" si="97"/>
        <v>837</v>
      </c>
      <c r="N572" s="44" t="str">
        <f t="shared" si="98"/>
        <v xml:space="preserve">Turkey </v>
      </c>
      <c r="O572" s="44" t="str">
        <f t="shared" si="99"/>
        <v/>
      </c>
      <c r="P572" s="44" t="str">
        <f t="shared" si="100"/>
        <v/>
      </c>
    </row>
    <row r="573" spans="1:16" x14ac:dyDescent="0.3">
      <c r="A573" s="44">
        <v>838</v>
      </c>
      <c r="B573" s="45">
        <v>43919</v>
      </c>
      <c r="C573" s="44" t="s">
        <v>1071</v>
      </c>
      <c r="D573" s="44">
        <v>42</v>
      </c>
      <c r="E573" s="44" t="s">
        <v>1073</v>
      </c>
      <c r="F573" s="44" t="s">
        <v>1072</v>
      </c>
      <c r="G573" s="44" t="s">
        <v>1063</v>
      </c>
      <c r="H573" s="44" t="s">
        <v>1069</v>
      </c>
      <c r="I573" s="44"/>
      <c r="J573" s="44" t="str">
        <f t="shared" si="94"/>
        <v>Female</v>
      </c>
      <c r="K573" s="44" t="str">
        <f t="shared" si="95"/>
        <v>Singaporean</v>
      </c>
      <c r="L573" s="44" t="str">
        <f t="shared" si="96"/>
        <v xml:space="preserve">Case 838 is a Imported  case, 42 years old female Singapore Permanent Resident  and has been to UK . She is currently admitted at NCID . </v>
      </c>
      <c r="M573" s="44">
        <f t="shared" si="97"/>
        <v>838</v>
      </c>
      <c r="N573" s="44" t="str">
        <f t="shared" si="98"/>
        <v xml:space="preserve">UK </v>
      </c>
      <c r="O573" s="44" t="str">
        <f t="shared" si="99"/>
        <v/>
      </c>
      <c r="P573" s="44" t="str">
        <f t="shared" si="100"/>
        <v/>
      </c>
    </row>
    <row r="574" spans="1:16" x14ac:dyDescent="0.3">
      <c r="A574" s="44">
        <v>839</v>
      </c>
      <c r="B574" s="45">
        <v>43919</v>
      </c>
      <c r="C574" s="44" t="s">
        <v>1071</v>
      </c>
      <c r="D574" s="44">
        <v>57</v>
      </c>
      <c r="E574" s="44" t="s">
        <v>1073</v>
      </c>
      <c r="F574" s="44" t="s">
        <v>1060</v>
      </c>
      <c r="G574" s="44"/>
      <c r="H574" s="44" t="s">
        <v>1086</v>
      </c>
      <c r="I574" s="44" t="s">
        <v>1344</v>
      </c>
      <c r="J574" s="44" t="str">
        <f t="shared" si="94"/>
        <v>Female</v>
      </c>
      <c r="K574" s="44" t="str">
        <f t="shared" si="95"/>
        <v>Singaporean</v>
      </c>
      <c r="L574" s="44" t="str">
        <f t="shared" si="96"/>
        <v>Case 839 is a Local linked  case, 57 years old female Singapore Citizen  and has not been overseas. She is currently admitted at NCID . Family member of Case 533</v>
      </c>
      <c r="M574" s="44" t="str">
        <f t="shared" si="97"/>
        <v/>
      </c>
      <c r="N574" s="44" t="str">
        <f t="shared" si="98"/>
        <v/>
      </c>
      <c r="O574" s="44">
        <f t="shared" si="99"/>
        <v>839</v>
      </c>
      <c r="P574" s="44" t="str">
        <f t="shared" si="100"/>
        <v>Family member of Case 533</v>
      </c>
    </row>
    <row r="575" spans="1:16" x14ac:dyDescent="0.3">
      <c r="A575" s="44">
        <v>840</v>
      </c>
      <c r="B575" s="45">
        <v>43919</v>
      </c>
      <c r="C575" s="44" t="s">
        <v>1071</v>
      </c>
      <c r="D575" s="44">
        <v>52</v>
      </c>
      <c r="E575" s="44" t="s">
        <v>1073</v>
      </c>
      <c r="F575" s="44" t="s">
        <v>1072</v>
      </c>
      <c r="G575" s="44" t="s">
        <v>706</v>
      </c>
      <c r="H575" s="44" t="s">
        <v>77</v>
      </c>
      <c r="I575" s="44"/>
      <c r="J575" s="44" t="str">
        <f t="shared" si="94"/>
        <v>Female</v>
      </c>
      <c r="K575" s="44" t="str">
        <f t="shared" si="95"/>
        <v>Singaporean</v>
      </c>
      <c r="L575" s="44" t="str">
        <f t="shared" si="96"/>
        <v xml:space="preserve">Case 840 is a Imported case, 52 years old female Singapore Permanent Resident  and has been to Philippines . She is currently admitted at NCID . </v>
      </c>
      <c r="M575" s="44">
        <f t="shared" si="97"/>
        <v>840</v>
      </c>
      <c r="N575" s="44" t="str">
        <f t="shared" si="98"/>
        <v xml:space="preserve">Philippines </v>
      </c>
      <c r="O575" s="44" t="str">
        <f t="shared" si="99"/>
        <v/>
      </c>
      <c r="P575" s="44" t="str">
        <f t="shared" si="100"/>
        <v/>
      </c>
    </row>
    <row r="576" spans="1:16" x14ac:dyDescent="0.3">
      <c r="A576" s="44">
        <v>841</v>
      </c>
      <c r="B576" s="45">
        <v>43919</v>
      </c>
      <c r="C576" s="44" t="s">
        <v>1071</v>
      </c>
      <c r="D576" s="44">
        <v>21</v>
      </c>
      <c r="E576" s="44" t="s">
        <v>1073</v>
      </c>
      <c r="F576" s="44" t="s">
        <v>1060</v>
      </c>
      <c r="G576" s="44" t="s">
        <v>1085</v>
      </c>
      <c r="H576" s="44" t="s">
        <v>77</v>
      </c>
      <c r="I576" s="44"/>
      <c r="J576" s="44" t="str">
        <f t="shared" si="94"/>
        <v>Female</v>
      </c>
      <c r="K576" s="44" t="str">
        <f t="shared" si="95"/>
        <v>Singaporean</v>
      </c>
      <c r="L576" s="44" t="str">
        <f t="shared" si="96"/>
        <v xml:space="preserve">Case 841 is a Imported case, 21 years old female Singapore Citizen  and has been to US . She is currently admitted at NCID . </v>
      </c>
      <c r="M576" s="44">
        <f t="shared" si="97"/>
        <v>841</v>
      </c>
      <c r="N576" s="44" t="str">
        <f t="shared" si="98"/>
        <v xml:space="preserve">US </v>
      </c>
      <c r="O576" s="44" t="str">
        <f t="shared" si="99"/>
        <v/>
      </c>
      <c r="P576" s="44" t="str">
        <f t="shared" si="100"/>
        <v/>
      </c>
    </row>
    <row r="577" spans="1:16" x14ac:dyDescent="0.3">
      <c r="A577" s="44">
        <v>842</v>
      </c>
      <c r="B577" s="45">
        <v>43919</v>
      </c>
      <c r="C577" s="44" t="s">
        <v>1071</v>
      </c>
      <c r="D577" s="44">
        <v>30</v>
      </c>
      <c r="E577" s="44" t="s">
        <v>1059</v>
      </c>
      <c r="F577" s="44" t="s">
        <v>1060</v>
      </c>
      <c r="G577" s="44" t="s">
        <v>1177</v>
      </c>
      <c r="H577" s="44" t="s">
        <v>77</v>
      </c>
      <c r="I577" s="44"/>
      <c r="J577" s="44" t="str">
        <f t="shared" si="94"/>
        <v>Male</v>
      </c>
      <c r="K577" s="44" t="str">
        <f t="shared" si="95"/>
        <v>Singaporean</v>
      </c>
      <c r="L577" s="44" t="str">
        <f t="shared" si="96"/>
        <v xml:space="preserve">Case 842 is a Imported case, 30 years old male Singapore Citizen  and has been to Pending . He is currently admitted at NCID . </v>
      </c>
      <c r="M577" s="44">
        <f t="shared" si="97"/>
        <v>842</v>
      </c>
      <c r="N577" s="44" t="str">
        <f t="shared" si="98"/>
        <v xml:space="preserve">Pending </v>
      </c>
      <c r="O577" s="44" t="str">
        <f t="shared" si="99"/>
        <v/>
      </c>
      <c r="P577" s="44" t="str">
        <f t="shared" si="100"/>
        <v/>
      </c>
    </row>
    <row r="578" spans="1:16" x14ac:dyDescent="0.3">
      <c r="A578" s="44">
        <v>843</v>
      </c>
      <c r="B578" s="45">
        <v>43919</v>
      </c>
      <c r="C578" s="44" t="s">
        <v>1071</v>
      </c>
      <c r="D578" s="44">
        <v>68</v>
      </c>
      <c r="E578" s="44" t="s">
        <v>1073</v>
      </c>
      <c r="F578" s="44" t="s">
        <v>360</v>
      </c>
      <c r="G578" s="44" t="s">
        <v>1063</v>
      </c>
      <c r="H578" s="44" t="s">
        <v>77</v>
      </c>
      <c r="I578" s="44"/>
      <c r="J578" s="44" t="str">
        <f t="shared" si="94"/>
        <v>Female</v>
      </c>
      <c r="K578" s="44" t="str">
        <f t="shared" si="95"/>
        <v xml:space="preserve">Malaysia </v>
      </c>
      <c r="L578" s="44" t="str">
        <f t="shared" si="96"/>
        <v xml:space="preserve">Case 843 is a Imported case, 68 years old female Malaysia  and has been to UK . She is currently admitted at NCID . </v>
      </c>
      <c r="M578" s="44">
        <f t="shared" si="97"/>
        <v>843</v>
      </c>
      <c r="N578" s="44" t="str">
        <f t="shared" si="98"/>
        <v xml:space="preserve">UK </v>
      </c>
      <c r="O578" s="44" t="str">
        <f t="shared" si="99"/>
        <v/>
      </c>
      <c r="P578" s="44" t="str">
        <f t="shared" si="100"/>
        <v/>
      </c>
    </row>
    <row r="579" spans="1:16" x14ac:dyDescent="0.3">
      <c r="A579" s="44">
        <v>844</v>
      </c>
      <c r="B579" s="45">
        <v>43919</v>
      </c>
      <c r="C579" s="44" t="s">
        <v>1064</v>
      </c>
      <c r="D579" s="44">
        <v>47</v>
      </c>
      <c r="E579" s="44" t="s">
        <v>1073</v>
      </c>
      <c r="F579" s="44" t="s">
        <v>1060</v>
      </c>
      <c r="G579" s="44"/>
      <c r="H579" s="44" t="s">
        <v>1333</v>
      </c>
      <c r="I579" s="44"/>
      <c r="J579" s="44" t="str">
        <f t="shared" si="94"/>
        <v>Female</v>
      </c>
      <c r="K579" s="44" t="str">
        <f t="shared" si="95"/>
        <v>Singaporean</v>
      </c>
      <c r="L579" s="44" t="str">
        <f t="shared" si="96"/>
        <v xml:space="preserve">Case 844 is a Local unlinked  case, 47 years old female Singapore Citizen  and has not been overseas. She is currently admitted at CGH . </v>
      </c>
      <c r="M579" s="44" t="str">
        <f t="shared" si="97"/>
        <v/>
      </c>
      <c r="N579" s="44" t="str">
        <f t="shared" si="98"/>
        <v/>
      </c>
      <c r="O579" s="44" t="str">
        <f t="shared" si="99"/>
        <v/>
      </c>
      <c r="P579" s="44" t="str">
        <f t="shared" si="100"/>
        <v/>
      </c>
    </row>
    <row r="580" spans="1:16" x14ac:dyDescent="0.3">
      <c r="A580" s="49">
        <v>845</v>
      </c>
      <c r="B580" s="50">
        <v>43919</v>
      </c>
      <c r="C580" s="49" t="s">
        <v>136</v>
      </c>
      <c r="D580" s="49">
        <v>38</v>
      </c>
      <c r="E580" s="49" t="s">
        <v>1073</v>
      </c>
      <c r="F580" s="49" t="s">
        <v>1060</v>
      </c>
      <c r="G580" s="49" t="s">
        <v>360</v>
      </c>
      <c r="H580" s="49" t="s">
        <v>1086</v>
      </c>
      <c r="I580" s="49" t="s">
        <v>1352</v>
      </c>
      <c r="J580" s="49" t="str">
        <f t="shared" ref="J580:J614" si="101">IF(TRIM(E580)="M","Male",IF(TRIM(E580)="F","Female",""))</f>
        <v>Female</v>
      </c>
      <c r="K580" s="49" t="str">
        <f t="shared" ref="K580:K614" si="102">IF(LEFT(F580,9)="Singapore","Singaporean",IF(ISERR(FIND("(",F580)),F580,LEFT(F580,FIND("(",F580)-2)))</f>
        <v>Singaporean</v>
      </c>
      <c r="L580" s="49" t="str">
        <f t="shared" ref="L580:L614" si="103">"Case "&amp;A580&amp;" is a "&amp;H580&amp;" case, "&amp;D580&amp;" years old "&amp;LOWER(J580)&amp;" "&amp;F580 &amp;IF(G580=""," and has not been overseas"," and has been to "&amp;G580)&amp;". "&amp;IF(TRIM(E580)="F","She",IF(TRIM(E580)="M","He"))&amp;" is currently admitted at "&amp;C580&amp;". "&amp;I580</f>
        <v>Case 845 is a Local linked  case, 38 years old female Singapore Citizen  and has been to Malaysia . She is currently admitted at KKH. Family member of Cases 809 and 742</v>
      </c>
      <c r="M580" s="49">
        <f t="shared" ref="M580:M614" si="104">IF(G580="","",A580)</f>
        <v>845</v>
      </c>
      <c r="N580" s="49" t="str">
        <f t="shared" ref="N580:N614" si="105">IF(G580="","",G580)</f>
        <v xml:space="preserve">Malaysia </v>
      </c>
      <c r="O580" s="49">
        <f t="shared" ref="O580:O614" si="106">IF(I580="","",A580)</f>
        <v>845</v>
      </c>
      <c r="P580" s="49" t="str">
        <f t="shared" ref="P580:P614" si="107">IF(I580="","",I580)</f>
        <v>Family member of Cases 809 and 742</v>
      </c>
    </row>
    <row r="581" spans="1:16" x14ac:dyDescent="0.3">
      <c r="A581" s="49">
        <v>846</v>
      </c>
      <c r="B581" s="50">
        <v>43919</v>
      </c>
      <c r="C581" s="49" t="s">
        <v>343</v>
      </c>
      <c r="D581" s="49">
        <v>68</v>
      </c>
      <c r="E581" s="49" t="s">
        <v>1059</v>
      </c>
      <c r="F581" s="49" t="s">
        <v>1353</v>
      </c>
      <c r="G581" s="49"/>
      <c r="H581" s="49" t="s">
        <v>1061</v>
      </c>
      <c r="I581" s="49"/>
      <c r="J581" s="49" t="str">
        <f t="shared" si="101"/>
        <v>Male</v>
      </c>
      <c r="K581" s="49" t="str">
        <f t="shared" si="102"/>
        <v>UAE</v>
      </c>
      <c r="L581" s="49" t="str">
        <f t="shared" si="103"/>
        <v xml:space="preserve">Case 846 is a Local unlinked case, 68 years old male UAE (Long Term Pass holder)  and has not been overseas. He is currently admitted at NUH . </v>
      </c>
      <c r="M581" s="49" t="str">
        <f t="shared" si="104"/>
        <v/>
      </c>
      <c r="N581" s="49" t="str">
        <f t="shared" si="105"/>
        <v/>
      </c>
      <c r="O581" s="49" t="str">
        <f t="shared" si="106"/>
        <v/>
      </c>
      <c r="P581" s="49" t="str">
        <f t="shared" si="107"/>
        <v/>
      </c>
    </row>
    <row r="582" spans="1:16" x14ac:dyDescent="0.3">
      <c r="A582" s="49">
        <v>847</v>
      </c>
      <c r="B582" s="50">
        <v>43919</v>
      </c>
      <c r="C582" s="49" t="s">
        <v>1058</v>
      </c>
      <c r="D582" s="49">
        <v>42</v>
      </c>
      <c r="E582" s="49" t="s">
        <v>1059</v>
      </c>
      <c r="F582" s="49" t="s">
        <v>1072</v>
      </c>
      <c r="G582" s="49" t="s">
        <v>706</v>
      </c>
      <c r="H582" s="49" t="s">
        <v>1069</v>
      </c>
      <c r="I582" s="49" t="s">
        <v>1354</v>
      </c>
      <c r="J582" s="49" t="str">
        <f t="shared" si="101"/>
        <v>Male</v>
      </c>
      <c r="K582" s="49" t="str">
        <f t="shared" si="102"/>
        <v>Singaporean</v>
      </c>
      <c r="L582" s="49" t="str">
        <f t="shared" si="103"/>
        <v>Case 847 is a Imported  case, 42 years old male Singapore Permanent Resident  and has been to Philippines . He is currently admitted at KTPH . Family member of Case 781</v>
      </c>
      <c r="M582" s="49">
        <f t="shared" si="104"/>
        <v>847</v>
      </c>
      <c r="N582" s="49" t="str">
        <f t="shared" si="105"/>
        <v xml:space="preserve">Philippines </v>
      </c>
      <c r="O582" s="49">
        <f t="shared" si="106"/>
        <v>847</v>
      </c>
      <c r="P582" s="49" t="str">
        <f t="shared" si="107"/>
        <v>Family member of Case 781</v>
      </c>
    </row>
    <row r="583" spans="1:16" x14ac:dyDescent="0.3">
      <c r="A583" s="49">
        <v>848</v>
      </c>
      <c r="B583" s="50">
        <v>43919</v>
      </c>
      <c r="C583" s="49" t="s">
        <v>343</v>
      </c>
      <c r="D583" s="49">
        <v>41</v>
      </c>
      <c r="E583" s="49" t="s">
        <v>1073</v>
      </c>
      <c r="F583" s="49" t="s">
        <v>1355</v>
      </c>
      <c r="G583" s="49"/>
      <c r="H583" s="49" t="s">
        <v>1086</v>
      </c>
      <c r="I583" s="49" t="s">
        <v>1356</v>
      </c>
      <c r="J583" s="49" t="str">
        <f t="shared" si="101"/>
        <v>Female</v>
      </c>
      <c r="K583" s="49" t="str">
        <f t="shared" si="102"/>
        <v>Taiwan</v>
      </c>
      <c r="L583" s="49" t="str">
        <f t="shared" si="103"/>
        <v>Case 848 is a Local linked  case, 41 years old female Taiwan (Long Term Pass holder)  and has not been overseas. She is currently admitted at NUH . Wilby Residences</v>
      </c>
      <c r="M583" s="49" t="str">
        <f t="shared" si="104"/>
        <v/>
      </c>
      <c r="N583" s="49" t="str">
        <f t="shared" si="105"/>
        <v/>
      </c>
      <c r="O583" s="49">
        <f t="shared" si="106"/>
        <v>848</v>
      </c>
      <c r="P583" s="49" t="str">
        <f t="shared" si="107"/>
        <v>Wilby Residences</v>
      </c>
    </row>
    <row r="584" spans="1:16" x14ac:dyDescent="0.3">
      <c r="A584" s="49">
        <v>849</v>
      </c>
      <c r="B584" s="50">
        <v>43919</v>
      </c>
      <c r="C584" s="49" t="s">
        <v>343</v>
      </c>
      <c r="D584" s="49">
        <v>34</v>
      </c>
      <c r="E584" s="49" t="s">
        <v>1073</v>
      </c>
      <c r="F584" s="49" t="s">
        <v>1060</v>
      </c>
      <c r="G584" s="49" t="s">
        <v>360</v>
      </c>
      <c r="H584" s="49" t="s">
        <v>1086</v>
      </c>
      <c r="I584" s="49" t="s">
        <v>1344</v>
      </c>
      <c r="J584" s="49" t="str">
        <f t="shared" si="101"/>
        <v>Female</v>
      </c>
      <c r="K584" s="49" t="str">
        <f t="shared" si="102"/>
        <v>Singaporean</v>
      </c>
      <c r="L584" s="49" t="str">
        <f t="shared" si="103"/>
        <v>Case 849 is a Local linked  case, 34 years old female Singapore Citizen  and has been to Malaysia . She is currently admitted at NUH . Family member of Case 533</v>
      </c>
      <c r="M584" s="49">
        <f t="shared" si="104"/>
        <v>849</v>
      </c>
      <c r="N584" s="49" t="str">
        <f t="shared" si="105"/>
        <v xml:space="preserve">Malaysia </v>
      </c>
      <c r="O584" s="49">
        <f t="shared" si="106"/>
        <v>849</v>
      </c>
      <c r="P584" s="49" t="str">
        <f t="shared" si="107"/>
        <v>Family member of Case 533</v>
      </c>
    </row>
    <row r="585" spans="1:16" x14ac:dyDescent="0.3">
      <c r="A585" s="49">
        <v>850</v>
      </c>
      <c r="B585" s="50">
        <v>43919</v>
      </c>
      <c r="C585" s="49" t="s">
        <v>1064</v>
      </c>
      <c r="D585" s="49">
        <v>37</v>
      </c>
      <c r="E585" s="49" t="s">
        <v>1059</v>
      </c>
      <c r="F585" s="49" t="s">
        <v>1060</v>
      </c>
      <c r="G585" s="49"/>
      <c r="H585" s="49" t="s">
        <v>1061</v>
      </c>
      <c r="I585" s="49"/>
      <c r="J585" s="49" t="str">
        <f t="shared" si="101"/>
        <v>Male</v>
      </c>
      <c r="K585" s="49" t="str">
        <f t="shared" si="102"/>
        <v>Singaporean</v>
      </c>
      <c r="L585" s="49" t="str">
        <f t="shared" si="103"/>
        <v xml:space="preserve">Case 850 is a Local unlinked case, 37 years old male Singapore Citizen  and has not been overseas. He is currently admitted at CGH . </v>
      </c>
      <c r="M585" s="49" t="str">
        <f t="shared" si="104"/>
        <v/>
      </c>
      <c r="N585" s="49" t="str">
        <f t="shared" si="105"/>
        <v/>
      </c>
      <c r="O585" s="49" t="str">
        <f t="shared" si="106"/>
        <v/>
      </c>
      <c r="P585" s="49" t="str">
        <f t="shared" si="107"/>
        <v/>
      </c>
    </row>
    <row r="586" spans="1:16" x14ac:dyDescent="0.3">
      <c r="A586" s="49">
        <v>851</v>
      </c>
      <c r="B586" s="50">
        <v>43919</v>
      </c>
      <c r="C586" s="49" t="s">
        <v>1138</v>
      </c>
      <c r="D586" s="49">
        <v>40</v>
      </c>
      <c r="E586" s="49" t="s">
        <v>1073</v>
      </c>
      <c r="F586" s="49" t="s">
        <v>1357</v>
      </c>
      <c r="G586" s="49" t="s">
        <v>1358</v>
      </c>
      <c r="H586" s="49" t="s">
        <v>77</v>
      </c>
      <c r="I586" s="49"/>
      <c r="J586" s="49" t="str">
        <f t="shared" si="101"/>
        <v>Female</v>
      </c>
      <c r="K586" s="49" t="str">
        <f t="shared" si="102"/>
        <v>Brazil</v>
      </c>
      <c r="L586" s="49" t="str">
        <f t="shared" si="103"/>
        <v xml:space="preserve">Case 851 is a Imported case, 40 years old female Brazil (Long Term Pass holder)  and has been to Brazil . She is currently admitted at SGH . </v>
      </c>
      <c r="M586" s="49">
        <f t="shared" si="104"/>
        <v>851</v>
      </c>
      <c r="N586" s="49" t="str">
        <f t="shared" si="105"/>
        <v xml:space="preserve">Brazil </v>
      </c>
      <c r="O586" s="49" t="str">
        <f t="shared" si="106"/>
        <v/>
      </c>
      <c r="P586" s="49" t="str">
        <f t="shared" si="107"/>
        <v/>
      </c>
    </row>
    <row r="587" spans="1:16" x14ac:dyDescent="0.3">
      <c r="A587" s="49">
        <v>852</v>
      </c>
      <c r="B587" s="50">
        <v>43919</v>
      </c>
      <c r="C587" s="49" t="s">
        <v>1138</v>
      </c>
      <c r="D587" s="49">
        <v>31</v>
      </c>
      <c r="E587" s="49" t="s">
        <v>1059</v>
      </c>
      <c r="F587" s="49" t="s">
        <v>1194</v>
      </c>
      <c r="G587" s="49"/>
      <c r="H587" s="49" t="s">
        <v>1086</v>
      </c>
      <c r="I587" s="49" t="s">
        <v>1359</v>
      </c>
      <c r="J587" s="49" t="str">
        <f t="shared" si="101"/>
        <v>Male</v>
      </c>
      <c r="K587" s="49" t="str">
        <f t="shared" si="102"/>
        <v>India</v>
      </c>
      <c r="L587" s="49" t="str">
        <f t="shared" si="103"/>
        <v>Case 852 is a Local linked  case, 31 years old male India (Long Term Pass holder)  and has not been overseas. He is currently admitted at SGH . S11 Dormitory</v>
      </c>
      <c r="M587" s="49" t="str">
        <f t="shared" si="104"/>
        <v/>
      </c>
      <c r="N587" s="49" t="str">
        <f t="shared" si="105"/>
        <v/>
      </c>
      <c r="O587" s="49">
        <f t="shared" si="106"/>
        <v>852</v>
      </c>
      <c r="P587" s="49" t="str">
        <f t="shared" si="107"/>
        <v>S11 Dormitory</v>
      </c>
    </row>
    <row r="588" spans="1:16" x14ac:dyDescent="0.3">
      <c r="A588" s="49">
        <v>853</v>
      </c>
      <c r="B588" s="50">
        <v>43919</v>
      </c>
      <c r="C588" s="49" t="s">
        <v>1071</v>
      </c>
      <c r="D588" s="49">
        <v>20</v>
      </c>
      <c r="E588" s="49" t="s">
        <v>1059</v>
      </c>
      <c r="F588" s="49" t="s">
        <v>1156</v>
      </c>
      <c r="G588" s="49"/>
      <c r="H588" s="49" t="s">
        <v>1061</v>
      </c>
      <c r="I588" s="49"/>
      <c r="J588" s="49" t="str">
        <f t="shared" si="101"/>
        <v>Male</v>
      </c>
      <c r="K588" s="49" t="str">
        <f t="shared" si="102"/>
        <v>Malaysia</v>
      </c>
      <c r="L588" s="49" t="str">
        <f t="shared" si="103"/>
        <v xml:space="preserve">Case 853 is a Local unlinked case, 20 years old male Malaysia (Singapore Work Pass holder)  and has not been overseas. He is currently admitted at NCID . </v>
      </c>
      <c r="M588" s="49" t="str">
        <f t="shared" si="104"/>
        <v/>
      </c>
      <c r="N588" s="49" t="str">
        <f t="shared" si="105"/>
        <v/>
      </c>
      <c r="O588" s="49" t="str">
        <f t="shared" si="106"/>
        <v/>
      </c>
      <c r="P588" s="49" t="str">
        <f t="shared" si="107"/>
        <v/>
      </c>
    </row>
    <row r="589" spans="1:16" x14ac:dyDescent="0.3">
      <c r="A589" s="49">
        <v>854</v>
      </c>
      <c r="B589" s="50">
        <v>43919</v>
      </c>
      <c r="C589" s="49" t="s">
        <v>1058</v>
      </c>
      <c r="D589" s="49">
        <v>43</v>
      </c>
      <c r="E589" s="49" t="s">
        <v>1059</v>
      </c>
      <c r="F589" s="49" t="s">
        <v>1255</v>
      </c>
      <c r="G589" s="49"/>
      <c r="H589" s="49" t="s">
        <v>1061</v>
      </c>
      <c r="I589" s="49"/>
      <c r="J589" s="49" t="str">
        <f t="shared" si="101"/>
        <v>Male</v>
      </c>
      <c r="K589" s="49" t="str">
        <f t="shared" si="102"/>
        <v>India</v>
      </c>
      <c r="L589" s="49" t="str">
        <f t="shared" si="103"/>
        <v xml:space="preserve">Case 854 is a Local unlinked case, 43 years old male India (Singapore Work Pass holder)  and has not been overseas. He is currently admitted at KTPH . </v>
      </c>
      <c r="M589" s="49" t="str">
        <f t="shared" si="104"/>
        <v/>
      </c>
      <c r="N589" s="49" t="str">
        <f t="shared" si="105"/>
        <v/>
      </c>
      <c r="O589" s="49" t="str">
        <f t="shared" si="106"/>
        <v/>
      </c>
      <c r="P589" s="49" t="str">
        <f t="shared" si="107"/>
        <v/>
      </c>
    </row>
    <row r="590" spans="1:16" x14ac:dyDescent="0.3">
      <c r="A590" s="49">
        <v>855</v>
      </c>
      <c r="B590" s="50">
        <v>43919</v>
      </c>
      <c r="C590" s="49" t="s">
        <v>1071</v>
      </c>
      <c r="D590" s="49">
        <v>88</v>
      </c>
      <c r="E590" s="49" t="s">
        <v>1059</v>
      </c>
      <c r="F590" s="49" t="s">
        <v>1072</v>
      </c>
      <c r="G590" s="49"/>
      <c r="H590" s="49" t="s">
        <v>1061</v>
      </c>
      <c r="I590" s="49"/>
      <c r="J590" s="49" t="str">
        <f t="shared" si="101"/>
        <v>Male</v>
      </c>
      <c r="K590" s="49" t="str">
        <f t="shared" si="102"/>
        <v>Singaporean</v>
      </c>
      <c r="L590" s="49" t="str">
        <f t="shared" si="103"/>
        <v xml:space="preserve">Case 855 is a Local unlinked case, 88 years old male Singapore Permanent Resident  and has not been overseas. He is currently admitted at NCID . </v>
      </c>
      <c r="M590" s="49" t="str">
        <f t="shared" si="104"/>
        <v/>
      </c>
      <c r="N590" s="49" t="str">
        <f t="shared" si="105"/>
        <v/>
      </c>
      <c r="O590" s="49" t="str">
        <f t="shared" si="106"/>
        <v/>
      </c>
      <c r="P590" s="49" t="str">
        <f t="shared" si="107"/>
        <v/>
      </c>
    </row>
    <row r="591" spans="1:16" x14ac:dyDescent="0.3">
      <c r="A591" s="49">
        <v>856</v>
      </c>
      <c r="B591" s="50">
        <v>43919</v>
      </c>
      <c r="C591" s="49" t="s">
        <v>1064</v>
      </c>
      <c r="D591" s="49">
        <v>32</v>
      </c>
      <c r="E591" s="49" t="s">
        <v>1059</v>
      </c>
      <c r="F591" s="49" t="s">
        <v>1306</v>
      </c>
      <c r="G591" s="49"/>
      <c r="H591" s="49" t="s">
        <v>1061</v>
      </c>
      <c r="I591" s="49"/>
      <c r="J591" s="49" t="str">
        <f t="shared" si="101"/>
        <v>Male</v>
      </c>
      <c r="K591" s="49" t="str">
        <f t="shared" si="102"/>
        <v>China</v>
      </c>
      <c r="L591" s="49" t="str">
        <f t="shared" si="103"/>
        <v xml:space="preserve">Case 856 is a Local unlinked case, 32 years old male China (Singapore Work Pass holder)  and has not been overseas. He is currently admitted at CGH . </v>
      </c>
      <c r="M591" s="49" t="str">
        <f t="shared" si="104"/>
        <v/>
      </c>
      <c r="N591" s="49" t="str">
        <f t="shared" si="105"/>
        <v/>
      </c>
      <c r="O591" s="49" t="str">
        <f t="shared" si="106"/>
        <v/>
      </c>
      <c r="P591" s="49" t="str">
        <f t="shared" si="107"/>
        <v/>
      </c>
    </row>
    <row r="592" spans="1:16" x14ac:dyDescent="0.3">
      <c r="A592" s="49">
        <v>857</v>
      </c>
      <c r="B592" s="50">
        <v>43919</v>
      </c>
      <c r="C592" s="49" t="s">
        <v>1066</v>
      </c>
      <c r="D592" s="49">
        <v>20</v>
      </c>
      <c r="E592" s="49" t="s">
        <v>1059</v>
      </c>
      <c r="F592" s="49" t="s">
        <v>1060</v>
      </c>
      <c r="G592" s="49" t="s">
        <v>360</v>
      </c>
      <c r="H592" s="49" t="s">
        <v>77</v>
      </c>
      <c r="I592" s="49"/>
      <c r="J592" s="49" t="str">
        <f t="shared" si="101"/>
        <v>Male</v>
      </c>
      <c r="K592" s="49" t="str">
        <f t="shared" si="102"/>
        <v>Singaporean</v>
      </c>
      <c r="L592" s="49" t="str">
        <f t="shared" si="103"/>
        <v xml:space="preserve">Case 857 is a Imported case, 20 years old male Singapore Citizen  and has been to Malaysia . He is currently admitted at SKH . </v>
      </c>
      <c r="M592" s="49">
        <f t="shared" si="104"/>
        <v>857</v>
      </c>
      <c r="N592" s="49" t="str">
        <f t="shared" si="105"/>
        <v xml:space="preserve">Malaysia </v>
      </c>
      <c r="O592" s="49" t="str">
        <f t="shared" si="106"/>
        <v/>
      </c>
      <c r="P592" s="49" t="str">
        <f t="shared" si="107"/>
        <v/>
      </c>
    </row>
    <row r="593" spans="1:16" x14ac:dyDescent="0.3">
      <c r="A593" s="49">
        <v>858</v>
      </c>
      <c r="B593" s="50">
        <v>43919</v>
      </c>
      <c r="C593" s="49" t="s">
        <v>1071</v>
      </c>
      <c r="D593" s="49">
        <v>35</v>
      </c>
      <c r="E593" s="49" t="s">
        <v>1073</v>
      </c>
      <c r="F593" s="49" t="s">
        <v>1060</v>
      </c>
      <c r="G593" s="49" t="s">
        <v>703</v>
      </c>
      <c r="H593" s="49" t="s">
        <v>77</v>
      </c>
      <c r="I593" s="49"/>
      <c r="J593" s="49" t="str">
        <f t="shared" si="101"/>
        <v>Female</v>
      </c>
      <c r="K593" s="49" t="str">
        <f t="shared" si="102"/>
        <v>Singaporean</v>
      </c>
      <c r="L593" s="49" t="str">
        <f t="shared" si="103"/>
        <v xml:space="preserve">Case 858 is a Imported case, 35 years old female Singapore Citizen  and has been to France . She is currently admitted at NCID . </v>
      </c>
      <c r="M593" s="49">
        <f t="shared" si="104"/>
        <v>858</v>
      </c>
      <c r="N593" s="49" t="str">
        <f t="shared" si="105"/>
        <v xml:space="preserve">France </v>
      </c>
      <c r="O593" s="49" t="str">
        <f t="shared" si="106"/>
        <v/>
      </c>
      <c r="P593" s="49" t="str">
        <f t="shared" si="107"/>
        <v/>
      </c>
    </row>
    <row r="594" spans="1:16" x14ac:dyDescent="0.3">
      <c r="A594" s="49">
        <v>859</v>
      </c>
      <c r="B594" s="50">
        <v>43919</v>
      </c>
      <c r="C594" s="49" t="s">
        <v>1071</v>
      </c>
      <c r="D594" s="49">
        <v>41</v>
      </c>
      <c r="E594" s="49" t="s">
        <v>1059</v>
      </c>
      <c r="F594" s="49" t="s">
        <v>1360</v>
      </c>
      <c r="G594" s="49"/>
      <c r="H594" s="49" t="s">
        <v>1061</v>
      </c>
      <c r="I594" s="49"/>
      <c r="J594" s="49" t="str">
        <f t="shared" si="101"/>
        <v>Male</v>
      </c>
      <c r="K594" s="49" t="str">
        <f t="shared" si="102"/>
        <v>Bangladesh</v>
      </c>
      <c r="L594" s="49" t="str">
        <f t="shared" si="103"/>
        <v xml:space="preserve">Case 859 is a Local unlinked case, 41 years old male Bangladesh (Singapore Work Pass holder)  and has not been overseas. He is currently admitted at NCID . </v>
      </c>
      <c r="M594" s="49" t="str">
        <f t="shared" si="104"/>
        <v/>
      </c>
      <c r="N594" s="49" t="str">
        <f t="shared" si="105"/>
        <v/>
      </c>
      <c r="O594" s="49" t="str">
        <f t="shared" si="106"/>
        <v/>
      </c>
      <c r="P594" s="49" t="str">
        <f t="shared" si="107"/>
        <v/>
      </c>
    </row>
    <row r="595" spans="1:16" x14ac:dyDescent="0.3">
      <c r="A595" s="49">
        <v>860</v>
      </c>
      <c r="B595" s="50">
        <v>43919</v>
      </c>
      <c r="C595" s="49" t="s">
        <v>1058</v>
      </c>
      <c r="D595" s="49">
        <v>22</v>
      </c>
      <c r="E595" s="49" t="s">
        <v>1059</v>
      </c>
      <c r="F595" s="49" t="s">
        <v>1194</v>
      </c>
      <c r="G595" s="49"/>
      <c r="H595" s="49" t="s">
        <v>1086</v>
      </c>
      <c r="I595" s="49" t="s">
        <v>1359</v>
      </c>
      <c r="J595" s="49" t="str">
        <f t="shared" si="101"/>
        <v>Male</v>
      </c>
      <c r="K595" s="49" t="str">
        <f t="shared" si="102"/>
        <v>India</v>
      </c>
      <c r="L595" s="49" t="str">
        <f t="shared" si="103"/>
        <v>Case 860 is a Local linked  case, 22 years old male India (Long Term Pass holder)  and has not been overseas. He is currently admitted at KTPH . S11 Dormitory</v>
      </c>
      <c r="M595" s="49" t="str">
        <f t="shared" si="104"/>
        <v/>
      </c>
      <c r="N595" s="49" t="str">
        <f t="shared" si="105"/>
        <v/>
      </c>
      <c r="O595" s="49">
        <f t="shared" si="106"/>
        <v>860</v>
      </c>
      <c r="P595" s="49" t="str">
        <f t="shared" si="107"/>
        <v>S11 Dormitory</v>
      </c>
    </row>
    <row r="596" spans="1:16" x14ac:dyDescent="0.3">
      <c r="A596" s="49">
        <v>861</v>
      </c>
      <c r="B596" s="50">
        <v>43919</v>
      </c>
      <c r="C596" s="49" t="s">
        <v>1071</v>
      </c>
      <c r="D596" s="49">
        <v>25</v>
      </c>
      <c r="E596" s="49" t="s">
        <v>1073</v>
      </c>
      <c r="F596" s="49" t="s">
        <v>1060</v>
      </c>
      <c r="G596" s="49"/>
      <c r="H596" s="49" t="s">
        <v>1086</v>
      </c>
      <c r="I596" s="49" t="s">
        <v>1361</v>
      </c>
      <c r="J596" s="49" t="str">
        <f t="shared" si="101"/>
        <v>Female</v>
      </c>
      <c r="K596" s="49" t="str">
        <f t="shared" si="102"/>
        <v>Singaporean</v>
      </c>
      <c r="L596" s="49" t="str">
        <f t="shared" si="103"/>
        <v>Case 861 is a Local linked  case, 25 years old female Singapore Citizen  and has not been overseas. She is currently admitted at NCID . Contact of Case 767</v>
      </c>
      <c r="M596" s="49" t="str">
        <f t="shared" si="104"/>
        <v/>
      </c>
      <c r="N596" s="49" t="str">
        <f t="shared" si="105"/>
        <v/>
      </c>
      <c r="O596" s="49">
        <f t="shared" si="106"/>
        <v>861</v>
      </c>
      <c r="P596" s="49" t="str">
        <f t="shared" si="107"/>
        <v>Contact of Case 767</v>
      </c>
    </row>
    <row r="597" spans="1:16" x14ac:dyDescent="0.3">
      <c r="A597" s="49">
        <v>862</v>
      </c>
      <c r="B597" s="50">
        <v>43919</v>
      </c>
      <c r="C597" s="49" t="s">
        <v>1071</v>
      </c>
      <c r="D597" s="49">
        <v>29</v>
      </c>
      <c r="E597" s="49" t="s">
        <v>1059</v>
      </c>
      <c r="F597" s="49" t="s">
        <v>1060</v>
      </c>
      <c r="G597" s="49" t="s">
        <v>1063</v>
      </c>
      <c r="H597" s="49" t="s">
        <v>77</v>
      </c>
      <c r="I597" s="49"/>
      <c r="J597" s="49" t="str">
        <f t="shared" si="101"/>
        <v>Male</v>
      </c>
      <c r="K597" s="49" t="str">
        <f t="shared" si="102"/>
        <v>Singaporean</v>
      </c>
      <c r="L597" s="49" t="str">
        <f t="shared" si="103"/>
        <v xml:space="preserve">Case 862 is a Imported case, 29 years old male Singapore Citizen  and has been to UK . He is currently admitted at NCID . </v>
      </c>
      <c r="M597" s="49">
        <f t="shared" si="104"/>
        <v>862</v>
      </c>
      <c r="N597" s="49" t="str">
        <f t="shared" si="105"/>
        <v xml:space="preserve">UK </v>
      </c>
      <c r="O597" s="49" t="str">
        <f t="shared" si="106"/>
        <v/>
      </c>
      <c r="P597" s="49" t="str">
        <f t="shared" si="107"/>
        <v/>
      </c>
    </row>
    <row r="598" spans="1:16" x14ac:dyDescent="0.3">
      <c r="A598" s="49">
        <v>863</v>
      </c>
      <c r="B598" s="50">
        <v>43919</v>
      </c>
      <c r="C598" s="49" t="s">
        <v>1071</v>
      </c>
      <c r="D598" s="49">
        <v>49</v>
      </c>
      <c r="E598" s="49" t="s">
        <v>1059</v>
      </c>
      <c r="F598" s="49" t="s">
        <v>1060</v>
      </c>
      <c r="G598" s="49"/>
      <c r="H598" s="49" t="s">
        <v>1086</v>
      </c>
      <c r="I598" s="49" t="s">
        <v>1362</v>
      </c>
      <c r="J598" s="49" t="str">
        <f t="shared" si="101"/>
        <v>Male</v>
      </c>
      <c r="K598" s="49" t="str">
        <f t="shared" si="102"/>
        <v>Singaporean</v>
      </c>
      <c r="L598" s="49" t="str">
        <f t="shared" si="103"/>
        <v>Case 863 is a Local linked  case, 49 years old male Singapore Citizen  and has not been overseas. He is currently admitted at NCID . Family member of Case 727</v>
      </c>
      <c r="M598" s="49" t="str">
        <f t="shared" si="104"/>
        <v/>
      </c>
      <c r="N598" s="49" t="str">
        <f t="shared" si="105"/>
        <v/>
      </c>
      <c r="O598" s="49">
        <f t="shared" si="106"/>
        <v>863</v>
      </c>
      <c r="P598" s="49" t="str">
        <f t="shared" si="107"/>
        <v>Family member of Case 727</v>
      </c>
    </row>
    <row r="599" spans="1:16" x14ac:dyDescent="0.3">
      <c r="A599" s="49">
        <v>864</v>
      </c>
      <c r="B599" s="50">
        <v>43919</v>
      </c>
      <c r="C599" s="49" t="s">
        <v>1071</v>
      </c>
      <c r="D599" s="49">
        <v>27</v>
      </c>
      <c r="E599" s="49" t="s">
        <v>1073</v>
      </c>
      <c r="F599" s="49" t="s">
        <v>1060</v>
      </c>
      <c r="G599" s="49" t="s">
        <v>1363</v>
      </c>
      <c r="H599" s="49" t="s">
        <v>1086</v>
      </c>
      <c r="I599" s="49" t="s">
        <v>1356</v>
      </c>
      <c r="J599" s="49" t="str">
        <f t="shared" si="101"/>
        <v>Female</v>
      </c>
      <c r="K599" s="49" t="str">
        <f t="shared" si="102"/>
        <v>Singaporean</v>
      </c>
      <c r="L599" s="49" t="str">
        <f t="shared" si="103"/>
        <v>Case 864 is a Local linked  case, 27 years old female Singapore Citizen  and has been to UK, US . She is currently admitted at NCID . Wilby Residences</v>
      </c>
      <c r="M599" s="49">
        <f t="shared" si="104"/>
        <v>864</v>
      </c>
      <c r="N599" s="49" t="str">
        <f t="shared" si="105"/>
        <v xml:space="preserve">UK, US </v>
      </c>
      <c r="O599" s="49">
        <f t="shared" si="106"/>
        <v>864</v>
      </c>
      <c r="P599" s="49" t="str">
        <f t="shared" si="107"/>
        <v>Wilby Residences</v>
      </c>
    </row>
    <row r="600" spans="1:16" x14ac:dyDescent="0.3">
      <c r="A600" s="49">
        <v>865</v>
      </c>
      <c r="B600" s="50">
        <v>43919</v>
      </c>
      <c r="C600" s="49" t="s">
        <v>1071</v>
      </c>
      <c r="D600" s="49">
        <v>36</v>
      </c>
      <c r="E600" s="49" t="s">
        <v>1059</v>
      </c>
      <c r="F600" s="49" t="s">
        <v>1060</v>
      </c>
      <c r="G600" s="49"/>
      <c r="H600" s="49" t="s">
        <v>1086</v>
      </c>
      <c r="I600" s="49" t="s">
        <v>1364</v>
      </c>
      <c r="J600" s="49" t="str">
        <f t="shared" si="101"/>
        <v>Male</v>
      </c>
      <c r="K600" s="49" t="str">
        <f t="shared" si="102"/>
        <v>Singaporean</v>
      </c>
      <c r="L600" s="49" t="str">
        <f t="shared" si="103"/>
        <v>Case 865 is a Local linked  case, 36 years old male Singapore Citizen  and has not been overseas. He is currently admitted at NCID . Contact of Case 488</v>
      </c>
      <c r="M600" s="49" t="str">
        <f t="shared" si="104"/>
        <v/>
      </c>
      <c r="N600" s="49" t="str">
        <f t="shared" si="105"/>
        <v/>
      </c>
      <c r="O600" s="49">
        <f t="shared" si="106"/>
        <v>865</v>
      </c>
      <c r="P600" s="49" t="str">
        <f t="shared" si="107"/>
        <v>Contact of Case 488</v>
      </c>
    </row>
    <row r="601" spans="1:16" x14ac:dyDescent="0.3">
      <c r="A601" s="49">
        <v>866</v>
      </c>
      <c r="B601" s="50">
        <v>43919</v>
      </c>
      <c r="C601" s="49" t="s">
        <v>1066</v>
      </c>
      <c r="D601" s="49">
        <v>52</v>
      </c>
      <c r="E601" s="49" t="s">
        <v>1059</v>
      </c>
      <c r="F601" s="49" t="s">
        <v>1060</v>
      </c>
      <c r="G601" s="49"/>
      <c r="H601" s="49" t="s">
        <v>1061</v>
      </c>
      <c r="I601" s="49"/>
      <c r="J601" s="49" t="str">
        <f t="shared" si="101"/>
        <v>Male</v>
      </c>
      <c r="K601" s="49" t="str">
        <f t="shared" si="102"/>
        <v>Singaporean</v>
      </c>
      <c r="L601" s="49" t="str">
        <f t="shared" si="103"/>
        <v xml:space="preserve">Case 866 is a Local unlinked case, 52 years old male Singapore Citizen  and has not been overseas. He is currently admitted at SKH . </v>
      </c>
      <c r="M601" s="49" t="str">
        <f t="shared" si="104"/>
        <v/>
      </c>
      <c r="N601" s="49" t="str">
        <f t="shared" si="105"/>
        <v/>
      </c>
      <c r="O601" s="49" t="str">
        <f t="shared" si="106"/>
        <v/>
      </c>
      <c r="P601" s="49" t="str">
        <f t="shared" si="107"/>
        <v/>
      </c>
    </row>
    <row r="602" spans="1:16" x14ac:dyDescent="0.3">
      <c r="A602" s="49">
        <v>867</v>
      </c>
      <c r="B602" s="50">
        <v>43920</v>
      </c>
      <c r="C602" s="49" t="s">
        <v>1071</v>
      </c>
      <c r="D602" s="49">
        <v>36</v>
      </c>
      <c r="E602" s="49" t="s">
        <v>1073</v>
      </c>
      <c r="F602" s="49" t="s">
        <v>1060</v>
      </c>
      <c r="G602" s="49" t="s">
        <v>360</v>
      </c>
      <c r="H602" s="49" t="s">
        <v>1086</v>
      </c>
      <c r="I602" s="49" t="s">
        <v>1365</v>
      </c>
      <c r="J602" s="49" t="str">
        <f t="shared" si="101"/>
        <v>Female</v>
      </c>
      <c r="K602" s="49" t="str">
        <f t="shared" si="102"/>
        <v>Singaporean</v>
      </c>
      <c r="L602" s="49" t="str">
        <f t="shared" si="103"/>
        <v>Case 867 is a Local linked  case, 36 years old female Singapore Citizen  and has been to Malaysia . She is currently admitted at NCID . Family member of Case 434</v>
      </c>
      <c r="M602" s="49">
        <f t="shared" si="104"/>
        <v>867</v>
      </c>
      <c r="N602" s="49" t="str">
        <f t="shared" si="105"/>
        <v xml:space="preserve">Malaysia </v>
      </c>
      <c r="O602" s="49">
        <f t="shared" si="106"/>
        <v>867</v>
      </c>
      <c r="P602" s="49" t="str">
        <f t="shared" si="107"/>
        <v>Family member of Case 434</v>
      </c>
    </row>
    <row r="603" spans="1:16" x14ac:dyDescent="0.3">
      <c r="A603" s="49">
        <v>868</v>
      </c>
      <c r="B603" s="50">
        <v>43919</v>
      </c>
      <c r="C603" s="49" t="s">
        <v>1062</v>
      </c>
      <c r="D603" s="49">
        <v>29</v>
      </c>
      <c r="E603" s="49" t="s">
        <v>1059</v>
      </c>
      <c r="F603" s="49" t="s">
        <v>1278</v>
      </c>
      <c r="G603" s="49"/>
      <c r="H603" s="49" t="s">
        <v>1061</v>
      </c>
      <c r="I603" s="49"/>
      <c r="J603" s="49" t="str">
        <f t="shared" si="101"/>
        <v>Male</v>
      </c>
      <c r="K603" s="49" t="str">
        <f t="shared" si="102"/>
        <v>Bangladesh</v>
      </c>
      <c r="L603" s="49" t="str">
        <f t="shared" si="103"/>
        <v xml:space="preserve">Case 868 is a Local unlinked case, 29 years old male Bangladesh (Long Term Pass holder)  and has not been overseas. He is currently admitted at NTFGH . </v>
      </c>
      <c r="M603" s="49" t="str">
        <f t="shared" si="104"/>
        <v/>
      </c>
      <c r="N603" s="49" t="str">
        <f t="shared" si="105"/>
        <v/>
      </c>
      <c r="O603" s="49" t="str">
        <f t="shared" si="106"/>
        <v/>
      </c>
      <c r="P603" s="49" t="str">
        <f t="shared" si="107"/>
        <v/>
      </c>
    </row>
    <row r="604" spans="1:16" x14ac:dyDescent="0.3">
      <c r="A604" s="49">
        <v>869</v>
      </c>
      <c r="B604" s="50">
        <v>43920</v>
      </c>
      <c r="C604" s="49" t="s">
        <v>1058</v>
      </c>
      <c r="D604" s="49">
        <v>41</v>
      </c>
      <c r="E604" s="49" t="s">
        <v>1059</v>
      </c>
      <c r="F604" s="49" t="s">
        <v>1072</v>
      </c>
      <c r="G604" s="49"/>
      <c r="H604" s="49" t="s">
        <v>1061</v>
      </c>
      <c r="I604" s="49"/>
      <c r="J604" s="49" t="str">
        <f t="shared" si="101"/>
        <v>Male</v>
      </c>
      <c r="K604" s="49" t="str">
        <f t="shared" si="102"/>
        <v>Singaporean</v>
      </c>
      <c r="L604" s="49" t="str">
        <f t="shared" si="103"/>
        <v xml:space="preserve">Case 869 is a Local unlinked case, 41 years old male Singapore Permanent Resident  and has not been overseas. He is currently admitted at KTPH . </v>
      </c>
      <c r="M604" s="49" t="str">
        <f t="shared" si="104"/>
        <v/>
      </c>
      <c r="N604" s="49" t="str">
        <f t="shared" si="105"/>
        <v/>
      </c>
      <c r="O604" s="49" t="str">
        <f t="shared" si="106"/>
        <v/>
      </c>
      <c r="P604" s="49" t="str">
        <f t="shared" si="107"/>
        <v/>
      </c>
    </row>
    <row r="605" spans="1:16" x14ac:dyDescent="0.3">
      <c r="A605" s="49">
        <v>870</v>
      </c>
      <c r="B605" s="50">
        <v>43920</v>
      </c>
      <c r="C605" s="49" t="s">
        <v>1071</v>
      </c>
      <c r="D605" s="49">
        <v>54</v>
      </c>
      <c r="E605" s="49" t="s">
        <v>1059</v>
      </c>
      <c r="F605" s="49" t="s">
        <v>1060</v>
      </c>
      <c r="G605" s="49"/>
      <c r="H605" s="49" t="s">
        <v>1086</v>
      </c>
      <c r="I605" s="49" t="s">
        <v>1366</v>
      </c>
      <c r="J605" s="49" t="str">
        <f t="shared" si="101"/>
        <v>Male</v>
      </c>
      <c r="K605" s="49" t="str">
        <f t="shared" si="102"/>
        <v>Singaporean</v>
      </c>
      <c r="L605" s="49" t="str">
        <f t="shared" si="103"/>
        <v>Case 870 is a Local linked  case, 54 years old male Singapore Citizen  and has not been overseas. He is currently admitted at NCID . Family member of Case 393</v>
      </c>
      <c r="M605" s="49" t="str">
        <f t="shared" si="104"/>
        <v/>
      </c>
      <c r="N605" s="49" t="str">
        <f t="shared" si="105"/>
        <v/>
      </c>
      <c r="O605" s="49">
        <f t="shared" si="106"/>
        <v>870</v>
      </c>
      <c r="P605" s="49" t="str">
        <f t="shared" si="107"/>
        <v>Family member of Case 393</v>
      </c>
    </row>
    <row r="606" spans="1:16" x14ac:dyDescent="0.3">
      <c r="A606" s="49">
        <v>871</v>
      </c>
      <c r="B606" s="50">
        <v>43920</v>
      </c>
      <c r="C606" s="49" t="s">
        <v>1071</v>
      </c>
      <c r="D606" s="49">
        <v>19</v>
      </c>
      <c r="E606" s="49" t="s">
        <v>1073</v>
      </c>
      <c r="F606" s="49" t="s">
        <v>1060</v>
      </c>
      <c r="G606" s="49" t="s">
        <v>1063</v>
      </c>
      <c r="H606" s="49" t="s">
        <v>77</v>
      </c>
      <c r="I606" s="49"/>
      <c r="J606" s="49" t="str">
        <f t="shared" si="101"/>
        <v>Female</v>
      </c>
      <c r="K606" s="49" t="str">
        <f t="shared" si="102"/>
        <v>Singaporean</v>
      </c>
      <c r="L606" s="49" t="str">
        <f t="shared" si="103"/>
        <v xml:space="preserve">Case 871 is a Imported case, 19 years old female Singapore Citizen  and has been to UK . She is currently admitted at NCID . </v>
      </c>
      <c r="M606" s="49">
        <f t="shared" si="104"/>
        <v>871</v>
      </c>
      <c r="N606" s="49" t="str">
        <f t="shared" si="105"/>
        <v xml:space="preserve">UK </v>
      </c>
      <c r="O606" s="49" t="str">
        <f t="shared" si="106"/>
        <v/>
      </c>
      <c r="P606" s="49" t="str">
        <f t="shared" si="107"/>
        <v/>
      </c>
    </row>
    <row r="607" spans="1:16" x14ac:dyDescent="0.3">
      <c r="A607" s="49">
        <v>872</v>
      </c>
      <c r="B607" s="50">
        <v>43920</v>
      </c>
      <c r="C607" s="49" t="s">
        <v>1071</v>
      </c>
      <c r="D607" s="49">
        <v>39</v>
      </c>
      <c r="E607" s="49" t="s">
        <v>1073</v>
      </c>
      <c r="F607" s="49" t="s">
        <v>1060</v>
      </c>
      <c r="G607" s="49" t="s">
        <v>1341</v>
      </c>
      <c r="H607" s="49" t="s">
        <v>1069</v>
      </c>
      <c r="I607" s="49" t="s">
        <v>1367</v>
      </c>
      <c r="J607" s="49" t="str">
        <f t="shared" si="101"/>
        <v>Female</v>
      </c>
      <c r="K607" s="49" t="str">
        <f t="shared" si="102"/>
        <v>Singaporean</v>
      </c>
      <c r="L607" s="49" t="str">
        <f t="shared" si="103"/>
        <v>Case 872 is a Imported  case, 39 years old female Singapore Citizen  and has been to UAE . She is currently admitted at NCID . Contact of Case 832</v>
      </c>
      <c r="M607" s="49">
        <f t="shared" si="104"/>
        <v>872</v>
      </c>
      <c r="N607" s="49" t="str">
        <f t="shared" si="105"/>
        <v xml:space="preserve">UAE </v>
      </c>
      <c r="O607" s="49">
        <f t="shared" si="106"/>
        <v>872</v>
      </c>
      <c r="P607" s="49" t="str">
        <f t="shared" si="107"/>
        <v>Contact of Case 832</v>
      </c>
    </row>
    <row r="608" spans="1:16" x14ac:dyDescent="0.3">
      <c r="A608" s="49">
        <v>873</v>
      </c>
      <c r="B608" s="50">
        <v>43920</v>
      </c>
      <c r="C608" s="49" t="s">
        <v>1071</v>
      </c>
      <c r="D608" s="49">
        <v>47</v>
      </c>
      <c r="E608" s="49" t="s">
        <v>1073</v>
      </c>
      <c r="F608" s="49" t="s">
        <v>1060</v>
      </c>
      <c r="G608" s="49" t="s">
        <v>1305</v>
      </c>
      <c r="H608" s="49" t="s">
        <v>1086</v>
      </c>
      <c r="I608" s="49" t="s">
        <v>1356</v>
      </c>
      <c r="J608" s="49" t="str">
        <f t="shared" si="101"/>
        <v>Female</v>
      </c>
      <c r="K608" s="49" t="str">
        <f t="shared" si="102"/>
        <v>Singaporean</v>
      </c>
      <c r="L608" s="49" t="str">
        <f t="shared" si="103"/>
        <v>Case 873 is a Local linked  case, 47 years old female Singapore Citizen  and has been to Vietnam . She is currently admitted at NCID . Wilby Residences</v>
      </c>
      <c r="M608" s="49">
        <f t="shared" si="104"/>
        <v>873</v>
      </c>
      <c r="N608" s="49" t="str">
        <f t="shared" si="105"/>
        <v xml:space="preserve">Vietnam </v>
      </c>
      <c r="O608" s="49">
        <f t="shared" si="106"/>
        <v>873</v>
      </c>
      <c r="P608" s="49" t="str">
        <f t="shared" si="107"/>
        <v>Wilby Residences</v>
      </c>
    </row>
    <row r="609" spans="1:16" x14ac:dyDescent="0.3">
      <c r="A609" s="49">
        <v>874</v>
      </c>
      <c r="B609" s="50">
        <v>43920</v>
      </c>
      <c r="C609" s="49" t="s">
        <v>1071</v>
      </c>
      <c r="D609" s="49">
        <v>25</v>
      </c>
      <c r="E609" s="49" t="s">
        <v>1059</v>
      </c>
      <c r="F609" s="49" t="s">
        <v>1060</v>
      </c>
      <c r="G609" s="49" t="s">
        <v>1063</v>
      </c>
      <c r="H609" s="49" t="s">
        <v>77</v>
      </c>
      <c r="I609" s="49"/>
      <c r="J609" s="49" t="str">
        <f t="shared" si="101"/>
        <v>Male</v>
      </c>
      <c r="K609" s="49" t="str">
        <f t="shared" si="102"/>
        <v>Singaporean</v>
      </c>
      <c r="L609" s="49" t="str">
        <f t="shared" si="103"/>
        <v xml:space="preserve">Case 874 is a Imported case, 25 years old male Singapore Citizen  and has been to UK . He is currently admitted at NCID . </v>
      </c>
      <c r="M609" s="49">
        <f t="shared" si="104"/>
        <v>874</v>
      </c>
      <c r="N609" s="49" t="str">
        <f t="shared" si="105"/>
        <v xml:space="preserve">UK </v>
      </c>
      <c r="O609" s="49" t="str">
        <f t="shared" si="106"/>
        <v/>
      </c>
      <c r="P609" s="49" t="str">
        <f t="shared" si="107"/>
        <v/>
      </c>
    </row>
    <row r="610" spans="1:16" x14ac:dyDescent="0.3">
      <c r="A610" s="49">
        <v>875</v>
      </c>
      <c r="B610" s="50">
        <v>43920</v>
      </c>
      <c r="C610" s="49" t="s">
        <v>1062</v>
      </c>
      <c r="D610" s="49">
        <v>29</v>
      </c>
      <c r="E610" s="49" t="s">
        <v>1059</v>
      </c>
      <c r="F610" s="49" t="s">
        <v>1360</v>
      </c>
      <c r="G610" s="49"/>
      <c r="H610" s="49" t="s">
        <v>1061</v>
      </c>
      <c r="I610" s="49"/>
      <c r="J610" s="49" t="str">
        <f t="shared" si="101"/>
        <v>Male</v>
      </c>
      <c r="K610" s="49" t="str">
        <f t="shared" si="102"/>
        <v>Bangladesh</v>
      </c>
      <c r="L610" s="49" t="str">
        <f t="shared" si="103"/>
        <v xml:space="preserve">Case 875 is a Local unlinked case, 29 years old male Bangladesh (Singapore Work Pass holder)  and has not been overseas. He is currently admitted at NTFGH . </v>
      </c>
      <c r="M610" s="49" t="str">
        <f t="shared" si="104"/>
        <v/>
      </c>
      <c r="N610" s="49" t="str">
        <f t="shared" si="105"/>
        <v/>
      </c>
      <c r="O610" s="49" t="str">
        <f t="shared" si="106"/>
        <v/>
      </c>
      <c r="P610" s="49" t="str">
        <f t="shared" si="107"/>
        <v/>
      </c>
    </row>
    <row r="611" spans="1:16" x14ac:dyDescent="0.3">
      <c r="A611" s="49">
        <v>876</v>
      </c>
      <c r="B611" s="50">
        <v>43920</v>
      </c>
      <c r="C611" s="49" t="s">
        <v>1062</v>
      </c>
      <c r="D611" s="49">
        <v>53</v>
      </c>
      <c r="E611" s="49" t="s">
        <v>1073</v>
      </c>
      <c r="F611" s="49" t="s">
        <v>1060</v>
      </c>
      <c r="G611" s="49"/>
      <c r="H611" s="49" t="s">
        <v>1061</v>
      </c>
      <c r="I611" s="49"/>
      <c r="J611" s="49" t="str">
        <f t="shared" si="101"/>
        <v>Female</v>
      </c>
      <c r="K611" s="49" t="str">
        <f t="shared" si="102"/>
        <v>Singaporean</v>
      </c>
      <c r="L611" s="49" t="str">
        <f t="shared" si="103"/>
        <v xml:space="preserve">Case 876 is a Local unlinked case, 53 years old female Singapore Citizen  and has not been overseas. She is currently admitted at NTFGH . </v>
      </c>
      <c r="M611" s="49" t="str">
        <f t="shared" si="104"/>
        <v/>
      </c>
      <c r="N611" s="49" t="str">
        <f t="shared" si="105"/>
        <v/>
      </c>
      <c r="O611" s="49" t="str">
        <f t="shared" si="106"/>
        <v/>
      </c>
      <c r="P611" s="49" t="str">
        <f t="shared" si="107"/>
        <v/>
      </c>
    </row>
    <row r="612" spans="1:16" x14ac:dyDescent="0.3">
      <c r="A612" s="49">
        <v>877</v>
      </c>
      <c r="B612" s="50">
        <v>43920</v>
      </c>
      <c r="C612" s="49" t="s">
        <v>1062</v>
      </c>
      <c r="D612" s="49">
        <v>41</v>
      </c>
      <c r="E612" s="49" t="s">
        <v>932</v>
      </c>
      <c r="F612" s="49" t="s">
        <v>1156</v>
      </c>
      <c r="G612" s="49" t="s">
        <v>360</v>
      </c>
      <c r="H612" s="49" t="s">
        <v>77</v>
      </c>
      <c r="I612" s="49"/>
      <c r="J612" s="49" t="str">
        <f t="shared" si="101"/>
        <v>Male</v>
      </c>
      <c r="K612" s="49" t="str">
        <f t="shared" si="102"/>
        <v>Malaysia</v>
      </c>
      <c r="L612" s="49" t="str">
        <f t="shared" si="103"/>
        <v xml:space="preserve">Case 877 is a Imported case, 41 years old male Malaysia (Singapore Work Pass holder)  and has been to Malaysia . He is currently admitted at NTFGH . </v>
      </c>
      <c r="M612" s="49">
        <f t="shared" si="104"/>
        <v>877</v>
      </c>
      <c r="N612" s="49" t="str">
        <f t="shared" si="105"/>
        <v xml:space="preserve">Malaysia </v>
      </c>
      <c r="O612" s="49" t="str">
        <f t="shared" si="106"/>
        <v/>
      </c>
      <c r="P612" s="49" t="str">
        <f t="shared" si="107"/>
        <v/>
      </c>
    </row>
    <row r="613" spans="1:16" x14ac:dyDescent="0.3">
      <c r="A613" s="49">
        <v>878</v>
      </c>
      <c r="B613" s="50">
        <v>43920</v>
      </c>
      <c r="C613" s="49" t="s">
        <v>1066</v>
      </c>
      <c r="D613" s="49">
        <v>34</v>
      </c>
      <c r="E613" s="49" t="s">
        <v>1059</v>
      </c>
      <c r="F613" s="49" t="s">
        <v>1060</v>
      </c>
      <c r="G613" s="49"/>
      <c r="H613" s="49" t="s">
        <v>1061</v>
      </c>
      <c r="I613" s="49"/>
      <c r="J613" s="49" t="str">
        <f t="shared" si="101"/>
        <v>Male</v>
      </c>
      <c r="K613" s="49" t="str">
        <f t="shared" si="102"/>
        <v>Singaporean</v>
      </c>
      <c r="L613" s="49" t="str">
        <f t="shared" si="103"/>
        <v xml:space="preserve">Case 878 is a Local unlinked case, 34 years old male Singapore Citizen  and has not been overseas. He is currently admitted at SKH . </v>
      </c>
      <c r="M613" s="49" t="str">
        <f t="shared" si="104"/>
        <v/>
      </c>
      <c r="N613" s="49" t="str">
        <f t="shared" si="105"/>
        <v/>
      </c>
      <c r="O613" s="49" t="str">
        <f t="shared" si="106"/>
        <v/>
      </c>
      <c r="P613" s="49" t="str">
        <f t="shared" si="107"/>
        <v/>
      </c>
    </row>
    <row r="614" spans="1:16" x14ac:dyDescent="0.3">
      <c r="A614" s="49">
        <v>879</v>
      </c>
      <c r="B614" s="50">
        <v>43920</v>
      </c>
      <c r="C614" s="49" t="s">
        <v>1064</v>
      </c>
      <c r="D614" s="49">
        <v>26</v>
      </c>
      <c r="E614" s="49" t="s">
        <v>1059</v>
      </c>
      <c r="F614" s="49" t="s">
        <v>1060</v>
      </c>
      <c r="G614" s="49" t="s">
        <v>360</v>
      </c>
      <c r="H614" s="49" t="s">
        <v>1061</v>
      </c>
      <c r="I614" s="49"/>
      <c r="J614" s="49" t="str">
        <f t="shared" si="101"/>
        <v>Male</v>
      </c>
      <c r="K614" s="49" t="str">
        <f t="shared" si="102"/>
        <v>Singaporean</v>
      </c>
      <c r="L614" s="49" t="str">
        <f t="shared" si="103"/>
        <v xml:space="preserve">Case 879 is a Local unlinked case, 26 years old male Singapore Citizen  and has been to Malaysia . He is currently admitted at CGH . </v>
      </c>
      <c r="M614" s="49">
        <f t="shared" si="104"/>
        <v>879</v>
      </c>
      <c r="N614" s="49" t="str">
        <f t="shared" si="105"/>
        <v xml:space="preserve">Malaysia </v>
      </c>
      <c r="O614" s="49" t="str">
        <f t="shared" si="106"/>
        <v/>
      </c>
      <c r="P614" s="49" t="str">
        <f t="shared" si="107"/>
        <v/>
      </c>
    </row>
    <row r="615" spans="1:16" x14ac:dyDescent="0.3">
      <c r="A615" s="57">
        <v>880</v>
      </c>
      <c r="B615" s="58">
        <v>43920</v>
      </c>
      <c r="C615" s="57" t="s">
        <v>1062</v>
      </c>
      <c r="D615" s="57">
        <v>49</v>
      </c>
      <c r="E615" s="57" t="s">
        <v>1059</v>
      </c>
      <c r="F615" s="57" t="s">
        <v>1360</v>
      </c>
      <c r="G615" s="57"/>
      <c r="H615" s="57" t="s">
        <v>1061</v>
      </c>
      <c r="I615" s="57"/>
      <c r="J615" s="57" t="str">
        <f t="shared" ref="J615" si="108">IF(TRIM(E615)="M","Male",IF(TRIM(E615)="F","Female",""))</f>
        <v>Male</v>
      </c>
      <c r="K615" s="57" t="str">
        <f t="shared" ref="K615" si="109">IF(LEFT(F615,9)="Singapore","Singaporean",IF(ISERR(FIND("(",F615)),F615,LEFT(F615,FIND("(",F615)-2)))</f>
        <v>Bangladesh</v>
      </c>
      <c r="L615" s="57" t="str">
        <f t="shared" ref="L615" si="110">"Case "&amp;A615&amp;" is a "&amp;H615&amp;" case, "&amp;D615&amp;" years old "&amp;LOWER(J615)&amp;" "&amp;F615 &amp;IF(G615=""," and has not been overseas"," and has been to "&amp;G615)&amp;". "&amp;IF(TRIM(E615)="F","She",IF(TRIM(E615)="M","He"))&amp;" is currently admitted at "&amp;C615&amp;". "&amp;I615</f>
        <v xml:space="preserve">Case 880 is a Local unlinked case, 49 years old male Bangladesh (Singapore Work Pass holder)  and has not been overseas. He is currently admitted at NTFGH . </v>
      </c>
      <c r="M615" s="57" t="str">
        <f t="shared" ref="M615" si="111">IF(G615="","",A615)</f>
        <v/>
      </c>
      <c r="N615" s="57" t="str">
        <f t="shared" ref="N615" si="112">IF(G615="","",G615)</f>
        <v/>
      </c>
      <c r="O615" s="57" t="str">
        <f t="shared" ref="O615" si="113">IF(I615="","",A615)</f>
        <v/>
      </c>
      <c r="P615" s="57" t="str">
        <f t="shared" ref="P615" si="114">IF(I615="","",I615)</f>
        <v/>
      </c>
    </row>
    <row r="616" spans="1:16" x14ac:dyDescent="0.3">
      <c r="A616" s="57">
        <v>881</v>
      </c>
      <c r="B616" s="58">
        <v>43920</v>
      </c>
      <c r="C616" s="57" t="s">
        <v>1138</v>
      </c>
      <c r="D616" s="57">
        <v>39</v>
      </c>
      <c r="E616" s="57" t="s">
        <v>1059</v>
      </c>
      <c r="F616" s="57" t="s">
        <v>1072</v>
      </c>
      <c r="G616" s="57" t="s">
        <v>360</v>
      </c>
      <c r="H616" s="57" t="s">
        <v>1086</v>
      </c>
      <c r="I616" s="57" t="s">
        <v>1287</v>
      </c>
      <c r="J616" s="57" t="str">
        <f t="shared" ref="J616:J661" si="115">IF(TRIM(E616)="M","Male",IF(TRIM(E616)="F","Female",""))</f>
        <v>Male</v>
      </c>
      <c r="K616" s="57" t="str">
        <f t="shared" ref="K616:K661" si="116">IF(LEFT(F616,9)="Singapore","Singaporean",IF(ISERR(FIND("(",F616)),F616,LEFT(F616,FIND("(",F616)-2)))</f>
        <v>Singaporean</v>
      </c>
      <c r="L616" s="57" t="str">
        <f t="shared" ref="L616:L661" si="117">"Case "&amp;A616&amp;" is a "&amp;H616&amp;" case, "&amp;D616&amp;" years old "&amp;LOWER(J616)&amp;" "&amp;F616 &amp;IF(G616=""," and has not been overseas"," and has been to "&amp;G616)&amp;". "&amp;IF(TRIM(E616)="F","She",IF(TRIM(E616)="M","He"))&amp;" is currently admitted at "&amp;C616&amp;". "&amp;I616</f>
        <v>Case 881 is a Local linked  case, 39 years old male Singapore Permanent Resident  and has been to Malaysia . He is currently admitted at SGH . SingPost Centre</v>
      </c>
      <c r="M616" s="57">
        <f t="shared" ref="M616:M661" si="118">IF(G616="","",A616)</f>
        <v>881</v>
      </c>
      <c r="N616" s="57" t="str">
        <f t="shared" ref="N616:N661" si="119">IF(G616="","",G616)</f>
        <v xml:space="preserve">Malaysia </v>
      </c>
      <c r="O616" s="57">
        <f t="shared" ref="O616:O661" si="120">IF(I616="","",A616)</f>
        <v>881</v>
      </c>
      <c r="P616" s="57" t="str">
        <f t="shared" ref="P616:P661" si="121">IF(I616="","",I616)</f>
        <v>SingPost Centre</v>
      </c>
    </row>
    <row r="617" spans="1:16" x14ac:dyDescent="0.3">
      <c r="A617" s="57">
        <v>882</v>
      </c>
      <c r="B617" s="58">
        <v>43920</v>
      </c>
      <c r="C617" s="57" t="s">
        <v>1138</v>
      </c>
      <c r="D617" s="57">
        <v>29</v>
      </c>
      <c r="E617" s="57" t="s">
        <v>1073</v>
      </c>
      <c r="F617" s="57" t="s">
        <v>1060</v>
      </c>
      <c r="G617" s="57" t="s">
        <v>1063</v>
      </c>
      <c r="H617" s="57" t="s">
        <v>77</v>
      </c>
      <c r="I617" s="57"/>
      <c r="J617" s="57" t="str">
        <f t="shared" si="115"/>
        <v>Female</v>
      </c>
      <c r="K617" s="57" t="str">
        <f t="shared" si="116"/>
        <v>Singaporean</v>
      </c>
      <c r="L617" s="57" t="str">
        <f t="shared" si="117"/>
        <v xml:space="preserve">Case 882 is a Imported case, 29 years old female Singapore Citizen  and has been to UK . She is currently admitted at SGH . </v>
      </c>
      <c r="M617" s="57">
        <f t="shared" si="118"/>
        <v>882</v>
      </c>
      <c r="N617" s="57" t="str">
        <f t="shared" si="119"/>
        <v xml:space="preserve">UK </v>
      </c>
      <c r="O617" s="57" t="str">
        <f t="shared" si="120"/>
        <v/>
      </c>
      <c r="P617" s="57" t="str">
        <f t="shared" si="121"/>
        <v/>
      </c>
    </row>
    <row r="618" spans="1:16" x14ac:dyDescent="0.3">
      <c r="A618" s="57">
        <v>883</v>
      </c>
      <c r="B618" s="58">
        <v>43920</v>
      </c>
      <c r="C618" s="57" t="s">
        <v>1138</v>
      </c>
      <c r="D618" s="57">
        <v>21</v>
      </c>
      <c r="E618" s="57" t="s">
        <v>1073</v>
      </c>
      <c r="F618" s="57" t="s">
        <v>1060</v>
      </c>
      <c r="G618" s="57" t="s">
        <v>1063</v>
      </c>
      <c r="H618" s="57" t="s">
        <v>77</v>
      </c>
      <c r="I618" s="57"/>
      <c r="J618" s="57" t="str">
        <f t="shared" si="115"/>
        <v>Female</v>
      </c>
      <c r="K618" s="57" t="str">
        <f t="shared" si="116"/>
        <v>Singaporean</v>
      </c>
      <c r="L618" s="57" t="str">
        <f t="shared" si="117"/>
        <v xml:space="preserve">Case 883 is a Imported case, 21 years old female Singapore Citizen  and has been to UK . She is currently admitted at SGH . </v>
      </c>
      <c r="M618" s="57">
        <f t="shared" si="118"/>
        <v>883</v>
      </c>
      <c r="N618" s="57" t="str">
        <f t="shared" si="119"/>
        <v xml:space="preserve">UK </v>
      </c>
      <c r="O618" s="57" t="str">
        <f t="shared" si="120"/>
        <v/>
      </c>
      <c r="P618" s="57" t="str">
        <f t="shared" si="121"/>
        <v/>
      </c>
    </row>
    <row r="619" spans="1:16" x14ac:dyDescent="0.3">
      <c r="A619" s="57">
        <v>884</v>
      </c>
      <c r="B619" s="58">
        <v>43920</v>
      </c>
      <c r="C619" s="57" t="s">
        <v>1138</v>
      </c>
      <c r="D619" s="57">
        <v>40</v>
      </c>
      <c r="E619" s="57" t="s">
        <v>1059</v>
      </c>
      <c r="F619" s="57" t="s">
        <v>1072</v>
      </c>
      <c r="G619" s="57"/>
      <c r="H619" s="57" t="s">
        <v>1061</v>
      </c>
      <c r="I619" s="57"/>
      <c r="J619" s="57" t="str">
        <f t="shared" si="115"/>
        <v>Male</v>
      </c>
      <c r="K619" s="57" t="str">
        <f t="shared" si="116"/>
        <v>Singaporean</v>
      </c>
      <c r="L619" s="57" t="str">
        <f t="shared" si="117"/>
        <v xml:space="preserve">Case 884 is a Local unlinked case, 40 years old male Singapore Permanent Resident  and has not been overseas. He is currently admitted at SGH . </v>
      </c>
      <c r="M619" s="57" t="str">
        <f t="shared" si="118"/>
        <v/>
      </c>
      <c r="N619" s="57" t="str">
        <f t="shared" si="119"/>
        <v/>
      </c>
      <c r="O619" s="57" t="str">
        <f t="shared" si="120"/>
        <v/>
      </c>
      <c r="P619" s="57" t="str">
        <f t="shared" si="121"/>
        <v/>
      </c>
    </row>
    <row r="620" spans="1:16" x14ac:dyDescent="0.3">
      <c r="A620" s="57">
        <v>885</v>
      </c>
      <c r="B620" s="58">
        <v>43920</v>
      </c>
      <c r="C620" s="57" t="s">
        <v>1071</v>
      </c>
      <c r="D620" s="57">
        <v>26</v>
      </c>
      <c r="E620" s="57" t="s">
        <v>1059</v>
      </c>
      <c r="F620" s="57" t="s">
        <v>1060</v>
      </c>
      <c r="G620" s="57" t="s">
        <v>1049</v>
      </c>
      <c r="H620" s="57" t="s">
        <v>77</v>
      </c>
      <c r="I620" s="57"/>
      <c r="J620" s="57" t="str">
        <f t="shared" si="115"/>
        <v>Male</v>
      </c>
      <c r="K620" s="57" t="str">
        <f t="shared" si="116"/>
        <v>Singaporean</v>
      </c>
      <c r="L620" s="57" t="str">
        <f t="shared" si="117"/>
        <v xml:space="preserve">Case 885 is a Imported case, 26 years old male Singapore Citizen  and has been to Denmark . He is currently admitted at NCID . </v>
      </c>
      <c r="M620" s="57">
        <f t="shared" si="118"/>
        <v>885</v>
      </c>
      <c r="N620" s="57" t="str">
        <f t="shared" si="119"/>
        <v xml:space="preserve">Denmark </v>
      </c>
      <c r="O620" s="57" t="str">
        <f t="shared" si="120"/>
        <v/>
      </c>
      <c r="P620" s="57" t="str">
        <f t="shared" si="121"/>
        <v/>
      </c>
    </row>
    <row r="621" spans="1:16" x14ac:dyDescent="0.3">
      <c r="A621" s="57">
        <v>886</v>
      </c>
      <c r="B621" s="58">
        <v>43920</v>
      </c>
      <c r="C621" s="57" t="s">
        <v>1066</v>
      </c>
      <c r="D621" s="57">
        <v>36</v>
      </c>
      <c r="E621" s="57" t="s">
        <v>1059</v>
      </c>
      <c r="F621" s="57" t="s">
        <v>1060</v>
      </c>
      <c r="G621" s="57"/>
      <c r="H621" s="57" t="s">
        <v>1061</v>
      </c>
      <c r="I621" s="57"/>
      <c r="J621" s="57" t="str">
        <f t="shared" si="115"/>
        <v>Male</v>
      </c>
      <c r="K621" s="57" t="str">
        <f t="shared" si="116"/>
        <v>Singaporean</v>
      </c>
      <c r="L621" s="57" t="str">
        <f t="shared" si="117"/>
        <v xml:space="preserve">Case 886 is a Local unlinked case, 36 years old male Singapore Citizen  and has not been overseas. He is currently admitted at SKH . </v>
      </c>
      <c r="M621" s="57" t="str">
        <f t="shared" si="118"/>
        <v/>
      </c>
      <c r="N621" s="57" t="str">
        <f t="shared" si="119"/>
        <v/>
      </c>
      <c r="O621" s="57" t="str">
        <f t="shared" si="120"/>
        <v/>
      </c>
      <c r="P621" s="57" t="str">
        <f t="shared" si="121"/>
        <v/>
      </c>
    </row>
    <row r="622" spans="1:16" x14ac:dyDescent="0.3">
      <c r="A622" s="57">
        <v>887</v>
      </c>
      <c r="B622" s="58">
        <v>43920</v>
      </c>
      <c r="C622" s="57" t="s">
        <v>1066</v>
      </c>
      <c r="D622" s="57">
        <v>62</v>
      </c>
      <c r="E622" s="57" t="s">
        <v>1059</v>
      </c>
      <c r="F622" s="57" t="s">
        <v>1060</v>
      </c>
      <c r="G622" s="57"/>
      <c r="H622" s="57" t="s">
        <v>1086</v>
      </c>
      <c r="I622" s="57" t="s">
        <v>1373</v>
      </c>
      <c r="J622" s="57" t="str">
        <f t="shared" si="115"/>
        <v>Male</v>
      </c>
      <c r="K622" s="57" t="str">
        <f t="shared" si="116"/>
        <v>Singaporean</v>
      </c>
      <c r="L622" s="57" t="str">
        <f t="shared" si="117"/>
        <v>Case 887 is a Local linked  case, 62 years old male Singapore Citizen  and has not been overseas. He is currently admitted at SKH . Family member of Case 857</v>
      </c>
      <c r="M622" s="57" t="str">
        <f t="shared" si="118"/>
        <v/>
      </c>
      <c r="N622" s="57" t="str">
        <f t="shared" si="119"/>
        <v/>
      </c>
      <c r="O622" s="57">
        <f t="shared" si="120"/>
        <v>887</v>
      </c>
      <c r="P622" s="57" t="str">
        <f t="shared" si="121"/>
        <v>Family member of Case 857</v>
      </c>
    </row>
    <row r="623" spans="1:16" x14ac:dyDescent="0.3">
      <c r="A623" s="57">
        <v>888</v>
      </c>
      <c r="B623" s="58">
        <v>43920</v>
      </c>
      <c r="C623" s="57" t="s">
        <v>343</v>
      </c>
      <c r="D623" s="57">
        <v>24</v>
      </c>
      <c r="E623" s="57" t="s">
        <v>1059</v>
      </c>
      <c r="F623" s="57" t="s">
        <v>1060</v>
      </c>
      <c r="G623" s="57" t="s">
        <v>1063</v>
      </c>
      <c r="H623" s="57" t="s">
        <v>77</v>
      </c>
      <c r="I623" s="57"/>
      <c r="J623" s="57" t="str">
        <f t="shared" si="115"/>
        <v>Male</v>
      </c>
      <c r="K623" s="57" t="str">
        <f t="shared" si="116"/>
        <v>Singaporean</v>
      </c>
      <c r="L623" s="57" t="str">
        <f t="shared" si="117"/>
        <v xml:space="preserve">Case 888 is a Imported case, 24 years old male Singapore Citizen  and has been to UK . He is currently admitted at NUH . </v>
      </c>
      <c r="M623" s="57">
        <f t="shared" si="118"/>
        <v>888</v>
      </c>
      <c r="N623" s="57" t="str">
        <f t="shared" si="119"/>
        <v xml:space="preserve">UK </v>
      </c>
      <c r="O623" s="57" t="str">
        <f t="shared" si="120"/>
        <v/>
      </c>
      <c r="P623" s="57" t="str">
        <f t="shared" si="121"/>
        <v/>
      </c>
    </row>
    <row r="624" spans="1:16" x14ac:dyDescent="0.3">
      <c r="A624" s="57">
        <v>889</v>
      </c>
      <c r="B624" s="58">
        <v>43920</v>
      </c>
      <c r="C624" s="57" t="s">
        <v>343</v>
      </c>
      <c r="D624" s="57">
        <v>65</v>
      </c>
      <c r="E624" s="57" t="s">
        <v>1059</v>
      </c>
      <c r="F624" s="57" t="s">
        <v>1060</v>
      </c>
      <c r="G624" s="57"/>
      <c r="H624" s="57" t="s">
        <v>1086</v>
      </c>
      <c r="I624" s="57" t="s">
        <v>1374</v>
      </c>
      <c r="J624" s="57" t="str">
        <f t="shared" si="115"/>
        <v>Male</v>
      </c>
      <c r="K624" s="57" t="str">
        <f t="shared" si="116"/>
        <v>Singaporean</v>
      </c>
      <c r="L624" s="57" t="str">
        <f t="shared" si="117"/>
        <v>Case 889 is a Local linked  case, 65 years old male Singapore Citizen  and has not been overseas. He is currently admitted at NUH . Family member of Case 927</v>
      </c>
      <c r="M624" s="57" t="str">
        <f t="shared" si="118"/>
        <v/>
      </c>
      <c r="N624" s="57" t="str">
        <f t="shared" si="119"/>
        <v/>
      </c>
      <c r="O624" s="57">
        <f t="shared" si="120"/>
        <v>889</v>
      </c>
      <c r="P624" s="57" t="str">
        <f t="shared" si="121"/>
        <v>Family member of Case 927</v>
      </c>
    </row>
    <row r="625" spans="1:16" x14ac:dyDescent="0.3">
      <c r="A625" s="57">
        <v>890</v>
      </c>
      <c r="B625" s="58">
        <v>43920</v>
      </c>
      <c r="C625" s="57" t="s">
        <v>1074</v>
      </c>
      <c r="D625" s="57">
        <v>35</v>
      </c>
      <c r="E625" s="57" t="s">
        <v>1073</v>
      </c>
      <c r="F625" s="57" t="s">
        <v>1060</v>
      </c>
      <c r="G625" s="57" t="s">
        <v>1063</v>
      </c>
      <c r="H625" s="57" t="s">
        <v>77</v>
      </c>
      <c r="I625" s="57"/>
      <c r="J625" s="57" t="str">
        <f t="shared" si="115"/>
        <v>Female</v>
      </c>
      <c r="K625" s="57" t="str">
        <f t="shared" si="116"/>
        <v>Singaporean</v>
      </c>
      <c r="L625" s="57" t="str">
        <f t="shared" si="117"/>
        <v xml:space="preserve">Case 890 is a Imported case, 35 years old female Singapore Citizen  and has been to UK . She is currently admitted at AH . </v>
      </c>
      <c r="M625" s="57">
        <f t="shared" si="118"/>
        <v>890</v>
      </c>
      <c r="N625" s="57" t="str">
        <f t="shared" si="119"/>
        <v xml:space="preserve">UK </v>
      </c>
      <c r="O625" s="57" t="str">
        <f t="shared" si="120"/>
        <v/>
      </c>
      <c r="P625" s="57" t="str">
        <f t="shared" si="121"/>
        <v/>
      </c>
    </row>
    <row r="626" spans="1:16" x14ac:dyDescent="0.3">
      <c r="A626" s="57">
        <v>891</v>
      </c>
      <c r="B626" s="58">
        <v>43920</v>
      </c>
      <c r="C626" s="57" t="s">
        <v>1064</v>
      </c>
      <c r="D626" s="57">
        <v>21</v>
      </c>
      <c r="E626" s="57" t="s">
        <v>1059</v>
      </c>
      <c r="F626" s="57" t="s">
        <v>1194</v>
      </c>
      <c r="G626" s="57"/>
      <c r="H626" s="57" t="s">
        <v>1086</v>
      </c>
      <c r="I626" s="57" t="s">
        <v>1375</v>
      </c>
      <c r="J626" s="57" t="str">
        <f t="shared" si="115"/>
        <v>Male</v>
      </c>
      <c r="K626" s="57" t="str">
        <f t="shared" si="116"/>
        <v>India</v>
      </c>
      <c r="L626" s="57" t="str">
        <f t="shared" si="117"/>
        <v>Case 891 is a Local linked  case, 21 years old male India (Long Term Pass holder)  and has not been overseas. He is currently admitted at CGH . Contact of Cases 897 and 921</v>
      </c>
      <c r="M626" s="57" t="str">
        <f t="shared" si="118"/>
        <v/>
      </c>
      <c r="N626" s="57" t="str">
        <f t="shared" si="119"/>
        <v/>
      </c>
      <c r="O626" s="57">
        <f t="shared" si="120"/>
        <v>891</v>
      </c>
      <c r="P626" s="57" t="str">
        <f t="shared" si="121"/>
        <v>Contact of Cases 897 and 921</v>
      </c>
    </row>
    <row r="627" spans="1:16" x14ac:dyDescent="0.3">
      <c r="A627" s="57">
        <v>892</v>
      </c>
      <c r="B627" s="58">
        <v>43920</v>
      </c>
      <c r="C627" s="57" t="s">
        <v>1071</v>
      </c>
      <c r="D627" s="57">
        <v>24</v>
      </c>
      <c r="E627" s="57" t="s">
        <v>1059</v>
      </c>
      <c r="F627" s="57" t="s">
        <v>1060</v>
      </c>
      <c r="G627" s="57" t="s">
        <v>809</v>
      </c>
      <c r="H627" s="57" t="s">
        <v>77</v>
      </c>
      <c r="I627" s="57"/>
      <c r="J627" s="57" t="str">
        <f t="shared" si="115"/>
        <v>Male</v>
      </c>
      <c r="K627" s="57" t="str">
        <f t="shared" si="116"/>
        <v>Singaporean</v>
      </c>
      <c r="L627" s="57" t="str">
        <f t="shared" si="117"/>
        <v xml:space="preserve">Case 892 is a Imported case, 24 years old male Singapore Citizen  and has been to Canada . He is currently admitted at NCID . </v>
      </c>
      <c r="M627" s="57">
        <f t="shared" si="118"/>
        <v>892</v>
      </c>
      <c r="N627" s="57" t="str">
        <f t="shared" si="119"/>
        <v xml:space="preserve">Canada </v>
      </c>
      <c r="O627" s="57" t="str">
        <f t="shared" si="120"/>
        <v/>
      </c>
      <c r="P627" s="57" t="str">
        <f t="shared" si="121"/>
        <v/>
      </c>
    </row>
    <row r="628" spans="1:16" x14ac:dyDescent="0.3">
      <c r="A628" s="57">
        <v>893</v>
      </c>
      <c r="B628" s="58">
        <v>43920</v>
      </c>
      <c r="C628" s="57" t="s">
        <v>1062</v>
      </c>
      <c r="D628" s="57">
        <v>44</v>
      </c>
      <c r="E628" s="57" t="s">
        <v>1073</v>
      </c>
      <c r="F628" s="57" t="s">
        <v>1060</v>
      </c>
      <c r="G628" s="57"/>
      <c r="H628" s="57" t="s">
        <v>1061</v>
      </c>
      <c r="I628" s="57"/>
      <c r="J628" s="57" t="str">
        <f t="shared" si="115"/>
        <v>Female</v>
      </c>
      <c r="K628" s="57" t="str">
        <f t="shared" si="116"/>
        <v>Singaporean</v>
      </c>
      <c r="L628" s="57" t="str">
        <f t="shared" si="117"/>
        <v xml:space="preserve">Case 893 is a Local unlinked case, 44 years old female Singapore Citizen  and has not been overseas. She is currently admitted at NTFGH . </v>
      </c>
      <c r="M628" s="57" t="str">
        <f t="shared" si="118"/>
        <v/>
      </c>
      <c r="N628" s="57" t="str">
        <f t="shared" si="119"/>
        <v/>
      </c>
      <c r="O628" s="57" t="str">
        <f t="shared" si="120"/>
        <v/>
      </c>
      <c r="P628" s="57" t="str">
        <f t="shared" si="121"/>
        <v/>
      </c>
    </row>
    <row r="629" spans="1:16" x14ac:dyDescent="0.3">
      <c r="A629" s="57">
        <v>894</v>
      </c>
      <c r="B629" s="58">
        <v>43920</v>
      </c>
      <c r="C629" s="57" t="s">
        <v>1071</v>
      </c>
      <c r="D629" s="57">
        <v>27</v>
      </c>
      <c r="E629" s="57" t="s">
        <v>1059</v>
      </c>
      <c r="F629" s="57" t="s">
        <v>1060</v>
      </c>
      <c r="G629" s="57"/>
      <c r="H629" s="57" t="s">
        <v>1061</v>
      </c>
      <c r="I629" s="57"/>
      <c r="J629" s="57" t="str">
        <f t="shared" si="115"/>
        <v>Male</v>
      </c>
      <c r="K629" s="57" t="str">
        <f t="shared" si="116"/>
        <v>Singaporean</v>
      </c>
      <c r="L629" s="57" t="str">
        <f t="shared" si="117"/>
        <v xml:space="preserve">Case 894 is a Local unlinked case, 27 years old male Singapore Citizen  and has not been overseas. He is currently admitted at NCID . </v>
      </c>
      <c r="M629" s="57" t="str">
        <f t="shared" si="118"/>
        <v/>
      </c>
      <c r="N629" s="57" t="str">
        <f t="shared" si="119"/>
        <v/>
      </c>
      <c r="O629" s="57" t="str">
        <f t="shared" si="120"/>
        <v/>
      </c>
      <c r="P629" s="57" t="str">
        <f t="shared" si="121"/>
        <v/>
      </c>
    </row>
    <row r="630" spans="1:16" x14ac:dyDescent="0.3">
      <c r="A630" s="57">
        <v>895</v>
      </c>
      <c r="B630" s="58">
        <v>43920</v>
      </c>
      <c r="C630" s="57" t="s">
        <v>1071</v>
      </c>
      <c r="D630" s="57">
        <v>43</v>
      </c>
      <c r="E630" s="57" t="s">
        <v>1059</v>
      </c>
      <c r="F630" s="57" t="s">
        <v>1072</v>
      </c>
      <c r="G630" s="57" t="s">
        <v>687</v>
      </c>
      <c r="H630" s="57" t="s">
        <v>77</v>
      </c>
      <c r="I630" s="57"/>
      <c r="J630" s="57" t="str">
        <f t="shared" si="115"/>
        <v>Male</v>
      </c>
      <c r="K630" s="57" t="str">
        <f t="shared" si="116"/>
        <v>Singaporean</v>
      </c>
      <c r="L630" s="57" t="str">
        <f t="shared" si="117"/>
        <v xml:space="preserve">Case 895 is a Imported case, 43 years old male Singapore Permanent Resident  and has been to Indonesia . He is currently admitted at NCID . </v>
      </c>
      <c r="M630" s="57">
        <f t="shared" si="118"/>
        <v>895</v>
      </c>
      <c r="N630" s="57" t="str">
        <f t="shared" si="119"/>
        <v xml:space="preserve">Indonesia </v>
      </c>
      <c r="O630" s="57" t="str">
        <f t="shared" si="120"/>
        <v/>
      </c>
      <c r="P630" s="57" t="str">
        <f t="shared" si="121"/>
        <v/>
      </c>
    </row>
    <row r="631" spans="1:16" x14ac:dyDescent="0.3">
      <c r="A631" s="57">
        <v>896</v>
      </c>
      <c r="B631" s="58">
        <v>43920</v>
      </c>
      <c r="C631" s="57" t="s">
        <v>1071</v>
      </c>
      <c r="D631" s="57">
        <v>29</v>
      </c>
      <c r="E631" s="57" t="s">
        <v>1073</v>
      </c>
      <c r="F631" s="57" t="s">
        <v>1250</v>
      </c>
      <c r="G631" s="57"/>
      <c r="H631" s="57" t="s">
        <v>1061</v>
      </c>
      <c r="I631" s="57"/>
      <c r="J631" s="57" t="str">
        <f t="shared" si="115"/>
        <v>Female</v>
      </c>
      <c r="K631" s="57" t="str">
        <f t="shared" si="116"/>
        <v>Philippines</v>
      </c>
      <c r="L631" s="57" t="str">
        <f t="shared" si="117"/>
        <v xml:space="preserve">Case 896 is a Local unlinked case, 29 years old female Philippines (Singapore Work Pass holder)  and has not been overseas. She is currently admitted at NCID . </v>
      </c>
      <c r="M631" s="57" t="str">
        <f t="shared" si="118"/>
        <v/>
      </c>
      <c r="N631" s="57" t="str">
        <f t="shared" si="119"/>
        <v/>
      </c>
      <c r="O631" s="57" t="str">
        <f t="shared" si="120"/>
        <v/>
      </c>
      <c r="P631" s="57" t="str">
        <f t="shared" si="121"/>
        <v/>
      </c>
    </row>
    <row r="632" spans="1:16" x14ac:dyDescent="0.3">
      <c r="A632" s="57">
        <v>897</v>
      </c>
      <c r="B632" s="58">
        <v>43921</v>
      </c>
      <c r="C632" s="57" t="s">
        <v>1071</v>
      </c>
      <c r="D632" s="57">
        <v>33</v>
      </c>
      <c r="E632" s="57" t="s">
        <v>1059</v>
      </c>
      <c r="F632" s="57" t="s">
        <v>1376</v>
      </c>
      <c r="G632" s="57"/>
      <c r="H632" s="57" t="s">
        <v>1086</v>
      </c>
      <c r="I632" s="57" t="s">
        <v>1377</v>
      </c>
      <c r="J632" s="57" t="str">
        <f t="shared" si="115"/>
        <v>Male</v>
      </c>
      <c r="K632" s="57" t="str">
        <f t="shared" si="116"/>
        <v>Sri Lanka</v>
      </c>
      <c r="L632" s="57" t="str">
        <f t="shared" si="117"/>
        <v>Case 897 is a Local linked  case, 33 years old male Sri Lanka (Singapore Work Pass holder)  and has not been overseas. He is currently admitted at NCID . Contact of Cases 891 and 921</v>
      </c>
      <c r="M632" s="57" t="str">
        <f t="shared" si="118"/>
        <v/>
      </c>
      <c r="N632" s="57" t="str">
        <f t="shared" si="119"/>
        <v/>
      </c>
      <c r="O632" s="57">
        <f t="shared" si="120"/>
        <v>897</v>
      </c>
      <c r="P632" s="57" t="str">
        <f t="shared" si="121"/>
        <v>Contact of Cases 891 and 921</v>
      </c>
    </row>
    <row r="633" spans="1:16" x14ac:dyDescent="0.3">
      <c r="A633" s="57">
        <v>898</v>
      </c>
      <c r="B633" s="58">
        <v>43920</v>
      </c>
      <c r="C633" s="57" t="s">
        <v>1062</v>
      </c>
      <c r="D633" s="57">
        <v>53</v>
      </c>
      <c r="E633" s="57" t="s">
        <v>1059</v>
      </c>
      <c r="F633" s="57" t="s">
        <v>1250</v>
      </c>
      <c r="G633" s="57"/>
      <c r="H633" s="57" t="s">
        <v>1061</v>
      </c>
      <c r="I633" s="57"/>
      <c r="J633" s="57" t="str">
        <f t="shared" si="115"/>
        <v>Male</v>
      </c>
      <c r="K633" s="57" t="str">
        <f t="shared" si="116"/>
        <v>Philippines</v>
      </c>
      <c r="L633" s="57" t="str">
        <f t="shared" si="117"/>
        <v xml:space="preserve">Case 898 is a Local unlinked case, 53 years old male Philippines (Singapore Work Pass holder)  and has not been overseas. He is currently admitted at NTFGH . </v>
      </c>
      <c r="M633" s="57" t="str">
        <f t="shared" si="118"/>
        <v/>
      </c>
      <c r="N633" s="57" t="str">
        <f t="shared" si="119"/>
        <v/>
      </c>
      <c r="O633" s="57" t="str">
        <f t="shared" si="120"/>
        <v/>
      </c>
      <c r="P633" s="57" t="str">
        <f t="shared" si="121"/>
        <v/>
      </c>
    </row>
    <row r="634" spans="1:16" x14ac:dyDescent="0.3">
      <c r="A634" s="57">
        <v>899</v>
      </c>
      <c r="B634" s="58">
        <v>43920</v>
      </c>
      <c r="C634" s="57" t="s">
        <v>1071</v>
      </c>
      <c r="D634" s="57">
        <v>33</v>
      </c>
      <c r="E634" s="57" t="s">
        <v>1059</v>
      </c>
      <c r="F634" s="57" t="s">
        <v>1156</v>
      </c>
      <c r="G634" s="57" t="s">
        <v>360</v>
      </c>
      <c r="H634" s="57" t="s">
        <v>77</v>
      </c>
      <c r="I634" s="57"/>
      <c r="J634" s="57" t="str">
        <f t="shared" si="115"/>
        <v>Male</v>
      </c>
      <c r="K634" s="57" t="str">
        <f t="shared" si="116"/>
        <v>Malaysia</v>
      </c>
      <c r="L634" s="57" t="str">
        <f t="shared" si="117"/>
        <v xml:space="preserve">Case 899 is a Imported case, 33 years old male Malaysia (Singapore Work Pass holder)  and has been to Malaysia . He is currently admitted at NCID . </v>
      </c>
      <c r="M634" s="57">
        <f t="shared" si="118"/>
        <v>899</v>
      </c>
      <c r="N634" s="57" t="str">
        <f t="shared" si="119"/>
        <v xml:space="preserve">Malaysia </v>
      </c>
      <c r="O634" s="57" t="str">
        <f t="shared" si="120"/>
        <v/>
      </c>
      <c r="P634" s="57" t="str">
        <f t="shared" si="121"/>
        <v/>
      </c>
    </row>
    <row r="635" spans="1:16" x14ac:dyDescent="0.3">
      <c r="A635" s="57">
        <v>900</v>
      </c>
      <c r="B635" s="58">
        <v>43920</v>
      </c>
      <c r="C635" s="57" t="s">
        <v>1071</v>
      </c>
      <c r="D635" s="57">
        <v>50</v>
      </c>
      <c r="E635" s="57" t="s">
        <v>1059</v>
      </c>
      <c r="F635" s="57" t="s">
        <v>1072</v>
      </c>
      <c r="G635" s="57"/>
      <c r="H635" s="57" t="s">
        <v>1061</v>
      </c>
      <c r="I635" s="57"/>
      <c r="J635" s="57" t="str">
        <f t="shared" si="115"/>
        <v>Male</v>
      </c>
      <c r="K635" s="57" t="str">
        <f t="shared" si="116"/>
        <v>Singaporean</v>
      </c>
      <c r="L635" s="57" t="str">
        <f t="shared" si="117"/>
        <v xml:space="preserve">Case 900 is a Local unlinked case, 50 years old male Singapore Permanent Resident  and has not been overseas. He is currently admitted at NCID . </v>
      </c>
      <c r="M635" s="57" t="str">
        <f t="shared" si="118"/>
        <v/>
      </c>
      <c r="N635" s="57" t="str">
        <f t="shared" si="119"/>
        <v/>
      </c>
      <c r="O635" s="57" t="str">
        <f t="shared" si="120"/>
        <v/>
      </c>
      <c r="P635" s="57" t="str">
        <f t="shared" si="121"/>
        <v/>
      </c>
    </row>
    <row r="636" spans="1:16" x14ac:dyDescent="0.3">
      <c r="A636" s="57">
        <v>901</v>
      </c>
      <c r="B636" s="58">
        <v>43920</v>
      </c>
      <c r="C636" s="57" t="s">
        <v>1071</v>
      </c>
      <c r="D636" s="57">
        <v>54</v>
      </c>
      <c r="E636" s="57" t="s">
        <v>1073</v>
      </c>
      <c r="F636" s="57" t="s">
        <v>1060</v>
      </c>
      <c r="G636" s="57" t="s">
        <v>1081</v>
      </c>
      <c r="H636" s="57" t="s">
        <v>77</v>
      </c>
      <c r="I636" s="57"/>
      <c r="J636" s="57" t="str">
        <f t="shared" si="115"/>
        <v>Female</v>
      </c>
      <c r="K636" s="57" t="str">
        <f t="shared" si="116"/>
        <v>Singaporean</v>
      </c>
      <c r="L636" s="57" t="str">
        <f t="shared" si="117"/>
        <v xml:space="preserve">Case 901 is a Imported case, 54 years old female Singapore Citizen  and has been to Turkey . She is currently admitted at NCID . </v>
      </c>
      <c r="M636" s="57">
        <f t="shared" si="118"/>
        <v>901</v>
      </c>
      <c r="N636" s="57" t="str">
        <f t="shared" si="119"/>
        <v xml:space="preserve">Turkey </v>
      </c>
      <c r="O636" s="57" t="str">
        <f t="shared" si="120"/>
        <v/>
      </c>
      <c r="P636" s="57" t="str">
        <f t="shared" si="121"/>
        <v/>
      </c>
    </row>
    <row r="637" spans="1:16" x14ac:dyDescent="0.3">
      <c r="A637" s="57">
        <v>902</v>
      </c>
      <c r="B637" s="58">
        <v>43920</v>
      </c>
      <c r="C637" s="57" t="s">
        <v>1071</v>
      </c>
      <c r="D637" s="57">
        <v>37</v>
      </c>
      <c r="E637" s="57" t="s">
        <v>1059</v>
      </c>
      <c r="F637" s="57" t="s">
        <v>1376</v>
      </c>
      <c r="G637" s="57" t="s">
        <v>1177</v>
      </c>
      <c r="H637" s="57" t="s">
        <v>77</v>
      </c>
      <c r="I637" s="57"/>
      <c r="J637" s="57" t="str">
        <f t="shared" si="115"/>
        <v>Male</v>
      </c>
      <c r="K637" s="57" t="str">
        <f t="shared" si="116"/>
        <v>Sri Lanka</v>
      </c>
      <c r="L637" s="57" t="str">
        <f t="shared" si="117"/>
        <v xml:space="preserve">Case 902 is a Imported case, 37 years old male Sri Lanka (Singapore Work Pass holder)  and has been to Pending . He is currently admitted at NCID . </v>
      </c>
      <c r="M637" s="57">
        <f t="shared" si="118"/>
        <v>902</v>
      </c>
      <c r="N637" s="57" t="str">
        <f t="shared" si="119"/>
        <v xml:space="preserve">Pending </v>
      </c>
      <c r="O637" s="57" t="str">
        <f t="shared" si="120"/>
        <v/>
      </c>
      <c r="P637" s="57" t="str">
        <f t="shared" si="121"/>
        <v/>
      </c>
    </row>
    <row r="638" spans="1:16" x14ac:dyDescent="0.3">
      <c r="A638" s="57">
        <v>903</v>
      </c>
      <c r="B638" s="58">
        <v>43920</v>
      </c>
      <c r="C638" s="57" t="s">
        <v>1071</v>
      </c>
      <c r="D638" s="57">
        <v>27</v>
      </c>
      <c r="E638" s="57" t="s">
        <v>1073</v>
      </c>
      <c r="F638" s="57" t="s">
        <v>1060</v>
      </c>
      <c r="G638" s="57"/>
      <c r="H638" s="57" t="s">
        <v>1061</v>
      </c>
      <c r="I638" s="57"/>
      <c r="J638" s="57" t="str">
        <f t="shared" si="115"/>
        <v>Female</v>
      </c>
      <c r="K638" s="57" t="str">
        <f t="shared" si="116"/>
        <v>Singaporean</v>
      </c>
      <c r="L638" s="57" t="str">
        <f t="shared" si="117"/>
        <v xml:space="preserve">Case 903 is a Local unlinked case, 27 years old female Singapore Citizen  and has not been overseas. She is currently admitted at NCID . </v>
      </c>
      <c r="M638" s="57" t="str">
        <f t="shared" si="118"/>
        <v/>
      </c>
      <c r="N638" s="57" t="str">
        <f t="shared" si="119"/>
        <v/>
      </c>
      <c r="O638" s="57" t="str">
        <f t="shared" si="120"/>
        <v/>
      </c>
      <c r="P638" s="57" t="str">
        <f t="shared" si="121"/>
        <v/>
      </c>
    </row>
    <row r="639" spans="1:16" x14ac:dyDescent="0.3">
      <c r="A639" s="57">
        <v>904</v>
      </c>
      <c r="B639" s="58">
        <v>43921</v>
      </c>
      <c r="C639" s="57" t="s">
        <v>1071</v>
      </c>
      <c r="D639" s="57">
        <v>49</v>
      </c>
      <c r="E639" s="57" t="s">
        <v>1059</v>
      </c>
      <c r="F639" s="57" t="s">
        <v>1072</v>
      </c>
      <c r="G639" s="57"/>
      <c r="H639" s="57" t="s">
        <v>1061</v>
      </c>
      <c r="I639" s="57"/>
      <c r="J639" s="57" t="str">
        <f t="shared" si="115"/>
        <v>Male</v>
      </c>
      <c r="K639" s="57" t="str">
        <f t="shared" si="116"/>
        <v>Singaporean</v>
      </c>
      <c r="L639" s="57" t="str">
        <f t="shared" si="117"/>
        <v xml:space="preserve">Case 904 is a Local unlinked case, 49 years old male Singapore Permanent Resident  and has not been overseas. He is currently admitted at NCID . </v>
      </c>
      <c r="M639" s="57" t="str">
        <f t="shared" si="118"/>
        <v/>
      </c>
      <c r="N639" s="57" t="str">
        <f t="shared" si="119"/>
        <v/>
      </c>
      <c r="O639" s="57" t="str">
        <f t="shared" si="120"/>
        <v/>
      </c>
      <c r="P639" s="57" t="str">
        <f t="shared" si="121"/>
        <v/>
      </c>
    </row>
    <row r="640" spans="1:16" x14ac:dyDescent="0.3">
      <c r="A640" s="57">
        <v>905</v>
      </c>
      <c r="B640" s="58">
        <v>43920</v>
      </c>
      <c r="C640" s="57" t="s">
        <v>1074</v>
      </c>
      <c r="D640" s="57">
        <v>22</v>
      </c>
      <c r="E640" s="57" t="s">
        <v>1073</v>
      </c>
      <c r="F640" s="57" t="s">
        <v>1060</v>
      </c>
      <c r="G640" s="57" t="s">
        <v>1063</v>
      </c>
      <c r="H640" s="57" t="s">
        <v>77</v>
      </c>
      <c r="I640" s="57"/>
      <c r="J640" s="57" t="str">
        <f t="shared" si="115"/>
        <v>Female</v>
      </c>
      <c r="K640" s="57" t="str">
        <f t="shared" si="116"/>
        <v>Singaporean</v>
      </c>
      <c r="L640" s="57" t="str">
        <f t="shared" si="117"/>
        <v xml:space="preserve">Case 905 is a Imported case, 22 years old female Singapore Citizen  and has been to UK . She is currently admitted at AH . </v>
      </c>
      <c r="M640" s="57">
        <f t="shared" si="118"/>
        <v>905</v>
      </c>
      <c r="N640" s="57" t="str">
        <f t="shared" si="119"/>
        <v xml:space="preserve">UK </v>
      </c>
      <c r="O640" s="57" t="str">
        <f t="shared" si="120"/>
        <v/>
      </c>
      <c r="P640" s="57" t="str">
        <f t="shared" si="121"/>
        <v/>
      </c>
    </row>
    <row r="641" spans="1:16" x14ac:dyDescent="0.3">
      <c r="A641" s="57">
        <v>906</v>
      </c>
      <c r="B641" s="58">
        <v>43920</v>
      </c>
      <c r="C641" s="57" t="s">
        <v>1071</v>
      </c>
      <c r="D641" s="57">
        <v>44</v>
      </c>
      <c r="E641" s="57" t="s">
        <v>1059</v>
      </c>
      <c r="F641" s="57" t="s">
        <v>1038</v>
      </c>
      <c r="G641" s="57" t="s">
        <v>1177</v>
      </c>
      <c r="H641" s="57" t="s">
        <v>77</v>
      </c>
      <c r="I641" s="57"/>
      <c r="J641" s="57" t="str">
        <f t="shared" si="115"/>
        <v>Male</v>
      </c>
      <c r="K641" s="57" t="str">
        <f t="shared" si="116"/>
        <v xml:space="preserve">Italy </v>
      </c>
      <c r="L641" s="57" t="str">
        <f t="shared" si="117"/>
        <v xml:space="preserve">Case 906 is a Imported case, 44 years old male Italy  and has been to Pending . He is currently admitted at NCID . </v>
      </c>
      <c r="M641" s="57">
        <f t="shared" si="118"/>
        <v>906</v>
      </c>
      <c r="N641" s="57" t="str">
        <f t="shared" si="119"/>
        <v xml:space="preserve">Pending </v>
      </c>
      <c r="O641" s="57" t="str">
        <f t="shared" si="120"/>
        <v/>
      </c>
      <c r="P641" s="57" t="str">
        <f t="shared" si="121"/>
        <v/>
      </c>
    </row>
    <row r="642" spans="1:16" x14ac:dyDescent="0.3">
      <c r="A642" s="57">
        <v>907</v>
      </c>
      <c r="B642" s="58">
        <v>43920</v>
      </c>
      <c r="C642" s="57" t="s">
        <v>1071</v>
      </c>
      <c r="D642" s="57">
        <v>50</v>
      </c>
      <c r="E642" s="57" t="s">
        <v>1059</v>
      </c>
      <c r="F642" s="57" t="s">
        <v>1378</v>
      </c>
      <c r="G642" s="57"/>
      <c r="H642" s="57" t="s">
        <v>1061</v>
      </c>
      <c r="I642" s="57"/>
      <c r="J642" s="57" t="str">
        <f t="shared" si="115"/>
        <v>Male</v>
      </c>
      <c r="K642" s="57" t="str">
        <f t="shared" si="116"/>
        <v>Netherlands</v>
      </c>
      <c r="L642" s="57" t="str">
        <f t="shared" si="117"/>
        <v xml:space="preserve">Case 907 is a Local unlinked case, 50 years old male Netherlands (Singapore Work Pass holder)  and has not been overseas. He is currently admitted at NCID . </v>
      </c>
      <c r="M642" s="57" t="str">
        <f t="shared" si="118"/>
        <v/>
      </c>
      <c r="N642" s="57" t="str">
        <f t="shared" si="119"/>
        <v/>
      </c>
      <c r="O642" s="57" t="str">
        <f t="shared" si="120"/>
        <v/>
      </c>
      <c r="P642" s="57" t="str">
        <f t="shared" si="121"/>
        <v/>
      </c>
    </row>
    <row r="643" spans="1:16" x14ac:dyDescent="0.3">
      <c r="A643" s="57">
        <v>908</v>
      </c>
      <c r="B643" s="58">
        <v>43920</v>
      </c>
      <c r="C643" s="57" t="s">
        <v>1071</v>
      </c>
      <c r="D643" s="57">
        <v>36</v>
      </c>
      <c r="E643" s="57" t="s">
        <v>1059</v>
      </c>
      <c r="F643" s="57" t="s">
        <v>1360</v>
      </c>
      <c r="G643" s="57"/>
      <c r="H643" s="57" t="s">
        <v>1086</v>
      </c>
      <c r="I643" s="57" t="s">
        <v>1379</v>
      </c>
      <c r="J643" s="57" t="str">
        <f t="shared" si="115"/>
        <v>Male</v>
      </c>
      <c r="K643" s="57" t="str">
        <f t="shared" si="116"/>
        <v>Bangladesh</v>
      </c>
      <c r="L643" s="57" t="str">
        <f t="shared" si="117"/>
        <v>Case 908 is a Local linked  case, 36 years old male Bangladesh (Singapore Work Pass holder)  and has not been overseas. He is currently admitted at NCID . Contact of Case 788</v>
      </c>
      <c r="M643" s="57" t="str">
        <f t="shared" si="118"/>
        <v/>
      </c>
      <c r="N643" s="57" t="str">
        <f t="shared" si="119"/>
        <v/>
      </c>
      <c r="O643" s="57">
        <f t="shared" si="120"/>
        <v>908</v>
      </c>
      <c r="P643" s="57" t="str">
        <f t="shared" si="121"/>
        <v>Contact of Case 788</v>
      </c>
    </row>
    <row r="644" spans="1:16" x14ac:dyDescent="0.3">
      <c r="A644" s="57">
        <v>909</v>
      </c>
      <c r="B644" s="58">
        <v>43920</v>
      </c>
      <c r="C644" s="57" t="s">
        <v>1058</v>
      </c>
      <c r="D644" s="57">
        <v>58</v>
      </c>
      <c r="E644" s="57" t="s">
        <v>1059</v>
      </c>
      <c r="F644" s="57" t="s">
        <v>1060</v>
      </c>
      <c r="G644" s="57"/>
      <c r="H644" s="57" t="s">
        <v>1061</v>
      </c>
      <c r="I644" s="57"/>
      <c r="J644" s="57" t="str">
        <f t="shared" si="115"/>
        <v>Male</v>
      </c>
      <c r="K644" s="57" t="str">
        <f t="shared" si="116"/>
        <v>Singaporean</v>
      </c>
      <c r="L644" s="57" t="str">
        <f t="shared" si="117"/>
        <v xml:space="preserve">Case 909 is a Local unlinked case, 58 years old male Singapore Citizen  and has not been overseas. He is currently admitted at KTPH . </v>
      </c>
      <c r="M644" s="57" t="str">
        <f t="shared" si="118"/>
        <v/>
      </c>
      <c r="N644" s="57" t="str">
        <f t="shared" si="119"/>
        <v/>
      </c>
      <c r="O644" s="57" t="str">
        <f t="shared" si="120"/>
        <v/>
      </c>
      <c r="P644" s="57" t="str">
        <f t="shared" si="121"/>
        <v/>
      </c>
    </row>
    <row r="645" spans="1:16" x14ac:dyDescent="0.3">
      <c r="A645" s="57">
        <v>910</v>
      </c>
      <c r="B645" s="58">
        <v>43921</v>
      </c>
      <c r="C645" s="57" t="s">
        <v>1071</v>
      </c>
      <c r="D645" s="57">
        <v>59</v>
      </c>
      <c r="E645" s="57" t="s">
        <v>1059</v>
      </c>
      <c r="F645" s="57" t="s">
        <v>1060</v>
      </c>
      <c r="G645" s="57"/>
      <c r="H645" s="57" t="s">
        <v>1061</v>
      </c>
      <c r="I645" s="57"/>
      <c r="J645" s="57" t="str">
        <f t="shared" si="115"/>
        <v>Male</v>
      </c>
      <c r="K645" s="57" t="str">
        <f t="shared" si="116"/>
        <v>Singaporean</v>
      </c>
      <c r="L645" s="57" t="str">
        <f t="shared" si="117"/>
        <v xml:space="preserve">Case 910 is a Local unlinked case, 59 years old male Singapore Citizen  and has not been overseas. He is currently admitted at NCID . </v>
      </c>
      <c r="M645" s="57" t="str">
        <f t="shared" si="118"/>
        <v/>
      </c>
      <c r="N645" s="57" t="str">
        <f t="shared" si="119"/>
        <v/>
      </c>
      <c r="O645" s="57" t="str">
        <f t="shared" si="120"/>
        <v/>
      </c>
      <c r="P645" s="57" t="str">
        <f t="shared" si="121"/>
        <v/>
      </c>
    </row>
    <row r="646" spans="1:16" x14ac:dyDescent="0.3">
      <c r="A646" s="57">
        <v>911</v>
      </c>
      <c r="B646" s="58">
        <v>43921</v>
      </c>
      <c r="C646" s="57" t="s">
        <v>1071</v>
      </c>
      <c r="D646" s="57">
        <v>78</v>
      </c>
      <c r="E646" s="57" t="s">
        <v>1059</v>
      </c>
      <c r="F646" s="57" t="s">
        <v>1060</v>
      </c>
      <c r="G646" s="57"/>
      <c r="H646" s="57" t="s">
        <v>1061</v>
      </c>
      <c r="I646" s="57"/>
      <c r="J646" s="57" t="str">
        <f t="shared" si="115"/>
        <v>Male</v>
      </c>
      <c r="K646" s="57" t="str">
        <f t="shared" si="116"/>
        <v>Singaporean</v>
      </c>
      <c r="L646" s="57" t="str">
        <f t="shared" si="117"/>
        <v xml:space="preserve">Case 911 is a Local unlinked case, 78 years old male Singapore Citizen  and has not been overseas. He is currently admitted at NCID . </v>
      </c>
      <c r="M646" s="57" t="str">
        <f t="shared" si="118"/>
        <v/>
      </c>
      <c r="N646" s="57" t="str">
        <f t="shared" si="119"/>
        <v/>
      </c>
      <c r="O646" s="57" t="str">
        <f t="shared" si="120"/>
        <v/>
      </c>
      <c r="P646" s="57" t="str">
        <f t="shared" si="121"/>
        <v/>
      </c>
    </row>
    <row r="647" spans="1:16" x14ac:dyDescent="0.3">
      <c r="A647" s="57">
        <v>912</v>
      </c>
      <c r="B647" s="58">
        <v>43921</v>
      </c>
      <c r="C647" s="57" t="s">
        <v>1071</v>
      </c>
      <c r="D647" s="57">
        <v>39</v>
      </c>
      <c r="E647" s="57" t="s">
        <v>1059</v>
      </c>
      <c r="F647" s="57" t="s">
        <v>1060</v>
      </c>
      <c r="G647" s="57"/>
      <c r="H647" s="57" t="s">
        <v>1061</v>
      </c>
      <c r="I647" s="57"/>
      <c r="J647" s="57" t="str">
        <f t="shared" si="115"/>
        <v>Male</v>
      </c>
      <c r="K647" s="57" t="str">
        <f t="shared" si="116"/>
        <v>Singaporean</v>
      </c>
      <c r="L647" s="57" t="str">
        <f t="shared" si="117"/>
        <v xml:space="preserve">Case 912 is a Local unlinked case, 39 years old male Singapore Citizen  and has not been overseas. He is currently admitted at NCID . </v>
      </c>
      <c r="M647" s="57" t="str">
        <f t="shared" si="118"/>
        <v/>
      </c>
      <c r="N647" s="57" t="str">
        <f t="shared" si="119"/>
        <v/>
      </c>
      <c r="O647" s="57" t="str">
        <f t="shared" si="120"/>
        <v/>
      </c>
      <c r="P647" s="57" t="str">
        <f t="shared" si="121"/>
        <v/>
      </c>
    </row>
    <row r="648" spans="1:16" x14ac:dyDescent="0.3">
      <c r="A648" s="57">
        <v>913</v>
      </c>
      <c r="B648" s="58">
        <v>43921</v>
      </c>
      <c r="C648" s="57" t="s">
        <v>1071</v>
      </c>
      <c r="D648" s="57">
        <v>66</v>
      </c>
      <c r="E648" s="57" t="s">
        <v>1073</v>
      </c>
      <c r="F648" s="57" t="s">
        <v>1060</v>
      </c>
      <c r="G648" s="57" t="s">
        <v>844</v>
      </c>
      <c r="H648" s="57" t="s">
        <v>77</v>
      </c>
      <c r="I648" s="57"/>
      <c r="J648" s="57" t="str">
        <f t="shared" si="115"/>
        <v>Female</v>
      </c>
      <c r="K648" s="57" t="str">
        <f t="shared" si="116"/>
        <v>Singaporean</v>
      </c>
      <c r="L648" s="57" t="str">
        <f t="shared" si="117"/>
        <v xml:space="preserve">Case 913 is a Imported case, 66 years old female Singapore Citizen  and has been to Australia . She is currently admitted at NCID . </v>
      </c>
      <c r="M648" s="57">
        <f t="shared" si="118"/>
        <v>913</v>
      </c>
      <c r="N648" s="57" t="str">
        <f t="shared" si="119"/>
        <v xml:space="preserve">Australia </v>
      </c>
      <c r="O648" s="57" t="str">
        <f t="shared" si="120"/>
        <v/>
      </c>
      <c r="P648" s="57" t="str">
        <f t="shared" si="121"/>
        <v/>
      </c>
    </row>
    <row r="649" spans="1:16" x14ac:dyDescent="0.3">
      <c r="A649" s="57">
        <v>914</v>
      </c>
      <c r="B649" s="58">
        <v>43920</v>
      </c>
      <c r="C649" s="57" t="s">
        <v>1071</v>
      </c>
      <c r="D649" s="57">
        <v>55</v>
      </c>
      <c r="E649" s="57" t="s">
        <v>1059</v>
      </c>
      <c r="F649" s="57" t="s">
        <v>1060</v>
      </c>
      <c r="G649" s="57"/>
      <c r="H649" s="57" t="s">
        <v>1086</v>
      </c>
      <c r="I649" s="57" t="s">
        <v>1380</v>
      </c>
      <c r="J649" s="57" t="str">
        <f t="shared" si="115"/>
        <v>Male</v>
      </c>
      <c r="K649" s="57" t="str">
        <f t="shared" si="116"/>
        <v>Singaporean</v>
      </c>
      <c r="L649" s="57" t="str">
        <f t="shared" si="117"/>
        <v>Case 914 is a Local linked  case, 55 years old male Singapore Citizen  and has not been overseas. He is currently admitted at NCID . Family member of Case 876</v>
      </c>
      <c r="M649" s="57" t="str">
        <f t="shared" si="118"/>
        <v/>
      </c>
      <c r="N649" s="57" t="str">
        <f t="shared" si="119"/>
        <v/>
      </c>
      <c r="O649" s="57">
        <f t="shared" si="120"/>
        <v>914</v>
      </c>
      <c r="P649" s="57" t="str">
        <f t="shared" si="121"/>
        <v>Family member of Case 876</v>
      </c>
    </row>
    <row r="650" spans="1:16" x14ac:dyDescent="0.3">
      <c r="A650" s="57">
        <v>915</v>
      </c>
      <c r="B650" s="58">
        <v>43921</v>
      </c>
      <c r="C650" s="57" t="s">
        <v>1071</v>
      </c>
      <c r="D650" s="57">
        <v>24</v>
      </c>
      <c r="E650" s="57" t="s">
        <v>1059</v>
      </c>
      <c r="F650" s="57" t="s">
        <v>1060</v>
      </c>
      <c r="G650" s="57" t="s">
        <v>1063</v>
      </c>
      <c r="H650" s="57" t="s">
        <v>77</v>
      </c>
      <c r="I650" s="57"/>
      <c r="J650" s="57" t="str">
        <f t="shared" si="115"/>
        <v>Male</v>
      </c>
      <c r="K650" s="57" t="str">
        <f t="shared" si="116"/>
        <v>Singaporean</v>
      </c>
      <c r="L650" s="57" t="str">
        <f t="shared" si="117"/>
        <v xml:space="preserve">Case 915 is a Imported case, 24 years old male Singapore Citizen  and has been to UK . He is currently admitted at NCID . </v>
      </c>
      <c r="M650" s="57">
        <f t="shared" si="118"/>
        <v>915</v>
      </c>
      <c r="N650" s="57" t="str">
        <f t="shared" si="119"/>
        <v xml:space="preserve">UK </v>
      </c>
      <c r="O650" s="57" t="str">
        <f t="shared" si="120"/>
        <v/>
      </c>
      <c r="P650" s="57" t="str">
        <f t="shared" si="121"/>
        <v/>
      </c>
    </row>
    <row r="651" spans="1:16" x14ac:dyDescent="0.3">
      <c r="A651" s="57">
        <v>916</v>
      </c>
      <c r="B651" s="58">
        <v>43921</v>
      </c>
      <c r="C651" s="57" t="s">
        <v>1071</v>
      </c>
      <c r="D651" s="57">
        <v>46</v>
      </c>
      <c r="E651" s="57" t="s">
        <v>1073</v>
      </c>
      <c r="F651" s="57" t="s">
        <v>1060</v>
      </c>
      <c r="G651" s="57"/>
      <c r="H651" s="57" t="s">
        <v>1381</v>
      </c>
      <c r="I651" s="57" t="s">
        <v>1364</v>
      </c>
      <c r="J651" s="57" t="str">
        <f t="shared" si="115"/>
        <v>Female</v>
      </c>
      <c r="K651" s="57" t="str">
        <f t="shared" si="116"/>
        <v>Singaporean</v>
      </c>
      <c r="L651" s="57" t="str">
        <f t="shared" si="117"/>
        <v>Case 916 is a Local Linked  case, 46 years old female Singapore Citizen  and has not been overseas. She is currently admitted at NCID . Contact of Case 488</v>
      </c>
      <c r="M651" s="57" t="str">
        <f t="shared" si="118"/>
        <v/>
      </c>
      <c r="N651" s="57" t="str">
        <f t="shared" si="119"/>
        <v/>
      </c>
      <c r="O651" s="57">
        <f t="shared" si="120"/>
        <v>916</v>
      </c>
      <c r="P651" s="57" t="str">
        <f t="shared" si="121"/>
        <v>Contact of Case 488</v>
      </c>
    </row>
    <row r="652" spans="1:16" x14ac:dyDescent="0.3">
      <c r="A652" s="57">
        <v>917</v>
      </c>
      <c r="B652" s="58">
        <v>43921</v>
      </c>
      <c r="C652" s="57" t="s">
        <v>1071</v>
      </c>
      <c r="D652" s="57">
        <v>23</v>
      </c>
      <c r="E652" s="57" t="s">
        <v>1073</v>
      </c>
      <c r="F652" s="57" t="s">
        <v>1060</v>
      </c>
      <c r="G652" s="57" t="s">
        <v>1063</v>
      </c>
      <c r="H652" s="57" t="s">
        <v>77</v>
      </c>
      <c r="I652" s="57"/>
      <c r="J652" s="57" t="str">
        <f t="shared" si="115"/>
        <v>Female</v>
      </c>
      <c r="K652" s="57" t="str">
        <f t="shared" si="116"/>
        <v>Singaporean</v>
      </c>
      <c r="L652" s="57" t="str">
        <f t="shared" si="117"/>
        <v xml:space="preserve">Case 917 is a Imported case, 23 years old female Singapore Citizen  and has been to UK . She is currently admitted at NCID . </v>
      </c>
      <c r="M652" s="57">
        <f t="shared" si="118"/>
        <v>917</v>
      </c>
      <c r="N652" s="57" t="str">
        <f t="shared" si="119"/>
        <v xml:space="preserve">UK </v>
      </c>
      <c r="O652" s="57" t="str">
        <f t="shared" si="120"/>
        <v/>
      </c>
      <c r="P652" s="57" t="str">
        <f t="shared" si="121"/>
        <v/>
      </c>
    </row>
    <row r="653" spans="1:16" x14ac:dyDescent="0.3">
      <c r="A653" s="57">
        <v>918</v>
      </c>
      <c r="B653" s="58">
        <v>43921</v>
      </c>
      <c r="C653" s="57" t="s">
        <v>1071</v>
      </c>
      <c r="D653" s="57">
        <v>86</v>
      </c>
      <c r="E653" s="57" t="s">
        <v>1073</v>
      </c>
      <c r="F653" s="57" t="s">
        <v>1060</v>
      </c>
      <c r="G653" s="57"/>
      <c r="H653" s="57" t="s">
        <v>1061</v>
      </c>
      <c r="I653" s="57"/>
      <c r="J653" s="57" t="str">
        <f t="shared" si="115"/>
        <v>Female</v>
      </c>
      <c r="K653" s="57" t="str">
        <f t="shared" si="116"/>
        <v>Singaporean</v>
      </c>
      <c r="L653" s="57" t="str">
        <f t="shared" si="117"/>
        <v xml:space="preserve">Case 918 is a Local unlinked case, 86 years old female Singapore Citizen  and has not been overseas. She is currently admitted at NCID . </v>
      </c>
      <c r="M653" s="57" t="str">
        <f t="shared" si="118"/>
        <v/>
      </c>
      <c r="N653" s="57" t="str">
        <f t="shared" si="119"/>
        <v/>
      </c>
      <c r="O653" s="57" t="str">
        <f t="shared" si="120"/>
        <v/>
      </c>
      <c r="P653" s="57" t="str">
        <f t="shared" si="121"/>
        <v/>
      </c>
    </row>
    <row r="654" spans="1:16" x14ac:dyDescent="0.3">
      <c r="A654" s="57">
        <v>919</v>
      </c>
      <c r="B654" s="58">
        <v>43921</v>
      </c>
      <c r="C654" s="57" t="s">
        <v>1071</v>
      </c>
      <c r="D654" s="57">
        <v>56</v>
      </c>
      <c r="E654" s="57" t="s">
        <v>1059</v>
      </c>
      <c r="F654" s="57" t="s">
        <v>1060</v>
      </c>
      <c r="G654" s="57"/>
      <c r="H654" s="57" t="s">
        <v>1061</v>
      </c>
      <c r="I654" s="57"/>
      <c r="J654" s="57" t="str">
        <f t="shared" si="115"/>
        <v>Male</v>
      </c>
      <c r="K654" s="57" t="str">
        <f t="shared" si="116"/>
        <v>Singaporean</v>
      </c>
      <c r="L654" s="57" t="str">
        <f t="shared" si="117"/>
        <v xml:space="preserve">Case 919 is a Local unlinked case, 56 years old male Singapore Citizen  and has not been overseas. He is currently admitted at NCID . </v>
      </c>
      <c r="M654" s="57" t="str">
        <f t="shared" si="118"/>
        <v/>
      </c>
      <c r="N654" s="57" t="str">
        <f t="shared" si="119"/>
        <v/>
      </c>
      <c r="O654" s="57" t="str">
        <f t="shared" si="120"/>
        <v/>
      </c>
      <c r="P654" s="57" t="str">
        <f t="shared" si="121"/>
        <v/>
      </c>
    </row>
    <row r="655" spans="1:16" x14ac:dyDescent="0.3">
      <c r="A655" s="57">
        <v>920</v>
      </c>
      <c r="B655" s="58">
        <v>43921</v>
      </c>
      <c r="C655" s="57" t="s">
        <v>1064</v>
      </c>
      <c r="D655" s="57">
        <v>55</v>
      </c>
      <c r="E655" s="57" t="s">
        <v>1073</v>
      </c>
      <c r="F655" s="57" t="s">
        <v>1060</v>
      </c>
      <c r="G655" s="57"/>
      <c r="H655" s="57" t="s">
        <v>1061</v>
      </c>
      <c r="I655" s="57"/>
      <c r="J655" s="57" t="str">
        <f t="shared" si="115"/>
        <v>Female</v>
      </c>
      <c r="K655" s="57" t="str">
        <f t="shared" si="116"/>
        <v>Singaporean</v>
      </c>
      <c r="L655" s="57" t="str">
        <f t="shared" si="117"/>
        <v xml:space="preserve">Case 920 is a Local unlinked case, 55 years old female Singapore Citizen  and has not been overseas. She is currently admitted at CGH . </v>
      </c>
      <c r="M655" s="57" t="str">
        <f t="shared" si="118"/>
        <v/>
      </c>
      <c r="N655" s="57" t="str">
        <f t="shared" si="119"/>
        <v/>
      </c>
      <c r="O655" s="57" t="str">
        <f t="shared" si="120"/>
        <v/>
      </c>
      <c r="P655" s="57" t="str">
        <f t="shared" si="121"/>
        <v/>
      </c>
    </row>
    <row r="656" spans="1:16" x14ac:dyDescent="0.3">
      <c r="A656" s="57">
        <v>921</v>
      </c>
      <c r="B656" s="58">
        <v>43921</v>
      </c>
      <c r="C656" s="57" t="s">
        <v>1071</v>
      </c>
      <c r="D656" s="57">
        <v>32</v>
      </c>
      <c r="E656" s="57" t="s">
        <v>1059</v>
      </c>
      <c r="F656" s="57" t="s">
        <v>1255</v>
      </c>
      <c r="G656" s="57" t="s">
        <v>798</v>
      </c>
      <c r="H656" s="57" t="s">
        <v>1086</v>
      </c>
      <c r="I656" s="57" t="s">
        <v>1377</v>
      </c>
      <c r="J656" s="57" t="str">
        <f t="shared" si="115"/>
        <v>Male</v>
      </c>
      <c r="K656" s="57" t="str">
        <f t="shared" si="116"/>
        <v>India</v>
      </c>
      <c r="L656" s="57" t="str">
        <f t="shared" si="117"/>
        <v>Case 921 is a Local linked  case, 32 years old male India (Singapore Work Pass holder)  and has been to India . He is currently admitted at NCID . Contact of Cases 891 and 921</v>
      </c>
      <c r="M656" s="57">
        <f t="shared" si="118"/>
        <v>921</v>
      </c>
      <c r="N656" s="57" t="str">
        <f t="shared" si="119"/>
        <v xml:space="preserve">India </v>
      </c>
      <c r="O656" s="57">
        <f t="shared" si="120"/>
        <v>921</v>
      </c>
      <c r="P656" s="57" t="str">
        <f t="shared" si="121"/>
        <v>Contact of Cases 891 and 921</v>
      </c>
    </row>
    <row r="657" spans="1:16" x14ac:dyDescent="0.3">
      <c r="A657" s="57">
        <v>922</v>
      </c>
      <c r="B657" s="58">
        <v>43921</v>
      </c>
      <c r="C657" s="57" t="s">
        <v>1071</v>
      </c>
      <c r="D657" s="57">
        <v>36</v>
      </c>
      <c r="E657" s="57" t="s">
        <v>1059</v>
      </c>
      <c r="F657" s="57" t="s">
        <v>1360</v>
      </c>
      <c r="G657" s="57"/>
      <c r="H657" s="57" t="s">
        <v>1086</v>
      </c>
      <c r="I657" s="57" t="s">
        <v>1382</v>
      </c>
      <c r="J657" s="57" t="str">
        <f t="shared" si="115"/>
        <v>Male</v>
      </c>
      <c r="K657" s="57" t="str">
        <f t="shared" si="116"/>
        <v>Bangladesh</v>
      </c>
      <c r="L657" s="57" t="str">
        <f t="shared" si="117"/>
        <v>Case 922 is a Local linked  case, 36 years old male Bangladesh (Singapore Work Pass holder)  and has not been overseas. He is currently admitted at NCID . Westlite Toh Guan</v>
      </c>
      <c r="M657" s="57" t="str">
        <f t="shared" si="118"/>
        <v/>
      </c>
      <c r="N657" s="57" t="str">
        <f t="shared" si="119"/>
        <v/>
      </c>
      <c r="O657" s="57">
        <f t="shared" si="120"/>
        <v>922</v>
      </c>
      <c r="P657" s="57" t="str">
        <f t="shared" si="121"/>
        <v>Westlite Toh Guan</v>
      </c>
    </row>
    <row r="658" spans="1:16" x14ac:dyDescent="0.3">
      <c r="A658" s="57">
        <v>923</v>
      </c>
      <c r="B658" s="58">
        <v>43921</v>
      </c>
      <c r="C658" s="57" t="s">
        <v>1071</v>
      </c>
      <c r="D658" s="57">
        <v>20</v>
      </c>
      <c r="E658" s="57" t="s">
        <v>1059</v>
      </c>
      <c r="F658" s="57" t="s">
        <v>1060</v>
      </c>
      <c r="G658" s="57" t="s">
        <v>1063</v>
      </c>
      <c r="H658" s="57" t="s">
        <v>1069</v>
      </c>
      <c r="I658" s="57"/>
      <c r="J658" s="57" t="str">
        <f t="shared" si="115"/>
        <v>Male</v>
      </c>
      <c r="K658" s="57" t="str">
        <f t="shared" si="116"/>
        <v>Singaporean</v>
      </c>
      <c r="L658" s="57" t="str">
        <f t="shared" si="117"/>
        <v xml:space="preserve">Case 923 is a Imported  case, 20 years old male Singapore Citizen  and has been to UK . He is currently admitted at NCID . </v>
      </c>
      <c r="M658" s="57">
        <f t="shared" si="118"/>
        <v>923</v>
      </c>
      <c r="N658" s="57" t="str">
        <f t="shared" si="119"/>
        <v xml:space="preserve">UK </v>
      </c>
      <c r="O658" s="57" t="str">
        <f t="shared" si="120"/>
        <v/>
      </c>
      <c r="P658" s="57" t="str">
        <f t="shared" si="121"/>
        <v/>
      </c>
    </row>
    <row r="659" spans="1:16" x14ac:dyDescent="0.3">
      <c r="A659" s="57">
        <v>924</v>
      </c>
      <c r="B659" s="58">
        <v>43921</v>
      </c>
      <c r="C659" s="57" t="s">
        <v>1071</v>
      </c>
      <c r="D659" s="57">
        <v>34</v>
      </c>
      <c r="E659" s="57" t="s">
        <v>1059</v>
      </c>
      <c r="F659" s="57" t="s">
        <v>1360</v>
      </c>
      <c r="G659" s="57"/>
      <c r="H659" s="57" t="s">
        <v>1086</v>
      </c>
      <c r="I659" s="57" t="s">
        <v>1382</v>
      </c>
      <c r="J659" s="57" t="str">
        <f t="shared" si="115"/>
        <v>Male</v>
      </c>
      <c r="K659" s="57" t="str">
        <f t="shared" si="116"/>
        <v>Bangladesh</v>
      </c>
      <c r="L659" s="57" t="str">
        <f t="shared" si="117"/>
        <v>Case 924 is a Local linked  case, 34 years old male Bangladesh (Singapore Work Pass holder)  and has not been overseas. He is currently admitted at NCID . Westlite Toh Guan</v>
      </c>
      <c r="M659" s="57" t="str">
        <f t="shared" si="118"/>
        <v/>
      </c>
      <c r="N659" s="57" t="str">
        <f t="shared" si="119"/>
        <v/>
      </c>
      <c r="O659" s="57">
        <f t="shared" si="120"/>
        <v>924</v>
      </c>
      <c r="P659" s="57" t="str">
        <f t="shared" si="121"/>
        <v>Westlite Toh Guan</v>
      </c>
    </row>
    <row r="660" spans="1:16" x14ac:dyDescent="0.3">
      <c r="A660" s="57">
        <v>925</v>
      </c>
      <c r="B660" s="58">
        <v>43921</v>
      </c>
      <c r="C660" s="57" t="s">
        <v>1071</v>
      </c>
      <c r="D660" s="57">
        <v>33</v>
      </c>
      <c r="E660" s="57" t="s">
        <v>1059</v>
      </c>
      <c r="F660" s="57" t="s">
        <v>1360</v>
      </c>
      <c r="G660" s="57"/>
      <c r="H660" s="57" t="s">
        <v>1086</v>
      </c>
      <c r="I660" s="57" t="s">
        <v>1382</v>
      </c>
      <c r="J660" s="57" t="str">
        <f t="shared" si="115"/>
        <v>Male</v>
      </c>
      <c r="K660" s="57" t="str">
        <f t="shared" si="116"/>
        <v>Bangladesh</v>
      </c>
      <c r="L660" s="57" t="str">
        <f t="shared" si="117"/>
        <v>Case 925 is a Local linked  case, 33 years old male Bangladesh (Singapore Work Pass holder)  and has not been overseas. He is currently admitted at NCID . Westlite Toh Guan</v>
      </c>
      <c r="M660" s="57" t="str">
        <f t="shared" si="118"/>
        <v/>
      </c>
      <c r="N660" s="57" t="str">
        <f t="shared" si="119"/>
        <v/>
      </c>
      <c r="O660" s="57">
        <f t="shared" si="120"/>
        <v>925</v>
      </c>
      <c r="P660" s="57" t="str">
        <f t="shared" si="121"/>
        <v>Westlite Toh Guan</v>
      </c>
    </row>
    <row r="661" spans="1:16" x14ac:dyDescent="0.3">
      <c r="A661" s="57">
        <v>926</v>
      </c>
      <c r="B661" s="58">
        <v>43921</v>
      </c>
      <c r="C661" s="57" t="s">
        <v>1071</v>
      </c>
      <c r="D661" s="57">
        <v>33</v>
      </c>
      <c r="E661" s="57" t="s">
        <v>1059</v>
      </c>
      <c r="F661" s="57" t="s">
        <v>1360</v>
      </c>
      <c r="G661" s="57"/>
      <c r="H661" s="57" t="s">
        <v>1086</v>
      </c>
      <c r="I661" s="57" t="s">
        <v>1382</v>
      </c>
      <c r="J661" s="57" t="str">
        <f t="shared" si="115"/>
        <v>Male</v>
      </c>
      <c r="K661" s="57" t="str">
        <f t="shared" si="116"/>
        <v>Bangladesh</v>
      </c>
      <c r="L661" s="57" t="str">
        <f t="shared" si="117"/>
        <v>Case 926 is a Local linked  case, 33 years old male Bangladesh (Singapore Work Pass holder)  and has not been overseas. He is currently admitted at NCID . Westlite Toh Guan</v>
      </c>
      <c r="M661" s="57" t="str">
        <f t="shared" si="118"/>
        <v/>
      </c>
      <c r="N661" s="57" t="str">
        <f t="shared" si="119"/>
        <v/>
      </c>
      <c r="O661" s="57">
        <f t="shared" si="120"/>
        <v>926</v>
      </c>
      <c r="P661" s="57" t="str">
        <f t="shared" si="121"/>
        <v>Westlite Toh Guan</v>
      </c>
    </row>
    <row r="662" spans="1:16" x14ac:dyDescent="0.3">
      <c r="A662" s="54">
        <v>927</v>
      </c>
      <c r="B662" s="63">
        <v>43921</v>
      </c>
      <c r="C662" s="54" t="s">
        <v>343</v>
      </c>
      <c r="D662" s="54">
        <v>61</v>
      </c>
      <c r="E662" s="54" t="s">
        <v>1073</v>
      </c>
      <c r="F662" s="54" t="s">
        <v>1060</v>
      </c>
      <c r="G662" s="54"/>
      <c r="H662" s="54" t="s">
        <v>1086</v>
      </c>
      <c r="I662" s="54" t="s">
        <v>1384</v>
      </c>
      <c r="J662" s="54" t="str">
        <f t="shared" ref="J662:J725" si="122">IF(TRIM(E662)="M","Male",IF(TRIM(E662)="F","Female",""))</f>
        <v>Female</v>
      </c>
      <c r="K662" s="54" t="str">
        <f t="shared" ref="K662:K725" si="123">IF(LEFT(F662,9)="Singapore","Singaporean",IF(ISERR(FIND("(",F662)),F662,LEFT(F662,FIND("(",F662)-2)))</f>
        <v>Singaporean</v>
      </c>
      <c r="L662" s="54" t="str">
        <f t="shared" ref="L662:L725" si="124">"Case "&amp;A662&amp;" is a "&amp;H662&amp;" case, "&amp;D662&amp;" years old "&amp;LOWER(J662)&amp;" "&amp;F662 &amp;IF(G662=""," and has not been overseas"," and has been to "&amp;G662)&amp;". "&amp;IF(TRIM(E662)="F","She",IF(TRIM(E662)="M","He"))&amp;" is currently admitted at "&amp;C662&amp;". "&amp;I662</f>
        <v>Case 927 is a Local linked  case, 61 years old female Singapore Citizen  and has not been overseas. She is currently admitted at NUH . Family member of Cases 889 and 942</v>
      </c>
      <c r="M662" s="54" t="str">
        <f t="shared" ref="M662:M725" si="125">IF(G662="","",A662)</f>
        <v/>
      </c>
      <c r="N662" s="54" t="str">
        <f t="shared" ref="N662:N725" si="126">IF(G662="","",G662)</f>
        <v/>
      </c>
      <c r="O662" s="54">
        <f t="shared" ref="O662:O725" si="127">IF(I662="","",A662)</f>
        <v>927</v>
      </c>
      <c r="P662" s="54" t="str">
        <f t="shared" ref="P662:P725" si="128">IF(I662="","",I662)</f>
        <v>Family member of Cases 889 and 942</v>
      </c>
    </row>
    <row r="663" spans="1:16" x14ac:dyDescent="0.3">
      <c r="A663" s="54">
        <v>928</v>
      </c>
      <c r="B663" s="63">
        <v>43921</v>
      </c>
      <c r="C663" s="54" t="s">
        <v>1074</v>
      </c>
      <c r="D663" s="54">
        <v>72</v>
      </c>
      <c r="E663" s="54" t="s">
        <v>1073</v>
      </c>
      <c r="F663" s="54" t="s">
        <v>1173</v>
      </c>
      <c r="G663" s="54" t="s">
        <v>687</v>
      </c>
      <c r="H663" s="54" t="s">
        <v>77</v>
      </c>
      <c r="I663" s="54"/>
      <c r="J663" s="54" t="str">
        <f t="shared" si="122"/>
        <v>Female</v>
      </c>
      <c r="K663" s="54" t="str">
        <f t="shared" si="123"/>
        <v>Indonesia</v>
      </c>
      <c r="L663" s="54" t="str">
        <f t="shared" si="124"/>
        <v xml:space="preserve">Case 928 is a Imported case, 72 years old female Indonesia (Long Term Pass holder)  and has been to Indonesia . She is currently admitted at AH . </v>
      </c>
      <c r="M663" s="54">
        <f t="shared" si="125"/>
        <v>928</v>
      </c>
      <c r="N663" s="54" t="str">
        <f t="shared" si="126"/>
        <v xml:space="preserve">Indonesia </v>
      </c>
      <c r="O663" s="54" t="str">
        <f t="shared" si="127"/>
        <v/>
      </c>
      <c r="P663" s="54" t="str">
        <f t="shared" si="128"/>
        <v/>
      </c>
    </row>
    <row r="664" spans="1:16" x14ac:dyDescent="0.3">
      <c r="A664" s="54">
        <v>929</v>
      </c>
      <c r="B664" s="63">
        <v>43921</v>
      </c>
      <c r="C664" s="54" t="s">
        <v>1071</v>
      </c>
      <c r="D664" s="54">
        <v>37</v>
      </c>
      <c r="E664" s="54" t="s">
        <v>1073</v>
      </c>
      <c r="F664" s="54" t="s">
        <v>1060</v>
      </c>
      <c r="G664" s="54"/>
      <c r="H664" s="54" t="s">
        <v>1061</v>
      </c>
      <c r="I664" s="54"/>
      <c r="J664" s="54" t="str">
        <f t="shared" si="122"/>
        <v>Female</v>
      </c>
      <c r="K664" s="54" t="str">
        <f t="shared" si="123"/>
        <v>Singaporean</v>
      </c>
      <c r="L664" s="54" t="str">
        <f t="shared" si="124"/>
        <v xml:space="preserve">Case 929 is a Local unlinked case, 37 years old female Singapore Citizen  and has not been overseas. She is currently admitted at NCID . </v>
      </c>
      <c r="M664" s="54" t="str">
        <f t="shared" si="125"/>
        <v/>
      </c>
      <c r="N664" s="54" t="str">
        <f t="shared" si="126"/>
        <v/>
      </c>
      <c r="O664" s="54" t="str">
        <f t="shared" si="127"/>
        <v/>
      </c>
      <c r="P664" s="54" t="str">
        <f t="shared" si="128"/>
        <v/>
      </c>
    </row>
    <row r="665" spans="1:16" x14ac:dyDescent="0.3">
      <c r="A665" s="54">
        <v>930</v>
      </c>
      <c r="B665" s="63">
        <v>43921</v>
      </c>
      <c r="C665" s="54" t="s">
        <v>1071</v>
      </c>
      <c r="D665" s="54">
        <v>23</v>
      </c>
      <c r="E665" s="54" t="s">
        <v>1073</v>
      </c>
      <c r="F665" s="54" t="s">
        <v>1060</v>
      </c>
      <c r="G665" s="54"/>
      <c r="H665" s="54" t="s">
        <v>1061</v>
      </c>
      <c r="I665" s="54"/>
      <c r="J665" s="54" t="str">
        <f t="shared" si="122"/>
        <v>Female</v>
      </c>
      <c r="K665" s="54" t="str">
        <f t="shared" si="123"/>
        <v>Singaporean</v>
      </c>
      <c r="L665" s="54" t="str">
        <f t="shared" si="124"/>
        <v xml:space="preserve">Case 930 is a Local unlinked case, 23 years old female Singapore Citizen  and has not been overseas. She is currently admitted at NCID . </v>
      </c>
      <c r="M665" s="54" t="str">
        <f t="shared" si="125"/>
        <v/>
      </c>
      <c r="N665" s="54" t="str">
        <f t="shared" si="126"/>
        <v/>
      </c>
      <c r="O665" s="54" t="str">
        <f t="shared" si="127"/>
        <v/>
      </c>
      <c r="P665" s="54" t="str">
        <f t="shared" si="128"/>
        <v/>
      </c>
    </row>
    <row r="666" spans="1:16" x14ac:dyDescent="0.3">
      <c r="A666" s="54">
        <v>931</v>
      </c>
      <c r="B666" s="63">
        <v>43921</v>
      </c>
      <c r="C666" s="54" t="s">
        <v>1071</v>
      </c>
      <c r="D666" s="54">
        <v>24</v>
      </c>
      <c r="E666" s="54" t="s">
        <v>1059</v>
      </c>
      <c r="F666" s="54" t="s">
        <v>1060</v>
      </c>
      <c r="G666" s="54"/>
      <c r="H666" s="54" t="s">
        <v>1061</v>
      </c>
      <c r="I666" s="54"/>
      <c r="J666" s="54" t="str">
        <f t="shared" si="122"/>
        <v>Male</v>
      </c>
      <c r="K666" s="54" t="str">
        <f t="shared" si="123"/>
        <v>Singaporean</v>
      </c>
      <c r="L666" s="54" t="str">
        <f t="shared" si="124"/>
        <v xml:space="preserve">Case 931 is a Local unlinked case, 24 years old male Singapore Citizen  and has not been overseas. He is currently admitted at NCID . </v>
      </c>
      <c r="M666" s="54" t="str">
        <f t="shared" si="125"/>
        <v/>
      </c>
      <c r="N666" s="54" t="str">
        <f t="shared" si="126"/>
        <v/>
      </c>
      <c r="O666" s="54" t="str">
        <f t="shared" si="127"/>
        <v/>
      </c>
      <c r="P666" s="54" t="str">
        <f t="shared" si="128"/>
        <v/>
      </c>
    </row>
    <row r="667" spans="1:16" x14ac:dyDescent="0.3">
      <c r="A667" s="54">
        <v>932</v>
      </c>
      <c r="B667" s="63">
        <v>43921</v>
      </c>
      <c r="C667" s="54" t="s">
        <v>1071</v>
      </c>
      <c r="D667" s="54">
        <v>34</v>
      </c>
      <c r="E667" s="54" t="s">
        <v>1073</v>
      </c>
      <c r="F667" s="54" t="s">
        <v>1060</v>
      </c>
      <c r="G667" s="54" t="s">
        <v>1063</v>
      </c>
      <c r="H667" s="54" t="s">
        <v>77</v>
      </c>
      <c r="I667" s="54"/>
      <c r="J667" s="54" t="str">
        <f t="shared" si="122"/>
        <v>Female</v>
      </c>
      <c r="K667" s="54" t="str">
        <f t="shared" si="123"/>
        <v>Singaporean</v>
      </c>
      <c r="L667" s="54" t="str">
        <f t="shared" si="124"/>
        <v xml:space="preserve">Case 932 is a Imported case, 34 years old female Singapore Citizen  and has been to UK . She is currently admitted at NCID . </v>
      </c>
      <c r="M667" s="54">
        <f t="shared" si="125"/>
        <v>932</v>
      </c>
      <c r="N667" s="54" t="str">
        <f t="shared" si="126"/>
        <v xml:space="preserve">UK </v>
      </c>
      <c r="O667" s="54" t="str">
        <f t="shared" si="127"/>
        <v/>
      </c>
      <c r="P667" s="54" t="str">
        <f t="shared" si="128"/>
        <v/>
      </c>
    </row>
    <row r="668" spans="1:16" x14ac:dyDescent="0.3">
      <c r="A668" s="54">
        <v>933</v>
      </c>
      <c r="B668" s="63">
        <v>43921</v>
      </c>
      <c r="C668" s="54" t="s">
        <v>1071</v>
      </c>
      <c r="D668" s="54">
        <v>31</v>
      </c>
      <c r="E668" s="54" t="s">
        <v>1059</v>
      </c>
      <c r="F668" s="54" t="s">
        <v>1060</v>
      </c>
      <c r="G668" s="54" t="s">
        <v>794</v>
      </c>
      <c r="H668" s="54" t="s">
        <v>77</v>
      </c>
      <c r="I668" s="54"/>
      <c r="J668" s="54" t="str">
        <f t="shared" si="122"/>
        <v>Male</v>
      </c>
      <c r="K668" s="54" t="str">
        <f t="shared" si="123"/>
        <v>Singaporean</v>
      </c>
      <c r="L668" s="54" t="str">
        <f t="shared" si="124"/>
        <v xml:space="preserve">Case 933 is a Imported case, 31 years old male Singapore Citizen  and has been to Thailand . He is currently admitted at NCID . </v>
      </c>
      <c r="M668" s="54">
        <f t="shared" si="125"/>
        <v>933</v>
      </c>
      <c r="N668" s="54" t="str">
        <f t="shared" si="126"/>
        <v xml:space="preserve">Thailand </v>
      </c>
      <c r="O668" s="54" t="str">
        <f t="shared" si="127"/>
        <v/>
      </c>
      <c r="P668" s="54" t="str">
        <f t="shared" si="128"/>
        <v/>
      </c>
    </row>
    <row r="669" spans="1:16" x14ac:dyDescent="0.3">
      <c r="A669" s="54">
        <v>934</v>
      </c>
      <c r="B669" s="63">
        <v>43921</v>
      </c>
      <c r="C669" s="54" t="s">
        <v>1071</v>
      </c>
      <c r="D669" s="54">
        <v>33</v>
      </c>
      <c r="E669" s="54" t="s">
        <v>1059</v>
      </c>
      <c r="F669" s="54" t="s">
        <v>1360</v>
      </c>
      <c r="G669" s="54"/>
      <c r="H669" s="54" t="s">
        <v>1086</v>
      </c>
      <c r="I669" s="54" t="s">
        <v>1382</v>
      </c>
      <c r="J669" s="54" t="str">
        <f t="shared" si="122"/>
        <v>Male</v>
      </c>
      <c r="K669" s="54" t="str">
        <f t="shared" si="123"/>
        <v>Bangladesh</v>
      </c>
      <c r="L669" s="54" t="str">
        <f t="shared" si="124"/>
        <v>Case 934 is a Local linked  case, 33 years old male Bangladesh (Singapore Work Pass holder)  and has not been overseas. He is currently admitted at NCID . Westlite Toh Guan</v>
      </c>
      <c r="M669" s="54" t="str">
        <f t="shared" si="125"/>
        <v/>
      </c>
      <c r="N669" s="54" t="str">
        <f t="shared" si="126"/>
        <v/>
      </c>
      <c r="O669" s="54">
        <f t="shared" si="127"/>
        <v>934</v>
      </c>
      <c r="P669" s="54" t="str">
        <f t="shared" si="128"/>
        <v>Westlite Toh Guan</v>
      </c>
    </row>
    <row r="670" spans="1:16" x14ac:dyDescent="0.3">
      <c r="A670" s="54">
        <v>935</v>
      </c>
      <c r="B670" s="63">
        <v>43921</v>
      </c>
      <c r="C670" s="54" t="s">
        <v>1071</v>
      </c>
      <c r="D670" s="54">
        <v>80</v>
      </c>
      <c r="E670" s="54" t="s">
        <v>1059</v>
      </c>
      <c r="F670" s="54" t="s">
        <v>1060</v>
      </c>
      <c r="G670" s="54"/>
      <c r="H670" s="54" t="s">
        <v>1086</v>
      </c>
      <c r="I670" s="54" t="s">
        <v>1385</v>
      </c>
      <c r="J670" s="54" t="str">
        <f t="shared" si="122"/>
        <v>Male</v>
      </c>
      <c r="K670" s="54" t="str">
        <f t="shared" si="123"/>
        <v>Singaporean</v>
      </c>
      <c r="L670" s="54" t="str">
        <f t="shared" si="124"/>
        <v>Case 935 is a Local linked  case, 80 years old male Singapore Citizen  and has not been overseas. He is currently admitted at NCID . Family member of Cases 727 and 863</v>
      </c>
      <c r="M670" s="54" t="str">
        <f t="shared" si="125"/>
        <v/>
      </c>
      <c r="N670" s="54" t="str">
        <f t="shared" si="126"/>
        <v/>
      </c>
      <c r="O670" s="54">
        <f t="shared" si="127"/>
        <v>935</v>
      </c>
      <c r="P670" s="54" t="str">
        <f t="shared" si="128"/>
        <v>Family member of Cases 727 and 863</v>
      </c>
    </row>
    <row r="671" spans="1:16" x14ac:dyDescent="0.3">
      <c r="A671" s="54">
        <v>936</v>
      </c>
      <c r="B671" s="63">
        <v>43921</v>
      </c>
      <c r="C671" s="54" t="s">
        <v>1064</v>
      </c>
      <c r="D671" s="54">
        <v>63</v>
      </c>
      <c r="E671" s="54" t="s">
        <v>1059</v>
      </c>
      <c r="F671" s="54" t="s">
        <v>1060</v>
      </c>
      <c r="G671" s="54"/>
      <c r="H671" s="54" t="s">
        <v>1061</v>
      </c>
      <c r="I671" s="54"/>
      <c r="J671" s="54" t="str">
        <f t="shared" si="122"/>
        <v>Male</v>
      </c>
      <c r="K671" s="54" t="str">
        <f t="shared" si="123"/>
        <v>Singaporean</v>
      </c>
      <c r="L671" s="54" t="str">
        <f t="shared" si="124"/>
        <v xml:space="preserve">Case 936 is a Local unlinked case, 63 years old male Singapore Citizen  and has not been overseas. He is currently admitted at CGH . </v>
      </c>
      <c r="M671" s="54" t="str">
        <f t="shared" si="125"/>
        <v/>
      </c>
      <c r="N671" s="54" t="str">
        <f t="shared" si="126"/>
        <v/>
      </c>
      <c r="O671" s="54" t="str">
        <f t="shared" si="127"/>
        <v/>
      </c>
      <c r="P671" s="54" t="str">
        <f t="shared" si="128"/>
        <v/>
      </c>
    </row>
    <row r="672" spans="1:16" x14ac:dyDescent="0.3">
      <c r="A672" s="54">
        <v>937</v>
      </c>
      <c r="B672" s="63">
        <v>43921</v>
      </c>
      <c r="C672" s="54" t="s">
        <v>1064</v>
      </c>
      <c r="D672" s="54">
        <v>42</v>
      </c>
      <c r="E672" s="54" t="s">
        <v>1059</v>
      </c>
      <c r="F672" s="54" t="s">
        <v>1060</v>
      </c>
      <c r="G672" s="54"/>
      <c r="H672" s="54" t="s">
        <v>1061</v>
      </c>
      <c r="I672" s="54"/>
      <c r="J672" s="54" t="str">
        <f t="shared" si="122"/>
        <v>Male</v>
      </c>
      <c r="K672" s="54" t="str">
        <f t="shared" si="123"/>
        <v>Singaporean</v>
      </c>
      <c r="L672" s="54" t="str">
        <f t="shared" si="124"/>
        <v xml:space="preserve">Case 937 is a Local unlinked case, 42 years old male Singapore Citizen  and has not been overseas. He is currently admitted at CGH . </v>
      </c>
      <c r="M672" s="54" t="str">
        <f t="shared" si="125"/>
        <v/>
      </c>
      <c r="N672" s="54" t="str">
        <f t="shared" si="126"/>
        <v/>
      </c>
      <c r="O672" s="54" t="str">
        <f t="shared" si="127"/>
        <v/>
      </c>
      <c r="P672" s="54" t="str">
        <f t="shared" si="128"/>
        <v/>
      </c>
    </row>
    <row r="673" spans="1:16" x14ac:dyDescent="0.3">
      <c r="A673" s="54">
        <v>938</v>
      </c>
      <c r="B673" s="63">
        <v>43921</v>
      </c>
      <c r="C673" s="54" t="s">
        <v>1064</v>
      </c>
      <c r="D673" s="54">
        <v>64</v>
      </c>
      <c r="E673" s="54" t="s">
        <v>1059</v>
      </c>
      <c r="F673" s="54" t="s">
        <v>798</v>
      </c>
      <c r="G673" s="54" t="s">
        <v>798</v>
      </c>
      <c r="H673" s="54" t="s">
        <v>77</v>
      </c>
      <c r="I673" s="54"/>
      <c r="J673" s="54" t="str">
        <f t="shared" si="122"/>
        <v>Male</v>
      </c>
      <c r="K673" s="54" t="str">
        <f t="shared" si="123"/>
        <v xml:space="preserve">India </v>
      </c>
      <c r="L673" s="54" t="str">
        <f t="shared" si="124"/>
        <v xml:space="preserve">Case 938 is a Imported case, 64 years old male India  and has been to India . He is currently admitted at CGH . </v>
      </c>
      <c r="M673" s="54">
        <f t="shared" si="125"/>
        <v>938</v>
      </c>
      <c r="N673" s="54" t="str">
        <f t="shared" si="126"/>
        <v xml:space="preserve">India </v>
      </c>
      <c r="O673" s="54" t="str">
        <f t="shared" si="127"/>
        <v/>
      </c>
      <c r="P673" s="54" t="str">
        <f t="shared" si="128"/>
        <v/>
      </c>
    </row>
    <row r="674" spans="1:16" x14ac:dyDescent="0.3">
      <c r="A674" s="54">
        <v>939</v>
      </c>
      <c r="B674" s="63">
        <v>43921</v>
      </c>
      <c r="C674" s="54" t="s">
        <v>1071</v>
      </c>
      <c r="D674" s="54">
        <v>35</v>
      </c>
      <c r="E674" s="54" t="s">
        <v>1059</v>
      </c>
      <c r="F674" s="54" t="s">
        <v>1253</v>
      </c>
      <c r="G674" s="54"/>
      <c r="H674" s="54" t="s">
        <v>1061</v>
      </c>
      <c r="I674" s="54"/>
      <c r="J674" s="54" t="str">
        <f t="shared" si="122"/>
        <v>Male</v>
      </c>
      <c r="K674" s="54" t="str">
        <f t="shared" si="123"/>
        <v>China</v>
      </c>
      <c r="L674" s="54" t="str">
        <f t="shared" si="124"/>
        <v xml:space="preserve">Case 939 is a Local unlinked case, 35 years old male China (Long Term Pass holder)  and has not been overseas. He is currently admitted at NCID . </v>
      </c>
      <c r="M674" s="54" t="str">
        <f t="shared" si="125"/>
        <v/>
      </c>
      <c r="N674" s="54" t="str">
        <f t="shared" si="126"/>
        <v/>
      </c>
      <c r="O674" s="54" t="str">
        <f t="shared" si="127"/>
        <v/>
      </c>
      <c r="P674" s="54" t="str">
        <f t="shared" si="128"/>
        <v/>
      </c>
    </row>
    <row r="675" spans="1:16" x14ac:dyDescent="0.3">
      <c r="A675" s="54">
        <v>940</v>
      </c>
      <c r="B675" s="63">
        <v>43921</v>
      </c>
      <c r="C675" s="54" t="s">
        <v>343</v>
      </c>
      <c r="D675" s="54">
        <v>36</v>
      </c>
      <c r="E675" s="54" t="s">
        <v>1059</v>
      </c>
      <c r="F675" s="54" t="s">
        <v>1386</v>
      </c>
      <c r="G675" s="54"/>
      <c r="H675" s="54" t="s">
        <v>1086</v>
      </c>
      <c r="I675" s="54" t="s">
        <v>1387</v>
      </c>
      <c r="J675" s="54" t="str">
        <f t="shared" si="122"/>
        <v>Male</v>
      </c>
      <c r="K675" s="54" t="str">
        <f t="shared" si="123"/>
        <v xml:space="preserve">Cameroon </v>
      </c>
      <c r="L675" s="54" t="str">
        <f t="shared" si="124"/>
        <v>Case 940 is a Local linked  case, 36 years old male Cameroon  and has not been overseas. He is currently admitted at NUH . Hero’s</v>
      </c>
      <c r="M675" s="54" t="str">
        <f t="shared" si="125"/>
        <v/>
      </c>
      <c r="N675" s="54" t="str">
        <f t="shared" si="126"/>
        <v/>
      </c>
      <c r="O675" s="54">
        <f t="shared" si="127"/>
        <v>940</v>
      </c>
      <c r="P675" s="54" t="str">
        <f t="shared" si="128"/>
        <v>Hero’s</v>
      </c>
    </row>
    <row r="676" spans="1:16" x14ac:dyDescent="0.3">
      <c r="A676" s="54">
        <v>941</v>
      </c>
      <c r="B676" s="63">
        <v>43921</v>
      </c>
      <c r="C676" s="54" t="s">
        <v>343</v>
      </c>
      <c r="D676" s="54">
        <v>52</v>
      </c>
      <c r="E676" s="54" t="s">
        <v>1073</v>
      </c>
      <c r="F676" s="54" t="s">
        <v>1060</v>
      </c>
      <c r="G676" s="54"/>
      <c r="H676" s="54" t="s">
        <v>1086</v>
      </c>
      <c r="I676" s="54" t="s">
        <v>1388</v>
      </c>
      <c r="J676" s="54" t="str">
        <f t="shared" si="122"/>
        <v>Female</v>
      </c>
      <c r="K676" s="54" t="str">
        <f t="shared" si="123"/>
        <v>Singaporean</v>
      </c>
      <c r="L676" s="54" t="str">
        <f t="shared" si="124"/>
        <v>Case 941 is a Local linked  case, 52 years old female Singapore Citizen  and has not been overseas. She is currently admitted at NUH . Family member of Case 888</v>
      </c>
      <c r="M676" s="54" t="str">
        <f t="shared" si="125"/>
        <v/>
      </c>
      <c r="N676" s="54" t="str">
        <f t="shared" si="126"/>
        <v/>
      </c>
      <c r="O676" s="54">
        <f t="shared" si="127"/>
        <v>941</v>
      </c>
      <c r="P676" s="54" t="str">
        <f t="shared" si="128"/>
        <v>Family member of Case 888</v>
      </c>
    </row>
    <row r="677" spans="1:16" x14ac:dyDescent="0.3">
      <c r="A677" s="54">
        <v>942</v>
      </c>
      <c r="B677" s="63">
        <v>43921</v>
      </c>
      <c r="C677" s="54" t="s">
        <v>343</v>
      </c>
      <c r="D677" s="54">
        <v>58</v>
      </c>
      <c r="E677" s="54" t="s">
        <v>1059</v>
      </c>
      <c r="F677" s="54" t="s">
        <v>1060</v>
      </c>
      <c r="G677" s="54"/>
      <c r="H677" s="54" t="s">
        <v>1086</v>
      </c>
      <c r="I677" s="54" t="s">
        <v>1389</v>
      </c>
      <c r="J677" s="54" t="str">
        <f t="shared" si="122"/>
        <v>Male</v>
      </c>
      <c r="K677" s="54" t="str">
        <f t="shared" si="123"/>
        <v>Singaporean</v>
      </c>
      <c r="L677" s="54" t="str">
        <f t="shared" si="124"/>
        <v>Case 942 is a Local linked  case, 58 years old male Singapore Citizen  and has not been overseas. He is currently admitted at NUH . Family member of Cases 889 and 927</v>
      </c>
      <c r="M677" s="54" t="str">
        <f t="shared" si="125"/>
        <v/>
      </c>
      <c r="N677" s="54" t="str">
        <f t="shared" si="126"/>
        <v/>
      </c>
      <c r="O677" s="54">
        <f t="shared" si="127"/>
        <v>942</v>
      </c>
      <c r="P677" s="54" t="str">
        <f t="shared" si="128"/>
        <v>Family member of Cases 889 and 927</v>
      </c>
    </row>
    <row r="678" spans="1:16" x14ac:dyDescent="0.3">
      <c r="A678" s="54">
        <v>943</v>
      </c>
      <c r="B678" s="63">
        <v>43921</v>
      </c>
      <c r="C678" s="54" t="s">
        <v>1071</v>
      </c>
      <c r="D678" s="54">
        <v>31</v>
      </c>
      <c r="E678" s="54" t="s">
        <v>1059</v>
      </c>
      <c r="F678" s="54" t="s">
        <v>1159</v>
      </c>
      <c r="G678" s="54" t="s">
        <v>680</v>
      </c>
      <c r="H678" s="54" t="s">
        <v>77</v>
      </c>
      <c r="I678" s="54"/>
      <c r="J678" s="54" t="str">
        <f t="shared" si="122"/>
        <v>Male</v>
      </c>
      <c r="K678" s="54" t="str">
        <f t="shared" si="123"/>
        <v>Switzerland</v>
      </c>
      <c r="L678" s="54" t="str">
        <f t="shared" si="124"/>
        <v xml:space="preserve">Case 943 is a Imported case, 31 years old male Switzerland (Singapore Work Pass holder)  and has been to Switzerland . He is currently admitted at NCID . </v>
      </c>
      <c r="M678" s="54">
        <f t="shared" si="125"/>
        <v>943</v>
      </c>
      <c r="N678" s="54" t="str">
        <f t="shared" si="126"/>
        <v xml:space="preserve">Switzerland </v>
      </c>
      <c r="O678" s="54" t="str">
        <f t="shared" si="127"/>
        <v/>
      </c>
      <c r="P678" s="54" t="str">
        <f t="shared" si="128"/>
        <v/>
      </c>
    </row>
    <row r="679" spans="1:16" x14ac:dyDescent="0.3">
      <c r="A679" s="54">
        <v>944</v>
      </c>
      <c r="B679" s="63">
        <v>43921</v>
      </c>
      <c r="C679" s="54" t="s">
        <v>1058</v>
      </c>
      <c r="D679" s="54">
        <v>35</v>
      </c>
      <c r="E679" s="54" t="s">
        <v>1073</v>
      </c>
      <c r="F679" s="54" t="s">
        <v>1060</v>
      </c>
      <c r="G679" s="54" t="s">
        <v>1390</v>
      </c>
      <c r="H679" s="54" t="s">
        <v>77</v>
      </c>
      <c r="I679" s="54"/>
      <c r="J679" s="54" t="str">
        <f t="shared" si="122"/>
        <v>Female</v>
      </c>
      <c r="K679" s="54" t="str">
        <f t="shared" si="123"/>
        <v>Singaporean</v>
      </c>
      <c r="L679" s="54" t="str">
        <f t="shared" si="124"/>
        <v xml:space="preserve">Case 944 is a Imported case, 35 years old female Singapore Citizen  and has been to Indonesia, UK, US . She is currently admitted at KTPH . </v>
      </c>
      <c r="M679" s="54">
        <f t="shared" si="125"/>
        <v>944</v>
      </c>
      <c r="N679" s="54" t="str">
        <f t="shared" si="126"/>
        <v xml:space="preserve">Indonesia, UK, US </v>
      </c>
      <c r="O679" s="54" t="str">
        <f t="shared" si="127"/>
        <v/>
      </c>
      <c r="P679" s="54" t="str">
        <f t="shared" si="128"/>
        <v/>
      </c>
    </row>
    <row r="680" spans="1:16" x14ac:dyDescent="0.3">
      <c r="A680" s="54">
        <v>945</v>
      </c>
      <c r="B680" s="63">
        <v>43921</v>
      </c>
      <c r="C680" s="54" t="s">
        <v>1058</v>
      </c>
      <c r="D680" s="54">
        <v>54</v>
      </c>
      <c r="E680" s="54" t="s">
        <v>1073</v>
      </c>
      <c r="F680" s="54" t="s">
        <v>1060</v>
      </c>
      <c r="G680" s="54"/>
      <c r="H680" s="54" t="s">
        <v>1061</v>
      </c>
      <c r="I680" s="54"/>
      <c r="J680" s="54" t="str">
        <f t="shared" si="122"/>
        <v>Female</v>
      </c>
      <c r="K680" s="54" t="str">
        <f t="shared" si="123"/>
        <v>Singaporean</v>
      </c>
      <c r="L680" s="54" t="str">
        <f t="shared" si="124"/>
        <v xml:space="preserve">Case 945 is a Local unlinked case, 54 years old female Singapore Citizen  and has not been overseas. She is currently admitted at KTPH . </v>
      </c>
      <c r="M680" s="54" t="str">
        <f t="shared" si="125"/>
        <v/>
      </c>
      <c r="N680" s="54" t="str">
        <f t="shared" si="126"/>
        <v/>
      </c>
      <c r="O680" s="54" t="str">
        <f t="shared" si="127"/>
        <v/>
      </c>
      <c r="P680" s="54" t="str">
        <f t="shared" si="128"/>
        <v/>
      </c>
    </row>
    <row r="681" spans="1:16" x14ac:dyDescent="0.3">
      <c r="A681" s="54">
        <v>946</v>
      </c>
      <c r="B681" s="63">
        <v>43921</v>
      </c>
      <c r="C681" s="54" t="s">
        <v>1066</v>
      </c>
      <c r="D681" s="54">
        <v>30</v>
      </c>
      <c r="E681" s="54" t="s">
        <v>1059</v>
      </c>
      <c r="F681" s="54" t="s">
        <v>1194</v>
      </c>
      <c r="G681" s="54"/>
      <c r="H681" s="54" t="s">
        <v>1086</v>
      </c>
      <c r="I681" s="54" t="s">
        <v>1359</v>
      </c>
      <c r="J681" s="54" t="str">
        <f t="shared" si="122"/>
        <v>Male</v>
      </c>
      <c r="K681" s="54" t="str">
        <f t="shared" si="123"/>
        <v>India</v>
      </c>
      <c r="L681" s="54" t="str">
        <f t="shared" si="124"/>
        <v>Case 946 is a Local linked  case, 30 years old male India (Long Term Pass holder)  and has not been overseas. He is currently admitted at SKH . S11 Dormitory</v>
      </c>
      <c r="M681" s="54" t="str">
        <f t="shared" si="125"/>
        <v/>
      </c>
      <c r="N681" s="54" t="str">
        <f t="shared" si="126"/>
        <v/>
      </c>
      <c r="O681" s="54">
        <f t="shared" si="127"/>
        <v>946</v>
      </c>
      <c r="P681" s="54" t="str">
        <f t="shared" si="128"/>
        <v>S11 Dormitory</v>
      </c>
    </row>
    <row r="682" spans="1:16" x14ac:dyDescent="0.3">
      <c r="A682" s="54">
        <v>947</v>
      </c>
      <c r="B682" s="63">
        <v>43921</v>
      </c>
      <c r="C682" s="54" t="s">
        <v>1066</v>
      </c>
      <c r="D682" s="54">
        <v>25</v>
      </c>
      <c r="E682" s="54" t="s">
        <v>1059</v>
      </c>
      <c r="F682" s="54" t="s">
        <v>1278</v>
      </c>
      <c r="G682" s="54"/>
      <c r="H682" s="54" t="s">
        <v>1086</v>
      </c>
      <c r="I682" s="54" t="s">
        <v>1359</v>
      </c>
      <c r="J682" s="54" t="str">
        <f t="shared" si="122"/>
        <v>Male</v>
      </c>
      <c r="K682" s="54" t="str">
        <f t="shared" si="123"/>
        <v>Bangladesh</v>
      </c>
      <c r="L682" s="54" t="str">
        <f t="shared" si="124"/>
        <v>Case 947 is a Local linked  case, 25 years old male Bangladesh (Long Term Pass holder)  and has not been overseas. He is currently admitted at SKH . S11 Dormitory</v>
      </c>
      <c r="M682" s="54" t="str">
        <f t="shared" si="125"/>
        <v/>
      </c>
      <c r="N682" s="54" t="str">
        <f t="shared" si="126"/>
        <v/>
      </c>
      <c r="O682" s="54">
        <f t="shared" si="127"/>
        <v>947</v>
      </c>
      <c r="P682" s="54" t="str">
        <f t="shared" si="128"/>
        <v>S11 Dormitory</v>
      </c>
    </row>
    <row r="683" spans="1:16" x14ac:dyDescent="0.3">
      <c r="A683" s="54">
        <v>948</v>
      </c>
      <c r="B683" s="63">
        <v>43921</v>
      </c>
      <c r="C683" s="54" t="s">
        <v>1058</v>
      </c>
      <c r="D683" s="54">
        <v>54</v>
      </c>
      <c r="E683" s="54" t="s">
        <v>1073</v>
      </c>
      <c r="F683" s="54" t="s">
        <v>1060</v>
      </c>
      <c r="G683" s="54"/>
      <c r="H683" s="54" t="s">
        <v>1061</v>
      </c>
      <c r="I683" s="54"/>
      <c r="J683" s="54" t="str">
        <f t="shared" si="122"/>
        <v>Female</v>
      </c>
      <c r="K683" s="54" t="str">
        <f t="shared" si="123"/>
        <v>Singaporean</v>
      </c>
      <c r="L683" s="54" t="str">
        <f t="shared" si="124"/>
        <v xml:space="preserve">Case 948 is a Local unlinked case, 54 years old female Singapore Citizen  and has not been overseas. She is currently admitted at KTPH . </v>
      </c>
      <c r="M683" s="54" t="str">
        <f t="shared" si="125"/>
        <v/>
      </c>
      <c r="N683" s="54" t="str">
        <f t="shared" si="126"/>
        <v/>
      </c>
      <c r="O683" s="54" t="str">
        <f t="shared" si="127"/>
        <v/>
      </c>
      <c r="P683" s="54" t="str">
        <f t="shared" si="128"/>
        <v/>
      </c>
    </row>
    <row r="684" spans="1:16" x14ac:dyDescent="0.3">
      <c r="A684" s="54">
        <v>949</v>
      </c>
      <c r="B684" s="63">
        <v>43921</v>
      </c>
      <c r="C684" s="54" t="s">
        <v>1138</v>
      </c>
      <c r="D684" s="54">
        <v>20</v>
      </c>
      <c r="E684" s="54" t="s">
        <v>1059</v>
      </c>
      <c r="F684" s="54" t="s">
        <v>1072</v>
      </c>
      <c r="G684" s="54" t="s">
        <v>798</v>
      </c>
      <c r="H684" s="54" t="s">
        <v>77</v>
      </c>
      <c r="I684" s="54"/>
      <c r="J684" s="54" t="str">
        <f t="shared" si="122"/>
        <v>Male</v>
      </c>
      <c r="K684" s="54" t="str">
        <f t="shared" si="123"/>
        <v>Singaporean</v>
      </c>
      <c r="L684" s="54" t="str">
        <f t="shared" si="124"/>
        <v xml:space="preserve">Case 949 is a Imported case, 20 years old male Singapore Permanent Resident  and has been to India . He is currently admitted at SGH . </v>
      </c>
      <c r="M684" s="54">
        <f t="shared" si="125"/>
        <v>949</v>
      </c>
      <c r="N684" s="54" t="str">
        <f t="shared" si="126"/>
        <v xml:space="preserve">India </v>
      </c>
      <c r="O684" s="54" t="str">
        <f t="shared" si="127"/>
        <v/>
      </c>
      <c r="P684" s="54" t="str">
        <f t="shared" si="128"/>
        <v/>
      </c>
    </row>
    <row r="685" spans="1:16" x14ac:dyDescent="0.3">
      <c r="A685" s="54">
        <v>950</v>
      </c>
      <c r="B685" s="63">
        <v>43921</v>
      </c>
      <c r="C685" s="54" t="s">
        <v>1138</v>
      </c>
      <c r="D685" s="54">
        <v>29</v>
      </c>
      <c r="E685" s="54" t="s">
        <v>1059</v>
      </c>
      <c r="F685" s="54" t="s">
        <v>1072</v>
      </c>
      <c r="G685" s="54" t="s">
        <v>1391</v>
      </c>
      <c r="H685" s="54" t="s">
        <v>77</v>
      </c>
      <c r="I685" s="54"/>
      <c r="J685" s="54" t="str">
        <f t="shared" si="122"/>
        <v>Male</v>
      </c>
      <c r="K685" s="54" t="str">
        <f t="shared" si="123"/>
        <v>Singaporean</v>
      </c>
      <c r="L685" s="54" t="str">
        <f t="shared" si="124"/>
        <v xml:space="preserve">Case 950 is a Imported case, 29 years old male Singapore Permanent Resident  and has been to Netherlands, Austria, Slovenia . He is currently admitted at SGH . </v>
      </c>
      <c r="M685" s="54">
        <f t="shared" si="125"/>
        <v>950</v>
      </c>
      <c r="N685" s="54" t="str">
        <f t="shared" si="126"/>
        <v xml:space="preserve">Netherlands, Austria, Slovenia </v>
      </c>
      <c r="O685" s="54" t="str">
        <f t="shared" si="127"/>
        <v/>
      </c>
      <c r="P685" s="54" t="str">
        <f t="shared" si="128"/>
        <v/>
      </c>
    </row>
    <row r="686" spans="1:16" x14ac:dyDescent="0.3">
      <c r="A686" s="54">
        <v>951</v>
      </c>
      <c r="B686" s="63">
        <v>43921</v>
      </c>
      <c r="C686" s="54" t="s">
        <v>1138</v>
      </c>
      <c r="D686" s="54">
        <v>29</v>
      </c>
      <c r="E686" s="54" t="s">
        <v>1073</v>
      </c>
      <c r="F686" s="54" t="s">
        <v>1060</v>
      </c>
      <c r="G686" s="54"/>
      <c r="H686" s="54" t="s">
        <v>936</v>
      </c>
      <c r="I686" s="54"/>
      <c r="J686" s="54" t="str">
        <f t="shared" si="122"/>
        <v>Female</v>
      </c>
      <c r="K686" s="54" t="str">
        <f t="shared" si="123"/>
        <v>Singaporean</v>
      </c>
      <c r="L686" s="54" t="str">
        <f t="shared" si="124"/>
        <v xml:space="preserve">Case 951 is a Local Unlinked case, 29 years old female Singapore Citizen  and has not been overseas. She is currently admitted at SGH . </v>
      </c>
      <c r="M686" s="54" t="str">
        <f t="shared" si="125"/>
        <v/>
      </c>
      <c r="N686" s="54" t="str">
        <f t="shared" si="126"/>
        <v/>
      </c>
      <c r="O686" s="54" t="str">
        <f t="shared" si="127"/>
        <v/>
      </c>
      <c r="P686" s="54" t="str">
        <f t="shared" si="128"/>
        <v/>
      </c>
    </row>
    <row r="687" spans="1:16" x14ac:dyDescent="0.3">
      <c r="A687" s="54">
        <v>952</v>
      </c>
      <c r="B687" s="63">
        <v>43921</v>
      </c>
      <c r="C687" s="54" t="s">
        <v>1138</v>
      </c>
      <c r="D687" s="54">
        <v>37</v>
      </c>
      <c r="E687" s="54" t="s">
        <v>1073</v>
      </c>
      <c r="F687" s="54" t="s">
        <v>1060</v>
      </c>
      <c r="G687" s="54" t="s">
        <v>1341</v>
      </c>
      <c r="H687" s="54" t="s">
        <v>77</v>
      </c>
      <c r="I687" s="54"/>
      <c r="J687" s="54" t="str">
        <f t="shared" si="122"/>
        <v>Female</v>
      </c>
      <c r="K687" s="54" t="str">
        <f t="shared" si="123"/>
        <v>Singaporean</v>
      </c>
      <c r="L687" s="54" t="str">
        <f t="shared" si="124"/>
        <v xml:space="preserve">Case 952 is a Imported case, 37 years old female Singapore Citizen  and has been to UAE . She is currently admitted at SGH . </v>
      </c>
      <c r="M687" s="54">
        <f t="shared" si="125"/>
        <v>952</v>
      </c>
      <c r="N687" s="54" t="str">
        <f t="shared" si="126"/>
        <v xml:space="preserve">UAE </v>
      </c>
      <c r="O687" s="54" t="str">
        <f t="shared" si="127"/>
        <v/>
      </c>
      <c r="P687" s="54" t="str">
        <f t="shared" si="128"/>
        <v/>
      </c>
    </row>
    <row r="688" spans="1:16" x14ac:dyDescent="0.3">
      <c r="A688" s="54">
        <v>953</v>
      </c>
      <c r="B688" s="63">
        <v>43921</v>
      </c>
      <c r="C688" s="54" t="s">
        <v>1071</v>
      </c>
      <c r="D688" s="54">
        <v>51</v>
      </c>
      <c r="E688" s="54" t="s">
        <v>1059</v>
      </c>
      <c r="F688" s="54" t="s">
        <v>1072</v>
      </c>
      <c r="G688" s="54"/>
      <c r="H688" s="54" t="s">
        <v>1061</v>
      </c>
      <c r="I688" s="54"/>
      <c r="J688" s="54" t="str">
        <f t="shared" si="122"/>
        <v>Male</v>
      </c>
      <c r="K688" s="54" t="str">
        <f t="shared" si="123"/>
        <v>Singaporean</v>
      </c>
      <c r="L688" s="54" t="str">
        <f t="shared" si="124"/>
        <v xml:space="preserve">Case 953 is a Local unlinked case, 51 years old male Singapore Permanent Resident  and has not been overseas. He is currently admitted at NCID . </v>
      </c>
      <c r="M688" s="54" t="str">
        <f t="shared" si="125"/>
        <v/>
      </c>
      <c r="N688" s="54" t="str">
        <f t="shared" si="126"/>
        <v/>
      </c>
      <c r="O688" s="54" t="str">
        <f t="shared" si="127"/>
        <v/>
      </c>
      <c r="P688" s="54" t="str">
        <f t="shared" si="128"/>
        <v/>
      </c>
    </row>
    <row r="689" spans="1:16" x14ac:dyDescent="0.3">
      <c r="A689" s="54">
        <v>954</v>
      </c>
      <c r="B689" s="63">
        <v>43921</v>
      </c>
      <c r="C689" s="54" t="s">
        <v>1071</v>
      </c>
      <c r="D689" s="54">
        <v>53</v>
      </c>
      <c r="E689" s="54" t="s">
        <v>1073</v>
      </c>
      <c r="F689" s="54" t="s">
        <v>1060</v>
      </c>
      <c r="G689" s="54" t="s">
        <v>1063</v>
      </c>
      <c r="H689" s="54" t="s">
        <v>1069</v>
      </c>
      <c r="I689" s="54" t="s">
        <v>1392</v>
      </c>
      <c r="J689" s="54" t="str">
        <f t="shared" si="122"/>
        <v>Female</v>
      </c>
      <c r="K689" s="54" t="str">
        <f t="shared" si="123"/>
        <v>Singaporean</v>
      </c>
      <c r="L689" s="54" t="str">
        <f t="shared" si="124"/>
        <v>Case 954 is a Imported  case, 53 years old female Singapore Citizen  and has been to UK . She is currently admitted at NCID . Family member of Case 544</v>
      </c>
      <c r="M689" s="54">
        <f t="shared" si="125"/>
        <v>954</v>
      </c>
      <c r="N689" s="54" t="str">
        <f t="shared" si="126"/>
        <v xml:space="preserve">UK </v>
      </c>
      <c r="O689" s="54">
        <f t="shared" si="127"/>
        <v>954</v>
      </c>
      <c r="P689" s="54" t="str">
        <f t="shared" si="128"/>
        <v>Family member of Case 544</v>
      </c>
    </row>
    <row r="690" spans="1:16" x14ac:dyDescent="0.3">
      <c r="A690" s="54">
        <v>955</v>
      </c>
      <c r="B690" s="63">
        <v>43921</v>
      </c>
      <c r="C690" s="54" t="s">
        <v>1071</v>
      </c>
      <c r="D690" s="54">
        <v>53</v>
      </c>
      <c r="E690" s="54" t="s">
        <v>1059</v>
      </c>
      <c r="F690" s="54" t="s">
        <v>1218</v>
      </c>
      <c r="G690" s="54" t="s">
        <v>1393</v>
      </c>
      <c r="H690" s="54" t="s">
        <v>77</v>
      </c>
      <c r="I690" s="54"/>
      <c r="J690" s="54" t="str">
        <f t="shared" si="122"/>
        <v>Male</v>
      </c>
      <c r="K690" s="54" t="str">
        <f t="shared" si="123"/>
        <v>Australia</v>
      </c>
      <c r="L690" s="54" t="str">
        <f t="shared" si="124"/>
        <v xml:space="preserve">Case 955 is a Imported case, 53 years old male Australia (Singapore Work Pass holder)  and has been to South Africa . He is currently admitted at NCID . </v>
      </c>
      <c r="M690" s="54">
        <f t="shared" si="125"/>
        <v>955</v>
      </c>
      <c r="N690" s="54" t="str">
        <f t="shared" si="126"/>
        <v xml:space="preserve">South Africa </v>
      </c>
      <c r="O690" s="54" t="str">
        <f t="shared" si="127"/>
        <v/>
      </c>
      <c r="P690" s="54" t="str">
        <f t="shared" si="128"/>
        <v/>
      </c>
    </row>
    <row r="691" spans="1:16" x14ac:dyDescent="0.3">
      <c r="A691" s="54">
        <v>956</v>
      </c>
      <c r="B691" s="63">
        <v>43921</v>
      </c>
      <c r="C691" s="54" t="s">
        <v>1071</v>
      </c>
      <c r="D691" s="54">
        <v>32</v>
      </c>
      <c r="E691" s="54" t="s">
        <v>1059</v>
      </c>
      <c r="F691" s="54" t="s">
        <v>1278</v>
      </c>
      <c r="G691" s="54"/>
      <c r="H691" s="54" t="s">
        <v>1061</v>
      </c>
      <c r="I691" s="54"/>
      <c r="J691" s="54" t="str">
        <f t="shared" si="122"/>
        <v>Male</v>
      </c>
      <c r="K691" s="54" t="str">
        <f t="shared" si="123"/>
        <v>Bangladesh</v>
      </c>
      <c r="L691" s="54" t="str">
        <f t="shared" si="124"/>
        <v xml:space="preserve">Case 956 is a Local unlinked case, 32 years old male Bangladesh (Long Term Pass holder)  and has not been overseas. He is currently admitted at NCID . </v>
      </c>
      <c r="M691" s="54" t="str">
        <f t="shared" si="125"/>
        <v/>
      </c>
      <c r="N691" s="54" t="str">
        <f t="shared" si="126"/>
        <v/>
      </c>
      <c r="O691" s="54" t="str">
        <f t="shared" si="127"/>
        <v/>
      </c>
      <c r="P691" s="54" t="str">
        <f t="shared" si="128"/>
        <v/>
      </c>
    </row>
    <row r="692" spans="1:16" x14ac:dyDescent="0.3">
      <c r="A692" s="54">
        <v>957</v>
      </c>
      <c r="B692" s="63">
        <v>43921</v>
      </c>
      <c r="C692" s="54" t="s">
        <v>1071</v>
      </c>
      <c r="D692" s="54">
        <v>73</v>
      </c>
      <c r="E692" s="54" t="s">
        <v>1073</v>
      </c>
      <c r="F692" s="54" t="s">
        <v>1060</v>
      </c>
      <c r="G692" s="54"/>
      <c r="H692" s="54" t="s">
        <v>1061</v>
      </c>
      <c r="I692" s="54"/>
      <c r="J692" s="54" t="str">
        <f t="shared" si="122"/>
        <v>Female</v>
      </c>
      <c r="K692" s="54" t="str">
        <f t="shared" si="123"/>
        <v>Singaporean</v>
      </c>
      <c r="L692" s="54" t="str">
        <f t="shared" si="124"/>
        <v xml:space="preserve">Case 957 is a Local unlinked case, 73 years old female Singapore Citizen  and has not been overseas. She is currently admitted at NCID . </v>
      </c>
      <c r="M692" s="54" t="str">
        <f t="shared" si="125"/>
        <v/>
      </c>
      <c r="N692" s="54" t="str">
        <f t="shared" si="126"/>
        <v/>
      </c>
      <c r="O692" s="54" t="str">
        <f t="shared" si="127"/>
        <v/>
      </c>
      <c r="P692" s="54" t="str">
        <f t="shared" si="128"/>
        <v/>
      </c>
    </row>
    <row r="693" spans="1:16" x14ac:dyDescent="0.3">
      <c r="A693" s="54">
        <v>958</v>
      </c>
      <c r="B693" s="63">
        <v>43921</v>
      </c>
      <c r="C693" s="54" t="s">
        <v>1071</v>
      </c>
      <c r="D693" s="54">
        <v>41</v>
      </c>
      <c r="E693" s="54" t="s">
        <v>1059</v>
      </c>
      <c r="F693" s="54" t="s">
        <v>1060</v>
      </c>
      <c r="G693" s="54"/>
      <c r="H693" s="54" t="s">
        <v>1061</v>
      </c>
      <c r="I693" s="54"/>
      <c r="J693" s="54" t="str">
        <f t="shared" si="122"/>
        <v>Male</v>
      </c>
      <c r="K693" s="54" t="str">
        <f t="shared" si="123"/>
        <v>Singaporean</v>
      </c>
      <c r="L693" s="54" t="str">
        <f t="shared" si="124"/>
        <v xml:space="preserve">Case 958 is a Local unlinked case, 41 years old male Singapore Citizen  and has not been overseas. He is currently admitted at NCID . </v>
      </c>
      <c r="M693" s="54" t="str">
        <f t="shared" si="125"/>
        <v/>
      </c>
      <c r="N693" s="54" t="str">
        <f t="shared" si="126"/>
        <v/>
      </c>
      <c r="O693" s="54" t="str">
        <f t="shared" si="127"/>
        <v/>
      </c>
      <c r="P693" s="54" t="str">
        <f t="shared" si="128"/>
        <v/>
      </c>
    </row>
    <row r="694" spans="1:16" x14ac:dyDescent="0.3">
      <c r="A694" s="54">
        <v>959</v>
      </c>
      <c r="B694" s="63">
        <v>43921</v>
      </c>
      <c r="C694" s="54" t="s">
        <v>1071</v>
      </c>
      <c r="D694" s="54">
        <v>41</v>
      </c>
      <c r="E694" s="54" t="s">
        <v>1073</v>
      </c>
      <c r="F694" s="54" t="s">
        <v>1060</v>
      </c>
      <c r="G694" s="54"/>
      <c r="H694" s="54" t="s">
        <v>1061</v>
      </c>
      <c r="I694" s="54"/>
      <c r="J694" s="54" t="str">
        <f t="shared" si="122"/>
        <v>Female</v>
      </c>
      <c r="K694" s="54" t="str">
        <f t="shared" si="123"/>
        <v>Singaporean</v>
      </c>
      <c r="L694" s="54" t="str">
        <f t="shared" si="124"/>
        <v xml:space="preserve">Case 959 is a Local unlinked case, 41 years old female Singapore Citizen  and has not been overseas. She is currently admitted at NCID . </v>
      </c>
      <c r="M694" s="54" t="str">
        <f t="shared" si="125"/>
        <v/>
      </c>
      <c r="N694" s="54" t="str">
        <f t="shared" si="126"/>
        <v/>
      </c>
      <c r="O694" s="54" t="str">
        <f t="shared" si="127"/>
        <v/>
      </c>
      <c r="P694" s="54" t="str">
        <f t="shared" si="128"/>
        <v/>
      </c>
    </row>
    <row r="695" spans="1:16" x14ac:dyDescent="0.3">
      <c r="A695" s="54">
        <v>960</v>
      </c>
      <c r="B695" s="63">
        <v>43921</v>
      </c>
      <c r="C695" s="54" t="s">
        <v>1071</v>
      </c>
      <c r="D695" s="54">
        <v>22</v>
      </c>
      <c r="E695" s="54" t="s">
        <v>1073</v>
      </c>
      <c r="F695" s="54" t="s">
        <v>1060</v>
      </c>
      <c r="G695" s="54" t="s">
        <v>1363</v>
      </c>
      <c r="H695" s="54" t="s">
        <v>77</v>
      </c>
      <c r="I695" s="54"/>
      <c r="J695" s="54" t="str">
        <f t="shared" si="122"/>
        <v>Female</v>
      </c>
      <c r="K695" s="54" t="str">
        <f t="shared" si="123"/>
        <v>Singaporean</v>
      </c>
      <c r="L695" s="54" t="str">
        <f t="shared" si="124"/>
        <v xml:space="preserve">Case 960 is a Imported case, 22 years old female Singapore Citizen  and has been to UK, US . She is currently admitted at NCID . </v>
      </c>
      <c r="M695" s="54">
        <f t="shared" si="125"/>
        <v>960</v>
      </c>
      <c r="N695" s="54" t="str">
        <f t="shared" si="126"/>
        <v xml:space="preserve">UK, US </v>
      </c>
      <c r="O695" s="54" t="str">
        <f t="shared" si="127"/>
        <v/>
      </c>
      <c r="P695" s="54" t="str">
        <f t="shared" si="128"/>
        <v/>
      </c>
    </row>
    <row r="696" spans="1:16" x14ac:dyDescent="0.3">
      <c r="A696" s="54">
        <v>961</v>
      </c>
      <c r="B696" s="63">
        <v>43921</v>
      </c>
      <c r="C696" s="54" t="s">
        <v>1071</v>
      </c>
      <c r="D696" s="54">
        <v>21</v>
      </c>
      <c r="E696" s="54" t="s">
        <v>1073</v>
      </c>
      <c r="F696" s="54" t="s">
        <v>1060</v>
      </c>
      <c r="G696" s="54" t="s">
        <v>1063</v>
      </c>
      <c r="H696" s="54" t="s">
        <v>77</v>
      </c>
      <c r="I696" s="54"/>
      <c r="J696" s="54" t="str">
        <f t="shared" si="122"/>
        <v>Female</v>
      </c>
      <c r="K696" s="54" t="str">
        <f t="shared" si="123"/>
        <v>Singaporean</v>
      </c>
      <c r="L696" s="54" t="str">
        <f t="shared" si="124"/>
        <v xml:space="preserve">Case 961 is a Imported case, 21 years old female Singapore Citizen  and has been to UK . She is currently admitted at NCID . </v>
      </c>
      <c r="M696" s="54">
        <f t="shared" si="125"/>
        <v>961</v>
      </c>
      <c r="N696" s="54" t="str">
        <f t="shared" si="126"/>
        <v xml:space="preserve">UK </v>
      </c>
      <c r="O696" s="54" t="str">
        <f t="shared" si="127"/>
        <v/>
      </c>
      <c r="P696" s="54" t="str">
        <f t="shared" si="128"/>
        <v/>
      </c>
    </row>
    <row r="697" spans="1:16" x14ac:dyDescent="0.3">
      <c r="A697" s="54">
        <v>962</v>
      </c>
      <c r="B697" s="63">
        <v>43921</v>
      </c>
      <c r="C697" s="54" t="s">
        <v>1066</v>
      </c>
      <c r="D697" s="54">
        <v>33</v>
      </c>
      <c r="E697" s="54" t="s">
        <v>1059</v>
      </c>
      <c r="F697" s="54" t="s">
        <v>1306</v>
      </c>
      <c r="G697" s="54" t="s">
        <v>1394</v>
      </c>
      <c r="H697" s="54" t="s">
        <v>77</v>
      </c>
      <c r="I697" s="54"/>
      <c r="J697" s="54" t="str">
        <f t="shared" si="122"/>
        <v>Male</v>
      </c>
      <c r="K697" s="54" t="str">
        <f t="shared" si="123"/>
        <v>China</v>
      </c>
      <c r="L697" s="54" t="str">
        <f t="shared" si="124"/>
        <v xml:space="preserve">Case 962 is a Imported case, 33 years old male China (Singapore Work Pass holder)  and has been to Ethiopia . He is currently admitted at SKH . </v>
      </c>
      <c r="M697" s="54">
        <f t="shared" si="125"/>
        <v>962</v>
      </c>
      <c r="N697" s="54" t="str">
        <f t="shared" si="126"/>
        <v xml:space="preserve">Ethiopia </v>
      </c>
      <c r="O697" s="54" t="str">
        <f t="shared" si="127"/>
        <v/>
      </c>
      <c r="P697" s="54" t="str">
        <f t="shared" si="128"/>
        <v/>
      </c>
    </row>
    <row r="698" spans="1:16" x14ac:dyDescent="0.3">
      <c r="A698" s="54">
        <v>963</v>
      </c>
      <c r="B698" s="63">
        <v>43921</v>
      </c>
      <c r="C698" s="54" t="s">
        <v>1066</v>
      </c>
      <c r="D698" s="54">
        <v>26</v>
      </c>
      <c r="E698" s="54" t="s">
        <v>1059</v>
      </c>
      <c r="F698" s="54" t="s">
        <v>1278</v>
      </c>
      <c r="G698" s="54"/>
      <c r="H698" s="54" t="s">
        <v>1061</v>
      </c>
      <c r="I698" s="54"/>
      <c r="J698" s="54" t="str">
        <f t="shared" si="122"/>
        <v>Male</v>
      </c>
      <c r="K698" s="54" t="str">
        <f t="shared" si="123"/>
        <v>Bangladesh</v>
      </c>
      <c r="L698" s="54" t="str">
        <f t="shared" si="124"/>
        <v xml:space="preserve">Case 963 is a Local unlinked case, 26 years old male Bangladesh (Long Term Pass holder)  and has not been overseas. He is currently admitted at SKH . </v>
      </c>
      <c r="M698" s="54" t="str">
        <f t="shared" si="125"/>
        <v/>
      </c>
      <c r="N698" s="54" t="str">
        <f t="shared" si="126"/>
        <v/>
      </c>
      <c r="O698" s="54" t="str">
        <f t="shared" si="127"/>
        <v/>
      </c>
      <c r="P698" s="54" t="str">
        <f t="shared" si="128"/>
        <v/>
      </c>
    </row>
    <row r="699" spans="1:16" x14ac:dyDescent="0.3">
      <c r="A699" s="54">
        <v>964</v>
      </c>
      <c r="B699" s="63">
        <v>43921</v>
      </c>
      <c r="C699" s="54" t="s">
        <v>1066</v>
      </c>
      <c r="D699" s="54">
        <v>37</v>
      </c>
      <c r="E699" s="54" t="s">
        <v>1059</v>
      </c>
      <c r="F699" s="54" t="s">
        <v>1255</v>
      </c>
      <c r="G699" s="54"/>
      <c r="H699" s="54" t="s">
        <v>1061</v>
      </c>
      <c r="I699" s="54"/>
      <c r="J699" s="54" t="str">
        <f t="shared" si="122"/>
        <v>Male</v>
      </c>
      <c r="K699" s="54" t="str">
        <f t="shared" si="123"/>
        <v>India</v>
      </c>
      <c r="L699" s="54" t="str">
        <f t="shared" si="124"/>
        <v xml:space="preserve">Case 964 is a Local unlinked case, 37 years old male India (Singapore Work Pass holder)  and has not been overseas. He is currently admitted at SKH . </v>
      </c>
      <c r="M699" s="54" t="str">
        <f t="shared" si="125"/>
        <v/>
      </c>
      <c r="N699" s="54" t="str">
        <f t="shared" si="126"/>
        <v/>
      </c>
      <c r="O699" s="54" t="str">
        <f t="shared" si="127"/>
        <v/>
      </c>
      <c r="P699" s="54" t="str">
        <f t="shared" si="128"/>
        <v/>
      </c>
    </row>
    <row r="700" spans="1:16" x14ac:dyDescent="0.3">
      <c r="A700" s="54">
        <v>965</v>
      </c>
      <c r="B700" s="63">
        <v>43921</v>
      </c>
      <c r="C700" s="54" t="s">
        <v>1138</v>
      </c>
      <c r="D700" s="54">
        <v>34</v>
      </c>
      <c r="E700" s="54" t="s">
        <v>1073</v>
      </c>
      <c r="F700" s="54" t="s">
        <v>1156</v>
      </c>
      <c r="G700" s="54"/>
      <c r="H700" s="54" t="s">
        <v>1061</v>
      </c>
      <c r="I700" s="54"/>
      <c r="J700" s="54" t="str">
        <f t="shared" si="122"/>
        <v>Female</v>
      </c>
      <c r="K700" s="54" t="str">
        <f t="shared" si="123"/>
        <v>Malaysia</v>
      </c>
      <c r="L700" s="54" t="str">
        <f t="shared" si="124"/>
        <v xml:space="preserve">Case 965 is a Local unlinked case, 34 years old female Malaysia (Singapore Work Pass holder)  and has not been overseas. She is currently admitted at SGH . </v>
      </c>
      <c r="M700" s="54" t="str">
        <f t="shared" si="125"/>
        <v/>
      </c>
      <c r="N700" s="54" t="str">
        <f t="shared" si="126"/>
        <v/>
      </c>
      <c r="O700" s="54" t="str">
        <f t="shared" si="127"/>
        <v/>
      </c>
      <c r="P700" s="54" t="str">
        <f t="shared" si="128"/>
        <v/>
      </c>
    </row>
    <row r="701" spans="1:16" x14ac:dyDescent="0.3">
      <c r="A701" s="54">
        <v>966</v>
      </c>
      <c r="B701" s="63">
        <v>43921</v>
      </c>
      <c r="C701" s="54" t="s">
        <v>1071</v>
      </c>
      <c r="D701" s="54">
        <v>25</v>
      </c>
      <c r="E701" s="54" t="s">
        <v>1059</v>
      </c>
      <c r="F701" s="54" t="s">
        <v>1278</v>
      </c>
      <c r="G701" s="54"/>
      <c r="H701" s="54" t="s">
        <v>1086</v>
      </c>
      <c r="I701" s="54" t="s">
        <v>1359</v>
      </c>
      <c r="J701" s="54" t="str">
        <f t="shared" si="122"/>
        <v>Male</v>
      </c>
      <c r="K701" s="54" t="str">
        <f t="shared" si="123"/>
        <v>Bangladesh</v>
      </c>
      <c r="L701" s="54" t="str">
        <f t="shared" si="124"/>
        <v>Case 966 is a Local linked  case, 25 years old male Bangladesh (Long Term Pass holder)  and has not been overseas. He is currently admitted at NCID . S11 Dormitory</v>
      </c>
      <c r="M701" s="54" t="str">
        <f t="shared" si="125"/>
        <v/>
      </c>
      <c r="N701" s="54" t="str">
        <f t="shared" si="126"/>
        <v/>
      </c>
      <c r="O701" s="54">
        <f t="shared" si="127"/>
        <v>966</v>
      </c>
      <c r="P701" s="54" t="str">
        <f t="shared" si="128"/>
        <v>S11 Dormitory</v>
      </c>
    </row>
    <row r="702" spans="1:16" x14ac:dyDescent="0.3">
      <c r="A702" s="54">
        <v>967</v>
      </c>
      <c r="B702" s="63">
        <v>43922</v>
      </c>
      <c r="C702" s="54" t="s">
        <v>1071</v>
      </c>
      <c r="D702" s="54">
        <v>47</v>
      </c>
      <c r="E702" s="54" t="s">
        <v>1059</v>
      </c>
      <c r="F702" s="54" t="s">
        <v>1278</v>
      </c>
      <c r="G702" s="54"/>
      <c r="H702" s="54" t="s">
        <v>1061</v>
      </c>
      <c r="I702" s="54"/>
      <c r="J702" s="54" t="str">
        <f t="shared" si="122"/>
        <v>Male</v>
      </c>
      <c r="K702" s="54" t="str">
        <f t="shared" si="123"/>
        <v>Bangladesh</v>
      </c>
      <c r="L702" s="54" t="str">
        <f t="shared" si="124"/>
        <v xml:space="preserve">Case 967 is a Local unlinked case, 47 years old male Bangladesh (Long Term Pass holder)  and has not been overseas. He is currently admitted at NCID . </v>
      </c>
      <c r="M702" s="54" t="str">
        <f t="shared" si="125"/>
        <v/>
      </c>
      <c r="N702" s="54" t="str">
        <f t="shared" si="126"/>
        <v/>
      </c>
      <c r="O702" s="54" t="str">
        <f t="shared" si="127"/>
        <v/>
      </c>
      <c r="P702" s="54" t="str">
        <f t="shared" si="128"/>
        <v/>
      </c>
    </row>
    <row r="703" spans="1:16" x14ac:dyDescent="0.3">
      <c r="A703" s="54">
        <v>968</v>
      </c>
      <c r="B703" s="63">
        <v>43922</v>
      </c>
      <c r="C703" s="54" t="s">
        <v>343</v>
      </c>
      <c r="D703" s="54">
        <v>2</v>
      </c>
      <c r="E703" s="54" t="s">
        <v>1059</v>
      </c>
      <c r="F703" s="54" t="s">
        <v>1357</v>
      </c>
      <c r="G703" s="54" t="s">
        <v>1358</v>
      </c>
      <c r="H703" s="54" t="s">
        <v>1069</v>
      </c>
      <c r="I703" s="54" t="s">
        <v>1395</v>
      </c>
      <c r="J703" s="54" t="str">
        <f t="shared" si="122"/>
        <v>Male</v>
      </c>
      <c r="K703" s="54" t="str">
        <f t="shared" si="123"/>
        <v>Brazil</v>
      </c>
      <c r="L703" s="54" t="str">
        <f t="shared" si="124"/>
        <v>Case 968 is a Imported  case, 2 years old male Brazil (Long Term Pass holder)  and has been to Brazil . He is currently admitted at NUH . Family member of Cases 851 and 969</v>
      </c>
      <c r="M703" s="54">
        <f t="shared" si="125"/>
        <v>968</v>
      </c>
      <c r="N703" s="54" t="str">
        <f t="shared" si="126"/>
        <v xml:space="preserve">Brazil </v>
      </c>
      <c r="O703" s="54">
        <f t="shared" si="127"/>
        <v>968</v>
      </c>
      <c r="P703" s="54" t="str">
        <f t="shared" si="128"/>
        <v>Family member of Cases 851 and 969</v>
      </c>
    </row>
    <row r="704" spans="1:16" x14ac:dyDescent="0.3">
      <c r="A704" s="54">
        <v>969</v>
      </c>
      <c r="B704" s="63">
        <v>43922</v>
      </c>
      <c r="C704" s="54" t="s">
        <v>343</v>
      </c>
      <c r="D704" s="54">
        <v>42</v>
      </c>
      <c r="E704" s="54" t="s">
        <v>1059</v>
      </c>
      <c r="F704" s="54" t="s">
        <v>1396</v>
      </c>
      <c r="G704" s="54" t="s">
        <v>1358</v>
      </c>
      <c r="H704" s="54" t="s">
        <v>1069</v>
      </c>
      <c r="I704" s="54" t="s">
        <v>1397</v>
      </c>
      <c r="J704" s="54" t="str">
        <f t="shared" si="122"/>
        <v>Male</v>
      </c>
      <c r="K704" s="54" t="str">
        <f t="shared" si="123"/>
        <v>Brazil</v>
      </c>
      <c r="L704" s="54" t="str">
        <f t="shared" si="124"/>
        <v>Case 969 is a Imported  case, 42 years old male Brazil (Singapore Work Pass holder)  and has been to Brazil . He is currently admitted at NUH . Family member of Cases 851 and 968</v>
      </c>
      <c r="M704" s="54">
        <f t="shared" si="125"/>
        <v>969</v>
      </c>
      <c r="N704" s="54" t="str">
        <f t="shared" si="126"/>
        <v xml:space="preserve">Brazil </v>
      </c>
      <c r="O704" s="54">
        <f t="shared" si="127"/>
        <v>969</v>
      </c>
      <c r="P704" s="54" t="str">
        <f t="shared" si="128"/>
        <v>Family member of Cases 851 and 968</v>
      </c>
    </row>
    <row r="705" spans="1:16" x14ac:dyDescent="0.3">
      <c r="A705" s="54">
        <v>970</v>
      </c>
      <c r="B705" s="63">
        <v>43922</v>
      </c>
      <c r="C705" s="54" t="s">
        <v>1074</v>
      </c>
      <c r="D705" s="54">
        <v>67</v>
      </c>
      <c r="E705" s="54" t="s">
        <v>1059</v>
      </c>
      <c r="F705" s="54" t="s">
        <v>1060</v>
      </c>
      <c r="G705" s="54" t="s">
        <v>1063</v>
      </c>
      <c r="H705" s="54" t="s">
        <v>77</v>
      </c>
      <c r="I705" s="54"/>
      <c r="J705" s="54" t="str">
        <f t="shared" si="122"/>
        <v>Male</v>
      </c>
      <c r="K705" s="54" t="str">
        <f t="shared" si="123"/>
        <v>Singaporean</v>
      </c>
      <c r="L705" s="54" t="str">
        <f t="shared" si="124"/>
        <v xml:space="preserve">Case 970 is a Imported case, 67 years old male Singapore Citizen  and has been to UK . He is currently admitted at AH . </v>
      </c>
      <c r="M705" s="54">
        <f t="shared" si="125"/>
        <v>970</v>
      </c>
      <c r="N705" s="54" t="str">
        <f t="shared" si="126"/>
        <v xml:space="preserve">UK </v>
      </c>
      <c r="O705" s="54" t="str">
        <f t="shared" si="127"/>
        <v/>
      </c>
      <c r="P705" s="54" t="str">
        <f t="shared" si="128"/>
        <v/>
      </c>
    </row>
    <row r="706" spans="1:16" x14ac:dyDescent="0.3">
      <c r="A706" s="54">
        <v>971</v>
      </c>
      <c r="B706" s="63">
        <v>43922</v>
      </c>
      <c r="C706" s="54" t="s">
        <v>1074</v>
      </c>
      <c r="D706" s="54">
        <v>58</v>
      </c>
      <c r="E706" s="54" t="s">
        <v>1073</v>
      </c>
      <c r="F706" s="54" t="s">
        <v>1060</v>
      </c>
      <c r="G706" s="54"/>
      <c r="H706" s="54" t="s">
        <v>1061</v>
      </c>
      <c r="I706" s="54"/>
      <c r="J706" s="54" t="str">
        <f t="shared" si="122"/>
        <v>Female</v>
      </c>
      <c r="K706" s="54" t="str">
        <f t="shared" si="123"/>
        <v>Singaporean</v>
      </c>
      <c r="L706" s="54" t="str">
        <f t="shared" si="124"/>
        <v xml:space="preserve">Case 971 is a Local unlinked case, 58 years old female Singapore Citizen  and has not been overseas. She is currently admitted at AH . </v>
      </c>
      <c r="M706" s="54" t="str">
        <f t="shared" si="125"/>
        <v/>
      </c>
      <c r="N706" s="54" t="str">
        <f t="shared" si="126"/>
        <v/>
      </c>
      <c r="O706" s="54" t="str">
        <f t="shared" si="127"/>
        <v/>
      </c>
      <c r="P706" s="54" t="str">
        <f t="shared" si="128"/>
        <v/>
      </c>
    </row>
    <row r="707" spans="1:16" x14ac:dyDescent="0.3">
      <c r="A707" s="54">
        <v>972</v>
      </c>
      <c r="B707" s="63">
        <v>43922</v>
      </c>
      <c r="C707" s="54" t="s">
        <v>1071</v>
      </c>
      <c r="D707" s="54">
        <v>28</v>
      </c>
      <c r="E707" s="54" t="s">
        <v>1059</v>
      </c>
      <c r="F707" s="54" t="s">
        <v>1278</v>
      </c>
      <c r="G707" s="54"/>
      <c r="H707" s="54" t="s">
        <v>1086</v>
      </c>
      <c r="I707" s="54" t="s">
        <v>1398</v>
      </c>
      <c r="J707" s="54" t="str">
        <f t="shared" si="122"/>
        <v>Male</v>
      </c>
      <c r="K707" s="54" t="str">
        <f t="shared" si="123"/>
        <v>Bangladesh</v>
      </c>
      <c r="L707" s="54" t="str">
        <f t="shared" si="124"/>
        <v>Case 972 is a Local linked  case, 28 years old male Bangladesh (Long Term Pass holder)  and has not been overseas. He is currently admitted at NCID . Dormitory at 55 Sungei Kadut Loop</v>
      </c>
      <c r="M707" s="54" t="str">
        <f t="shared" si="125"/>
        <v/>
      </c>
      <c r="N707" s="54" t="str">
        <f t="shared" si="126"/>
        <v/>
      </c>
      <c r="O707" s="54">
        <f t="shared" si="127"/>
        <v>972</v>
      </c>
      <c r="P707" s="54" t="str">
        <f t="shared" si="128"/>
        <v>Dormitory at 55 Sungei Kadut Loop</v>
      </c>
    </row>
    <row r="708" spans="1:16" x14ac:dyDescent="0.3">
      <c r="A708" s="54">
        <v>973</v>
      </c>
      <c r="B708" s="63">
        <v>43922</v>
      </c>
      <c r="C708" s="54" t="s">
        <v>1071</v>
      </c>
      <c r="D708" s="54">
        <v>44</v>
      </c>
      <c r="E708" s="54" t="s">
        <v>1059</v>
      </c>
      <c r="F708" s="54" t="s">
        <v>1376</v>
      </c>
      <c r="G708" s="54" t="s">
        <v>1275</v>
      </c>
      <c r="H708" s="54" t="s">
        <v>1086</v>
      </c>
      <c r="I708" s="54" t="s">
        <v>1399</v>
      </c>
      <c r="J708" s="54" t="str">
        <f t="shared" si="122"/>
        <v>Male</v>
      </c>
      <c r="K708" s="54" t="str">
        <f t="shared" si="123"/>
        <v>Sri Lanka</v>
      </c>
      <c r="L708" s="54" t="str">
        <f t="shared" si="124"/>
        <v>Case 973 is a Local linked  case, 44 years old male Sri Lanka (Singapore Work Pass holder)  and has been to Sri Lanka . He is currently admitted at NCID . Lee Ah Mooi Home</v>
      </c>
      <c r="M708" s="54">
        <f t="shared" si="125"/>
        <v>973</v>
      </c>
      <c r="N708" s="54" t="str">
        <f t="shared" si="126"/>
        <v xml:space="preserve">Sri Lanka </v>
      </c>
      <c r="O708" s="54">
        <f t="shared" si="127"/>
        <v>973</v>
      </c>
      <c r="P708" s="54" t="str">
        <f t="shared" si="128"/>
        <v>Lee Ah Mooi Home</v>
      </c>
    </row>
    <row r="709" spans="1:16" x14ac:dyDescent="0.3">
      <c r="A709" s="54">
        <v>974</v>
      </c>
      <c r="B709" s="63">
        <v>43922</v>
      </c>
      <c r="C709" s="54" t="s">
        <v>1071</v>
      </c>
      <c r="D709" s="54">
        <v>30</v>
      </c>
      <c r="E709" s="54" t="s">
        <v>1059</v>
      </c>
      <c r="F709" s="54" t="s">
        <v>1360</v>
      </c>
      <c r="G709" s="54"/>
      <c r="H709" s="54" t="s">
        <v>1086</v>
      </c>
      <c r="I709" s="54" t="s">
        <v>1398</v>
      </c>
      <c r="J709" s="54" t="str">
        <f t="shared" si="122"/>
        <v>Male</v>
      </c>
      <c r="K709" s="54" t="str">
        <f t="shared" si="123"/>
        <v>Bangladesh</v>
      </c>
      <c r="L709" s="54" t="str">
        <f t="shared" si="124"/>
        <v>Case 974 is a Local linked  case, 30 years old male Bangladesh (Singapore Work Pass holder)  and has not been overseas. He is currently admitted at NCID . Dormitory at 55 Sungei Kadut Loop</v>
      </c>
      <c r="M709" s="54" t="str">
        <f t="shared" si="125"/>
        <v/>
      </c>
      <c r="N709" s="54" t="str">
        <f t="shared" si="126"/>
        <v/>
      </c>
      <c r="O709" s="54">
        <f t="shared" si="127"/>
        <v>974</v>
      </c>
      <c r="P709" s="54" t="str">
        <f t="shared" si="128"/>
        <v>Dormitory at 55 Sungei Kadut Loop</v>
      </c>
    </row>
    <row r="710" spans="1:16" x14ac:dyDescent="0.3">
      <c r="A710" s="54">
        <v>975</v>
      </c>
      <c r="B710" s="63">
        <v>43922</v>
      </c>
      <c r="C710" s="54" t="s">
        <v>1071</v>
      </c>
      <c r="D710" s="54">
        <v>31</v>
      </c>
      <c r="E710" s="54" t="s">
        <v>1059</v>
      </c>
      <c r="F710" s="54" t="s">
        <v>1060</v>
      </c>
      <c r="G710" s="54"/>
      <c r="H710" s="54" t="s">
        <v>1086</v>
      </c>
      <c r="I710" s="54" t="s">
        <v>1400</v>
      </c>
      <c r="J710" s="54" t="str">
        <f t="shared" si="122"/>
        <v>Male</v>
      </c>
      <c r="K710" s="54" t="str">
        <f t="shared" si="123"/>
        <v>Singaporean</v>
      </c>
      <c r="L710" s="54" t="str">
        <f t="shared" si="124"/>
        <v>Case 975 is a Local linked  case, 31 years old male Singapore Citizen  and has not been overseas. He is currently admitted at NCID . Family member of Cases 702, 703 and 682</v>
      </c>
      <c r="M710" s="54" t="str">
        <f t="shared" si="125"/>
        <v/>
      </c>
      <c r="N710" s="54" t="str">
        <f t="shared" si="126"/>
        <v/>
      </c>
      <c r="O710" s="54">
        <f t="shared" si="127"/>
        <v>975</v>
      </c>
      <c r="P710" s="54" t="str">
        <f t="shared" si="128"/>
        <v>Family member of Cases 702, 703 and 682</v>
      </c>
    </row>
    <row r="711" spans="1:16" x14ac:dyDescent="0.3">
      <c r="A711" s="54">
        <v>976</v>
      </c>
      <c r="B711" s="63">
        <v>43922</v>
      </c>
      <c r="C711" s="54" t="s">
        <v>1071</v>
      </c>
      <c r="D711" s="54">
        <v>42</v>
      </c>
      <c r="E711" s="54" t="s">
        <v>1073</v>
      </c>
      <c r="F711" s="54" t="s">
        <v>1255</v>
      </c>
      <c r="G711" s="54"/>
      <c r="H711" s="54" t="s">
        <v>1086</v>
      </c>
      <c r="I711" s="54" t="s">
        <v>1399</v>
      </c>
      <c r="J711" s="54" t="str">
        <f t="shared" si="122"/>
        <v>Female</v>
      </c>
      <c r="K711" s="54" t="str">
        <f t="shared" si="123"/>
        <v>India</v>
      </c>
      <c r="L711" s="54" t="str">
        <f t="shared" si="124"/>
        <v>Case 976 is a Local linked  case, 42 years old female India (Singapore Work Pass holder)  and has not been overseas. She is currently admitted at NCID . Lee Ah Mooi Home</v>
      </c>
      <c r="M711" s="54" t="str">
        <f t="shared" si="125"/>
        <v/>
      </c>
      <c r="N711" s="54" t="str">
        <f t="shared" si="126"/>
        <v/>
      </c>
      <c r="O711" s="54">
        <f t="shared" si="127"/>
        <v>976</v>
      </c>
      <c r="P711" s="54" t="str">
        <f t="shared" si="128"/>
        <v>Lee Ah Mooi Home</v>
      </c>
    </row>
    <row r="712" spans="1:16" x14ac:dyDescent="0.3">
      <c r="A712" s="54">
        <v>977</v>
      </c>
      <c r="B712" s="63">
        <v>43922</v>
      </c>
      <c r="C712" s="54" t="s">
        <v>1071</v>
      </c>
      <c r="D712" s="54">
        <v>28</v>
      </c>
      <c r="E712" s="54" t="s">
        <v>1059</v>
      </c>
      <c r="F712" s="54" t="s">
        <v>1278</v>
      </c>
      <c r="G712" s="54"/>
      <c r="H712" s="54" t="s">
        <v>1086</v>
      </c>
      <c r="I712" s="54" t="s">
        <v>1382</v>
      </c>
      <c r="J712" s="54" t="str">
        <f t="shared" si="122"/>
        <v>Male</v>
      </c>
      <c r="K712" s="54" t="str">
        <f t="shared" si="123"/>
        <v>Bangladesh</v>
      </c>
      <c r="L712" s="54" t="str">
        <f t="shared" si="124"/>
        <v>Case 977 is a Local linked  case, 28 years old male Bangladesh (Long Term Pass holder)  and has not been overseas. He is currently admitted at NCID . Westlite Toh Guan</v>
      </c>
      <c r="M712" s="54" t="str">
        <f t="shared" si="125"/>
        <v/>
      </c>
      <c r="N712" s="54" t="str">
        <f t="shared" si="126"/>
        <v/>
      </c>
      <c r="O712" s="54">
        <f t="shared" si="127"/>
        <v>977</v>
      </c>
      <c r="P712" s="54" t="str">
        <f t="shared" si="128"/>
        <v>Westlite Toh Guan</v>
      </c>
    </row>
    <row r="713" spans="1:16" x14ac:dyDescent="0.3">
      <c r="A713" s="54">
        <v>978</v>
      </c>
      <c r="B713" s="63">
        <v>43922</v>
      </c>
      <c r="C713" s="54" t="s">
        <v>1071</v>
      </c>
      <c r="D713" s="54">
        <v>26</v>
      </c>
      <c r="E713" s="54" t="s">
        <v>1073</v>
      </c>
      <c r="F713" s="54" t="s">
        <v>1060</v>
      </c>
      <c r="G713" s="54"/>
      <c r="H713" s="54" t="s">
        <v>1061</v>
      </c>
      <c r="I713" s="54"/>
      <c r="J713" s="54" t="str">
        <f t="shared" si="122"/>
        <v>Female</v>
      </c>
      <c r="K713" s="54" t="str">
        <f t="shared" si="123"/>
        <v>Singaporean</v>
      </c>
      <c r="L713" s="54" t="str">
        <f t="shared" si="124"/>
        <v xml:space="preserve">Case 978 is a Local unlinked case, 26 years old female Singapore Citizen  and has not been overseas. She is currently admitted at NCID . </v>
      </c>
      <c r="M713" s="54" t="str">
        <f t="shared" si="125"/>
        <v/>
      </c>
      <c r="N713" s="54" t="str">
        <f t="shared" si="126"/>
        <v/>
      </c>
      <c r="O713" s="54" t="str">
        <f t="shared" si="127"/>
        <v/>
      </c>
      <c r="P713" s="54" t="str">
        <f t="shared" si="128"/>
        <v/>
      </c>
    </row>
    <row r="714" spans="1:16" x14ac:dyDescent="0.3">
      <c r="A714" s="54">
        <v>979</v>
      </c>
      <c r="B714" s="63">
        <v>43922</v>
      </c>
      <c r="C714" s="54" t="s">
        <v>1071</v>
      </c>
      <c r="D714" s="54">
        <v>28</v>
      </c>
      <c r="E714" s="54" t="s">
        <v>1059</v>
      </c>
      <c r="F714" s="54" t="s">
        <v>1255</v>
      </c>
      <c r="G714" s="54"/>
      <c r="H714" s="54" t="s">
        <v>1401</v>
      </c>
      <c r="I714" s="54"/>
      <c r="J714" s="54" t="str">
        <f t="shared" si="122"/>
        <v>Male</v>
      </c>
      <c r="K714" s="54" t="str">
        <f t="shared" si="123"/>
        <v>India</v>
      </c>
      <c r="L714" s="54" t="str">
        <f t="shared" si="124"/>
        <v xml:space="preserve">Case 979 is a Local linked S11 Dormitory case, 28 years old male India (Singapore Work Pass holder)  and has not been overseas. He is currently admitted at NCID . </v>
      </c>
      <c r="M714" s="54" t="str">
        <f t="shared" si="125"/>
        <v/>
      </c>
      <c r="N714" s="54" t="str">
        <f t="shared" si="126"/>
        <v/>
      </c>
      <c r="O714" s="54" t="str">
        <f t="shared" si="127"/>
        <v/>
      </c>
      <c r="P714" s="54" t="str">
        <f t="shared" si="128"/>
        <v/>
      </c>
    </row>
    <row r="715" spans="1:16" x14ac:dyDescent="0.3">
      <c r="A715" s="54">
        <v>980</v>
      </c>
      <c r="B715" s="63">
        <v>43922</v>
      </c>
      <c r="C715" s="54" t="s">
        <v>1071</v>
      </c>
      <c r="D715" s="54">
        <v>49</v>
      </c>
      <c r="E715" s="54" t="s">
        <v>1073</v>
      </c>
      <c r="F715" s="54" t="s">
        <v>1060</v>
      </c>
      <c r="G715" s="54"/>
      <c r="H715" s="54" t="s">
        <v>1086</v>
      </c>
      <c r="I715" s="54" t="s">
        <v>1356</v>
      </c>
      <c r="J715" s="54" t="str">
        <f t="shared" si="122"/>
        <v>Female</v>
      </c>
      <c r="K715" s="54" t="str">
        <f t="shared" si="123"/>
        <v>Singaporean</v>
      </c>
      <c r="L715" s="54" t="str">
        <f t="shared" si="124"/>
        <v>Case 980 is a Local linked  case, 49 years old female Singapore Citizen  and has not been overseas. She is currently admitted at NCID . Wilby Residences</v>
      </c>
      <c r="M715" s="54" t="str">
        <f t="shared" si="125"/>
        <v/>
      </c>
      <c r="N715" s="54" t="str">
        <f t="shared" si="126"/>
        <v/>
      </c>
      <c r="O715" s="54">
        <f t="shared" si="127"/>
        <v>980</v>
      </c>
      <c r="P715" s="54" t="str">
        <f t="shared" si="128"/>
        <v>Wilby Residences</v>
      </c>
    </row>
    <row r="716" spans="1:16" x14ac:dyDescent="0.3">
      <c r="A716" s="54">
        <v>981</v>
      </c>
      <c r="B716" s="63">
        <v>43922</v>
      </c>
      <c r="C716" s="54" t="s">
        <v>1071</v>
      </c>
      <c r="D716" s="54">
        <v>80</v>
      </c>
      <c r="E716" s="54" t="s">
        <v>1059</v>
      </c>
      <c r="F716" s="54" t="s">
        <v>1060</v>
      </c>
      <c r="G716" s="54"/>
      <c r="H716" s="54" t="s">
        <v>1061</v>
      </c>
      <c r="I716" s="54"/>
      <c r="J716" s="54" t="str">
        <f t="shared" si="122"/>
        <v>Male</v>
      </c>
      <c r="K716" s="54" t="str">
        <f t="shared" si="123"/>
        <v>Singaporean</v>
      </c>
      <c r="L716" s="54" t="str">
        <f t="shared" si="124"/>
        <v xml:space="preserve">Case 981 is a Local unlinked case, 80 years old male Singapore Citizen  and has not been overseas. He is currently admitted at NCID . </v>
      </c>
      <c r="M716" s="54" t="str">
        <f t="shared" si="125"/>
        <v/>
      </c>
      <c r="N716" s="54" t="str">
        <f t="shared" si="126"/>
        <v/>
      </c>
      <c r="O716" s="54" t="str">
        <f t="shared" si="127"/>
        <v/>
      </c>
      <c r="P716" s="54" t="str">
        <f t="shared" si="128"/>
        <v/>
      </c>
    </row>
    <row r="717" spans="1:16" x14ac:dyDescent="0.3">
      <c r="A717" s="54">
        <v>982</v>
      </c>
      <c r="B717" s="63">
        <v>43922</v>
      </c>
      <c r="C717" s="54" t="s">
        <v>1071</v>
      </c>
      <c r="D717" s="54">
        <v>40</v>
      </c>
      <c r="E717" s="54" t="s">
        <v>1059</v>
      </c>
      <c r="F717" s="54" t="s">
        <v>1194</v>
      </c>
      <c r="G717" s="54"/>
      <c r="H717" s="54" t="s">
        <v>1086</v>
      </c>
      <c r="I717" s="54" t="s">
        <v>1359</v>
      </c>
      <c r="J717" s="54" t="str">
        <f t="shared" si="122"/>
        <v>Male</v>
      </c>
      <c r="K717" s="54" t="str">
        <f t="shared" si="123"/>
        <v>India</v>
      </c>
      <c r="L717" s="54" t="str">
        <f t="shared" si="124"/>
        <v>Case 982 is a Local linked  case, 40 years old male India (Long Term Pass holder)  and has not been overseas. He is currently admitted at NCID . S11 Dormitory</v>
      </c>
      <c r="M717" s="54" t="str">
        <f t="shared" si="125"/>
        <v/>
      </c>
      <c r="N717" s="54" t="str">
        <f t="shared" si="126"/>
        <v/>
      </c>
      <c r="O717" s="54">
        <f t="shared" si="127"/>
        <v>982</v>
      </c>
      <c r="P717" s="54" t="str">
        <f t="shared" si="128"/>
        <v>S11 Dormitory</v>
      </c>
    </row>
    <row r="718" spans="1:16" x14ac:dyDescent="0.3">
      <c r="A718" s="54">
        <v>983</v>
      </c>
      <c r="B718" s="63">
        <v>43922</v>
      </c>
      <c r="C718" s="54" t="s">
        <v>1071</v>
      </c>
      <c r="D718" s="54">
        <v>102</v>
      </c>
      <c r="E718" s="54" t="s">
        <v>1073</v>
      </c>
      <c r="F718" s="54" t="s">
        <v>1060</v>
      </c>
      <c r="G718" s="54"/>
      <c r="H718" s="54" t="s">
        <v>1086</v>
      </c>
      <c r="I718" s="54" t="s">
        <v>1399</v>
      </c>
      <c r="J718" s="54" t="str">
        <f t="shared" si="122"/>
        <v>Female</v>
      </c>
      <c r="K718" s="54" t="str">
        <f t="shared" si="123"/>
        <v>Singaporean</v>
      </c>
      <c r="L718" s="54" t="str">
        <f t="shared" si="124"/>
        <v>Case 983 is a Local linked  case, 102 years old female Singapore Citizen  and has not been overseas. She is currently admitted at NCID . Lee Ah Mooi Home</v>
      </c>
      <c r="M718" s="54" t="str">
        <f t="shared" si="125"/>
        <v/>
      </c>
      <c r="N718" s="54" t="str">
        <f t="shared" si="126"/>
        <v/>
      </c>
      <c r="O718" s="54">
        <f t="shared" si="127"/>
        <v>983</v>
      </c>
      <c r="P718" s="54" t="str">
        <f t="shared" si="128"/>
        <v>Lee Ah Mooi Home</v>
      </c>
    </row>
    <row r="719" spans="1:16" x14ac:dyDescent="0.3">
      <c r="A719" s="54">
        <v>984</v>
      </c>
      <c r="B719" s="63">
        <v>43922</v>
      </c>
      <c r="C719" s="54" t="s">
        <v>1071</v>
      </c>
      <c r="D719" s="54">
        <v>88</v>
      </c>
      <c r="E719" s="54" t="s">
        <v>1073</v>
      </c>
      <c r="F719" s="54" t="s">
        <v>1060</v>
      </c>
      <c r="G719" s="54"/>
      <c r="H719" s="54" t="s">
        <v>1086</v>
      </c>
      <c r="I719" s="54" t="s">
        <v>1399</v>
      </c>
      <c r="J719" s="54" t="str">
        <f t="shared" si="122"/>
        <v>Female</v>
      </c>
      <c r="K719" s="54" t="str">
        <f t="shared" si="123"/>
        <v>Singaporean</v>
      </c>
      <c r="L719" s="54" t="str">
        <f t="shared" si="124"/>
        <v>Case 984 is a Local linked  case, 88 years old female Singapore Citizen  and has not been overseas. She is currently admitted at NCID . Lee Ah Mooi Home</v>
      </c>
      <c r="M719" s="54" t="str">
        <f t="shared" si="125"/>
        <v/>
      </c>
      <c r="N719" s="54" t="str">
        <f t="shared" si="126"/>
        <v/>
      </c>
      <c r="O719" s="54">
        <f t="shared" si="127"/>
        <v>984</v>
      </c>
      <c r="P719" s="54" t="str">
        <f t="shared" si="128"/>
        <v>Lee Ah Mooi Home</v>
      </c>
    </row>
    <row r="720" spans="1:16" x14ac:dyDescent="0.3">
      <c r="A720" s="54">
        <v>985</v>
      </c>
      <c r="B720" s="63">
        <v>43922</v>
      </c>
      <c r="C720" s="54" t="s">
        <v>1071</v>
      </c>
      <c r="D720" s="54">
        <v>70</v>
      </c>
      <c r="E720" s="54" t="s">
        <v>1073</v>
      </c>
      <c r="F720" s="54" t="s">
        <v>1060</v>
      </c>
      <c r="G720" s="54"/>
      <c r="H720" s="54" t="s">
        <v>1086</v>
      </c>
      <c r="I720" s="54" t="s">
        <v>1399</v>
      </c>
      <c r="J720" s="54" t="str">
        <f t="shared" si="122"/>
        <v>Female</v>
      </c>
      <c r="K720" s="54" t="str">
        <f t="shared" si="123"/>
        <v>Singaporean</v>
      </c>
      <c r="L720" s="54" t="str">
        <f t="shared" si="124"/>
        <v>Case 985 is a Local linked  case, 70 years old female Singapore Citizen  and has not been overseas. She is currently admitted at NCID . Lee Ah Mooi Home</v>
      </c>
      <c r="M720" s="54" t="str">
        <f t="shared" si="125"/>
        <v/>
      </c>
      <c r="N720" s="54" t="str">
        <f t="shared" si="126"/>
        <v/>
      </c>
      <c r="O720" s="54">
        <f t="shared" si="127"/>
        <v>985</v>
      </c>
      <c r="P720" s="54" t="str">
        <f t="shared" si="128"/>
        <v>Lee Ah Mooi Home</v>
      </c>
    </row>
    <row r="721" spans="1:16" x14ac:dyDescent="0.3">
      <c r="A721" s="54">
        <v>986</v>
      </c>
      <c r="B721" s="63">
        <v>43922</v>
      </c>
      <c r="C721" s="54" t="s">
        <v>1071</v>
      </c>
      <c r="D721" s="54">
        <v>88</v>
      </c>
      <c r="E721" s="54" t="s">
        <v>1073</v>
      </c>
      <c r="F721" s="54" t="s">
        <v>1060</v>
      </c>
      <c r="G721" s="54"/>
      <c r="H721" s="54" t="s">
        <v>1086</v>
      </c>
      <c r="I721" s="54" t="s">
        <v>1399</v>
      </c>
      <c r="J721" s="54" t="str">
        <f t="shared" si="122"/>
        <v>Female</v>
      </c>
      <c r="K721" s="54" t="str">
        <f t="shared" si="123"/>
        <v>Singaporean</v>
      </c>
      <c r="L721" s="54" t="str">
        <f t="shared" si="124"/>
        <v>Case 986 is a Local linked  case, 88 years old female Singapore Citizen  and has not been overseas. She is currently admitted at NCID . Lee Ah Mooi Home</v>
      </c>
      <c r="M721" s="54" t="str">
        <f t="shared" si="125"/>
        <v/>
      </c>
      <c r="N721" s="54" t="str">
        <f t="shared" si="126"/>
        <v/>
      </c>
      <c r="O721" s="54">
        <f t="shared" si="127"/>
        <v>986</v>
      </c>
      <c r="P721" s="54" t="str">
        <f t="shared" si="128"/>
        <v>Lee Ah Mooi Home</v>
      </c>
    </row>
    <row r="722" spans="1:16" x14ac:dyDescent="0.3">
      <c r="A722" s="54">
        <v>987</v>
      </c>
      <c r="B722" s="63">
        <v>43922</v>
      </c>
      <c r="C722" s="54" t="s">
        <v>1071</v>
      </c>
      <c r="D722" s="54">
        <v>86</v>
      </c>
      <c r="E722" s="54" t="s">
        <v>1073</v>
      </c>
      <c r="F722" s="54" t="s">
        <v>1060</v>
      </c>
      <c r="G722" s="54"/>
      <c r="H722" s="54" t="s">
        <v>1086</v>
      </c>
      <c r="I722" s="54" t="s">
        <v>1399</v>
      </c>
      <c r="J722" s="54" t="str">
        <f t="shared" si="122"/>
        <v>Female</v>
      </c>
      <c r="K722" s="54" t="str">
        <f t="shared" si="123"/>
        <v>Singaporean</v>
      </c>
      <c r="L722" s="54" t="str">
        <f t="shared" si="124"/>
        <v>Case 987 is a Local linked  case, 86 years old female Singapore Citizen  and has not been overseas. She is currently admitted at NCID . Lee Ah Mooi Home</v>
      </c>
      <c r="M722" s="54" t="str">
        <f t="shared" si="125"/>
        <v/>
      </c>
      <c r="N722" s="54" t="str">
        <f t="shared" si="126"/>
        <v/>
      </c>
      <c r="O722" s="54">
        <f t="shared" si="127"/>
        <v>987</v>
      </c>
      <c r="P722" s="54" t="str">
        <f t="shared" si="128"/>
        <v>Lee Ah Mooi Home</v>
      </c>
    </row>
    <row r="723" spans="1:16" x14ac:dyDescent="0.3">
      <c r="A723" s="54">
        <v>988</v>
      </c>
      <c r="B723" s="63">
        <v>43922</v>
      </c>
      <c r="C723" s="54" t="s">
        <v>1071</v>
      </c>
      <c r="D723" s="54">
        <v>85</v>
      </c>
      <c r="E723" s="54" t="s">
        <v>1073</v>
      </c>
      <c r="F723" s="54" t="s">
        <v>1060</v>
      </c>
      <c r="G723" s="54"/>
      <c r="H723" s="54" t="s">
        <v>1086</v>
      </c>
      <c r="I723" s="54" t="s">
        <v>1399</v>
      </c>
      <c r="J723" s="54" t="str">
        <f t="shared" si="122"/>
        <v>Female</v>
      </c>
      <c r="K723" s="54" t="str">
        <f t="shared" si="123"/>
        <v>Singaporean</v>
      </c>
      <c r="L723" s="54" t="str">
        <f t="shared" si="124"/>
        <v>Case 988 is a Local linked  case, 85 years old female Singapore Citizen  and has not been overseas. She is currently admitted at NCID . Lee Ah Mooi Home</v>
      </c>
      <c r="M723" s="54" t="str">
        <f t="shared" si="125"/>
        <v/>
      </c>
      <c r="N723" s="54" t="str">
        <f t="shared" si="126"/>
        <v/>
      </c>
      <c r="O723" s="54">
        <f t="shared" si="127"/>
        <v>988</v>
      </c>
      <c r="P723" s="54" t="str">
        <f t="shared" si="128"/>
        <v>Lee Ah Mooi Home</v>
      </c>
    </row>
    <row r="724" spans="1:16" x14ac:dyDescent="0.3">
      <c r="A724" s="54">
        <v>989</v>
      </c>
      <c r="B724" s="63">
        <v>43922</v>
      </c>
      <c r="C724" s="54" t="s">
        <v>1071</v>
      </c>
      <c r="D724" s="54">
        <v>52</v>
      </c>
      <c r="E724" s="54" t="s">
        <v>1073</v>
      </c>
      <c r="F724" s="54" t="s">
        <v>1060</v>
      </c>
      <c r="G724" s="54"/>
      <c r="H724" s="54" t="s">
        <v>1086</v>
      </c>
      <c r="I724" s="54" t="s">
        <v>1399</v>
      </c>
      <c r="J724" s="54" t="str">
        <f t="shared" si="122"/>
        <v>Female</v>
      </c>
      <c r="K724" s="54" t="str">
        <f t="shared" si="123"/>
        <v>Singaporean</v>
      </c>
      <c r="L724" s="54" t="str">
        <f t="shared" si="124"/>
        <v>Case 989 is a Local linked  case, 52 years old female Singapore Citizen  and has not been overseas. She is currently admitted at NCID . Lee Ah Mooi Home</v>
      </c>
      <c r="M724" s="54" t="str">
        <f t="shared" si="125"/>
        <v/>
      </c>
      <c r="N724" s="54" t="str">
        <f t="shared" si="126"/>
        <v/>
      </c>
      <c r="O724" s="54">
        <f t="shared" si="127"/>
        <v>989</v>
      </c>
      <c r="P724" s="54" t="str">
        <f t="shared" si="128"/>
        <v>Lee Ah Mooi Home</v>
      </c>
    </row>
    <row r="725" spans="1:16" x14ac:dyDescent="0.3">
      <c r="A725" s="54">
        <v>990</v>
      </c>
      <c r="B725" s="63">
        <v>43922</v>
      </c>
      <c r="C725" s="54" t="s">
        <v>1071</v>
      </c>
      <c r="D725" s="54">
        <v>86</v>
      </c>
      <c r="E725" s="54" t="s">
        <v>1073</v>
      </c>
      <c r="F725" s="54" t="s">
        <v>1060</v>
      </c>
      <c r="G725" s="54"/>
      <c r="H725" s="54" t="s">
        <v>1086</v>
      </c>
      <c r="I725" s="54" t="s">
        <v>1399</v>
      </c>
      <c r="J725" s="54" t="str">
        <f t="shared" si="122"/>
        <v>Female</v>
      </c>
      <c r="K725" s="54" t="str">
        <f t="shared" si="123"/>
        <v>Singaporean</v>
      </c>
      <c r="L725" s="54" t="str">
        <f t="shared" si="124"/>
        <v>Case 990 is a Local linked  case, 86 years old female Singapore Citizen  and has not been overseas. She is currently admitted at NCID . Lee Ah Mooi Home</v>
      </c>
      <c r="M725" s="54" t="str">
        <f t="shared" si="125"/>
        <v/>
      </c>
      <c r="N725" s="54" t="str">
        <f t="shared" si="126"/>
        <v/>
      </c>
      <c r="O725" s="54">
        <f t="shared" si="127"/>
        <v>990</v>
      </c>
      <c r="P725" s="54" t="str">
        <f t="shared" si="128"/>
        <v>Lee Ah Mooi Home</v>
      </c>
    </row>
    <row r="726" spans="1:16" x14ac:dyDescent="0.3">
      <c r="A726" s="54">
        <v>991</v>
      </c>
      <c r="B726" s="63">
        <v>43922</v>
      </c>
      <c r="C726" s="54" t="s">
        <v>343</v>
      </c>
      <c r="D726" s="54">
        <v>7</v>
      </c>
      <c r="E726" s="54" t="s">
        <v>1059</v>
      </c>
      <c r="F726" s="54" t="s">
        <v>1060</v>
      </c>
      <c r="G726" s="54"/>
      <c r="H726" s="54" t="s">
        <v>1086</v>
      </c>
      <c r="I726" s="54" t="s">
        <v>1402</v>
      </c>
      <c r="J726" s="54" t="str">
        <f t="shared" ref="J726:J735" si="129">IF(TRIM(E726)="M","Male",IF(TRIM(E726)="F","Female",""))</f>
        <v>Male</v>
      </c>
      <c r="K726" s="54" t="str">
        <f t="shared" ref="K726:K735" si="130">IF(LEFT(F726,9)="Singapore","Singaporean",IF(ISERR(FIND("(",F726)),F726,LEFT(F726,FIND("(",F726)-2)))</f>
        <v>Singaporean</v>
      </c>
      <c r="L726" s="54" t="str">
        <f t="shared" ref="L726:L735" si="131">"Case "&amp;A726&amp;" is a "&amp;H726&amp;" case, "&amp;D726&amp;" years old "&amp;LOWER(J726)&amp;" "&amp;F726 &amp;IF(G726=""," and has not been overseas"," and has been to "&amp;G726)&amp;". "&amp;IF(TRIM(E726)="F","She",IF(TRIM(E726)="M","He"))&amp;" is currently admitted at "&amp;C726&amp;". "&amp;I726</f>
        <v>Case 991 is a Local linked  case, 7 years old male Singapore Citizen  and has not been overseas. He is currently admitted at NUH . Family member of Cases 886 and 992</v>
      </c>
      <c r="M726" s="54" t="str">
        <f t="shared" ref="M726:M735" si="132">IF(G726="","",A726)</f>
        <v/>
      </c>
      <c r="N726" s="54" t="str">
        <f t="shared" ref="N726:N735" si="133">IF(G726="","",G726)</f>
        <v/>
      </c>
      <c r="O726" s="54">
        <f t="shared" ref="O726:O735" si="134">IF(I726="","",A726)</f>
        <v>991</v>
      </c>
      <c r="P726" s="54" t="str">
        <f t="shared" ref="P726:P735" si="135">IF(I726="","",I726)</f>
        <v>Family member of Cases 886 and 992</v>
      </c>
    </row>
    <row r="727" spans="1:16" x14ac:dyDescent="0.3">
      <c r="A727" s="54">
        <v>992</v>
      </c>
      <c r="B727" s="63">
        <v>43922</v>
      </c>
      <c r="C727" s="54" t="s">
        <v>343</v>
      </c>
      <c r="D727" s="54">
        <v>34</v>
      </c>
      <c r="E727" s="54" t="s">
        <v>1073</v>
      </c>
      <c r="F727" s="54" t="s">
        <v>1072</v>
      </c>
      <c r="G727" s="54"/>
      <c r="H727" s="54" t="s">
        <v>1086</v>
      </c>
      <c r="I727" s="54" t="s">
        <v>1403</v>
      </c>
      <c r="J727" s="54" t="str">
        <f t="shared" si="129"/>
        <v>Female</v>
      </c>
      <c r="K727" s="54" t="str">
        <f t="shared" si="130"/>
        <v>Singaporean</v>
      </c>
      <c r="L727" s="54" t="str">
        <f t="shared" si="131"/>
        <v>Case 992 is a Local linked  case, 34 years old female Singapore Permanent Resident  and has not been overseas. She is currently admitted at NUH . Family member of Cases 886 and 991</v>
      </c>
      <c r="M727" s="54" t="str">
        <f t="shared" si="132"/>
        <v/>
      </c>
      <c r="N727" s="54" t="str">
        <f t="shared" si="133"/>
        <v/>
      </c>
      <c r="O727" s="54">
        <f t="shared" si="134"/>
        <v>992</v>
      </c>
      <c r="P727" s="54" t="str">
        <f t="shared" si="135"/>
        <v>Family member of Cases 886 and 991</v>
      </c>
    </row>
    <row r="728" spans="1:16" x14ac:dyDescent="0.3">
      <c r="A728" s="54">
        <v>993</v>
      </c>
      <c r="B728" s="63">
        <v>43922</v>
      </c>
      <c r="C728" s="54" t="s">
        <v>1058</v>
      </c>
      <c r="D728" s="54">
        <v>37</v>
      </c>
      <c r="E728" s="54" t="s">
        <v>1059</v>
      </c>
      <c r="F728" s="54" t="s">
        <v>1278</v>
      </c>
      <c r="G728" s="54"/>
      <c r="H728" s="54" t="s">
        <v>1086</v>
      </c>
      <c r="I728" s="54" t="s">
        <v>1359</v>
      </c>
      <c r="J728" s="54" t="str">
        <f t="shared" si="129"/>
        <v>Male</v>
      </c>
      <c r="K728" s="54" t="str">
        <f t="shared" si="130"/>
        <v>Bangladesh</v>
      </c>
      <c r="L728" s="54" t="str">
        <f t="shared" si="131"/>
        <v>Case 993 is a Local linked  case, 37 years old male Bangladesh (Long Term Pass holder)  and has not been overseas. He is currently admitted at KTPH . S11 Dormitory</v>
      </c>
      <c r="M728" s="54" t="str">
        <f t="shared" si="132"/>
        <v/>
      </c>
      <c r="N728" s="54" t="str">
        <f t="shared" si="133"/>
        <v/>
      </c>
      <c r="O728" s="54">
        <f t="shared" si="134"/>
        <v>993</v>
      </c>
      <c r="P728" s="54" t="str">
        <f t="shared" si="135"/>
        <v>S11 Dormitory</v>
      </c>
    </row>
    <row r="729" spans="1:16" x14ac:dyDescent="0.3">
      <c r="A729" s="54">
        <v>994</v>
      </c>
      <c r="B729" s="63">
        <v>43922</v>
      </c>
      <c r="C729" s="54" t="s">
        <v>1058</v>
      </c>
      <c r="D729" s="54">
        <v>46</v>
      </c>
      <c r="E729" s="54" t="s">
        <v>1059</v>
      </c>
      <c r="F729" s="54" t="s">
        <v>1060</v>
      </c>
      <c r="G729" s="54"/>
      <c r="H729" s="54" t="s">
        <v>1061</v>
      </c>
      <c r="I729" s="54"/>
      <c r="J729" s="54" t="str">
        <f t="shared" si="129"/>
        <v>Male</v>
      </c>
      <c r="K729" s="54" t="str">
        <f t="shared" si="130"/>
        <v>Singaporean</v>
      </c>
      <c r="L729" s="54" t="str">
        <f t="shared" si="131"/>
        <v xml:space="preserve">Case 994 is a Local unlinked case, 46 years old male Singapore Citizen  and has not been overseas. He is currently admitted at KTPH . </v>
      </c>
      <c r="M729" s="54" t="str">
        <f t="shared" si="132"/>
        <v/>
      </c>
      <c r="N729" s="54" t="str">
        <f t="shared" si="133"/>
        <v/>
      </c>
      <c r="O729" s="54" t="str">
        <f t="shared" si="134"/>
        <v/>
      </c>
      <c r="P729" s="54" t="str">
        <f t="shared" si="135"/>
        <v/>
      </c>
    </row>
    <row r="730" spans="1:16" x14ac:dyDescent="0.3">
      <c r="A730" s="54">
        <v>995</v>
      </c>
      <c r="B730" s="63">
        <v>43922</v>
      </c>
      <c r="C730" s="54" t="s">
        <v>1074</v>
      </c>
      <c r="D730" s="54">
        <v>54</v>
      </c>
      <c r="E730" s="54" t="s">
        <v>1059</v>
      </c>
      <c r="F730" s="54" t="s">
        <v>1060</v>
      </c>
      <c r="G730" s="54" t="s">
        <v>1063</v>
      </c>
      <c r="H730" s="54" t="s">
        <v>77</v>
      </c>
      <c r="I730" s="54"/>
      <c r="J730" s="54" t="str">
        <f t="shared" si="129"/>
        <v>Male</v>
      </c>
      <c r="K730" s="54" t="str">
        <f t="shared" si="130"/>
        <v>Singaporean</v>
      </c>
      <c r="L730" s="54" t="str">
        <f t="shared" si="131"/>
        <v xml:space="preserve">Case 995 is a Imported case, 54 years old male Singapore Citizen  and has been to UK . He is currently admitted at AH . </v>
      </c>
      <c r="M730" s="54">
        <f t="shared" si="132"/>
        <v>995</v>
      </c>
      <c r="N730" s="54" t="str">
        <f t="shared" si="133"/>
        <v xml:space="preserve">UK </v>
      </c>
      <c r="O730" s="54" t="str">
        <f t="shared" si="134"/>
        <v/>
      </c>
      <c r="P730" s="54" t="str">
        <f t="shared" si="135"/>
        <v/>
      </c>
    </row>
    <row r="731" spans="1:16" x14ac:dyDescent="0.3">
      <c r="A731" s="54">
        <v>996</v>
      </c>
      <c r="B731" s="63">
        <v>43922</v>
      </c>
      <c r="C731" s="54" t="s">
        <v>1074</v>
      </c>
      <c r="D731" s="54">
        <v>21</v>
      </c>
      <c r="E731" s="54" t="s">
        <v>1073</v>
      </c>
      <c r="F731" s="54" t="s">
        <v>1060</v>
      </c>
      <c r="G731" s="54" t="s">
        <v>1063</v>
      </c>
      <c r="H731" s="54" t="s">
        <v>77</v>
      </c>
      <c r="I731" s="54"/>
      <c r="J731" s="54" t="str">
        <f t="shared" si="129"/>
        <v>Female</v>
      </c>
      <c r="K731" s="54" t="str">
        <f t="shared" si="130"/>
        <v>Singaporean</v>
      </c>
      <c r="L731" s="54" t="str">
        <f t="shared" si="131"/>
        <v xml:space="preserve">Case 996 is a Imported case, 21 years old female Singapore Citizen  and has been to UK . She is currently admitted at AH . </v>
      </c>
      <c r="M731" s="54">
        <f t="shared" si="132"/>
        <v>996</v>
      </c>
      <c r="N731" s="54" t="str">
        <f t="shared" si="133"/>
        <v xml:space="preserve">UK </v>
      </c>
      <c r="O731" s="54" t="str">
        <f t="shared" si="134"/>
        <v/>
      </c>
      <c r="P731" s="54" t="str">
        <f t="shared" si="135"/>
        <v/>
      </c>
    </row>
    <row r="732" spans="1:16" x14ac:dyDescent="0.3">
      <c r="A732" s="54">
        <v>997</v>
      </c>
      <c r="B732" s="63">
        <v>43922</v>
      </c>
      <c r="C732" s="54" t="s">
        <v>1071</v>
      </c>
      <c r="D732" s="54">
        <v>50</v>
      </c>
      <c r="E732" s="54" t="s">
        <v>1059</v>
      </c>
      <c r="F732" s="54" t="s">
        <v>1255</v>
      </c>
      <c r="G732" s="54" t="s">
        <v>798</v>
      </c>
      <c r="H732" s="54" t="s">
        <v>77</v>
      </c>
      <c r="I732" s="54"/>
      <c r="J732" s="54" t="str">
        <f t="shared" si="129"/>
        <v>Male</v>
      </c>
      <c r="K732" s="54" t="str">
        <f t="shared" si="130"/>
        <v>India</v>
      </c>
      <c r="L732" s="54" t="str">
        <f t="shared" si="131"/>
        <v xml:space="preserve">Case 997 is a Imported case, 50 years old male India (Singapore Work Pass holder)  and has been to India . He is currently admitted at NCID . </v>
      </c>
      <c r="M732" s="54">
        <f t="shared" si="132"/>
        <v>997</v>
      </c>
      <c r="N732" s="54" t="str">
        <f t="shared" si="133"/>
        <v xml:space="preserve">India </v>
      </c>
      <c r="O732" s="54" t="str">
        <f t="shared" si="134"/>
        <v/>
      </c>
      <c r="P732" s="54" t="str">
        <f t="shared" si="135"/>
        <v/>
      </c>
    </row>
    <row r="733" spans="1:16" x14ac:dyDescent="0.3">
      <c r="A733" s="54">
        <v>998</v>
      </c>
      <c r="B733" s="63">
        <v>43922</v>
      </c>
      <c r="C733" s="54" t="s">
        <v>1071</v>
      </c>
      <c r="D733" s="54">
        <v>31</v>
      </c>
      <c r="E733" s="54" t="s">
        <v>1073</v>
      </c>
      <c r="F733" s="54" t="s">
        <v>1186</v>
      </c>
      <c r="G733" s="54"/>
      <c r="H733" s="54" t="s">
        <v>1061</v>
      </c>
      <c r="I733" s="54"/>
      <c r="J733" s="54" t="str">
        <f t="shared" si="129"/>
        <v>Female</v>
      </c>
      <c r="K733" s="54" t="str">
        <f t="shared" si="130"/>
        <v>UK</v>
      </c>
      <c r="L733" s="54" t="str">
        <f t="shared" si="131"/>
        <v xml:space="preserve">Case 998 is a Local unlinked case, 31 years old female UK (Singapore Work Pass holder)  and has not been overseas. She is currently admitted at NCID . </v>
      </c>
      <c r="M733" s="54" t="str">
        <f t="shared" si="132"/>
        <v/>
      </c>
      <c r="N733" s="54" t="str">
        <f t="shared" si="133"/>
        <v/>
      </c>
      <c r="O733" s="54" t="str">
        <f t="shared" si="134"/>
        <v/>
      </c>
      <c r="P733" s="54" t="str">
        <f t="shared" si="135"/>
        <v/>
      </c>
    </row>
    <row r="734" spans="1:16" x14ac:dyDescent="0.3">
      <c r="A734" s="54">
        <v>999</v>
      </c>
      <c r="B734" s="63">
        <v>43922</v>
      </c>
      <c r="C734" s="54" t="s">
        <v>1071</v>
      </c>
      <c r="D734" s="54">
        <v>21</v>
      </c>
      <c r="E734" s="54" t="s">
        <v>1059</v>
      </c>
      <c r="F734" s="54" t="s">
        <v>1060</v>
      </c>
      <c r="G734" s="54" t="s">
        <v>360</v>
      </c>
      <c r="H734" s="54" t="s">
        <v>1061</v>
      </c>
      <c r="I734" s="54"/>
      <c r="J734" s="54" t="str">
        <f t="shared" si="129"/>
        <v>Male</v>
      </c>
      <c r="K734" s="54" t="str">
        <f t="shared" si="130"/>
        <v>Singaporean</v>
      </c>
      <c r="L734" s="54" t="str">
        <f t="shared" si="131"/>
        <v xml:space="preserve">Case 999 is a Local unlinked case, 21 years old male Singapore Citizen  and has been to Malaysia . He is currently admitted at NCID . </v>
      </c>
      <c r="M734" s="54">
        <f t="shared" si="132"/>
        <v>999</v>
      </c>
      <c r="N734" s="54" t="str">
        <f t="shared" si="133"/>
        <v xml:space="preserve">Malaysia </v>
      </c>
      <c r="O734" s="54" t="str">
        <f t="shared" si="134"/>
        <v/>
      </c>
      <c r="P734" s="54" t="str">
        <f t="shared" si="135"/>
        <v/>
      </c>
    </row>
    <row r="735" spans="1:16" x14ac:dyDescent="0.3">
      <c r="A735" s="54">
        <v>1000</v>
      </c>
      <c r="B735" s="63">
        <v>43922</v>
      </c>
      <c r="C735" s="54" t="s">
        <v>1058</v>
      </c>
      <c r="D735" s="54">
        <v>54</v>
      </c>
      <c r="E735" s="54" t="s">
        <v>1059</v>
      </c>
      <c r="F735" s="54" t="s">
        <v>1072</v>
      </c>
      <c r="G735" s="54"/>
      <c r="H735" s="54" t="s">
        <v>1061</v>
      </c>
      <c r="I735" s="54"/>
      <c r="J735" s="54" t="str">
        <f t="shared" si="129"/>
        <v>Male</v>
      </c>
      <c r="K735" s="54" t="str">
        <f t="shared" si="130"/>
        <v>Singaporean</v>
      </c>
      <c r="L735" s="54" t="str">
        <f t="shared" si="131"/>
        <v xml:space="preserve">Case 1000 is a Local unlinked case, 54 years old male Singapore Permanent Resident  and has not been overseas. He is currently admitted at KTPH . </v>
      </c>
      <c r="M735" s="54" t="str">
        <f t="shared" si="132"/>
        <v/>
      </c>
      <c r="N735" s="54" t="str">
        <f t="shared" si="133"/>
        <v/>
      </c>
      <c r="O735" s="54" t="str">
        <f t="shared" si="134"/>
        <v/>
      </c>
      <c r="P735" s="54" t="str">
        <f t="shared" si="135"/>
        <v/>
      </c>
    </row>
    <row r="736" spans="1:16" x14ac:dyDescent="0.3">
      <c r="A736" s="65">
        <v>1001</v>
      </c>
      <c r="B736" s="66">
        <v>43922</v>
      </c>
      <c r="C736" s="65" t="s">
        <v>1138</v>
      </c>
      <c r="D736" s="65">
        <v>65</v>
      </c>
      <c r="E736" s="65" t="s">
        <v>1059</v>
      </c>
      <c r="F736" s="65" t="s">
        <v>1060</v>
      </c>
      <c r="G736" s="65"/>
      <c r="H736" s="65" t="s">
        <v>1086</v>
      </c>
      <c r="I736" s="65" t="s">
        <v>253</v>
      </c>
      <c r="J736" s="65" t="str">
        <f t="shared" ref="J736" si="136">IF(TRIM(E736)="M","Male",IF(TRIM(E736)="F","Female",""))</f>
        <v>Male</v>
      </c>
      <c r="K736" s="65" t="str">
        <f t="shared" ref="K736" si="137">IF(LEFT(F736,9)="Singapore","Singaporean",IF(ISERR(FIND("(",F736)),F736,LEFT(F736,FIND("(",F736)-2)))</f>
        <v>Singaporean</v>
      </c>
      <c r="L736" s="65" t="str">
        <f t="shared" ref="L736" si="138">"Case "&amp;A736&amp;" is a "&amp;H736&amp;" case, "&amp;D736&amp;" years old "&amp;LOWER(J736)&amp;" "&amp;F736 &amp;IF(G736=""," and has not been overseas"," and has been to "&amp;G736)&amp;". "&amp;IF(TRIM(E736)="F","She",IF(TRIM(E736)="M","He"))&amp;" is currently admitted at "&amp;C736&amp;". "&amp;I736</f>
        <v>Case 1001 is a Local linked  case, 65 years old male Singapore Citizen  and has not been overseas. He is currently admitted at SGH . Mustafa Centre</v>
      </c>
      <c r="M736" s="65" t="str">
        <f t="shared" ref="M736" si="139">IF(G736="","",A736)</f>
        <v/>
      </c>
      <c r="N736" s="65" t="str">
        <f t="shared" ref="N736" si="140">IF(G736="","",G736)</f>
        <v/>
      </c>
      <c r="O736" s="65">
        <f t="shared" ref="O736" si="141">IF(I736="","",A736)</f>
        <v>1001</v>
      </c>
      <c r="P736" s="65" t="str">
        <f t="shared" ref="P736" si="142">IF(I736="","",I736)</f>
        <v>Mustafa Centre</v>
      </c>
    </row>
    <row r="737" spans="1:16" x14ac:dyDescent="0.3">
      <c r="A737" s="65">
        <v>1002</v>
      </c>
      <c r="B737" s="66">
        <v>43922</v>
      </c>
      <c r="C737" s="65" t="s">
        <v>1071</v>
      </c>
      <c r="D737" s="65">
        <v>24</v>
      </c>
      <c r="E737" s="65" t="s">
        <v>1059</v>
      </c>
      <c r="F737" s="65" t="s">
        <v>1060</v>
      </c>
      <c r="G737" s="65" t="s">
        <v>809</v>
      </c>
      <c r="H737" s="65" t="s">
        <v>1069</v>
      </c>
      <c r="I737" s="65" t="s">
        <v>1407</v>
      </c>
      <c r="J737" s="65" t="str">
        <f t="shared" ref="J737:J784" si="143">IF(TRIM(E737)="M","Male",IF(TRIM(E737)="F","Female",""))</f>
        <v>Male</v>
      </c>
      <c r="K737" s="65" t="str">
        <f t="shared" ref="K737:K784" si="144">IF(LEFT(F737,9)="Singapore","Singaporean",IF(ISERR(FIND("(",F737)),F737,LEFT(F737,FIND("(",F737)-2)))</f>
        <v>Singaporean</v>
      </c>
      <c r="L737" s="65" t="str">
        <f t="shared" ref="L737:L784" si="145">"Case "&amp;A737&amp;" is a "&amp;H737&amp;" case, "&amp;D737&amp;" years old "&amp;LOWER(J737)&amp;" "&amp;F737 &amp;IF(G737=""," and has not been overseas"," and has been to "&amp;G737)&amp;". "&amp;IF(TRIM(E737)="F","She",IF(TRIM(E737)="M","He"))&amp;" is currently admitted at "&amp;C737&amp;". "&amp;I737</f>
        <v>Case 1002 is a Imported  case, 24 years old male Singapore Citizen  and has been to Canada . He is currently admitted at NCID . Contact of Cases 892 and 1027</v>
      </c>
      <c r="M737" s="65">
        <f t="shared" ref="M737:M784" si="146">IF(G737="","",A737)</f>
        <v>1002</v>
      </c>
      <c r="N737" s="65" t="str">
        <f t="shared" ref="N737:N784" si="147">IF(G737="","",G737)</f>
        <v xml:space="preserve">Canada </v>
      </c>
      <c r="O737" s="65">
        <f t="shared" ref="O737:O784" si="148">IF(I737="","",A737)</f>
        <v>1002</v>
      </c>
      <c r="P737" s="65" t="str">
        <f t="shared" ref="P737:P784" si="149">IF(I737="","",I737)</f>
        <v>Contact of Cases 892 and 1027</v>
      </c>
    </row>
    <row r="738" spans="1:16" x14ac:dyDescent="0.3">
      <c r="A738" s="65">
        <v>1003</v>
      </c>
      <c r="B738" s="66">
        <v>43922</v>
      </c>
      <c r="C738" s="65" t="s">
        <v>1071</v>
      </c>
      <c r="D738" s="65">
        <v>31</v>
      </c>
      <c r="E738" s="65" t="s">
        <v>1073</v>
      </c>
      <c r="F738" s="65" t="s">
        <v>1060</v>
      </c>
      <c r="G738" s="65"/>
      <c r="H738" s="65" t="s">
        <v>1086</v>
      </c>
      <c r="I738" s="65" t="s">
        <v>1259</v>
      </c>
      <c r="J738" s="65" t="str">
        <f t="shared" si="143"/>
        <v>Female</v>
      </c>
      <c r="K738" s="65" t="str">
        <f t="shared" si="144"/>
        <v>Singaporean</v>
      </c>
      <c r="L738" s="65" t="str">
        <f t="shared" si="145"/>
        <v>Case 1003 is a Local linked  case, 31 years old female Singapore Citizen  and has not been overseas. She is currently admitted at NCID . PCF Fengshan</v>
      </c>
      <c r="M738" s="65" t="str">
        <f t="shared" si="146"/>
        <v/>
      </c>
      <c r="N738" s="65" t="str">
        <f t="shared" si="147"/>
        <v/>
      </c>
      <c r="O738" s="65">
        <f t="shared" si="148"/>
        <v>1003</v>
      </c>
      <c r="P738" s="65" t="str">
        <f t="shared" si="149"/>
        <v>PCF Fengshan</v>
      </c>
    </row>
    <row r="739" spans="1:16" x14ac:dyDescent="0.3">
      <c r="A739" s="65">
        <v>1004</v>
      </c>
      <c r="B739" s="66">
        <v>43922</v>
      </c>
      <c r="C739" s="65" t="s">
        <v>1071</v>
      </c>
      <c r="D739" s="65">
        <v>32</v>
      </c>
      <c r="E739" s="65" t="s">
        <v>1073</v>
      </c>
      <c r="F739" s="65" t="s">
        <v>1255</v>
      </c>
      <c r="G739" s="65"/>
      <c r="H739" s="65" t="s">
        <v>1086</v>
      </c>
      <c r="I739" s="65" t="s">
        <v>1399</v>
      </c>
      <c r="J739" s="65" t="str">
        <f t="shared" si="143"/>
        <v>Female</v>
      </c>
      <c r="K739" s="65" t="str">
        <f t="shared" si="144"/>
        <v>India</v>
      </c>
      <c r="L739" s="65" t="str">
        <f t="shared" si="145"/>
        <v>Case 1004 is a Local linked  case, 32 years old female India (Singapore Work Pass holder)  and has not been overseas. She is currently admitted at NCID . Lee Ah Mooi Home</v>
      </c>
      <c r="M739" s="65" t="str">
        <f t="shared" si="146"/>
        <v/>
      </c>
      <c r="N739" s="65" t="str">
        <f t="shared" si="147"/>
        <v/>
      </c>
      <c r="O739" s="65">
        <f t="shared" si="148"/>
        <v>1004</v>
      </c>
      <c r="P739" s="65" t="str">
        <f t="shared" si="149"/>
        <v>Lee Ah Mooi Home</v>
      </c>
    </row>
    <row r="740" spans="1:16" x14ac:dyDescent="0.3">
      <c r="A740" s="65">
        <v>1005</v>
      </c>
      <c r="B740" s="66">
        <v>43922</v>
      </c>
      <c r="C740" s="65" t="s">
        <v>1062</v>
      </c>
      <c r="D740" s="65">
        <v>30</v>
      </c>
      <c r="E740" s="65" t="s">
        <v>1073</v>
      </c>
      <c r="F740" s="65" t="s">
        <v>1156</v>
      </c>
      <c r="G740" s="65" t="s">
        <v>1063</v>
      </c>
      <c r="H740" s="65" t="s">
        <v>77</v>
      </c>
      <c r="I740" s="65"/>
      <c r="J740" s="65" t="str">
        <f t="shared" si="143"/>
        <v>Female</v>
      </c>
      <c r="K740" s="65" t="str">
        <f t="shared" si="144"/>
        <v>Malaysia</v>
      </c>
      <c r="L740" s="65" t="str">
        <f t="shared" si="145"/>
        <v xml:space="preserve">Case 1005 is a Imported case, 30 years old female Malaysia (Singapore Work Pass holder)  and has been to UK . She is currently admitted at NTFGH . </v>
      </c>
      <c r="M740" s="65">
        <f t="shared" si="146"/>
        <v>1005</v>
      </c>
      <c r="N740" s="65" t="str">
        <f t="shared" si="147"/>
        <v xml:space="preserve">UK </v>
      </c>
      <c r="O740" s="65" t="str">
        <f t="shared" si="148"/>
        <v/>
      </c>
      <c r="P740" s="65" t="str">
        <f t="shared" si="149"/>
        <v/>
      </c>
    </row>
    <row r="741" spans="1:16" x14ac:dyDescent="0.3">
      <c r="A741" s="65">
        <v>1006</v>
      </c>
      <c r="B741" s="66">
        <v>43922</v>
      </c>
      <c r="C741" s="65" t="s">
        <v>1062</v>
      </c>
      <c r="D741" s="65">
        <v>29</v>
      </c>
      <c r="E741" s="65" t="s">
        <v>1073</v>
      </c>
      <c r="F741" s="65" t="s">
        <v>1072</v>
      </c>
      <c r="G741" s="65"/>
      <c r="H741" s="65" t="s">
        <v>1061</v>
      </c>
      <c r="I741" s="65"/>
      <c r="J741" s="65" t="str">
        <f t="shared" si="143"/>
        <v>Female</v>
      </c>
      <c r="K741" s="65" t="str">
        <f t="shared" si="144"/>
        <v>Singaporean</v>
      </c>
      <c r="L741" s="65" t="str">
        <f t="shared" si="145"/>
        <v xml:space="preserve">Case 1006 is a Local unlinked case, 29 years old female Singapore Permanent Resident  and has not been overseas. She is currently admitted at NTFGH . </v>
      </c>
      <c r="M741" s="65" t="str">
        <f t="shared" si="146"/>
        <v/>
      </c>
      <c r="N741" s="65" t="str">
        <f t="shared" si="147"/>
        <v/>
      </c>
      <c r="O741" s="65" t="str">
        <f t="shared" si="148"/>
        <v/>
      </c>
      <c r="P741" s="65" t="str">
        <f t="shared" si="149"/>
        <v/>
      </c>
    </row>
    <row r="742" spans="1:16" x14ac:dyDescent="0.3">
      <c r="A742" s="65">
        <v>1007</v>
      </c>
      <c r="B742" s="66">
        <v>43922</v>
      </c>
      <c r="C742" s="65" t="s">
        <v>1064</v>
      </c>
      <c r="D742" s="65">
        <v>62</v>
      </c>
      <c r="E742" s="65" t="s">
        <v>1073</v>
      </c>
      <c r="F742" s="65" t="s">
        <v>1060</v>
      </c>
      <c r="G742" s="65"/>
      <c r="H742" s="65" t="s">
        <v>1061</v>
      </c>
      <c r="I742" s="65"/>
      <c r="J742" s="65" t="str">
        <f t="shared" si="143"/>
        <v>Female</v>
      </c>
      <c r="K742" s="65" t="str">
        <f t="shared" si="144"/>
        <v>Singaporean</v>
      </c>
      <c r="L742" s="65" t="str">
        <f t="shared" si="145"/>
        <v xml:space="preserve">Case 1007 is a Local unlinked case, 62 years old female Singapore Citizen  and has not been overseas. She is currently admitted at CGH . </v>
      </c>
      <c r="M742" s="65" t="str">
        <f t="shared" si="146"/>
        <v/>
      </c>
      <c r="N742" s="65" t="str">
        <f t="shared" si="147"/>
        <v/>
      </c>
      <c r="O742" s="65" t="str">
        <f t="shared" si="148"/>
        <v/>
      </c>
      <c r="P742" s="65" t="str">
        <f t="shared" si="149"/>
        <v/>
      </c>
    </row>
    <row r="743" spans="1:16" x14ac:dyDescent="0.3">
      <c r="A743" s="65">
        <v>1008</v>
      </c>
      <c r="B743" s="66">
        <v>43922</v>
      </c>
      <c r="C743" s="65" t="s">
        <v>343</v>
      </c>
      <c r="D743" s="65">
        <v>76</v>
      </c>
      <c r="E743" s="65" t="s">
        <v>1059</v>
      </c>
      <c r="F743" s="65" t="s">
        <v>1060</v>
      </c>
      <c r="G743" s="65"/>
      <c r="H743" s="65" t="s">
        <v>1086</v>
      </c>
      <c r="I743" s="65" t="s">
        <v>1408</v>
      </c>
      <c r="J743" s="65" t="str">
        <f t="shared" si="143"/>
        <v>Male</v>
      </c>
      <c r="K743" s="65" t="str">
        <f t="shared" si="144"/>
        <v>Singaporean</v>
      </c>
      <c r="L743" s="65" t="str">
        <f t="shared" si="145"/>
        <v>Case 1008 is a Local linked  case, 76 years old male Singapore Citizen  and has not been overseas. He is currently admitted at NUH . Family member of Cases 1030 and 1031</v>
      </c>
      <c r="M743" s="65" t="str">
        <f t="shared" si="146"/>
        <v/>
      </c>
      <c r="N743" s="65" t="str">
        <f t="shared" si="147"/>
        <v/>
      </c>
      <c r="O743" s="65">
        <f t="shared" si="148"/>
        <v>1008</v>
      </c>
      <c r="P743" s="65" t="str">
        <f t="shared" si="149"/>
        <v>Family member of Cases 1030 and 1031</v>
      </c>
    </row>
    <row r="744" spans="1:16" x14ac:dyDescent="0.3">
      <c r="A744" s="65">
        <v>1009</v>
      </c>
      <c r="B744" s="66">
        <v>43922</v>
      </c>
      <c r="C744" s="65" t="s">
        <v>343</v>
      </c>
      <c r="D744" s="65">
        <v>48</v>
      </c>
      <c r="E744" s="65" t="s">
        <v>1059</v>
      </c>
      <c r="F744" s="65" t="s">
        <v>1060</v>
      </c>
      <c r="G744" s="65"/>
      <c r="H744" s="65" t="s">
        <v>1086</v>
      </c>
      <c r="I744" s="65" t="s">
        <v>1409</v>
      </c>
      <c r="J744" s="65" t="str">
        <f t="shared" si="143"/>
        <v>Male</v>
      </c>
      <c r="K744" s="65" t="str">
        <f t="shared" si="144"/>
        <v>Singaporean</v>
      </c>
      <c r="L744" s="65" t="str">
        <f t="shared" si="145"/>
        <v>Case 1009 is a Local linked  case, 48 years old male Singapore Citizen  and has not been overseas. He is currently admitted at NUH . Maxwell MRT construction site</v>
      </c>
      <c r="M744" s="65" t="str">
        <f t="shared" si="146"/>
        <v/>
      </c>
      <c r="N744" s="65" t="str">
        <f t="shared" si="147"/>
        <v/>
      </c>
      <c r="O744" s="65">
        <f t="shared" si="148"/>
        <v>1009</v>
      </c>
      <c r="P744" s="65" t="str">
        <f t="shared" si="149"/>
        <v>Maxwell MRT construction site</v>
      </c>
    </row>
    <row r="745" spans="1:16" x14ac:dyDescent="0.3">
      <c r="A745" s="65">
        <v>1010</v>
      </c>
      <c r="B745" s="66">
        <v>43922</v>
      </c>
      <c r="C745" s="65" t="s">
        <v>343</v>
      </c>
      <c r="D745" s="65">
        <v>27</v>
      </c>
      <c r="E745" s="65" t="s">
        <v>1073</v>
      </c>
      <c r="F745" s="65" t="s">
        <v>1060</v>
      </c>
      <c r="G745" s="65"/>
      <c r="H745" s="65" t="s">
        <v>1061</v>
      </c>
      <c r="I745" s="65"/>
      <c r="J745" s="65" t="str">
        <f t="shared" si="143"/>
        <v>Female</v>
      </c>
      <c r="K745" s="65" t="str">
        <f t="shared" si="144"/>
        <v>Singaporean</v>
      </c>
      <c r="L745" s="65" t="str">
        <f t="shared" si="145"/>
        <v xml:space="preserve">Case 1010 is a Local unlinked case, 27 years old female Singapore Citizen  and has not been overseas. She is currently admitted at NUH . </v>
      </c>
      <c r="M745" s="65" t="str">
        <f t="shared" si="146"/>
        <v/>
      </c>
      <c r="N745" s="65" t="str">
        <f t="shared" si="147"/>
        <v/>
      </c>
      <c r="O745" s="65" t="str">
        <f t="shared" si="148"/>
        <v/>
      </c>
      <c r="P745" s="65" t="str">
        <f t="shared" si="149"/>
        <v/>
      </c>
    </row>
    <row r="746" spans="1:16" x14ac:dyDescent="0.3">
      <c r="A746" s="65">
        <v>1011</v>
      </c>
      <c r="B746" s="66">
        <v>43922</v>
      </c>
      <c r="C746" s="65" t="s">
        <v>1064</v>
      </c>
      <c r="D746" s="65">
        <v>30</v>
      </c>
      <c r="E746" s="65" t="s">
        <v>1059</v>
      </c>
      <c r="F746" s="65" t="s">
        <v>1194</v>
      </c>
      <c r="G746" s="65"/>
      <c r="H746" s="65" t="s">
        <v>1086</v>
      </c>
      <c r="I746" s="65" t="s">
        <v>1382</v>
      </c>
      <c r="J746" s="65" t="str">
        <f t="shared" si="143"/>
        <v>Male</v>
      </c>
      <c r="K746" s="65" t="str">
        <f t="shared" si="144"/>
        <v>India</v>
      </c>
      <c r="L746" s="65" t="str">
        <f t="shared" si="145"/>
        <v>Case 1011 is a Local linked  case, 30 years old male India (Long Term Pass holder)  and has not been overseas. He is currently admitted at CGH . Westlite Toh Guan</v>
      </c>
      <c r="M746" s="65" t="str">
        <f t="shared" si="146"/>
        <v/>
      </c>
      <c r="N746" s="65" t="str">
        <f t="shared" si="147"/>
        <v/>
      </c>
      <c r="O746" s="65">
        <f t="shared" si="148"/>
        <v>1011</v>
      </c>
      <c r="P746" s="65" t="str">
        <f t="shared" si="149"/>
        <v>Westlite Toh Guan</v>
      </c>
    </row>
    <row r="747" spans="1:16" x14ac:dyDescent="0.3">
      <c r="A747" s="65">
        <v>1012</v>
      </c>
      <c r="B747" s="66">
        <v>43922</v>
      </c>
      <c r="C747" s="65" t="s">
        <v>1071</v>
      </c>
      <c r="D747" s="65">
        <v>27</v>
      </c>
      <c r="E747" s="65" t="s">
        <v>1059</v>
      </c>
      <c r="F747" s="65" t="s">
        <v>1360</v>
      </c>
      <c r="G747" s="65"/>
      <c r="H747" s="65" t="s">
        <v>1086</v>
      </c>
      <c r="I747" s="65" t="s">
        <v>1382</v>
      </c>
      <c r="J747" s="65" t="str">
        <f t="shared" si="143"/>
        <v>Male</v>
      </c>
      <c r="K747" s="65" t="str">
        <f t="shared" si="144"/>
        <v>Bangladesh</v>
      </c>
      <c r="L747" s="65" t="str">
        <f t="shared" si="145"/>
        <v>Case 1012 is a Local linked  case, 27 years old male Bangladesh (Singapore Work Pass holder)  and has not been overseas. He is currently admitted at NCID . Westlite Toh Guan</v>
      </c>
      <c r="M747" s="65" t="str">
        <f t="shared" si="146"/>
        <v/>
      </c>
      <c r="N747" s="65" t="str">
        <f t="shared" si="147"/>
        <v/>
      </c>
      <c r="O747" s="65">
        <f t="shared" si="148"/>
        <v>1012</v>
      </c>
      <c r="P747" s="65" t="str">
        <f t="shared" si="149"/>
        <v>Westlite Toh Guan</v>
      </c>
    </row>
    <row r="748" spans="1:16" x14ac:dyDescent="0.3">
      <c r="A748" s="65">
        <v>1013</v>
      </c>
      <c r="B748" s="66">
        <v>43922</v>
      </c>
      <c r="C748" s="65" t="s">
        <v>1071</v>
      </c>
      <c r="D748" s="65">
        <v>51</v>
      </c>
      <c r="E748" s="65" t="s">
        <v>1073</v>
      </c>
      <c r="F748" s="65" t="s">
        <v>1072</v>
      </c>
      <c r="G748" s="65"/>
      <c r="H748" s="65" t="s">
        <v>1086</v>
      </c>
      <c r="I748" s="65" t="s">
        <v>1410</v>
      </c>
      <c r="J748" s="65" t="str">
        <f t="shared" si="143"/>
        <v>Female</v>
      </c>
      <c r="K748" s="65" t="str">
        <f t="shared" si="144"/>
        <v>Singaporean</v>
      </c>
      <c r="L748" s="65" t="str">
        <f t="shared" si="145"/>
        <v>Case 1013 is a Local linked  case, 51 years old female Singapore Permanent Resident  and has not been overseas. She is currently admitted at NCID . Hero's</v>
      </c>
      <c r="M748" s="65" t="str">
        <f t="shared" si="146"/>
        <v/>
      </c>
      <c r="N748" s="65" t="str">
        <f t="shared" si="147"/>
        <v/>
      </c>
      <c r="O748" s="65">
        <f t="shared" si="148"/>
        <v>1013</v>
      </c>
      <c r="P748" s="65" t="str">
        <f t="shared" si="149"/>
        <v>Hero's</v>
      </c>
    </row>
    <row r="749" spans="1:16" x14ac:dyDescent="0.3">
      <c r="A749" s="65">
        <v>1014</v>
      </c>
      <c r="B749" s="66">
        <v>43922</v>
      </c>
      <c r="C749" s="65" t="s">
        <v>1138</v>
      </c>
      <c r="D749" s="65">
        <v>69</v>
      </c>
      <c r="E749" s="65" t="s">
        <v>1073</v>
      </c>
      <c r="F749" s="65" t="s">
        <v>1060</v>
      </c>
      <c r="G749" s="65"/>
      <c r="H749" s="65" t="s">
        <v>1061</v>
      </c>
      <c r="I749" s="65"/>
      <c r="J749" s="65" t="str">
        <f t="shared" si="143"/>
        <v>Female</v>
      </c>
      <c r="K749" s="65" t="str">
        <f t="shared" si="144"/>
        <v>Singaporean</v>
      </c>
      <c r="L749" s="65" t="str">
        <f t="shared" si="145"/>
        <v xml:space="preserve">Case 1014 is a Local unlinked case, 69 years old female Singapore Citizen  and has not been overseas. She is currently admitted at SGH . </v>
      </c>
      <c r="M749" s="65" t="str">
        <f t="shared" si="146"/>
        <v/>
      </c>
      <c r="N749" s="65" t="str">
        <f t="shared" si="147"/>
        <v/>
      </c>
      <c r="O749" s="65" t="str">
        <f t="shared" si="148"/>
        <v/>
      </c>
      <c r="P749" s="65" t="str">
        <f t="shared" si="149"/>
        <v/>
      </c>
    </row>
    <row r="750" spans="1:16" x14ac:dyDescent="0.3">
      <c r="A750" s="65">
        <v>1015</v>
      </c>
      <c r="B750" s="66">
        <v>43922</v>
      </c>
      <c r="C750" s="65" t="s">
        <v>1138</v>
      </c>
      <c r="D750" s="65">
        <v>41</v>
      </c>
      <c r="E750" s="65" t="s">
        <v>1059</v>
      </c>
      <c r="F750" s="65" t="s">
        <v>1194</v>
      </c>
      <c r="G750" s="65"/>
      <c r="H750" s="65" t="s">
        <v>1086</v>
      </c>
      <c r="I750" s="65" t="s">
        <v>253</v>
      </c>
      <c r="J750" s="65" t="str">
        <f t="shared" si="143"/>
        <v>Male</v>
      </c>
      <c r="K750" s="65" t="str">
        <f t="shared" si="144"/>
        <v>India</v>
      </c>
      <c r="L750" s="65" t="str">
        <f t="shared" si="145"/>
        <v>Case 1015 is a Local linked  case, 41 years old male India (Long Term Pass holder)  and has not been overseas. He is currently admitted at SGH . Mustafa Centre</v>
      </c>
      <c r="M750" s="65" t="str">
        <f t="shared" si="146"/>
        <v/>
      </c>
      <c r="N750" s="65" t="str">
        <f t="shared" si="147"/>
        <v/>
      </c>
      <c r="O750" s="65">
        <f t="shared" si="148"/>
        <v>1015</v>
      </c>
      <c r="P750" s="65" t="str">
        <f t="shared" si="149"/>
        <v>Mustafa Centre</v>
      </c>
    </row>
    <row r="751" spans="1:16" x14ac:dyDescent="0.3">
      <c r="A751" s="65">
        <v>1016</v>
      </c>
      <c r="B751" s="66">
        <v>43922</v>
      </c>
      <c r="C751" s="65" t="s">
        <v>1071</v>
      </c>
      <c r="D751" s="65">
        <v>67</v>
      </c>
      <c r="E751" s="65" t="s">
        <v>1059</v>
      </c>
      <c r="F751" s="65" t="s">
        <v>1060</v>
      </c>
      <c r="G751" s="65"/>
      <c r="H751" s="65" t="s">
        <v>1061</v>
      </c>
      <c r="I751" s="65"/>
      <c r="J751" s="65" t="str">
        <f t="shared" si="143"/>
        <v>Male</v>
      </c>
      <c r="K751" s="65" t="str">
        <f t="shared" si="144"/>
        <v>Singaporean</v>
      </c>
      <c r="L751" s="65" t="str">
        <f t="shared" si="145"/>
        <v xml:space="preserve">Case 1016 is a Local unlinked case, 67 years old male Singapore Citizen  and has not been overseas. He is currently admitted at NCID . </v>
      </c>
      <c r="M751" s="65" t="str">
        <f t="shared" si="146"/>
        <v/>
      </c>
      <c r="N751" s="65" t="str">
        <f t="shared" si="147"/>
        <v/>
      </c>
      <c r="O751" s="65" t="str">
        <f t="shared" si="148"/>
        <v/>
      </c>
      <c r="P751" s="65" t="str">
        <f t="shared" si="149"/>
        <v/>
      </c>
    </row>
    <row r="752" spans="1:16" x14ac:dyDescent="0.3">
      <c r="A752" s="65">
        <v>1017</v>
      </c>
      <c r="B752" s="66">
        <v>43922</v>
      </c>
      <c r="C752" s="65" t="s">
        <v>1071</v>
      </c>
      <c r="D752" s="65">
        <v>32</v>
      </c>
      <c r="E752" s="65" t="s">
        <v>1059</v>
      </c>
      <c r="F752" s="65" t="s">
        <v>1194</v>
      </c>
      <c r="G752" s="65"/>
      <c r="H752" s="65" t="s">
        <v>1061</v>
      </c>
      <c r="I752" s="65"/>
      <c r="J752" s="65" t="str">
        <f t="shared" si="143"/>
        <v>Male</v>
      </c>
      <c r="K752" s="65" t="str">
        <f t="shared" si="144"/>
        <v>India</v>
      </c>
      <c r="L752" s="65" t="str">
        <f t="shared" si="145"/>
        <v xml:space="preserve">Case 1017 is a Local unlinked case, 32 years old male India (Long Term Pass holder)  and has not been overseas. He is currently admitted at NCID . </v>
      </c>
      <c r="M752" s="65" t="str">
        <f t="shared" si="146"/>
        <v/>
      </c>
      <c r="N752" s="65" t="str">
        <f t="shared" si="147"/>
        <v/>
      </c>
      <c r="O752" s="65" t="str">
        <f t="shared" si="148"/>
        <v/>
      </c>
      <c r="P752" s="65" t="str">
        <f t="shared" si="149"/>
        <v/>
      </c>
    </row>
    <row r="753" spans="1:16" x14ac:dyDescent="0.3">
      <c r="A753" s="65">
        <v>1018</v>
      </c>
      <c r="B753" s="66">
        <v>43922</v>
      </c>
      <c r="C753" s="65" t="s">
        <v>1058</v>
      </c>
      <c r="D753" s="65">
        <v>29</v>
      </c>
      <c r="E753" s="65" t="s">
        <v>1059</v>
      </c>
      <c r="F753" s="65" t="s">
        <v>1278</v>
      </c>
      <c r="G753" s="65"/>
      <c r="H753" s="65" t="s">
        <v>1061</v>
      </c>
      <c r="I753" s="65"/>
      <c r="J753" s="65" t="str">
        <f t="shared" si="143"/>
        <v>Male</v>
      </c>
      <c r="K753" s="65" t="str">
        <f t="shared" si="144"/>
        <v>Bangladesh</v>
      </c>
      <c r="L753" s="65" t="str">
        <f t="shared" si="145"/>
        <v xml:space="preserve">Case 1018 is a Local unlinked case, 29 years old male Bangladesh (Long Term Pass holder)  and has not been overseas. He is currently admitted at KTPH . </v>
      </c>
      <c r="M753" s="65" t="str">
        <f t="shared" si="146"/>
        <v/>
      </c>
      <c r="N753" s="65" t="str">
        <f t="shared" si="147"/>
        <v/>
      </c>
      <c r="O753" s="65" t="str">
        <f t="shared" si="148"/>
        <v/>
      </c>
      <c r="P753" s="65" t="str">
        <f t="shared" si="149"/>
        <v/>
      </c>
    </row>
    <row r="754" spans="1:16" x14ac:dyDescent="0.3">
      <c r="A754" s="65">
        <v>1019</v>
      </c>
      <c r="B754" s="66">
        <v>43922</v>
      </c>
      <c r="C754" s="65" t="s">
        <v>1071</v>
      </c>
      <c r="D754" s="65">
        <v>29</v>
      </c>
      <c r="E754" s="65" t="s">
        <v>1059</v>
      </c>
      <c r="F754" s="65" t="s">
        <v>1060</v>
      </c>
      <c r="G754" s="65"/>
      <c r="H754" s="65" t="s">
        <v>1061</v>
      </c>
      <c r="I754" s="65"/>
      <c r="J754" s="65" t="str">
        <f t="shared" si="143"/>
        <v>Male</v>
      </c>
      <c r="K754" s="65" t="str">
        <f t="shared" si="144"/>
        <v>Singaporean</v>
      </c>
      <c r="L754" s="65" t="str">
        <f t="shared" si="145"/>
        <v xml:space="preserve">Case 1019 is a Local unlinked case, 29 years old male Singapore Citizen  and has not been overseas. He is currently admitted at NCID . </v>
      </c>
      <c r="M754" s="65" t="str">
        <f t="shared" si="146"/>
        <v/>
      </c>
      <c r="N754" s="65" t="str">
        <f t="shared" si="147"/>
        <v/>
      </c>
      <c r="O754" s="65" t="str">
        <f t="shared" si="148"/>
        <v/>
      </c>
      <c r="P754" s="65" t="str">
        <f t="shared" si="149"/>
        <v/>
      </c>
    </row>
    <row r="755" spans="1:16" x14ac:dyDescent="0.3">
      <c r="A755" s="65">
        <v>1020</v>
      </c>
      <c r="B755" s="66">
        <v>43923</v>
      </c>
      <c r="C755" s="65" t="s">
        <v>1071</v>
      </c>
      <c r="D755" s="65">
        <v>45</v>
      </c>
      <c r="E755" s="65" t="s">
        <v>1059</v>
      </c>
      <c r="F755" s="65" t="s">
        <v>1278</v>
      </c>
      <c r="G755" s="65"/>
      <c r="H755" s="65" t="s">
        <v>1086</v>
      </c>
      <c r="I755" s="65" t="s">
        <v>1411</v>
      </c>
      <c r="J755" s="65" t="str">
        <f t="shared" si="143"/>
        <v>Male</v>
      </c>
      <c r="K755" s="65" t="str">
        <f t="shared" si="144"/>
        <v>Bangladesh</v>
      </c>
      <c r="L755" s="65" t="str">
        <f t="shared" si="145"/>
        <v>Case 1020 is a Local linked  case, 45 years old male Bangladesh (Long Term Pass holder)  and has not been overseas. He is currently admitted at NCID . Contact of Cases 658 and 718</v>
      </c>
      <c r="M755" s="65" t="str">
        <f t="shared" si="146"/>
        <v/>
      </c>
      <c r="N755" s="65" t="str">
        <f t="shared" si="147"/>
        <v/>
      </c>
      <c r="O755" s="65">
        <f t="shared" si="148"/>
        <v>1020</v>
      </c>
      <c r="P755" s="65" t="str">
        <f t="shared" si="149"/>
        <v>Contact of Cases 658 and 718</v>
      </c>
    </row>
    <row r="756" spans="1:16" x14ac:dyDescent="0.3">
      <c r="A756" s="65">
        <v>1021</v>
      </c>
      <c r="B756" s="66">
        <v>43923</v>
      </c>
      <c r="C756" s="65" t="s">
        <v>1071</v>
      </c>
      <c r="D756" s="65">
        <v>44</v>
      </c>
      <c r="E756" s="65" t="s">
        <v>1073</v>
      </c>
      <c r="F756" s="65" t="s">
        <v>1238</v>
      </c>
      <c r="G756" s="65" t="s">
        <v>687</v>
      </c>
      <c r="H756" s="65" t="s">
        <v>77</v>
      </c>
      <c r="I756" s="65"/>
      <c r="J756" s="65" t="str">
        <f t="shared" si="143"/>
        <v>Female</v>
      </c>
      <c r="K756" s="65" t="str">
        <f t="shared" si="144"/>
        <v>France</v>
      </c>
      <c r="L756" s="65" t="str">
        <f t="shared" si="145"/>
        <v xml:space="preserve">Case 1021 is a Imported case, 44 years old female France (Singapore Work Pass holder)  and has been to Indonesia . She is currently admitted at NCID . </v>
      </c>
      <c r="M756" s="65">
        <f t="shared" si="146"/>
        <v>1021</v>
      </c>
      <c r="N756" s="65" t="str">
        <f t="shared" si="147"/>
        <v xml:space="preserve">Indonesia </v>
      </c>
      <c r="O756" s="65" t="str">
        <f t="shared" si="148"/>
        <v/>
      </c>
      <c r="P756" s="65" t="str">
        <f t="shared" si="149"/>
        <v/>
      </c>
    </row>
    <row r="757" spans="1:16" x14ac:dyDescent="0.3">
      <c r="A757" s="65">
        <v>1022</v>
      </c>
      <c r="B757" s="66">
        <v>43922</v>
      </c>
      <c r="C757" s="65" t="s">
        <v>1071</v>
      </c>
      <c r="D757" s="65">
        <v>39</v>
      </c>
      <c r="E757" s="65" t="s">
        <v>1073</v>
      </c>
      <c r="F757" s="65" t="s">
        <v>1060</v>
      </c>
      <c r="G757" s="65"/>
      <c r="H757" s="65" t="s">
        <v>1061</v>
      </c>
      <c r="I757" s="65"/>
      <c r="J757" s="65" t="str">
        <f t="shared" si="143"/>
        <v>Female</v>
      </c>
      <c r="K757" s="65" t="str">
        <f t="shared" si="144"/>
        <v>Singaporean</v>
      </c>
      <c r="L757" s="65" t="str">
        <f t="shared" si="145"/>
        <v xml:space="preserve">Case 1022 is a Local unlinked case, 39 years old female Singapore Citizen  and has not been overseas. She is currently admitted at NCID . </v>
      </c>
      <c r="M757" s="65" t="str">
        <f t="shared" si="146"/>
        <v/>
      </c>
      <c r="N757" s="65" t="str">
        <f t="shared" si="147"/>
        <v/>
      </c>
      <c r="O757" s="65" t="str">
        <f t="shared" si="148"/>
        <v/>
      </c>
      <c r="P757" s="65" t="str">
        <f t="shared" si="149"/>
        <v/>
      </c>
    </row>
    <row r="758" spans="1:16" x14ac:dyDescent="0.3">
      <c r="A758" s="65">
        <v>1023</v>
      </c>
      <c r="B758" s="66">
        <v>43922</v>
      </c>
      <c r="C758" s="65" t="s">
        <v>1071</v>
      </c>
      <c r="D758" s="65">
        <v>44</v>
      </c>
      <c r="E758" s="65" t="s">
        <v>1073</v>
      </c>
      <c r="F758" s="65" t="s">
        <v>1060</v>
      </c>
      <c r="G758" s="65"/>
      <c r="H758" s="65" t="s">
        <v>1086</v>
      </c>
      <c r="I758" s="65" t="s">
        <v>1412</v>
      </c>
      <c r="J758" s="65" t="str">
        <f t="shared" si="143"/>
        <v>Female</v>
      </c>
      <c r="K758" s="65" t="str">
        <f t="shared" si="144"/>
        <v>Singaporean</v>
      </c>
      <c r="L758" s="65" t="str">
        <f t="shared" si="145"/>
        <v>Case 1023 is a Local linked  case, 44 years old female Singapore Citizen  and has not been overseas. She is currently admitted at NCID . Contact of Case 726</v>
      </c>
      <c r="M758" s="65" t="str">
        <f t="shared" si="146"/>
        <v/>
      </c>
      <c r="N758" s="65" t="str">
        <f t="shared" si="147"/>
        <v/>
      </c>
      <c r="O758" s="65">
        <f t="shared" si="148"/>
        <v>1023</v>
      </c>
      <c r="P758" s="65" t="str">
        <f t="shared" si="149"/>
        <v>Contact of Case 726</v>
      </c>
    </row>
    <row r="759" spans="1:16" x14ac:dyDescent="0.3">
      <c r="A759" s="65">
        <v>1024</v>
      </c>
      <c r="B759" s="66">
        <v>43922</v>
      </c>
      <c r="C759" s="65" t="s">
        <v>1071</v>
      </c>
      <c r="D759" s="65">
        <v>56</v>
      </c>
      <c r="E759" s="65" t="s">
        <v>1059</v>
      </c>
      <c r="F759" s="65" t="s">
        <v>1060</v>
      </c>
      <c r="G759" s="65"/>
      <c r="H759" s="65" t="s">
        <v>1086</v>
      </c>
      <c r="I759" s="65" t="s">
        <v>253</v>
      </c>
      <c r="J759" s="65" t="str">
        <f t="shared" si="143"/>
        <v>Male</v>
      </c>
      <c r="K759" s="65" t="str">
        <f t="shared" si="144"/>
        <v>Singaporean</v>
      </c>
      <c r="L759" s="65" t="str">
        <f t="shared" si="145"/>
        <v>Case 1024 is a Local linked  case, 56 years old male Singapore Citizen  and has not been overseas. He is currently admitted at NCID . Mustafa Centre</v>
      </c>
      <c r="M759" s="65" t="str">
        <f t="shared" si="146"/>
        <v/>
      </c>
      <c r="N759" s="65" t="str">
        <f t="shared" si="147"/>
        <v/>
      </c>
      <c r="O759" s="65">
        <f t="shared" si="148"/>
        <v>1024</v>
      </c>
      <c r="P759" s="65" t="str">
        <f t="shared" si="149"/>
        <v>Mustafa Centre</v>
      </c>
    </row>
    <row r="760" spans="1:16" x14ac:dyDescent="0.3">
      <c r="A760" s="65">
        <v>1025</v>
      </c>
      <c r="B760" s="66">
        <v>43922</v>
      </c>
      <c r="C760" s="65" t="s">
        <v>1071</v>
      </c>
      <c r="D760" s="65">
        <v>64</v>
      </c>
      <c r="E760" s="65" t="s">
        <v>1059</v>
      </c>
      <c r="F760" s="65" t="s">
        <v>1060</v>
      </c>
      <c r="G760" s="65"/>
      <c r="H760" s="65" t="s">
        <v>1061</v>
      </c>
      <c r="I760" s="65"/>
      <c r="J760" s="65" t="str">
        <f t="shared" si="143"/>
        <v>Male</v>
      </c>
      <c r="K760" s="65" t="str">
        <f t="shared" si="144"/>
        <v>Singaporean</v>
      </c>
      <c r="L760" s="65" t="str">
        <f t="shared" si="145"/>
        <v xml:space="preserve">Case 1025 is a Local unlinked case, 64 years old male Singapore Citizen  and has not been overseas. He is currently admitted at NCID . </v>
      </c>
      <c r="M760" s="65" t="str">
        <f t="shared" si="146"/>
        <v/>
      </c>
      <c r="N760" s="65" t="str">
        <f t="shared" si="147"/>
        <v/>
      </c>
      <c r="O760" s="65" t="str">
        <f t="shared" si="148"/>
        <v/>
      </c>
      <c r="P760" s="65" t="str">
        <f t="shared" si="149"/>
        <v/>
      </c>
    </row>
    <row r="761" spans="1:16" x14ac:dyDescent="0.3">
      <c r="A761" s="65">
        <v>1026</v>
      </c>
      <c r="B761" s="66">
        <v>43922</v>
      </c>
      <c r="C761" s="65" t="s">
        <v>1071</v>
      </c>
      <c r="D761" s="65">
        <v>44</v>
      </c>
      <c r="E761" s="65" t="s">
        <v>1073</v>
      </c>
      <c r="F761" s="65" t="s">
        <v>1072</v>
      </c>
      <c r="G761" s="65"/>
      <c r="H761" s="65" t="s">
        <v>1086</v>
      </c>
      <c r="I761" s="65" t="s">
        <v>253</v>
      </c>
      <c r="J761" s="65" t="str">
        <f t="shared" si="143"/>
        <v>Female</v>
      </c>
      <c r="K761" s="65" t="str">
        <f t="shared" si="144"/>
        <v>Singaporean</v>
      </c>
      <c r="L761" s="65" t="str">
        <f t="shared" si="145"/>
        <v>Case 1026 is a Local linked  case, 44 years old female Singapore Permanent Resident  and has not been overseas. She is currently admitted at NCID . Mustafa Centre</v>
      </c>
      <c r="M761" s="65" t="str">
        <f t="shared" si="146"/>
        <v/>
      </c>
      <c r="N761" s="65" t="str">
        <f t="shared" si="147"/>
        <v/>
      </c>
      <c r="O761" s="65">
        <f t="shared" si="148"/>
        <v>1026</v>
      </c>
      <c r="P761" s="65" t="str">
        <f t="shared" si="149"/>
        <v>Mustafa Centre</v>
      </c>
    </row>
    <row r="762" spans="1:16" x14ac:dyDescent="0.3">
      <c r="A762" s="65">
        <v>1027</v>
      </c>
      <c r="B762" s="66">
        <v>43922</v>
      </c>
      <c r="C762" s="65" t="s">
        <v>1071</v>
      </c>
      <c r="D762" s="65">
        <v>23</v>
      </c>
      <c r="E762" s="65" t="s">
        <v>1059</v>
      </c>
      <c r="F762" s="65" t="s">
        <v>1060</v>
      </c>
      <c r="G762" s="65" t="s">
        <v>809</v>
      </c>
      <c r="H762" s="65" t="s">
        <v>1069</v>
      </c>
      <c r="I762" s="65" t="s">
        <v>1413</v>
      </c>
      <c r="J762" s="65" t="str">
        <f t="shared" si="143"/>
        <v>Male</v>
      </c>
      <c r="K762" s="65" t="str">
        <f t="shared" si="144"/>
        <v>Singaporean</v>
      </c>
      <c r="L762" s="65" t="str">
        <f t="shared" si="145"/>
        <v>Case 1027 is a Imported  case, 23 years old male Singapore Citizen  and has been to Canada . He is currently admitted at NCID . Contact of Cases 892 and 1002</v>
      </c>
      <c r="M762" s="65">
        <f t="shared" si="146"/>
        <v>1027</v>
      </c>
      <c r="N762" s="65" t="str">
        <f t="shared" si="147"/>
        <v xml:space="preserve">Canada </v>
      </c>
      <c r="O762" s="65">
        <f t="shared" si="148"/>
        <v>1027</v>
      </c>
      <c r="P762" s="65" t="str">
        <f t="shared" si="149"/>
        <v>Contact of Cases 892 and 1002</v>
      </c>
    </row>
    <row r="763" spans="1:16" x14ac:dyDescent="0.3">
      <c r="A763" s="65">
        <v>1028</v>
      </c>
      <c r="B763" s="66">
        <v>43922</v>
      </c>
      <c r="C763" s="65" t="s">
        <v>1071</v>
      </c>
      <c r="D763" s="65">
        <v>26</v>
      </c>
      <c r="E763" s="65" t="s">
        <v>1073</v>
      </c>
      <c r="F763" s="65" t="s">
        <v>1156</v>
      </c>
      <c r="G763" s="65" t="s">
        <v>1414</v>
      </c>
      <c r="H763" s="65" t="s">
        <v>77</v>
      </c>
      <c r="I763" s="65"/>
      <c r="J763" s="65" t="str">
        <f t="shared" si="143"/>
        <v>Female</v>
      </c>
      <c r="K763" s="65" t="str">
        <f t="shared" si="144"/>
        <v>Malaysia</v>
      </c>
      <c r="L763" s="65" t="str">
        <f t="shared" si="145"/>
        <v xml:space="preserve">Case 1028 is a Imported case, 26 years old female Malaysia (Singapore Work Pass holder)  and has been to India, Malaysia . She is currently admitted at NCID . </v>
      </c>
      <c r="M763" s="65">
        <f t="shared" si="146"/>
        <v>1028</v>
      </c>
      <c r="N763" s="65" t="str">
        <f t="shared" si="147"/>
        <v xml:space="preserve">India, Malaysia </v>
      </c>
      <c r="O763" s="65" t="str">
        <f t="shared" si="148"/>
        <v/>
      </c>
      <c r="P763" s="65" t="str">
        <f t="shared" si="149"/>
        <v/>
      </c>
    </row>
    <row r="764" spans="1:16" x14ac:dyDescent="0.3">
      <c r="A764" s="65">
        <v>1029</v>
      </c>
      <c r="B764" s="66">
        <v>43923</v>
      </c>
      <c r="C764" s="65" t="s">
        <v>343</v>
      </c>
      <c r="D764" s="65">
        <v>23</v>
      </c>
      <c r="E764" s="65" t="s">
        <v>1059</v>
      </c>
      <c r="F764" s="65" t="s">
        <v>1060</v>
      </c>
      <c r="G764" s="65"/>
      <c r="H764" s="65" t="s">
        <v>1086</v>
      </c>
      <c r="I764" s="65" t="s">
        <v>1135</v>
      </c>
      <c r="J764" s="65" t="str">
        <f t="shared" si="143"/>
        <v>Male</v>
      </c>
      <c r="K764" s="65" t="str">
        <f t="shared" si="144"/>
        <v>Singaporean</v>
      </c>
      <c r="L764" s="65" t="str">
        <f t="shared" si="145"/>
        <v>Case 1029 is a Local linked  case, 23 years old male Singapore Citizen  and has not been overseas. He is currently admitted at NUH . Family member of Case 227</v>
      </c>
      <c r="M764" s="65" t="str">
        <f t="shared" si="146"/>
        <v/>
      </c>
      <c r="N764" s="65" t="str">
        <f t="shared" si="147"/>
        <v/>
      </c>
      <c r="O764" s="65">
        <f t="shared" si="148"/>
        <v>1029</v>
      </c>
      <c r="P764" s="65" t="str">
        <f t="shared" si="149"/>
        <v>Family member of Case 227</v>
      </c>
    </row>
    <row r="765" spans="1:16" x14ac:dyDescent="0.3">
      <c r="A765" s="65">
        <v>1030</v>
      </c>
      <c r="B765" s="66">
        <v>43923</v>
      </c>
      <c r="C765" s="65" t="s">
        <v>343</v>
      </c>
      <c r="D765" s="65">
        <v>26</v>
      </c>
      <c r="E765" s="65" t="s">
        <v>1059</v>
      </c>
      <c r="F765" s="65" t="s">
        <v>1060</v>
      </c>
      <c r="G765" s="65"/>
      <c r="H765" s="65" t="s">
        <v>1086</v>
      </c>
      <c r="I765" s="65" t="s">
        <v>1415</v>
      </c>
      <c r="J765" s="65" t="str">
        <f t="shared" si="143"/>
        <v>Male</v>
      </c>
      <c r="K765" s="65" t="str">
        <f t="shared" si="144"/>
        <v>Singaporean</v>
      </c>
      <c r="L765" s="65" t="str">
        <f t="shared" si="145"/>
        <v>Case 1030 is a Local linked  case, 26 years old male Singapore Citizen  and has not been overseas. He is currently admitted at NUH . Family member of Cases 1008 and 1031</v>
      </c>
      <c r="M765" s="65" t="str">
        <f t="shared" si="146"/>
        <v/>
      </c>
      <c r="N765" s="65" t="str">
        <f t="shared" si="147"/>
        <v/>
      </c>
      <c r="O765" s="65">
        <f t="shared" si="148"/>
        <v>1030</v>
      </c>
      <c r="P765" s="65" t="str">
        <f t="shared" si="149"/>
        <v>Family member of Cases 1008 and 1031</v>
      </c>
    </row>
    <row r="766" spans="1:16" x14ac:dyDescent="0.3">
      <c r="A766" s="65">
        <v>1031</v>
      </c>
      <c r="B766" s="66">
        <v>43923</v>
      </c>
      <c r="C766" s="65" t="s">
        <v>343</v>
      </c>
      <c r="D766" s="65">
        <v>61</v>
      </c>
      <c r="E766" s="65" t="s">
        <v>1073</v>
      </c>
      <c r="F766" s="65" t="s">
        <v>1060</v>
      </c>
      <c r="G766" s="65"/>
      <c r="H766" s="65" t="s">
        <v>1086</v>
      </c>
      <c r="I766" s="65" t="s">
        <v>1416</v>
      </c>
      <c r="J766" s="65" t="str">
        <f t="shared" si="143"/>
        <v>Female</v>
      </c>
      <c r="K766" s="65" t="str">
        <f t="shared" si="144"/>
        <v>Singaporean</v>
      </c>
      <c r="L766" s="65" t="str">
        <f t="shared" si="145"/>
        <v>Case 1031 is a Local linked  case, 61 years old female Singapore Citizen  and has not been overseas. She is currently admitted at NUH . Family member of Cases 1008 and 1030</v>
      </c>
      <c r="M766" s="65" t="str">
        <f t="shared" si="146"/>
        <v/>
      </c>
      <c r="N766" s="65" t="str">
        <f t="shared" si="147"/>
        <v/>
      </c>
      <c r="O766" s="65">
        <f t="shared" si="148"/>
        <v>1031</v>
      </c>
      <c r="P766" s="65" t="str">
        <f t="shared" si="149"/>
        <v>Family member of Cases 1008 and 1030</v>
      </c>
    </row>
    <row r="767" spans="1:16" x14ac:dyDescent="0.3">
      <c r="A767" s="65">
        <v>1032</v>
      </c>
      <c r="B767" s="66">
        <v>43923</v>
      </c>
      <c r="C767" s="65" t="s">
        <v>1066</v>
      </c>
      <c r="D767" s="65">
        <v>28</v>
      </c>
      <c r="E767" s="65" t="s">
        <v>1073</v>
      </c>
      <c r="F767" s="65" t="s">
        <v>1306</v>
      </c>
      <c r="G767" s="65"/>
      <c r="H767" s="65" t="s">
        <v>1086</v>
      </c>
      <c r="I767" s="65" t="s">
        <v>1417</v>
      </c>
      <c r="J767" s="65" t="str">
        <f t="shared" si="143"/>
        <v>Female</v>
      </c>
      <c r="K767" s="65" t="str">
        <f t="shared" si="144"/>
        <v>China</v>
      </c>
      <c r="L767" s="65" t="str">
        <f t="shared" si="145"/>
        <v>Case 1032 is a Local linked  case, 28 years old female China (Singapore Work Pass holder)  and has not been overseas. She is currently admitted at SKH . Family member of Case 962</v>
      </c>
      <c r="M767" s="65" t="str">
        <f t="shared" si="146"/>
        <v/>
      </c>
      <c r="N767" s="65" t="str">
        <f t="shared" si="147"/>
        <v/>
      </c>
      <c r="O767" s="65">
        <f t="shared" si="148"/>
        <v>1032</v>
      </c>
      <c r="P767" s="65" t="str">
        <f t="shared" si="149"/>
        <v>Family member of Case 962</v>
      </c>
    </row>
    <row r="768" spans="1:16" x14ac:dyDescent="0.3">
      <c r="A768" s="65">
        <v>1033</v>
      </c>
      <c r="B768" s="66">
        <v>43923</v>
      </c>
      <c r="C768" s="65" t="s">
        <v>1066</v>
      </c>
      <c r="D768" s="65">
        <v>32</v>
      </c>
      <c r="E768" s="65" t="s">
        <v>1059</v>
      </c>
      <c r="F768" s="65" t="s">
        <v>1060</v>
      </c>
      <c r="G768" s="65"/>
      <c r="H768" s="65" t="s">
        <v>1061</v>
      </c>
      <c r="I768" s="65"/>
      <c r="J768" s="65" t="str">
        <f t="shared" si="143"/>
        <v>Male</v>
      </c>
      <c r="K768" s="65" t="str">
        <f t="shared" si="144"/>
        <v>Singaporean</v>
      </c>
      <c r="L768" s="65" t="str">
        <f t="shared" si="145"/>
        <v xml:space="preserve">Case 1033 is a Local unlinked case, 32 years old male Singapore Citizen  and has not been overseas. He is currently admitted at SKH . </v>
      </c>
      <c r="M768" s="65" t="str">
        <f t="shared" si="146"/>
        <v/>
      </c>
      <c r="N768" s="65" t="str">
        <f t="shared" si="147"/>
        <v/>
      </c>
      <c r="O768" s="65" t="str">
        <f t="shared" si="148"/>
        <v/>
      </c>
      <c r="P768" s="65" t="str">
        <f t="shared" si="149"/>
        <v/>
      </c>
    </row>
    <row r="769" spans="1:16" x14ac:dyDescent="0.3">
      <c r="A769" s="65">
        <v>1034</v>
      </c>
      <c r="B769" s="66">
        <v>43923</v>
      </c>
      <c r="C769" s="65" t="s">
        <v>1066</v>
      </c>
      <c r="D769" s="65">
        <v>62</v>
      </c>
      <c r="E769" s="65" t="s">
        <v>1059</v>
      </c>
      <c r="F769" s="65" t="s">
        <v>1060</v>
      </c>
      <c r="G769" s="65"/>
      <c r="H769" s="65" t="s">
        <v>1086</v>
      </c>
      <c r="I769" s="65" t="s">
        <v>1409</v>
      </c>
      <c r="J769" s="65" t="str">
        <f t="shared" si="143"/>
        <v>Male</v>
      </c>
      <c r="K769" s="65" t="str">
        <f t="shared" si="144"/>
        <v>Singaporean</v>
      </c>
      <c r="L769" s="65" t="str">
        <f t="shared" si="145"/>
        <v>Case 1034 is a Local linked  case, 62 years old male Singapore Citizen  and has not been overseas. He is currently admitted at SKH . Maxwell MRT construction site</v>
      </c>
      <c r="M769" s="65" t="str">
        <f t="shared" si="146"/>
        <v/>
      </c>
      <c r="N769" s="65" t="str">
        <f t="shared" si="147"/>
        <v/>
      </c>
      <c r="O769" s="65">
        <f t="shared" si="148"/>
        <v>1034</v>
      </c>
      <c r="P769" s="65" t="str">
        <f t="shared" si="149"/>
        <v>Maxwell MRT construction site</v>
      </c>
    </row>
    <row r="770" spans="1:16" x14ac:dyDescent="0.3">
      <c r="A770" s="65">
        <v>1035</v>
      </c>
      <c r="B770" s="66">
        <v>43923</v>
      </c>
      <c r="C770" s="65" t="s">
        <v>1071</v>
      </c>
      <c r="D770" s="65">
        <v>36</v>
      </c>
      <c r="E770" s="65" t="s">
        <v>1059</v>
      </c>
      <c r="F770" s="65" t="s">
        <v>1278</v>
      </c>
      <c r="G770" s="65"/>
      <c r="H770" s="65" t="s">
        <v>1086</v>
      </c>
      <c r="I770" s="65" t="s">
        <v>1359</v>
      </c>
      <c r="J770" s="65" t="str">
        <f t="shared" si="143"/>
        <v>Male</v>
      </c>
      <c r="K770" s="65" t="str">
        <f t="shared" si="144"/>
        <v>Bangladesh</v>
      </c>
      <c r="L770" s="65" t="str">
        <f t="shared" si="145"/>
        <v>Case 1035 is a Local linked  case, 36 years old male Bangladesh (Long Term Pass holder)  and has not been overseas. He is currently admitted at NCID . S11 Dormitory</v>
      </c>
      <c r="M770" s="65" t="str">
        <f t="shared" si="146"/>
        <v/>
      </c>
      <c r="N770" s="65" t="str">
        <f t="shared" si="147"/>
        <v/>
      </c>
      <c r="O770" s="65">
        <f t="shared" si="148"/>
        <v>1035</v>
      </c>
      <c r="P770" s="65" t="str">
        <f t="shared" si="149"/>
        <v>S11 Dormitory</v>
      </c>
    </row>
    <row r="771" spans="1:16" x14ac:dyDescent="0.3">
      <c r="A771" s="65">
        <v>1036</v>
      </c>
      <c r="B771" s="66">
        <v>43923</v>
      </c>
      <c r="C771" s="65" t="s">
        <v>1071</v>
      </c>
      <c r="D771" s="65">
        <v>42</v>
      </c>
      <c r="E771" s="65" t="s">
        <v>1073</v>
      </c>
      <c r="F771" s="65" t="s">
        <v>1335</v>
      </c>
      <c r="G771" s="65"/>
      <c r="H771" s="65" t="s">
        <v>1061</v>
      </c>
      <c r="I771" s="65"/>
      <c r="J771" s="65" t="str">
        <f t="shared" si="143"/>
        <v>Female</v>
      </c>
      <c r="K771" s="65" t="str">
        <f t="shared" si="144"/>
        <v>Japan</v>
      </c>
      <c r="L771" s="65" t="str">
        <f t="shared" si="145"/>
        <v xml:space="preserve">Case 1036 is a Local unlinked case, 42 years old female Japan (Singapore Work Pass holder)  and has not been overseas. She is currently admitted at NCID . </v>
      </c>
      <c r="M771" s="65" t="str">
        <f t="shared" si="146"/>
        <v/>
      </c>
      <c r="N771" s="65" t="str">
        <f t="shared" si="147"/>
        <v/>
      </c>
      <c r="O771" s="65" t="str">
        <f t="shared" si="148"/>
        <v/>
      </c>
      <c r="P771" s="65" t="str">
        <f t="shared" si="149"/>
        <v/>
      </c>
    </row>
    <row r="772" spans="1:16" x14ac:dyDescent="0.3">
      <c r="A772" s="65">
        <v>1037</v>
      </c>
      <c r="B772" s="66">
        <v>43923</v>
      </c>
      <c r="C772" s="65" t="s">
        <v>1071</v>
      </c>
      <c r="D772" s="65">
        <v>34</v>
      </c>
      <c r="E772" s="65" t="s">
        <v>1059</v>
      </c>
      <c r="F772" s="65" t="s">
        <v>1156</v>
      </c>
      <c r="G772" s="65"/>
      <c r="H772" s="65" t="s">
        <v>1086</v>
      </c>
      <c r="I772" s="65" t="s">
        <v>1287</v>
      </c>
      <c r="J772" s="65" t="str">
        <f t="shared" si="143"/>
        <v>Male</v>
      </c>
      <c r="K772" s="65" t="str">
        <f t="shared" si="144"/>
        <v>Malaysia</v>
      </c>
      <c r="L772" s="65" t="str">
        <f t="shared" si="145"/>
        <v>Case 1037 is a Local linked  case, 34 years old male Malaysia (Singapore Work Pass holder)  and has not been overseas. He is currently admitted at NCID . SingPost Centre</v>
      </c>
      <c r="M772" s="65" t="str">
        <f t="shared" si="146"/>
        <v/>
      </c>
      <c r="N772" s="65" t="str">
        <f t="shared" si="147"/>
        <v/>
      </c>
      <c r="O772" s="65">
        <f t="shared" si="148"/>
        <v>1037</v>
      </c>
      <c r="P772" s="65" t="str">
        <f t="shared" si="149"/>
        <v>SingPost Centre</v>
      </c>
    </row>
    <row r="773" spans="1:16" x14ac:dyDescent="0.3">
      <c r="A773" s="65">
        <v>1038</v>
      </c>
      <c r="B773" s="66">
        <v>43923</v>
      </c>
      <c r="C773" s="65" t="s">
        <v>1071</v>
      </c>
      <c r="D773" s="65">
        <v>52</v>
      </c>
      <c r="E773" s="65" t="s">
        <v>1073</v>
      </c>
      <c r="F773" s="65" t="s">
        <v>1060</v>
      </c>
      <c r="G773" s="65"/>
      <c r="H773" s="65" t="s">
        <v>1061</v>
      </c>
      <c r="I773" s="65"/>
      <c r="J773" s="65" t="str">
        <f t="shared" si="143"/>
        <v>Female</v>
      </c>
      <c r="K773" s="65" t="str">
        <f t="shared" si="144"/>
        <v>Singaporean</v>
      </c>
      <c r="L773" s="65" t="str">
        <f t="shared" si="145"/>
        <v xml:space="preserve">Case 1038 is a Local unlinked case, 52 years old female Singapore Citizen  and has not been overseas. She is currently admitted at NCID . </v>
      </c>
      <c r="M773" s="65" t="str">
        <f t="shared" si="146"/>
        <v/>
      </c>
      <c r="N773" s="65" t="str">
        <f t="shared" si="147"/>
        <v/>
      </c>
      <c r="O773" s="65" t="str">
        <f t="shared" si="148"/>
        <v/>
      </c>
      <c r="P773" s="65" t="str">
        <f t="shared" si="149"/>
        <v/>
      </c>
    </row>
    <row r="774" spans="1:16" x14ac:dyDescent="0.3">
      <c r="A774" s="65">
        <v>1039</v>
      </c>
      <c r="B774" s="66">
        <v>43923</v>
      </c>
      <c r="C774" s="65" t="s">
        <v>1071</v>
      </c>
      <c r="D774" s="65">
        <v>22</v>
      </c>
      <c r="E774" s="65" t="s">
        <v>1059</v>
      </c>
      <c r="F774" s="65" t="s">
        <v>1194</v>
      </c>
      <c r="G774" s="65"/>
      <c r="H774" s="65" t="s">
        <v>1086</v>
      </c>
      <c r="I774" s="65" t="s">
        <v>1359</v>
      </c>
      <c r="J774" s="65" t="str">
        <f t="shared" si="143"/>
        <v>Male</v>
      </c>
      <c r="K774" s="65" t="str">
        <f t="shared" si="144"/>
        <v>India</v>
      </c>
      <c r="L774" s="65" t="str">
        <f t="shared" si="145"/>
        <v>Case 1039 is a Local linked  case, 22 years old male India (Long Term Pass holder)  and has not been overseas. He is currently admitted at NCID . S11 Dormitory</v>
      </c>
      <c r="M774" s="65" t="str">
        <f t="shared" si="146"/>
        <v/>
      </c>
      <c r="N774" s="65" t="str">
        <f t="shared" si="147"/>
        <v/>
      </c>
      <c r="O774" s="65">
        <f t="shared" si="148"/>
        <v>1039</v>
      </c>
      <c r="P774" s="65" t="str">
        <f t="shared" si="149"/>
        <v>S11 Dormitory</v>
      </c>
    </row>
    <row r="775" spans="1:16" x14ac:dyDescent="0.3">
      <c r="A775" s="65">
        <v>1040</v>
      </c>
      <c r="B775" s="66">
        <v>43923</v>
      </c>
      <c r="C775" s="65" t="s">
        <v>1071</v>
      </c>
      <c r="D775" s="65">
        <v>48</v>
      </c>
      <c r="E775" s="65" t="s">
        <v>1059</v>
      </c>
      <c r="F775" s="65" t="s">
        <v>1060</v>
      </c>
      <c r="G775" s="65"/>
      <c r="H775" s="65" t="s">
        <v>1086</v>
      </c>
      <c r="I775" s="65" t="s">
        <v>1418</v>
      </c>
      <c r="J775" s="65" t="str">
        <f t="shared" si="143"/>
        <v>Male</v>
      </c>
      <c r="K775" s="65" t="str">
        <f t="shared" si="144"/>
        <v>Singaporean</v>
      </c>
      <c r="L775" s="65" t="str">
        <f t="shared" si="145"/>
        <v>Case 1040 is a Local linked  case, 48 years old male Singapore Citizen  and has not been overseas. He is currently admitted at NCID . Family member of Case 1041</v>
      </c>
      <c r="M775" s="65" t="str">
        <f t="shared" si="146"/>
        <v/>
      </c>
      <c r="N775" s="65" t="str">
        <f t="shared" si="147"/>
        <v/>
      </c>
      <c r="O775" s="65">
        <f t="shared" si="148"/>
        <v>1040</v>
      </c>
      <c r="P775" s="65" t="str">
        <f t="shared" si="149"/>
        <v>Family member of Case 1041</v>
      </c>
    </row>
    <row r="776" spans="1:16" x14ac:dyDescent="0.3">
      <c r="A776" s="65">
        <v>1041</v>
      </c>
      <c r="B776" s="66">
        <v>43923</v>
      </c>
      <c r="C776" s="65" t="s">
        <v>1071</v>
      </c>
      <c r="D776" s="65">
        <v>43</v>
      </c>
      <c r="E776" s="65" t="s">
        <v>1073</v>
      </c>
      <c r="F776" s="65" t="s">
        <v>1060</v>
      </c>
      <c r="G776" s="65"/>
      <c r="H776" s="65" t="s">
        <v>1086</v>
      </c>
      <c r="I776" s="65" t="s">
        <v>1419</v>
      </c>
      <c r="J776" s="65" t="str">
        <f t="shared" si="143"/>
        <v>Female</v>
      </c>
      <c r="K776" s="65" t="str">
        <f t="shared" si="144"/>
        <v>Singaporean</v>
      </c>
      <c r="L776" s="65" t="str">
        <f t="shared" si="145"/>
        <v>Case 1041 is a Local linked  case, 43 years old female Singapore Citizen  and has not been overseas. She is currently admitted at NCID . Family member of Case 1040</v>
      </c>
      <c r="M776" s="65" t="str">
        <f t="shared" si="146"/>
        <v/>
      </c>
      <c r="N776" s="65" t="str">
        <f t="shared" si="147"/>
        <v/>
      </c>
      <c r="O776" s="65">
        <f t="shared" si="148"/>
        <v>1041</v>
      </c>
      <c r="P776" s="65" t="str">
        <f t="shared" si="149"/>
        <v>Family member of Case 1040</v>
      </c>
    </row>
    <row r="777" spans="1:16" x14ac:dyDescent="0.3">
      <c r="A777" s="65">
        <v>1042</v>
      </c>
      <c r="B777" s="66">
        <v>43923</v>
      </c>
      <c r="C777" s="65" t="s">
        <v>1071</v>
      </c>
      <c r="D777" s="65">
        <v>45</v>
      </c>
      <c r="E777" s="65" t="s">
        <v>1059</v>
      </c>
      <c r="F777" s="65" t="s">
        <v>1060</v>
      </c>
      <c r="G777" s="65" t="s">
        <v>706</v>
      </c>
      <c r="H777" s="65" t="s">
        <v>1069</v>
      </c>
      <c r="I777" s="65" t="s">
        <v>1420</v>
      </c>
      <c r="J777" s="65" t="str">
        <f t="shared" si="143"/>
        <v>Male</v>
      </c>
      <c r="K777" s="65" t="str">
        <f t="shared" si="144"/>
        <v>Singaporean</v>
      </c>
      <c r="L777" s="65" t="str">
        <f t="shared" si="145"/>
        <v>Case 1042 is a Imported  case, 45 years old male Singapore Citizen  and has been to Philippines . He is currently admitted at NCID . Contact of Case 893</v>
      </c>
      <c r="M777" s="65">
        <f t="shared" si="146"/>
        <v>1042</v>
      </c>
      <c r="N777" s="65" t="str">
        <f t="shared" si="147"/>
        <v xml:space="preserve">Philippines </v>
      </c>
      <c r="O777" s="65">
        <f t="shared" si="148"/>
        <v>1042</v>
      </c>
      <c r="P777" s="65" t="str">
        <f t="shared" si="149"/>
        <v>Contact of Case 893</v>
      </c>
    </row>
    <row r="778" spans="1:16" x14ac:dyDescent="0.3">
      <c r="A778" s="65">
        <v>1043</v>
      </c>
      <c r="B778" s="66">
        <v>43923</v>
      </c>
      <c r="C778" s="65" t="s">
        <v>1071</v>
      </c>
      <c r="D778" s="65">
        <v>53</v>
      </c>
      <c r="E778" s="65" t="s">
        <v>1073</v>
      </c>
      <c r="F778" s="65" t="s">
        <v>1060</v>
      </c>
      <c r="G778" s="65"/>
      <c r="H778" s="65" t="s">
        <v>1086</v>
      </c>
      <c r="I778" s="65" t="s">
        <v>1287</v>
      </c>
      <c r="J778" s="65" t="str">
        <f t="shared" si="143"/>
        <v>Female</v>
      </c>
      <c r="K778" s="65" t="str">
        <f t="shared" si="144"/>
        <v>Singaporean</v>
      </c>
      <c r="L778" s="65" t="str">
        <f t="shared" si="145"/>
        <v>Case 1043 is a Local linked  case, 53 years old female Singapore Citizen  and has not been overseas. She is currently admitted at NCID . SingPost Centre</v>
      </c>
      <c r="M778" s="65" t="str">
        <f t="shared" si="146"/>
        <v/>
      </c>
      <c r="N778" s="65" t="str">
        <f t="shared" si="147"/>
        <v/>
      </c>
      <c r="O778" s="65">
        <f t="shared" si="148"/>
        <v>1043</v>
      </c>
      <c r="P778" s="65" t="str">
        <f t="shared" si="149"/>
        <v>SingPost Centre</v>
      </c>
    </row>
    <row r="779" spans="1:16" x14ac:dyDescent="0.3">
      <c r="A779" s="65">
        <v>1044</v>
      </c>
      <c r="B779" s="66">
        <v>43923</v>
      </c>
      <c r="C779" s="65" t="s">
        <v>1071</v>
      </c>
      <c r="D779" s="65">
        <v>31</v>
      </c>
      <c r="E779" s="65" t="s">
        <v>1059</v>
      </c>
      <c r="F779" s="65" t="s">
        <v>1060</v>
      </c>
      <c r="G779" s="65"/>
      <c r="H779" s="65" t="s">
        <v>1061</v>
      </c>
      <c r="I779" s="65"/>
      <c r="J779" s="65" t="str">
        <f t="shared" si="143"/>
        <v>Male</v>
      </c>
      <c r="K779" s="65" t="str">
        <f t="shared" si="144"/>
        <v>Singaporean</v>
      </c>
      <c r="L779" s="65" t="str">
        <f t="shared" si="145"/>
        <v xml:space="preserve">Case 1044 is a Local unlinked case, 31 years old male Singapore Citizen  and has not been overseas. He is currently admitted at NCID . </v>
      </c>
      <c r="M779" s="65" t="str">
        <f t="shared" si="146"/>
        <v/>
      </c>
      <c r="N779" s="65" t="str">
        <f t="shared" si="147"/>
        <v/>
      </c>
      <c r="O779" s="65" t="str">
        <f t="shared" si="148"/>
        <v/>
      </c>
      <c r="P779" s="65" t="str">
        <f t="shared" si="149"/>
        <v/>
      </c>
    </row>
    <row r="780" spans="1:16" x14ac:dyDescent="0.3">
      <c r="A780" s="65">
        <v>1045</v>
      </c>
      <c r="B780" s="66">
        <v>43923</v>
      </c>
      <c r="C780" s="65" t="s">
        <v>1071</v>
      </c>
      <c r="D780" s="65">
        <v>21</v>
      </c>
      <c r="E780" s="65" t="s">
        <v>1059</v>
      </c>
      <c r="F780" s="65" t="s">
        <v>1060</v>
      </c>
      <c r="G780" s="65" t="s">
        <v>1063</v>
      </c>
      <c r="H780" s="65" t="s">
        <v>77</v>
      </c>
      <c r="I780" s="65"/>
      <c r="J780" s="65" t="str">
        <f t="shared" si="143"/>
        <v>Male</v>
      </c>
      <c r="K780" s="65" t="str">
        <f t="shared" si="144"/>
        <v>Singaporean</v>
      </c>
      <c r="L780" s="65" t="str">
        <f t="shared" si="145"/>
        <v xml:space="preserve">Case 1045 is a Imported case, 21 years old male Singapore Citizen  and has been to UK . He is currently admitted at NCID . </v>
      </c>
      <c r="M780" s="65">
        <f t="shared" si="146"/>
        <v>1045</v>
      </c>
      <c r="N780" s="65" t="str">
        <f t="shared" si="147"/>
        <v xml:space="preserve">UK </v>
      </c>
      <c r="O780" s="65" t="str">
        <f t="shared" si="148"/>
        <v/>
      </c>
      <c r="P780" s="65" t="str">
        <f t="shared" si="149"/>
        <v/>
      </c>
    </row>
    <row r="781" spans="1:16" x14ac:dyDescent="0.3">
      <c r="A781" s="65">
        <v>1046</v>
      </c>
      <c r="B781" s="66">
        <v>43923</v>
      </c>
      <c r="C781" s="65" t="s">
        <v>1071</v>
      </c>
      <c r="D781" s="65">
        <v>56</v>
      </c>
      <c r="E781" s="65" t="s">
        <v>1059</v>
      </c>
      <c r="F781" s="65" t="s">
        <v>1072</v>
      </c>
      <c r="G781" s="65"/>
      <c r="H781" s="65" t="s">
        <v>1086</v>
      </c>
      <c r="I781" s="65" t="s">
        <v>253</v>
      </c>
      <c r="J781" s="65" t="str">
        <f t="shared" si="143"/>
        <v>Male</v>
      </c>
      <c r="K781" s="65" t="str">
        <f t="shared" si="144"/>
        <v>Singaporean</v>
      </c>
      <c r="L781" s="65" t="str">
        <f t="shared" si="145"/>
        <v>Case 1046 is a Local linked  case, 56 years old male Singapore Permanent Resident  and has not been overseas. He is currently admitted at NCID . Mustafa Centre</v>
      </c>
      <c r="M781" s="65" t="str">
        <f t="shared" si="146"/>
        <v/>
      </c>
      <c r="N781" s="65" t="str">
        <f t="shared" si="147"/>
        <v/>
      </c>
      <c r="O781" s="65">
        <f t="shared" si="148"/>
        <v>1046</v>
      </c>
      <c r="P781" s="65" t="str">
        <f t="shared" si="149"/>
        <v>Mustafa Centre</v>
      </c>
    </row>
    <row r="782" spans="1:16" x14ac:dyDescent="0.3">
      <c r="A782" s="65">
        <v>1047</v>
      </c>
      <c r="B782" s="66">
        <v>43923</v>
      </c>
      <c r="C782" s="65" t="s">
        <v>1071</v>
      </c>
      <c r="D782" s="65">
        <v>25</v>
      </c>
      <c r="E782" s="65" t="s">
        <v>1059</v>
      </c>
      <c r="F782" s="65" t="s">
        <v>1194</v>
      </c>
      <c r="G782" s="65"/>
      <c r="H782" s="65" t="s">
        <v>1086</v>
      </c>
      <c r="I782" s="65" t="s">
        <v>1359</v>
      </c>
      <c r="J782" s="65" t="str">
        <f t="shared" si="143"/>
        <v>Male</v>
      </c>
      <c r="K782" s="65" t="str">
        <f t="shared" si="144"/>
        <v>India</v>
      </c>
      <c r="L782" s="65" t="str">
        <f t="shared" si="145"/>
        <v>Case 1047 is a Local linked  case, 25 years old male India (Long Term Pass holder)  and has not been overseas. He is currently admitted at NCID . S11 Dormitory</v>
      </c>
      <c r="M782" s="65" t="str">
        <f t="shared" si="146"/>
        <v/>
      </c>
      <c r="N782" s="65" t="str">
        <f t="shared" si="147"/>
        <v/>
      </c>
      <c r="O782" s="65">
        <f t="shared" si="148"/>
        <v>1047</v>
      </c>
      <c r="P782" s="65" t="str">
        <f t="shared" si="149"/>
        <v>S11 Dormitory</v>
      </c>
    </row>
    <row r="783" spans="1:16" x14ac:dyDescent="0.3">
      <c r="A783" s="65">
        <v>1048</v>
      </c>
      <c r="B783" s="66">
        <v>43923</v>
      </c>
      <c r="C783" s="65" t="s">
        <v>1071</v>
      </c>
      <c r="D783" s="65">
        <v>73</v>
      </c>
      <c r="E783" s="65" t="s">
        <v>1073</v>
      </c>
      <c r="F783" s="65" t="s">
        <v>1060</v>
      </c>
      <c r="G783" s="65" t="s">
        <v>1063</v>
      </c>
      <c r="H783" s="65" t="s">
        <v>77</v>
      </c>
      <c r="I783" s="65"/>
      <c r="J783" s="65" t="str">
        <f t="shared" si="143"/>
        <v>Female</v>
      </c>
      <c r="K783" s="65" t="str">
        <f t="shared" si="144"/>
        <v>Singaporean</v>
      </c>
      <c r="L783" s="65" t="str">
        <f t="shared" si="145"/>
        <v xml:space="preserve">Case 1048 is a Imported case, 73 years old female Singapore Citizen  and has been to UK . She is currently admitted at NCID . </v>
      </c>
      <c r="M783" s="65">
        <f t="shared" si="146"/>
        <v>1048</v>
      </c>
      <c r="N783" s="65" t="str">
        <f t="shared" si="147"/>
        <v xml:space="preserve">UK </v>
      </c>
      <c r="O783" s="65" t="str">
        <f t="shared" si="148"/>
        <v/>
      </c>
      <c r="P783" s="65" t="str">
        <f t="shared" si="149"/>
        <v/>
      </c>
    </row>
    <row r="784" spans="1:16" x14ac:dyDescent="0.3">
      <c r="A784" s="65">
        <v>1049</v>
      </c>
      <c r="B784" s="66">
        <v>43923</v>
      </c>
      <c r="C784" s="65" t="s">
        <v>1071</v>
      </c>
      <c r="D784" s="65">
        <v>30</v>
      </c>
      <c r="E784" s="65" t="s">
        <v>1059</v>
      </c>
      <c r="F784" s="65" t="s">
        <v>1194</v>
      </c>
      <c r="G784" s="65"/>
      <c r="H784" s="65" t="s">
        <v>1061</v>
      </c>
      <c r="I784" s="65"/>
      <c r="J784" s="65" t="str">
        <f t="shared" si="143"/>
        <v>Male</v>
      </c>
      <c r="K784" s="65" t="str">
        <f t="shared" si="144"/>
        <v>India</v>
      </c>
      <c r="L784" s="65" t="str">
        <f t="shared" si="145"/>
        <v xml:space="preserve">Case 1049 is a Local unlinked case, 30 years old male India (Long Term Pass holder)  and has not been overseas. He is currently admitted at NCID . </v>
      </c>
      <c r="M784" s="65" t="str">
        <f t="shared" si="146"/>
        <v/>
      </c>
      <c r="N784" s="65" t="str">
        <f t="shared" si="147"/>
        <v/>
      </c>
      <c r="O784" s="65" t="str">
        <f t="shared" si="148"/>
        <v/>
      </c>
      <c r="P784" s="65" t="str">
        <f t="shared" si="149"/>
        <v/>
      </c>
    </row>
    <row r="785" spans="1:16" x14ac:dyDescent="0.3">
      <c r="A785" s="70">
        <v>1050</v>
      </c>
      <c r="B785" s="72">
        <v>43923</v>
      </c>
      <c r="C785" s="70" t="s">
        <v>1071</v>
      </c>
      <c r="D785" s="70">
        <v>56</v>
      </c>
      <c r="E785" s="70" t="s">
        <v>1059</v>
      </c>
      <c r="F785" s="70" t="s">
        <v>1306</v>
      </c>
      <c r="G785" s="70"/>
      <c r="H785" s="70" t="s">
        <v>1086</v>
      </c>
      <c r="I785" s="70" t="s">
        <v>1359</v>
      </c>
      <c r="J785" s="70" t="str">
        <f t="shared" ref="J785:J848" si="150">IF(TRIM(E785)="M","Male",IF(TRIM(E785)="F","Female",""))</f>
        <v>Male</v>
      </c>
      <c r="K785" s="70" t="str">
        <f t="shared" ref="K785:K848" si="151">IF(LEFT(F785,9)="Singapore","Singaporean",IF(ISERR(FIND("(",F785)),F785,LEFT(F785,FIND("(",F785)-2)))</f>
        <v>China</v>
      </c>
      <c r="L785" s="70" t="str">
        <f t="shared" ref="L785:L848" si="152">"Case "&amp;A785&amp;" is a "&amp;H785&amp;" case, "&amp;D785&amp;" years old "&amp;LOWER(J785)&amp;" "&amp;F785 &amp;IF(G785=""," and has not been overseas"," and has been to "&amp;G785)&amp;". "&amp;IF(TRIM(E785)="F","She",IF(TRIM(E785)="M","He"))&amp;" is currently admitted at "&amp;C785&amp;". "&amp;I785</f>
        <v>Case 1050 is a Local linked  case, 56 years old male China (Singapore Work Pass holder)  and has not been overseas. He is currently admitted at NCID . S11 Dormitory</v>
      </c>
      <c r="M785" s="70" t="str">
        <f t="shared" ref="M785:M848" si="153">IF(G785="","",A785)</f>
        <v/>
      </c>
      <c r="N785" s="70" t="str">
        <f t="shared" ref="N785:N848" si="154">IF(G785="","",G785)</f>
        <v/>
      </c>
      <c r="O785" s="70">
        <f t="shared" ref="O785:O848" si="155">IF(I785="","",A785)</f>
        <v>1050</v>
      </c>
      <c r="P785" s="70" t="str">
        <f t="shared" ref="P785:P848" si="156">IF(I785="","",I785)</f>
        <v>S11 Dormitory</v>
      </c>
    </row>
    <row r="786" spans="1:16" x14ac:dyDescent="0.3">
      <c r="A786" s="70">
        <v>1051</v>
      </c>
      <c r="B786" s="72">
        <v>43923</v>
      </c>
      <c r="C786" s="70" t="s">
        <v>1058</v>
      </c>
      <c r="D786" s="70">
        <v>35</v>
      </c>
      <c r="E786" s="70" t="s">
        <v>1059</v>
      </c>
      <c r="F786" s="70" t="s">
        <v>1060</v>
      </c>
      <c r="G786" s="70" t="s">
        <v>360</v>
      </c>
      <c r="H786" s="70" t="s">
        <v>77</v>
      </c>
      <c r="I786" s="70"/>
      <c r="J786" s="70" t="str">
        <f t="shared" si="150"/>
        <v>Male</v>
      </c>
      <c r="K786" s="70" t="str">
        <f t="shared" si="151"/>
        <v>Singaporean</v>
      </c>
      <c r="L786" s="70" t="str">
        <f t="shared" si="152"/>
        <v xml:space="preserve">Case 1051 is a Imported case, 35 years old male Singapore Citizen  and has been to Malaysia . He is currently admitted at KTPH . </v>
      </c>
      <c r="M786" s="70">
        <f t="shared" si="153"/>
        <v>1051</v>
      </c>
      <c r="N786" s="70" t="str">
        <f t="shared" si="154"/>
        <v xml:space="preserve">Malaysia </v>
      </c>
      <c r="O786" s="70" t="str">
        <f t="shared" si="155"/>
        <v/>
      </c>
      <c r="P786" s="70" t="str">
        <f t="shared" si="156"/>
        <v/>
      </c>
    </row>
    <row r="787" spans="1:16" x14ac:dyDescent="0.3">
      <c r="A787" s="70">
        <v>1052</v>
      </c>
      <c r="B787" s="72">
        <v>43923</v>
      </c>
      <c r="C787" s="70" t="s">
        <v>1138</v>
      </c>
      <c r="D787" s="70">
        <v>55</v>
      </c>
      <c r="E787" s="70" t="s">
        <v>1073</v>
      </c>
      <c r="F787" s="70" t="s">
        <v>1060</v>
      </c>
      <c r="G787" s="70"/>
      <c r="H787" s="70" t="s">
        <v>1086</v>
      </c>
      <c r="I787" s="70" t="s">
        <v>1424</v>
      </c>
      <c r="J787" s="70" t="str">
        <f t="shared" si="150"/>
        <v>Female</v>
      </c>
      <c r="K787" s="70" t="str">
        <f t="shared" si="151"/>
        <v>Singaporean</v>
      </c>
      <c r="L787" s="70" t="str">
        <f t="shared" si="152"/>
        <v>Case 1052 is a Local linked  case, 55 years old female Singapore Citizen  and has not been overseas. She is currently admitted at SGH . Singapore Cricket Club</v>
      </c>
      <c r="M787" s="70" t="str">
        <f t="shared" si="153"/>
        <v/>
      </c>
      <c r="N787" s="70" t="str">
        <f t="shared" si="154"/>
        <v/>
      </c>
      <c r="O787" s="70">
        <f t="shared" si="155"/>
        <v>1052</v>
      </c>
      <c r="P787" s="70" t="str">
        <f t="shared" si="156"/>
        <v>Singapore Cricket Club</v>
      </c>
    </row>
    <row r="788" spans="1:16" x14ac:dyDescent="0.3">
      <c r="A788" s="70">
        <v>1053</v>
      </c>
      <c r="B788" s="72">
        <v>43923</v>
      </c>
      <c r="C788" s="70" t="s">
        <v>1071</v>
      </c>
      <c r="D788" s="70">
        <v>47</v>
      </c>
      <c r="E788" s="70" t="s">
        <v>1059</v>
      </c>
      <c r="F788" s="70" t="s">
        <v>1060</v>
      </c>
      <c r="G788" s="70"/>
      <c r="H788" s="70" t="s">
        <v>1061</v>
      </c>
      <c r="I788" s="70"/>
      <c r="J788" s="70" t="str">
        <f t="shared" si="150"/>
        <v>Male</v>
      </c>
      <c r="K788" s="70" t="str">
        <f t="shared" si="151"/>
        <v>Singaporean</v>
      </c>
      <c r="L788" s="70" t="str">
        <f t="shared" si="152"/>
        <v xml:space="preserve">Case 1053 is a Local unlinked case, 47 years old male Singapore Citizen  and has not been overseas. He is currently admitted at NCID . </v>
      </c>
      <c r="M788" s="70" t="str">
        <f t="shared" si="153"/>
        <v/>
      </c>
      <c r="N788" s="70" t="str">
        <f t="shared" si="154"/>
        <v/>
      </c>
      <c r="O788" s="70" t="str">
        <f t="shared" si="155"/>
        <v/>
      </c>
      <c r="P788" s="70" t="str">
        <f t="shared" si="156"/>
        <v/>
      </c>
    </row>
    <row r="789" spans="1:16" x14ac:dyDescent="0.3">
      <c r="A789" s="70">
        <v>1054</v>
      </c>
      <c r="B789" s="72">
        <v>43923</v>
      </c>
      <c r="C789" s="70" t="s">
        <v>1071</v>
      </c>
      <c r="D789" s="70">
        <v>29</v>
      </c>
      <c r="E789" s="70" t="s">
        <v>1059</v>
      </c>
      <c r="F789" s="70" t="s">
        <v>1194</v>
      </c>
      <c r="G789" s="70"/>
      <c r="H789" s="70" t="s">
        <v>1152</v>
      </c>
      <c r="I789" s="70"/>
      <c r="J789" s="70" t="str">
        <f t="shared" si="150"/>
        <v>Male</v>
      </c>
      <c r="K789" s="70" t="str">
        <f t="shared" si="151"/>
        <v>India</v>
      </c>
      <c r="L789" s="70" t="str">
        <f t="shared" si="152"/>
        <v xml:space="preserve">Case 1054 is a Local linked case, 29 years old male India (Long Term Pass holder)  and has not been overseas. He is currently admitted at NCID . </v>
      </c>
      <c r="M789" s="70" t="str">
        <f t="shared" si="153"/>
        <v/>
      </c>
      <c r="N789" s="70" t="str">
        <f t="shared" si="154"/>
        <v/>
      </c>
      <c r="O789" s="70" t="str">
        <f t="shared" si="155"/>
        <v/>
      </c>
      <c r="P789" s="70" t="str">
        <f t="shared" si="156"/>
        <v/>
      </c>
    </row>
    <row r="790" spans="1:16" x14ac:dyDescent="0.3">
      <c r="A790" s="70">
        <v>1055</v>
      </c>
      <c r="B790" s="72">
        <v>43923</v>
      </c>
      <c r="C790" s="70" t="s">
        <v>1071</v>
      </c>
      <c r="D790" s="70">
        <v>61</v>
      </c>
      <c r="E790" s="70" t="s">
        <v>1059</v>
      </c>
      <c r="F790" s="70" t="s">
        <v>1060</v>
      </c>
      <c r="G790" s="70"/>
      <c r="H790" s="70" t="s">
        <v>1086</v>
      </c>
      <c r="I790" s="70" t="s">
        <v>1425</v>
      </c>
      <c r="J790" s="70" t="str">
        <f t="shared" si="150"/>
        <v>Male</v>
      </c>
      <c r="K790" s="70" t="str">
        <f t="shared" si="151"/>
        <v>Singaporean</v>
      </c>
      <c r="L790" s="70" t="str">
        <f t="shared" si="152"/>
        <v>Case 1055 is a Local linked  case, 61 years old male Singapore Citizen  and has not been overseas. He is currently admitted at NCID . Lim Ah Mooi Home</v>
      </c>
      <c r="M790" s="70" t="str">
        <f t="shared" si="153"/>
        <v/>
      </c>
      <c r="N790" s="70" t="str">
        <f t="shared" si="154"/>
        <v/>
      </c>
      <c r="O790" s="70">
        <f t="shared" si="155"/>
        <v>1055</v>
      </c>
      <c r="P790" s="70" t="str">
        <f t="shared" si="156"/>
        <v>Lim Ah Mooi Home</v>
      </c>
    </row>
    <row r="791" spans="1:16" x14ac:dyDescent="0.3">
      <c r="A791" s="70">
        <v>1056</v>
      </c>
      <c r="B791" s="72">
        <v>43923</v>
      </c>
      <c r="C791" s="70" t="s">
        <v>1071</v>
      </c>
      <c r="D791" s="70">
        <v>40</v>
      </c>
      <c r="E791" s="70" t="s">
        <v>1059</v>
      </c>
      <c r="F791" s="70" t="s">
        <v>1426</v>
      </c>
      <c r="G791" s="70"/>
      <c r="H791" s="70" t="s">
        <v>1086</v>
      </c>
      <c r="I791" s="70" t="s">
        <v>253</v>
      </c>
      <c r="J791" s="70" t="str">
        <f t="shared" si="150"/>
        <v>Male</v>
      </c>
      <c r="K791" s="70" t="str">
        <f t="shared" si="151"/>
        <v xml:space="preserve">Bangladesh </v>
      </c>
      <c r="L791" s="70" t="str">
        <f t="shared" si="152"/>
        <v>Case 1056 is a Local linked  case, 40 years old male Bangladesh  and has not been overseas. He is currently admitted at NCID . Mustafa Centre</v>
      </c>
      <c r="M791" s="70" t="str">
        <f t="shared" si="153"/>
        <v/>
      </c>
      <c r="N791" s="70" t="str">
        <f t="shared" si="154"/>
        <v/>
      </c>
      <c r="O791" s="70">
        <f t="shared" si="155"/>
        <v>1056</v>
      </c>
      <c r="P791" s="70" t="str">
        <f t="shared" si="156"/>
        <v>Mustafa Centre</v>
      </c>
    </row>
    <row r="792" spans="1:16" x14ac:dyDescent="0.3">
      <c r="A792" s="70">
        <v>1057</v>
      </c>
      <c r="B792" s="72">
        <v>43923</v>
      </c>
      <c r="C792" s="70" t="s">
        <v>1071</v>
      </c>
      <c r="D792" s="70">
        <v>46</v>
      </c>
      <c r="E792" s="70" t="s">
        <v>1073</v>
      </c>
      <c r="F792" s="70" t="s">
        <v>1427</v>
      </c>
      <c r="G792" s="70"/>
      <c r="H792" s="70" t="s">
        <v>1086</v>
      </c>
      <c r="I792" s="70" t="s">
        <v>1428</v>
      </c>
      <c r="J792" s="70" t="str">
        <f t="shared" si="150"/>
        <v>Female</v>
      </c>
      <c r="K792" s="70" t="str">
        <f t="shared" si="151"/>
        <v>Netherlands</v>
      </c>
      <c r="L792" s="70" t="str">
        <f t="shared" si="152"/>
        <v>Case 1057 is a Local linked  case, 46 years old female Netherlands (Long Term Pass holder)  and has not been overseas. She is currently admitted at NCID . Family member of Case 907</v>
      </c>
      <c r="M792" s="70" t="str">
        <f t="shared" si="153"/>
        <v/>
      </c>
      <c r="N792" s="70" t="str">
        <f t="shared" si="154"/>
        <v/>
      </c>
      <c r="O792" s="70">
        <f t="shared" si="155"/>
        <v>1057</v>
      </c>
      <c r="P792" s="70" t="str">
        <f t="shared" si="156"/>
        <v>Family member of Case 907</v>
      </c>
    </row>
    <row r="793" spans="1:16" x14ac:dyDescent="0.3">
      <c r="A793" s="70">
        <v>1058</v>
      </c>
      <c r="B793" s="72">
        <v>43923</v>
      </c>
      <c r="C793" s="70" t="s">
        <v>1161</v>
      </c>
      <c r="D793" s="70">
        <v>7</v>
      </c>
      <c r="E793" s="70" t="s">
        <v>1059</v>
      </c>
      <c r="F793" s="70" t="s">
        <v>1060</v>
      </c>
      <c r="G793" s="70" t="s">
        <v>1341</v>
      </c>
      <c r="H793" s="70" t="s">
        <v>1069</v>
      </c>
      <c r="I793" s="70" t="s">
        <v>1429</v>
      </c>
      <c r="J793" s="70" t="str">
        <f t="shared" si="150"/>
        <v>Male</v>
      </c>
      <c r="K793" s="70" t="str">
        <f t="shared" si="151"/>
        <v>Singaporean</v>
      </c>
      <c r="L793" s="70" t="str">
        <f t="shared" si="152"/>
        <v>Case 1058 is a Imported  case, 7 years old male Singapore Citizen  and has been to UAE . He is currently admitted at KKH . Family member of Cases 832 and 872</v>
      </c>
      <c r="M793" s="70">
        <f t="shared" si="153"/>
        <v>1058</v>
      </c>
      <c r="N793" s="70" t="str">
        <f t="shared" si="154"/>
        <v xml:space="preserve">UAE </v>
      </c>
      <c r="O793" s="70">
        <f t="shared" si="155"/>
        <v>1058</v>
      </c>
      <c r="P793" s="70" t="str">
        <f t="shared" si="156"/>
        <v>Family member of Cases 832 and 872</v>
      </c>
    </row>
    <row r="794" spans="1:16" x14ac:dyDescent="0.3">
      <c r="A794" s="70">
        <v>1059</v>
      </c>
      <c r="B794" s="72">
        <v>43923</v>
      </c>
      <c r="C794" s="70" t="s">
        <v>1161</v>
      </c>
      <c r="D794" s="70">
        <v>5</v>
      </c>
      <c r="E794" s="70" t="s">
        <v>1059</v>
      </c>
      <c r="F794" s="70" t="s">
        <v>1060</v>
      </c>
      <c r="G794" s="70" t="s">
        <v>1341</v>
      </c>
      <c r="H794" s="70" t="s">
        <v>1069</v>
      </c>
      <c r="I794" s="70" t="s">
        <v>1429</v>
      </c>
      <c r="J794" s="70" t="str">
        <f t="shared" si="150"/>
        <v>Male</v>
      </c>
      <c r="K794" s="70" t="str">
        <f t="shared" si="151"/>
        <v>Singaporean</v>
      </c>
      <c r="L794" s="70" t="str">
        <f t="shared" si="152"/>
        <v>Case 1059 is a Imported  case, 5 years old male Singapore Citizen  and has been to UAE . He is currently admitted at KKH . Family member of Cases 832 and 872</v>
      </c>
      <c r="M794" s="70">
        <f t="shared" si="153"/>
        <v>1059</v>
      </c>
      <c r="N794" s="70" t="str">
        <f t="shared" si="154"/>
        <v xml:space="preserve">UAE </v>
      </c>
      <c r="O794" s="70">
        <f t="shared" si="155"/>
        <v>1059</v>
      </c>
      <c r="P794" s="70" t="str">
        <f t="shared" si="156"/>
        <v>Family member of Cases 832 and 872</v>
      </c>
    </row>
    <row r="795" spans="1:16" x14ac:dyDescent="0.3">
      <c r="A795" s="70">
        <v>1060</v>
      </c>
      <c r="B795" s="72">
        <v>43923</v>
      </c>
      <c r="C795" s="70" t="s">
        <v>1071</v>
      </c>
      <c r="D795" s="70">
        <v>66</v>
      </c>
      <c r="E795" s="70" t="s">
        <v>1073</v>
      </c>
      <c r="F795" s="70" t="s">
        <v>1060</v>
      </c>
      <c r="G795" s="70" t="s">
        <v>1085</v>
      </c>
      <c r="H795" s="70" t="s">
        <v>77</v>
      </c>
      <c r="I795" s="70"/>
      <c r="J795" s="70" t="str">
        <f t="shared" si="150"/>
        <v>Female</v>
      </c>
      <c r="K795" s="70" t="str">
        <f t="shared" si="151"/>
        <v>Singaporean</v>
      </c>
      <c r="L795" s="70" t="str">
        <f t="shared" si="152"/>
        <v xml:space="preserve">Case 1060 is a Imported case, 66 years old female Singapore Citizen  and has been to US . She is currently admitted at NCID . </v>
      </c>
      <c r="M795" s="70">
        <f t="shared" si="153"/>
        <v>1060</v>
      </c>
      <c r="N795" s="70" t="str">
        <f t="shared" si="154"/>
        <v xml:space="preserve">US </v>
      </c>
      <c r="O795" s="70" t="str">
        <f t="shared" si="155"/>
        <v/>
      </c>
      <c r="P795" s="70" t="str">
        <f t="shared" si="156"/>
        <v/>
      </c>
    </row>
    <row r="796" spans="1:16" x14ac:dyDescent="0.3">
      <c r="A796" s="70">
        <v>1061</v>
      </c>
      <c r="B796" s="72">
        <v>43923</v>
      </c>
      <c r="C796" s="70" t="s">
        <v>1071</v>
      </c>
      <c r="D796" s="70">
        <v>37</v>
      </c>
      <c r="E796" s="70" t="s">
        <v>1059</v>
      </c>
      <c r="F796" s="70" t="s">
        <v>1278</v>
      </c>
      <c r="G796" s="70"/>
      <c r="H796" s="70" t="s">
        <v>1061</v>
      </c>
      <c r="I796" s="70"/>
      <c r="J796" s="70" t="str">
        <f t="shared" si="150"/>
        <v>Male</v>
      </c>
      <c r="K796" s="70" t="str">
        <f t="shared" si="151"/>
        <v>Bangladesh</v>
      </c>
      <c r="L796" s="70" t="str">
        <f t="shared" si="152"/>
        <v xml:space="preserve">Case 1061 is a Local unlinked case, 37 years old male Bangladesh (Long Term Pass holder)  and has not been overseas. He is currently admitted at NCID . </v>
      </c>
      <c r="M796" s="70" t="str">
        <f t="shared" si="153"/>
        <v/>
      </c>
      <c r="N796" s="70" t="str">
        <f t="shared" si="154"/>
        <v/>
      </c>
      <c r="O796" s="70" t="str">
        <f t="shared" si="155"/>
        <v/>
      </c>
      <c r="P796" s="70" t="str">
        <f t="shared" si="156"/>
        <v/>
      </c>
    </row>
    <row r="797" spans="1:16" x14ac:dyDescent="0.3">
      <c r="A797" s="70">
        <v>1062</v>
      </c>
      <c r="B797" s="72">
        <v>43923</v>
      </c>
      <c r="C797" s="70" t="s">
        <v>1138</v>
      </c>
      <c r="D797" s="70">
        <v>28</v>
      </c>
      <c r="E797" s="70" t="s">
        <v>1059</v>
      </c>
      <c r="F797" s="70" t="s">
        <v>1194</v>
      </c>
      <c r="G797" s="70"/>
      <c r="H797" s="70" t="s">
        <v>1086</v>
      </c>
      <c r="I797" s="70" t="s">
        <v>1382</v>
      </c>
      <c r="J797" s="70" t="str">
        <f t="shared" si="150"/>
        <v>Male</v>
      </c>
      <c r="K797" s="70" t="str">
        <f t="shared" si="151"/>
        <v>India</v>
      </c>
      <c r="L797" s="70" t="str">
        <f t="shared" si="152"/>
        <v>Case 1062 is a Local linked  case, 28 years old male India (Long Term Pass holder)  and has not been overseas. He is currently admitted at SGH . Westlite Toh Guan</v>
      </c>
      <c r="M797" s="70" t="str">
        <f t="shared" si="153"/>
        <v/>
      </c>
      <c r="N797" s="70" t="str">
        <f t="shared" si="154"/>
        <v/>
      </c>
      <c r="O797" s="70">
        <f t="shared" si="155"/>
        <v>1062</v>
      </c>
      <c r="P797" s="70" t="str">
        <f t="shared" si="156"/>
        <v>Westlite Toh Guan</v>
      </c>
    </row>
    <row r="798" spans="1:16" x14ac:dyDescent="0.3">
      <c r="A798" s="70">
        <v>1063</v>
      </c>
      <c r="B798" s="72">
        <v>43923</v>
      </c>
      <c r="C798" s="70" t="s">
        <v>1058</v>
      </c>
      <c r="D798" s="70">
        <v>63</v>
      </c>
      <c r="E798" s="70" t="s">
        <v>1059</v>
      </c>
      <c r="F798" s="70" t="s">
        <v>1060</v>
      </c>
      <c r="G798" s="70"/>
      <c r="H798" s="70" t="s">
        <v>1061</v>
      </c>
      <c r="I798" s="70"/>
      <c r="J798" s="70" t="str">
        <f t="shared" si="150"/>
        <v>Male</v>
      </c>
      <c r="K798" s="70" t="str">
        <f t="shared" si="151"/>
        <v>Singaporean</v>
      </c>
      <c r="L798" s="70" t="str">
        <f t="shared" si="152"/>
        <v xml:space="preserve">Case 1063 is a Local unlinked case, 63 years old male Singapore Citizen  and has not been overseas. He is currently admitted at KTPH . </v>
      </c>
      <c r="M798" s="70" t="str">
        <f t="shared" si="153"/>
        <v/>
      </c>
      <c r="N798" s="70" t="str">
        <f t="shared" si="154"/>
        <v/>
      </c>
      <c r="O798" s="70" t="str">
        <f t="shared" si="155"/>
        <v/>
      </c>
      <c r="P798" s="70" t="str">
        <f t="shared" si="156"/>
        <v/>
      </c>
    </row>
    <row r="799" spans="1:16" x14ac:dyDescent="0.3">
      <c r="A799" s="70">
        <v>1064</v>
      </c>
      <c r="B799" s="72">
        <v>43923</v>
      </c>
      <c r="C799" s="70" t="s">
        <v>1064</v>
      </c>
      <c r="D799" s="70">
        <v>47</v>
      </c>
      <c r="E799" s="70" t="s">
        <v>1073</v>
      </c>
      <c r="F799" s="70" t="s">
        <v>1060</v>
      </c>
      <c r="G799" s="70"/>
      <c r="H799" s="70" t="s">
        <v>1086</v>
      </c>
      <c r="I799" s="70" t="s">
        <v>1430</v>
      </c>
      <c r="J799" s="70" t="str">
        <f t="shared" si="150"/>
        <v>Female</v>
      </c>
      <c r="K799" s="70" t="str">
        <f t="shared" si="151"/>
        <v>Singaporean</v>
      </c>
      <c r="L799" s="70" t="str">
        <f t="shared" si="152"/>
        <v>Case 1064 is a Local linked  case, 47 years old female Singapore Citizen  and has not been overseas. She is currently admitted at CGH . Family member of Case 937</v>
      </c>
      <c r="M799" s="70" t="str">
        <f t="shared" si="153"/>
        <v/>
      </c>
      <c r="N799" s="70" t="str">
        <f t="shared" si="154"/>
        <v/>
      </c>
      <c r="O799" s="70">
        <f t="shared" si="155"/>
        <v>1064</v>
      </c>
      <c r="P799" s="70" t="str">
        <f t="shared" si="156"/>
        <v>Family member of Case 937</v>
      </c>
    </row>
    <row r="800" spans="1:16" x14ac:dyDescent="0.3">
      <c r="A800" s="70">
        <v>1065</v>
      </c>
      <c r="B800" s="72">
        <v>43923</v>
      </c>
      <c r="C800" s="70" t="s">
        <v>1071</v>
      </c>
      <c r="D800" s="70">
        <v>36</v>
      </c>
      <c r="E800" s="70" t="s">
        <v>1059</v>
      </c>
      <c r="F800" s="70" t="s">
        <v>1250</v>
      </c>
      <c r="G800" s="70"/>
      <c r="H800" s="70" t="s">
        <v>1086</v>
      </c>
      <c r="I800" s="70" t="s">
        <v>1431</v>
      </c>
      <c r="J800" s="70" t="str">
        <f t="shared" si="150"/>
        <v>Male</v>
      </c>
      <c r="K800" s="70" t="str">
        <f t="shared" si="151"/>
        <v>Philippines</v>
      </c>
      <c r="L800" s="70" t="str">
        <f t="shared" si="152"/>
        <v>Case 1065 is a Local linked  case, 36 years old male Philippines (Singapore Work Pass holder)  and has not been overseas. He is currently admitted at NCID . Contact of Case 737</v>
      </c>
      <c r="M800" s="70" t="str">
        <f t="shared" si="153"/>
        <v/>
      </c>
      <c r="N800" s="70" t="str">
        <f t="shared" si="154"/>
        <v/>
      </c>
      <c r="O800" s="70">
        <f t="shared" si="155"/>
        <v>1065</v>
      </c>
      <c r="P800" s="70" t="str">
        <f t="shared" si="156"/>
        <v>Contact of Case 737</v>
      </c>
    </row>
    <row r="801" spans="1:16" x14ac:dyDescent="0.3">
      <c r="A801" s="70">
        <v>1066</v>
      </c>
      <c r="B801" s="72">
        <v>43923</v>
      </c>
      <c r="C801" s="70" t="s">
        <v>1071</v>
      </c>
      <c r="D801" s="70">
        <v>69</v>
      </c>
      <c r="E801" s="70" t="s">
        <v>1059</v>
      </c>
      <c r="F801" s="70" t="s">
        <v>1060</v>
      </c>
      <c r="G801" s="70" t="s">
        <v>360</v>
      </c>
      <c r="H801" s="70" t="s">
        <v>1086</v>
      </c>
      <c r="I801" s="70" t="s">
        <v>1339</v>
      </c>
      <c r="J801" s="70" t="str">
        <f t="shared" si="150"/>
        <v>Male</v>
      </c>
      <c r="K801" s="70" t="str">
        <f t="shared" si="151"/>
        <v>Singaporean</v>
      </c>
      <c r="L801" s="70" t="str">
        <f t="shared" si="152"/>
        <v>Case 1066 is a Local linked  case, 69 years old male Singapore Citizen  and has been to Malaysia . He is currently admitted at NCID . Contact of Case 826</v>
      </c>
      <c r="M801" s="70">
        <f t="shared" si="153"/>
        <v>1066</v>
      </c>
      <c r="N801" s="70" t="str">
        <f t="shared" si="154"/>
        <v xml:space="preserve">Malaysia </v>
      </c>
      <c r="O801" s="70">
        <f t="shared" si="155"/>
        <v>1066</v>
      </c>
      <c r="P801" s="70" t="str">
        <f t="shared" si="156"/>
        <v>Contact of Case 826</v>
      </c>
    </row>
    <row r="802" spans="1:16" x14ac:dyDescent="0.3">
      <c r="A802" s="70">
        <v>1067</v>
      </c>
      <c r="B802" s="72">
        <v>43923</v>
      </c>
      <c r="C802" s="70" t="s">
        <v>343</v>
      </c>
      <c r="D802" s="70">
        <v>72</v>
      </c>
      <c r="E802" s="70" t="s">
        <v>1059</v>
      </c>
      <c r="F802" s="70" t="s">
        <v>1060</v>
      </c>
      <c r="G802" s="70"/>
      <c r="H802" s="70" t="s">
        <v>1061</v>
      </c>
      <c r="I802" s="70"/>
      <c r="J802" s="70" t="str">
        <f t="shared" si="150"/>
        <v>Male</v>
      </c>
      <c r="K802" s="70" t="str">
        <f t="shared" si="151"/>
        <v>Singaporean</v>
      </c>
      <c r="L802" s="70" t="str">
        <f t="shared" si="152"/>
        <v xml:space="preserve">Case 1067 is a Local unlinked case, 72 years old male Singapore Citizen  and has not been overseas. He is currently admitted at NUH . </v>
      </c>
      <c r="M802" s="70" t="str">
        <f t="shared" si="153"/>
        <v/>
      </c>
      <c r="N802" s="70" t="str">
        <f t="shared" si="154"/>
        <v/>
      </c>
      <c r="O802" s="70" t="str">
        <f t="shared" si="155"/>
        <v/>
      </c>
      <c r="P802" s="70" t="str">
        <f t="shared" si="156"/>
        <v/>
      </c>
    </row>
    <row r="803" spans="1:16" x14ac:dyDescent="0.3">
      <c r="A803" s="70">
        <v>1068</v>
      </c>
      <c r="B803" s="72">
        <v>43923</v>
      </c>
      <c r="C803" s="70" t="s">
        <v>1062</v>
      </c>
      <c r="D803" s="70">
        <v>29</v>
      </c>
      <c r="E803" s="70" t="s">
        <v>1059</v>
      </c>
      <c r="F803" s="70" t="s">
        <v>1278</v>
      </c>
      <c r="G803" s="70"/>
      <c r="H803" s="70" t="s">
        <v>1086</v>
      </c>
      <c r="I803" s="70" t="s">
        <v>1432</v>
      </c>
      <c r="J803" s="70" t="str">
        <f t="shared" si="150"/>
        <v>Male</v>
      </c>
      <c r="K803" s="70" t="str">
        <f t="shared" si="151"/>
        <v>Bangladesh</v>
      </c>
      <c r="L803" s="70" t="str">
        <f t="shared" si="152"/>
        <v>Case 1068 is a Local linked  case, 29 years old male Bangladesh (Long Term Pass holder)  and has not been overseas. He is currently admitted at NTFGH . Weslite Toh Guan</v>
      </c>
      <c r="M803" s="70" t="str">
        <f t="shared" si="153"/>
        <v/>
      </c>
      <c r="N803" s="70" t="str">
        <f t="shared" si="154"/>
        <v/>
      </c>
      <c r="O803" s="70">
        <f t="shared" si="155"/>
        <v>1068</v>
      </c>
      <c r="P803" s="70" t="str">
        <f t="shared" si="156"/>
        <v>Weslite Toh Guan</v>
      </c>
    </row>
    <row r="804" spans="1:16" x14ac:dyDescent="0.3">
      <c r="A804" s="70">
        <v>1069</v>
      </c>
      <c r="B804" s="72">
        <v>43923</v>
      </c>
      <c r="C804" s="70" t="s">
        <v>343</v>
      </c>
      <c r="D804" s="70">
        <v>53</v>
      </c>
      <c r="E804" s="70" t="s">
        <v>1059</v>
      </c>
      <c r="F804" s="70" t="s">
        <v>1060</v>
      </c>
      <c r="G804" s="70"/>
      <c r="H804" s="70" t="s">
        <v>1086</v>
      </c>
      <c r="I804" s="70" t="s">
        <v>1409</v>
      </c>
      <c r="J804" s="70" t="str">
        <f t="shared" si="150"/>
        <v>Male</v>
      </c>
      <c r="K804" s="70" t="str">
        <f t="shared" si="151"/>
        <v>Singaporean</v>
      </c>
      <c r="L804" s="70" t="str">
        <f t="shared" si="152"/>
        <v>Case 1069 is a Local linked  case, 53 years old male Singapore Citizen  and has not been overseas. He is currently admitted at NUH . Maxwell MRT construction site</v>
      </c>
      <c r="M804" s="70" t="str">
        <f t="shared" si="153"/>
        <v/>
      </c>
      <c r="N804" s="70" t="str">
        <f t="shared" si="154"/>
        <v/>
      </c>
      <c r="O804" s="70">
        <f t="shared" si="155"/>
        <v>1069</v>
      </c>
      <c r="P804" s="70" t="str">
        <f t="shared" si="156"/>
        <v>Maxwell MRT construction site</v>
      </c>
    </row>
    <row r="805" spans="1:16" x14ac:dyDescent="0.3">
      <c r="A805" s="70">
        <v>1070</v>
      </c>
      <c r="B805" s="72">
        <v>43923</v>
      </c>
      <c r="C805" s="70" t="s">
        <v>1071</v>
      </c>
      <c r="D805" s="70">
        <v>34</v>
      </c>
      <c r="E805" s="70" t="s">
        <v>1059</v>
      </c>
      <c r="F805" s="70" t="s">
        <v>1360</v>
      </c>
      <c r="G805" s="70"/>
      <c r="H805" s="70" t="s">
        <v>1061</v>
      </c>
      <c r="I805" s="70"/>
      <c r="J805" s="70" t="str">
        <f t="shared" si="150"/>
        <v>Male</v>
      </c>
      <c r="K805" s="70" t="str">
        <f t="shared" si="151"/>
        <v>Bangladesh</v>
      </c>
      <c r="L805" s="70" t="str">
        <f t="shared" si="152"/>
        <v xml:space="preserve">Case 1070 is a Local unlinked case, 34 years old male Bangladesh (Singapore Work Pass holder)  and has not been overseas. He is currently admitted at NCID . </v>
      </c>
      <c r="M805" s="70" t="str">
        <f t="shared" si="153"/>
        <v/>
      </c>
      <c r="N805" s="70" t="str">
        <f t="shared" si="154"/>
        <v/>
      </c>
      <c r="O805" s="70" t="str">
        <f t="shared" si="155"/>
        <v/>
      </c>
      <c r="P805" s="70" t="str">
        <f t="shared" si="156"/>
        <v/>
      </c>
    </row>
    <row r="806" spans="1:16" x14ac:dyDescent="0.3">
      <c r="A806" s="70">
        <v>1071</v>
      </c>
      <c r="B806" s="72">
        <v>43923</v>
      </c>
      <c r="C806" s="70" t="s">
        <v>1058</v>
      </c>
      <c r="D806" s="70">
        <v>84</v>
      </c>
      <c r="E806" s="70" t="s">
        <v>1073</v>
      </c>
      <c r="F806" s="70" t="s">
        <v>1060</v>
      </c>
      <c r="G806" s="70"/>
      <c r="H806" s="70" t="s">
        <v>1061</v>
      </c>
      <c r="I806" s="70"/>
      <c r="J806" s="70" t="str">
        <f t="shared" si="150"/>
        <v>Female</v>
      </c>
      <c r="K806" s="70" t="str">
        <f t="shared" si="151"/>
        <v>Singaporean</v>
      </c>
      <c r="L806" s="70" t="str">
        <f t="shared" si="152"/>
        <v xml:space="preserve">Case 1071 is a Local unlinked case, 84 years old female Singapore Citizen  and has not been overseas. She is currently admitted at KTPH . </v>
      </c>
      <c r="M806" s="70" t="str">
        <f t="shared" si="153"/>
        <v/>
      </c>
      <c r="N806" s="70" t="str">
        <f t="shared" si="154"/>
        <v/>
      </c>
      <c r="O806" s="70" t="str">
        <f t="shared" si="155"/>
        <v/>
      </c>
      <c r="P806" s="70" t="str">
        <f t="shared" si="156"/>
        <v/>
      </c>
    </row>
    <row r="807" spans="1:16" x14ac:dyDescent="0.3">
      <c r="A807" s="70">
        <v>1072</v>
      </c>
      <c r="B807" s="72">
        <v>43923</v>
      </c>
      <c r="C807" s="70" t="s">
        <v>1062</v>
      </c>
      <c r="D807" s="70">
        <v>28</v>
      </c>
      <c r="E807" s="70" t="s">
        <v>1059</v>
      </c>
      <c r="F807" s="70" t="s">
        <v>1278</v>
      </c>
      <c r="G807" s="70"/>
      <c r="H807" s="70" t="s">
        <v>1086</v>
      </c>
      <c r="I807" s="70" t="s">
        <v>1382</v>
      </c>
      <c r="J807" s="70" t="str">
        <f t="shared" si="150"/>
        <v>Male</v>
      </c>
      <c r="K807" s="70" t="str">
        <f t="shared" si="151"/>
        <v>Bangladesh</v>
      </c>
      <c r="L807" s="70" t="str">
        <f t="shared" si="152"/>
        <v>Case 1072 is a Local linked  case, 28 years old male Bangladesh (Long Term Pass holder)  and has not been overseas. He is currently admitted at NTFGH . Westlite Toh Guan</v>
      </c>
      <c r="M807" s="70" t="str">
        <f t="shared" si="153"/>
        <v/>
      </c>
      <c r="N807" s="70" t="str">
        <f t="shared" si="154"/>
        <v/>
      </c>
      <c r="O807" s="70">
        <f t="shared" si="155"/>
        <v>1072</v>
      </c>
      <c r="P807" s="70" t="str">
        <f t="shared" si="156"/>
        <v>Westlite Toh Guan</v>
      </c>
    </row>
    <row r="808" spans="1:16" x14ac:dyDescent="0.3">
      <c r="A808" s="70">
        <v>1073</v>
      </c>
      <c r="B808" s="72">
        <v>43923</v>
      </c>
      <c r="C808" s="70" t="s">
        <v>1058</v>
      </c>
      <c r="D808" s="70">
        <v>26</v>
      </c>
      <c r="E808" s="70" t="s">
        <v>1073</v>
      </c>
      <c r="F808" s="70" t="s">
        <v>1060</v>
      </c>
      <c r="G808" s="70"/>
      <c r="H808" s="70" t="s">
        <v>1061</v>
      </c>
      <c r="I808" s="70"/>
      <c r="J808" s="70" t="str">
        <f t="shared" si="150"/>
        <v>Female</v>
      </c>
      <c r="K808" s="70" t="str">
        <f t="shared" si="151"/>
        <v>Singaporean</v>
      </c>
      <c r="L808" s="70" t="str">
        <f t="shared" si="152"/>
        <v xml:space="preserve">Case 1073 is a Local unlinked case, 26 years old female Singapore Citizen  and has not been overseas. She is currently admitted at KTPH . </v>
      </c>
      <c r="M808" s="70" t="str">
        <f t="shared" si="153"/>
        <v/>
      </c>
      <c r="N808" s="70" t="str">
        <f t="shared" si="154"/>
        <v/>
      </c>
      <c r="O808" s="70" t="str">
        <f t="shared" si="155"/>
        <v/>
      </c>
      <c r="P808" s="70" t="str">
        <f t="shared" si="156"/>
        <v/>
      </c>
    </row>
    <row r="809" spans="1:16" x14ac:dyDescent="0.3">
      <c r="A809" s="70">
        <v>1074</v>
      </c>
      <c r="B809" s="72">
        <v>43923</v>
      </c>
      <c r="C809" s="70" t="s">
        <v>1066</v>
      </c>
      <c r="D809" s="70">
        <v>41</v>
      </c>
      <c r="E809" s="70" t="s">
        <v>1059</v>
      </c>
      <c r="F809" s="70" t="s">
        <v>1194</v>
      </c>
      <c r="G809" s="70"/>
      <c r="H809" s="70" t="s">
        <v>1086</v>
      </c>
      <c r="I809" s="70" t="s">
        <v>1359</v>
      </c>
      <c r="J809" s="70" t="str">
        <f t="shared" si="150"/>
        <v>Male</v>
      </c>
      <c r="K809" s="70" t="str">
        <f t="shared" si="151"/>
        <v>India</v>
      </c>
      <c r="L809" s="70" t="str">
        <f t="shared" si="152"/>
        <v>Case 1074 is a Local linked  case, 41 years old male India (Long Term Pass holder)  and has not been overseas. He is currently admitted at SKH . S11 Dormitory</v>
      </c>
      <c r="M809" s="70" t="str">
        <f t="shared" si="153"/>
        <v/>
      </c>
      <c r="N809" s="70" t="str">
        <f t="shared" si="154"/>
        <v/>
      </c>
      <c r="O809" s="70">
        <f t="shared" si="155"/>
        <v>1074</v>
      </c>
      <c r="P809" s="70" t="str">
        <f t="shared" si="156"/>
        <v>S11 Dormitory</v>
      </c>
    </row>
    <row r="810" spans="1:16" x14ac:dyDescent="0.3">
      <c r="A810" s="70">
        <v>1075</v>
      </c>
      <c r="B810" s="72">
        <v>43923</v>
      </c>
      <c r="C810" s="70" t="s">
        <v>1071</v>
      </c>
      <c r="D810" s="70">
        <v>67</v>
      </c>
      <c r="E810" s="70" t="s">
        <v>1073</v>
      </c>
      <c r="F810" s="70" t="s">
        <v>1250</v>
      </c>
      <c r="G810" s="70"/>
      <c r="H810" s="70" t="s">
        <v>1086</v>
      </c>
      <c r="I810" s="70" t="s">
        <v>1356</v>
      </c>
      <c r="J810" s="70" t="str">
        <f t="shared" si="150"/>
        <v>Female</v>
      </c>
      <c r="K810" s="70" t="str">
        <f t="shared" si="151"/>
        <v>Philippines</v>
      </c>
      <c r="L810" s="70" t="str">
        <f t="shared" si="152"/>
        <v>Case 1075 is a Local linked  case, 67 years old female Philippines (Singapore Work Pass holder)  and has not been overseas. She is currently admitted at NCID . Wilby Residences</v>
      </c>
      <c r="M810" s="70" t="str">
        <f t="shared" si="153"/>
        <v/>
      </c>
      <c r="N810" s="70" t="str">
        <f t="shared" si="154"/>
        <v/>
      </c>
      <c r="O810" s="70">
        <f t="shared" si="155"/>
        <v>1075</v>
      </c>
      <c r="P810" s="70" t="str">
        <f t="shared" si="156"/>
        <v>Wilby Residences</v>
      </c>
    </row>
    <row r="811" spans="1:16" x14ac:dyDescent="0.3">
      <c r="A811" s="70">
        <v>1076</v>
      </c>
      <c r="B811" s="72">
        <v>43923</v>
      </c>
      <c r="C811" s="70" t="s">
        <v>1071</v>
      </c>
      <c r="D811" s="70">
        <v>54</v>
      </c>
      <c r="E811" s="70" t="s">
        <v>1059</v>
      </c>
      <c r="F811" s="70" t="s">
        <v>1072</v>
      </c>
      <c r="G811" s="70"/>
      <c r="H811" s="70" t="s">
        <v>1086</v>
      </c>
      <c r="I811" s="70" t="s">
        <v>1433</v>
      </c>
      <c r="J811" s="70" t="str">
        <f t="shared" si="150"/>
        <v>Male</v>
      </c>
      <c r="K811" s="70" t="str">
        <f t="shared" si="151"/>
        <v>Singaporean</v>
      </c>
      <c r="L811" s="70" t="str">
        <f t="shared" si="152"/>
        <v>Case 1076 is a Local linked  case, 54 years old male Singapore Permanent Resident  and has not been overseas. He is currently admitted at NCID . Keppel Shipyard</v>
      </c>
      <c r="M811" s="70" t="str">
        <f t="shared" si="153"/>
        <v/>
      </c>
      <c r="N811" s="70" t="str">
        <f t="shared" si="154"/>
        <v/>
      </c>
      <c r="O811" s="70">
        <f t="shared" si="155"/>
        <v>1076</v>
      </c>
      <c r="P811" s="70" t="str">
        <f t="shared" si="156"/>
        <v>Keppel Shipyard</v>
      </c>
    </row>
    <row r="812" spans="1:16" x14ac:dyDescent="0.3">
      <c r="A812" s="70">
        <v>1077</v>
      </c>
      <c r="B812" s="72">
        <v>43923</v>
      </c>
      <c r="C812" s="70" t="s">
        <v>1071</v>
      </c>
      <c r="D812" s="70">
        <v>33</v>
      </c>
      <c r="E812" s="70" t="s">
        <v>1059</v>
      </c>
      <c r="F812" s="70" t="s">
        <v>1194</v>
      </c>
      <c r="G812" s="70"/>
      <c r="H812" s="70" t="s">
        <v>1061</v>
      </c>
      <c r="I812" s="70"/>
      <c r="J812" s="70" t="str">
        <f t="shared" si="150"/>
        <v>Male</v>
      </c>
      <c r="K812" s="70" t="str">
        <f t="shared" si="151"/>
        <v>India</v>
      </c>
      <c r="L812" s="70" t="str">
        <f t="shared" si="152"/>
        <v xml:space="preserve">Case 1077 is a Local unlinked case, 33 years old male India (Long Term Pass holder)  and has not been overseas. He is currently admitted at NCID . </v>
      </c>
      <c r="M812" s="70" t="str">
        <f t="shared" si="153"/>
        <v/>
      </c>
      <c r="N812" s="70" t="str">
        <f t="shared" si="154"/>
        <v/>
      </c>
      <c r="O812" s="70" t="str">
        <f t="shared" si="155"/>
        <v/>
      </c>
      <c r="P812" s="70" t="str">
        <f t="shared" si="156"/>
        <v/>
      </c>
    </row>
    <row r="813" spans="1:16" x14ac:dyDescent="0.3">
      <c r="A813" s="70">
        <v>1078</v>
      </c>
      <c r="B813" s="72">
        <v>43924</v>
      </c>
      <c r="C813" s="70" t="s">
        <v>1071</v>
      </c>
      <c r="D813" s="70">
        <v>44</v>
      </c>
      <c r="E813" s="70" t="s">
        <v>1059</v>
      </c>
      <c r="F813" s="70" t="s">
        <v>1278</v>
      </c>
      <c r="G813" s="70"/>
      <c r="H813" s="70" t="s">
        <v>1061</v>
      </c>
      <c r="I813" s="70"/>
      <c r="J813" s="70" t="str">
        <f t="shared" si="150"/>
        <v>Male</v>
      </c>
      <c r="K813" s="70" t="str">
        <f t="shared" si="151"/>
        <v>Bangladesh</v>
      </c>
      <c r="L813" s="70" t="str">
        <f t="shared" si="152"/>
        <v xml:space="preserve">Case 1078 is a Local unlinked case, 44 years old male Bangladesh (Long Term Pass holder)  and has not been overseas. He is currently admitted at NCID . </v>
      </c>
      <c r="M813" s="70" t="str">
        <f t="shared" si="153"/>
        <v/>
      </c>
      <c r="N813" s="70" t="str">
        <f t="shared" si="154"/>
        <v/>
      </c>
      <c r="O813" s="70" t="str">
        <f t="shared" si="155"/>
        <v/>
      </c>
      <c r="P813" s="70" t="str">
        <f t="shared" si="156"/>
        <v/>
      </c>
    </row>
    <row r="814" spans="1:16" x14ac:dyDescent="0.3">
      <c r="A814" s="70">
        <v>1079</v>
      </c>
      <c r="B814" s="72">
        <v>43924</v>
      </c>
      <c r="C814" s="70" t="s">
        <v>1062</v>
      </c>
      <c r="D814" s="70">
        <v>31</v>
      </c>
      <c r="E814" s="70" t="s">
        <v>1059</v>
      </c>
      <c r="F814" s="70" t="s">
        <v>1278</v>
      </c>
      <c r="G814" s="70"/>
      <c r="H814" s="70" t="s">
        <v>1061</v>
      </c>
      <c r="I814" s="70"/>
      <c r="J814" s="70" t="str">
        <f t="shared" si="150"/>
        <v>Male</v>
      </c>
      <c r="K814" s="70" t="str">
        <f t="shared" si="151"/>
        <v>Bangladesh</v>
      </c>
      <c r="L814" s="70" t="str">
        <f t="shared" si="152"/>
        <v xml:space="preserve">Case 1079 is a Local unlinked case, 31 years old male Bangladesh (Long Term Pass holder)  and has not been overseas. He is currently admitted at NTFGH . </v>
      </c>
      <c r="M814" s="70" t="str">
        <f t="shared" si="153"/>
        <v/>
      </c>
      <c r="N814" s="70" t="str">
        <f t="shared" si="154"/>
        <v/>
      </c>
      <c r="O814" s="70" t="str">
        <f t="shared" si="155"/>
        <v/>
      </c>
      <c r="P814" s="70" t="str">
        <f t="shared" si="156"/>
        <v/>
      </c>
    </row>
    <row r="815" spans="1:16" x14ac:dyDescent="0.3">
      <c r="A815" s="70">
        <v>1080</v>
      </c>
      <c r="B815" s="72">
        <v>43924</v>
      </c>
      <c r="C815" s="70" t="s">
        <v>1062</v>
      </c>
      <c r="D815" s="70">
        <v>85</v>
      </c>
      <c r="E815" s="70" t="s">
        <v>1073</v>
      </c>
      <c r="F815" s="70" t="s">
        <v>1060</v>
      </c>
      <c r="G815" s="70"/>
      <c r="H815" s="70" t="s">
        <v>1061</v>
      </c>
      <c r="I815" s="70"/>
      <c r="J815" s="70" t="str">
        <f t="shared" si="150"/>
        <v>Female</v>
      </c>
      <c r="K815" s="70" t="str">
        <f t="shared" si="151"/>
        <v>Singaporean</v>
      </c>
      <c r="L815" s="70" t="str">
        <f t="shared" si="152"/>
        <v xml:space="preserve">Case 1080 is a Local unlinked case, 85 years old female Singapore Citizen  and has not been overseas. She is currently admitted at NTFGH . </v>
      </c>
      <c r="M815" s="70" t="str">
        <f t="shared" si="153"/>
        <v/>
      </c>
      <c r="N815" s="70" t="str">
        <f t="shared" si="154"/>
        <v/>
      </c>
      <c r="O815" s="70" t="str">
        <f t="shared" si="155"/>
        <v/>
      </c>
      <c r="P815" s="70" t="str">
        <f t="shared" si="156"/>
        <v/>
      </c>
    </row>
    <row r="816" spans="1:16" x14ac:dyDescent="0.3">
      <c r="A816" s="70">
        <v>1081</v>
      </c>
      <c r="B816" s="72">
        <v>43923</v>
      </c>
      <c r="C816" s="70" t="s">
        <v>1071</v>
      </c>
      <c r="D816" s="70">
        <v>62</v>
      </c>
      <c r="E816" s="70" t="s">
        <v>1073</v>
      </c>
      <c r="F816" s="70" t="s">
        <v>1060</v>
      </c>
      <c r="G816" s="70"/>
      <c r="H816" s="70" t="s">
        <v>1061</v>
      </c>
      <c r="I816" s="70"/>
      <c r="J816" s="70" t="str">
        <f t="shared" si="150"/>
        <v>Female</v>
      </c>
      <c r="K816" s="70" t="str">
        <f t="shared" si="151"/>
        <v>Singaporean</v>
      </c>
      <c r="L816" s="70" t="str">
        <f t="shared" si="152"/>
        <v xml:space="preserve">Case 1081 is a Local unlinked case, 62 years old female Singapore Citizen  and has not been overseas. She is currently admitted at NCID . </v>
      </c>
      <c r="M816" s="70" t="str">
        <f t="shared" si="153"/>
        <v/>
      </c>
      <c r="N816" s="70" t="str">
        <f t="shared" si="154"/>
        <v/>
      </c>
      <c r="O816" s="70" t="str">
        <f t="shared" si="155"/>
        <v/>
      </c>
      <c r="P816" s="70" t="str">
        <f t="shared" si="156"/>
        <v/>
      </c>
    </row>
    <row r="817" spans="1:16" x14ac:dyDescent="0.3">
      <c r="A817" s="70">
        <v>1082</v>
      </c>
      <c r="B817" s="72">
        <v>43923</v>
      </c>
      <c r="C817" s="70" t="s">
        <v>1071</v>
      </c>
      <c r="D817" s="70">
        <v>38</v>
      </c>
      <c r="E817" s="70" t="s">
        <v>1059</v>
      </c>
      <c r="F817" s="70" t="s">
        <v>1060</v>
      </c>
      <c r="G817" s="70"/>
      <c r="H817" s="70" t="s">
        <v>1061</v>
      </c>
      <c r="I817" s="70"/>
      <c r="J817" s="70" t="str">
        <f t="shared" si="150"/>
        <v>Male</v>
      </c>
      <c r="K817" s="70" t="str">
        <f t="shared" si="151"/>
        <v>Singaporean</v>
      </c>
      <c r="L817" s="70" t="str">
        <f t="shared" si="152"/>
        <v xml:space="preserve">Case 1082 is a Local unlinked case, 38 years old male Singapore Citizen  and has not been overseas. He is currently admitted at NCID . </v>
      </c>
      <c r="M817" s="70" t="str">
        <f t="shared" si="153"/>
        <v/>
      </c>
      <c r="N817" s="70" t="str">
        <f t="shared" si="154"/>
        <v/>
      </c>
      <c r="O817" s="70" t="str">
        <f t="shared" si="155"/>
        <v/>
      </c>
      <c r="P817" s="70" t="str">
        <f t="shared" si="156"/>
        <v/>
      </c>
    </row>
    <row r="818" spans="1:16" x14ac:dyDescent="0.3">
      <c r="A818" s="70">
        <v>1083</v>
      </c>
      <c r="B818" s="72">
        <v>43924</v>
      </c>
      <c r="C818" s="70" t="s">
        <v>1066</v>
      </c>
      <c r="D818" s="70">
        <v>49</v>
      </c>
      <c r="E818" s="70" t="s">
        <v>1059</v>
      </c>
      <c r="F818" s="70" t="s">
        <v>1306</v>
      </c>
      <c r="G818" s="70"/>
      <c r="H818" s="70" t="s">
        <v>1086</v>
      </c>
      <c r="I818" s="70" t="s">
        <v>1359</v>
      </c>
      <c r="J818" s="70" t="str">
        <f t="shared" si="150"/>
        <v>Male</v>
      </c>
      <c r="K818" s="70" t="str">
        <f t="shared" si="151"/>
        <v>China</v>
      </c>
      <c r="L818" s="70" t="str">
        <f t="shared" si="152"/>
        <v>Case 1083 is a Local linked  case, 49 years old male China (Singapore Work Pass holder)  and has not been overseas. He is currently admitted at SKH . S11 Dormitory</v>
      </c>
      <c r="M818" s="70" t="str">
        <f t="shared" si="153"/>
        <v/>
      </c>
      <c r="N818" s="70" t="str">
        <f t="shared" si="154"/>
        <v/>
      </c>
      <c r="O818" s="70">
        <f t="shared" si="155"/>
        <v>1083</v>
      </c>
      <c r="P818" s="70" t="str">
        <f t="shared" si="156"/>
        <v>S11 Dormitory</v>
      </c>
    </row>
    <row r="819" spans="1:16" x14ac:dyDescent="0.3">
      <c r="A819" s="70">
        <v>1084</v>
      </c>
      <c r="B819" s="72">
        <v>43924</v>
      </c>
      <c r="C819" s="70" t="s">
        <v>1066</v>
      </c>
      <c r="D819" s="70">
        <v>34</v>
      </c>
      <c r="E819" s="70" t="s">
        <v>1059</v>
      </c>
      <c r="F819" s="70" t="s">
        <v>1255</v>
      </c>
      <c r="G819" s="70"/>
      <c r="H819" s="70" t="s">
        <v>1086</v>
      </c>
      <c r="I819" s="70" t="s">
        <v>1359</v>
      </c>
      <c r="J819" s="70" t="str">
        <f t="shared" si="150"/>
        <v>Male</v>
      </c>
      <c r="K819" s="70" t="str">
        <f t="shared" si="151"/>
        <v>India</v>
      </c>
      <c r="L819" s="70" t="str">
        <f t="shared" si="152"/>
        <v>Case 1084 is a Local linked  case, 34 years old male India (Singapore Work Pass holder)  and has not been overseas. He is currently admitted at SKH . S11 Dormitory</v>
      </c>
      <c r="M819" s="70" t="str">
        <f t="shared" si="153"/>
        <v/>
      </c>
      <c r="N819" s="70" t="str">
        <f t="shared" si="154"/>
        <v/>
      </c>
      <c r="O819" s="70">
        <f t="shared" si="155"/>
        <v>1084</v>
      </c>
      <c r="P819" s="70" t="str">
        <f t="shared" si="156"/>
        <v>S11 Dormitory</v>
      </c>
    </row>
    <row r="820" spans="1:16" x14ac:dyDescent="0.3">
      <c r="A820" s="70">
        <v>1085</v>
      </c>
      <c r="B820" s="72">
        <v>43924</v>
      </c>
      <c r="C820" s="70" t="s">
        <v>1066</v>
      </c>
      <c r="D820" s="70">
        <v>31</v>
      </c>
      <c r="E820" s="70" t="s">
        <v>1059</v>
      </c>
      <c r="F820" s="70" t="s">
        <v>1060</v>
      </c>
      <c r="G820" s="70" t="s">
        <v>360</v>
      </c>
      <c r="H820" s="70" t="s">
        <v>77</v>
      </c>
      <c r="I820" s="70"/>
      <c r="J820" s="70" t="str">
        <f t="shared" si="150"/>
        <v>Male</v>
      </c>
      <c r="K820" s="70" t="str">
        <f t="shared" si="151"/>
        <v>Singaporean</v>
      </c>
      <c r="L820" s="70" t="str">
        <f t="shared" si="152"/>
        <v xml:space="preserve">Case 1085 is a Imported case, 31 years old male Singapore Citizen  and has been to Malaysia . He is currently admitted at SKH . </v>
      </c>
      <c r="M820" s="70">
        <f t="shared" si="153"/>
        <v>1085</v>
      </c>
      <c r="N820" s="70" t="str">
        <f t="shared" si="154"/>
        <v xml:space="preserve">Malaysia </v>
      </c>
      <c r="O820" s="70" t="str">
        <f t="shared" si="155"/>
        <v/>
      </c>
      <c r="P820" s="70" t="str">
        <f t="shared" si="156"/>
        <v/>
      </c>
    </row>
    <row r="821" spans="1:16" x14ac:dyDescent="0.3">
      <c r="A821" s="70">
        <v>1086</v>
      </c>
      <c r="B821" s="72">
        <v>43924</v>
      </c>
      <c r="C821" s="70" t="s">
        <v>343</v>
      </c>
      <c r="D821" s="70">
        <v>40</v>
      </c>
      <c r="E821" s="70" t="s">
        <v>1073</v>
      </c>
      <c r="F821" s="70" t="s">
        <v>1250</v>
      </c>
      <c r="G821" s="70"/>
      <c r="H821" s="70" t="s">
        <v>1086</v>
      </c>
      <c r="I821" s="70" t="s">
        <v>1434</v>
      </c>
      <c r="J821" s="70" t="str">
        <f t="shared" si="150"/>
        <v>Female</v>
      </c>
      <c r="K821" s="70" t="str">
        <f t="shared" si="151"/>
        <v>Philippines</v>
      </c>
      <c r="L821" s="70" t="str">
        <f t="shared" si="152"/>
        <v>Case 1086 is a Local linked  case, 40 years old female Philippines (Singapore Work Pass holder)  and has not been overseas. She is currently admitted at NUH . Contact of Cases 227, 348, 1029 and 1087</v>
      </c>
      <c r="M821" s="70" t="str">
        <f t="shared" si="153"/>
        <v/>
      </c>
      <c r="N821" s="70" t="str">
        <f t="shared" si="154"/>
        <v/>
      </c>
      <c r="O821" s="70">
        <f t="shared" si="155"/>
        <v>1086</v>
      </c>
      <c r="P821" s="70" t="str">
        <f t="shared" si="156"/>
        <v>Contact of Cases 227, 348, 1029 and 1087</v>
      </c>
    </row>
    <row r="822" spans="1:16" x14ac:dyDescent="0.3">
      <c r="A822" s="70">
        <v>1087</v>
      </c>
      <c r="B822" s="72">
        <v>43923</v>
      </c>
      <c r="C822" s="70" t="s">
        <v>343</v>
      </c>
      <c r="D822" s="70">
        <v>18</v>
      </c>
      <c r="E822" s="70" t="s">
        <v>1059</v>
      </c>
      <c r="F822" s="70" t="s">
        <v>1060</v>
      </c>
      <c r="G822" s="70"/>
      <c r="H822" s="70" t="s">
        <v>1086</v>
      </c>
      <c r="I822" s="70" t="s">
        <v>1435</v>
      </c>
      <c r="J822" s="70" t="str">
        <f t="shared" si="150"/>
        <v>Male</v>
      </c>
      <c r="K822" s="70" t="str">
        <f t="shared" si="151"/>
        <v>Singaporean</v>
      </c>
      <c r="L822" s="70" t="str">
        <f t="shared" si="152"/>
        <v xml:space="preserve">Case 1087 is a Local linked  case, 18 years old male Singapore Citizen  and has not been overseas. He is currently admitted at NUH . Family member of Cases 227, 348, 1029; Contact of Case 1086 </v>
      </c>
      <c r="M822" s="70" t="str">
        <f t="shared" si="153"/>
        <v/>
      </c>
      <c r="N822" s="70" t="str">
        <f t="shared" si="154"/>
        <v/>
      </c>
      <c r="O822" s="70">
        <f t="shared" si="155"/>
        <v>1087</v>
      </c>
      <c r="P822" s="70" t="str">
        <f t="shared" si="156"/>
        <v xml:space="preserve">Family member of Cases 227, 348, 1029; Contact of Case 1086 </v>
      </c>
    </row>
    <row r="823" spans="1:16" x14ac:dyDescent="0.3">
      <c r="A823" s="70">
        <v>1088</v>
      </c>
      <c r="B823" s="72">
        <v>43924</v>
      </c>
      <c r="C823" s="70" t="s">
        <v>1074</v>
      </c>
      <c r="D823" s="70">
        <v>23</v>
      </c>
      <c r="E823" s="70" t="s">
        <v>1059</v>
      </c>
      <c r="F823" s="70" t="s">
        <v>1060</v>
      </c>
      <c r="G823" s="70" t="s">
        <v>1063</v>
      </c>
      <c r="H823" s="70" t="s">
        <v>77</v>
      </c>
      <c r="I823" s="70"/>
      <c r="J823" s="70" t="str">
        <f t="shared" si="150"/>
        <v>Male</v>
      </c>
      <c r="K823" s="70" t="str">
        <f t="shared" si="151"/>
        <v>Singaporean</v>
      </c>
      <c r="L823" s="70" t="str">
        <f t="shared" si="152"/>
        <v xml:space="preserve">Case 1088 is a Imported case, 23 years old male Singapore Citizen  and has been to UK . He is currently admitted at AH . </v>
      </c>
      <c r="M823" s="70">
        <f t="shared" si="153"/>
        <v>1088</v>
      </c>
      <c r="N823" s="70" t="str">
        <f t="shared" si="154"/>
        <v xml:space="preserve">UK </v>
      </c>
      <c r="O823" s="70" t="str">
        <f t="shared" si="155"/>
        <v/>
      </c>
      <c r="P823" s="70" t="str">
        <f t="shared" si="156"/>
        <v/>
      </c>
    </row>
    <row r="824" spans="1:16" x14ac:dyDescent="0.3">
      <c r="A824" s="70">
        <v>1089</v>
      </c>
      <c r="B824" s="72">
        <v>43924</v>
      </c>
      <c r="C824" s="70" t="s">
        <v>1071</v>
      </c>
      <c r="D824" s="70">
        <v>43</v>
      </c>
      <c r="E824" s="70" t="s">
        <v>1059</v>
      </c>
      <c r="F824" s="70" t="s">
        <v>1360</v>
      </c>
      <c r="G824" s="70"/>
      <c r="H824" s="70" t="s">
        <v>1086</v>
      </c>
      <c r="I824" s="70" t="s">
        <v>1359</v>
      </c>
      <c r="J824" s="70" t="str">
        <f t="shared" si="150"/>
        <v>Male</v>
      </c>
      <c r="K824" s="70" t="str">
        <f t="shared" si="151"/>
        <v>Bangladesh</v>
      </c>
      <c r="L824" s="70" t="str">
        <f t="shared" si="152"/>
        <v>Case 1089 is a Local linked  case, 43 years old male Bangladesh (Singapore Work Pass holder)  and has not been overseas. He is currently admitted at NCID . S11 Dormitory</v>
      </c>
      <c r="M824" s="70" t="str">
        <f t="shared" si="153"/>
        <v/>
      </c>
      <c r="N824" s="70" t="str">
        <f t="shared" si="154"/>
        <v/>
      </c>
      <c r="O824" s="70">
        <f t="shared" si="155"/>
        <v>1089</v>
      </c>
      <c r="P824" s="70" t="str">
        <f t="shared" si="156"/>
        <v>S11 Dormitory</v>
      </c>
    </row>
    <row r="825" spans="1:16" x14ac:dyDescent="0.3">
      <c r="A825" s="70">
        <v>1090</v>
      </c>
      <c r="B825" s="72">
        <v>43923</v>
      </c>
      <c r="C825" s="70" t="s">
        <v>1071</v>
      </c>
      <c r="D825" s="70">
        <v>73</v>
      </c>
      <c r="E825" s="70" t="s">
        <v>1059</v>
      </c>
      <c r="F825" s="70" t="s">
        <v>1060</v>
      </c>
      <c r="G825" s="70"/>
      <c r="H825" s="70" t="s">
        <v>1086</v>
      </c>
      <c r="I825" s="70" t="s">
        <v>1430</v>
      </c>
      <c r="J825" s="70" t="str">
        <f t="shared" si="150"/>
        <v>Male</v>
      </c>
      <c r="K825" s="70" t="str">
        <f t="shared" si="151"/>
        <v>Singaporean</v>
      </c>
      <c r="L825" s="70" t="str">
        <f t="shared" si="152"/>
        <v>Case 1090 is a Local linked  case, 73 years old male Singapore Citizen  and has not been overseas. He is currently admitted at NCID . Family member of Case 937</v>
      </c>
      <c r="M825" s="70" t="str">
        <f t="shared" si="153"/>
        <v/>
      </c>
      <c r="N825" s="70" t="str">
        <f t="shared" si="154"/>
        <v/>
      </c>
      <c r="O825" s="70">
        <f t="shared" si="155"/>
        <v>1090</v>
      </c>
      <c r="P825" s="70" t="str">
        <f t="shared" si="156"/>
        <v>Family member of Case 937</v>
      </c>
    </row>
    <row r="826" spans="1:16" x14ac:dyDescent="0.3">
      <c r="A826" s="70">
        <v>1091</v>
      </c>
      <c r="B826" s="72">
        <v>43924</v>
      </c>
      <c r="C826" s="70" t="s">
        <v>1071</v>
      </c>
      <c r="D826" s="70">
        <v>48</v>
      </c>
      <c r="E826" s="70" t="s">
        <v>1073</v>
      </c>
      <c r="F826" s="70" t="s">
        <v>1060</v>
      </c>
      <c r="G826" s="70"/>
      <c r="H826" s="70" t="s">
        <v>1061</v>
      </c>
      <c r="I826" s="70"/>
      <c r="J826" s="70" t="str">
        <f t="shared" si="150"/>
        <v>Female</v>
      </c>
      <c r="K826" s="70" t="str">
        <f t="shared" si="151"/>
        <v>Singaporean</v>
      </c>
      <c r="L826" s="70" t="str">
        <f t="shared" si="152"/>
        <v xml:space="preserve">Case 1091 is a Local unlinked case, 48 years old female Singapore Citizen  and has not been overseas. She is currently admitted at NCID . </v>
      </c>
      <c r="M826" s="70" t="str">
        <f t="shared" si="153"/>
        <v/>
      </c>
      <c r="N826" s="70" t="str">
        <f t="shared" si="154"/>
        <v/>
      </c>
      <c r="O826" s="70" t="str">
        <f t="shared" si="155"/>
        <v/>
      </c>
      <c r="P826" s="70" t="str">
        <f t="shared" si="156"/>
        <v/>
      </c>
    </row>
    <row r="827" spans="1:16" x14ac:dyDescent="0.3">
      <c r="A827" s="70">
        <v>1092</v>
      </c>
      <c r="B827" s="72">
        <v>43924</v>
      </c>
      <c r="C827" s="70" t="s">
        <v>1058</v>
      </c>
      <c r="D827" s="70">
        <v>61</v>
      </c>
      <c r="E827" s="70" t="s">
        <v>1059</v>
      </c>
      <c r="F827" s="70" t="s">
        <v>1060</v>
      </c>
      <c r="G827" s="70" t="s">
        <v>1436</v>
      </c>
      <c r="H827" s="70" t="s">
        <v>77</v>
      </c>
      <c r="I827" s="70"/>
      <c r="J827" s="70" t="str">
        <f t="shared" si="150"/>
        <v>Male</v>
      </c>
      <c r="K827" s="70" t="str">
        <f t="shared" si="151"/>
        <v>Singaporean</v>
      </c>
      <c r="L827" s="70" t="str">
        <f t="shared" si="152"/>
        <v xml:space="preserve">Case 1092 is a Imported case, 61 years old male Singapore Citizen  and has been to Romania . He is currently admitted at KTPH . </v>
      </c>
      <c r="M827" s="70">
        <f t="shared" si="153"/>
        <v>1092</v>
      </c>
      <c r="N827" s="70" t="str">
        <f t="shared" si="154"/>
        <v xml:space="preserve">Romania </v>
      </c>
      <c r="O827" s="70" t="str">
        <f t="shared" si="155"/>
        <v/>
      </c>
      <c r="P827" s="70" t="str">
        <f t="shared" si="156"/>
        <v/>
      </c>
    </row>
    <row r="828" spans="1:16" x14ac:dyDescent="0.3">
      <c r="A828" s="70">
        <v>1093</v>
      </c>
      <c r="B828" s="72">
        <v>43924</v>
      </c>
      <c r="C828" s="70" t="s">
        <v>1071</v>
      </c>
      <c r="D828" s="70">
        <v>40</v>
      </c>
      <c r="E828" s="70" t="s">
        <v>1073</v>
      </c>
      <c r="F828" s="70" t="s">
        <v>1072</v>
      </c>
      <c r="G828" s="70"/>
      <c r="H828" s="70" t="s">
        <v>1086</v>
      </c>
      <c r="I828" s="70" t="s">
        <v>253</v>
      </c>
      <c r="J828" s="70" t="str">
        <f t="shared" si="150"/>
        <v>Female</v>
      </c>
      <c r="K828" s="70" t="str">
        <f t="shared" si="151"/>
        <v>Singaporean</v>
      </c>
      <c r="L828" s="70" t="str">
        <f t="shared" si="152"/>
        <v>Case 1093 is a Local linked  case, 40 years old female Singapore Permanent Resident  and has not been overseas. She is currently admitted at NCID . Mustafa Centre</v>
      </c>
      <c r="M828" s="70" t="str">
        <f t="shared" si="153"/>
        <v/>
      </c>
      <c r="N828" s="70" t="str">
        <f t="shared" si="154"/>
        <v/>
      </c>
      <c r="O828" s="70">
        <f t="shared" si="155"/>
        <v>1093</v>
      </c>
      <c r="P828" s="70" t="str">
        <f t="shared" si="156"/>
        <v>Mustafa Centre</v>
      </c>
    </row>
    <row r="829" spans="1:16" x14ac:dyDescent="0.3">
      <c r="A829" s="70">
        <v>1094</v>
      </c>
      <c r="B829" s="72">
        <v>43924</v>
      </c>
      <c r="C829" s="70" t="s">
        <v>1071</v>
      </c>
      <c r="D829" s="70">
        <v>24</v>
      </c>
      <c r="E829" s="70" t="s">
        <v>1059</v>
      </c>
      <c r="F829" s="70" t="s">
        <v>1255</v>
      </c>
      <c r="G829" s="70"/>
      <c r="H829" s="70" t="s">
        <v>1086</v>
      </c>
      <c r="I829" s="70" t="s">
        <v>1437</v>
      </c>
      <c r="J829" s="70" t="str">
        <f t="shared" si="150"/>
        <v>Male</v>
      </c>
      <c r="K829" s="70" t="str">
        <f t="shared" si="151"/>
        <v>India</v>
      </c>
      <c r="L829" s="70" t="str">
        <f t="shared" si="152"/>
        <v>Case 1094 is a Local linked  case, 24 years old male India (Singapore Work Pass holder)  and has not been overseas. He is currently admitted at NCID . Ce La Vi</v>
      </c>
      <c r="M829" s="70" t="str">
        <f t="shared" si="153"/>
        <v/>
      </c>
      <c r="N829" s="70" t="str">
        <f t="shared" si="154"/>
        <v/>
      </c>
      <c r="O829" s="70">
        <f t="shared" si="155"/>
        <v>1094</v>
      </c>
      <c r="P829" s="70" t="str">
        <f t="shared" si="156"/>
        <v>Ce La Vi</v>
      </c>
    </row>
    <row r="830" spans="1:16" x14ac:dyDescent="0.3">
      <c r="A830" s="70">
        <v>1095</v>
      </c>
      <c r="B830" s="72">
        <v>43924</v>
      </c>
      <c r="C830" s="70" t="s">
        <v>1071</v>
      </c>
      <c r="D830" s="70">
        <v>61</v>
      </c>
      <c r="E830" s="70" t="s">
        <v>1059</v>
      </c>
      <c r="F830" s="70" t="s">
        <v>1072</v>
      </c>
      <c r="G830" s="70"/>
      <c r="H830" s="70" t="s">
        <v>1086</v>
      </c>
      <c r="I830" s="70" t="s">
        <v>1438</v>
      </c>
      <c r="J830" s="70" t="str">
        <f t="shared" si="150"/>
        <v>Male</v>
      </c>
      <c r="K830" s="70" t="str">
        <f t="shared" si="151"/>
        <v>Singaporean</v>
      </c>
      <c r="L830" s="70" t="str">
        <f t="shared" si="152"/>
        <v>Case 1095 is a Local linked  case, 61 years old male Singapore Permanent Resident  and has not been overseas. He is currently admitted at NCID . Contact of Case 790</v>
      </c>
      <c r="M830" s="70" t="str">
        <f t="shared" si="153"/>
        <v/>
      </c>
      <c r="N830" s="70" t="str">
        <f t="shared" si="154"/>
        <v/>
      </c>
      <c r="O830" s="70">
        <f t="shared" si="155"/>
        <v>1095</v>
      </c>
      <c r="P830" s="70" t="str">
        <f t="shared" si="156"/>
        <v>Contact of Case 790</v>
      </c>
    </row>
    <row r="831" spans="1:16" x14ac:dyDescent="0.3">
      <c r="A831" s="70">
        <v>1096</v>
      </c>
      <c r="B831" s="72">
        <v>43924</v>
      </c>
      <c r="C831" s="70" t="s">
        <v>1071</v>
      </c>
      <c r="D831" s="70">
        <v>40</v>
      </c>
      <c r="E831" s="70" t="s">
        <v>1073</v>
      </c>
      <c r="F831" s="70" t="s">
        <v>1156</v>
      </c>
      <c r="G831" s="70"/>
      <c r="H831" s="70" t="s">
        <v>1086</v>
      </c>
      <c r="I831" s="70" t="s">
        <v>253</v>
      </c>
      <c r="J831" s="70" t="str">
        <f t="shared" si="150"/>
        <v>Female</v>
      </c>
      <c r="K831" s="70" t="str">
        <f t="shared" si="151"/>
        <v>Malaysia</v>
      </c>
      <c r="L831" s="70" t="str">
        <f t="shared" si="152"/>
        <v>Case 1096 is a Local linked  case, 40 years old female Malaysia (Singapore Work Pass holder)  and has not been overseas. She is currently admitted at NCID . Mustafa Centre</v>
      </c>
      <c r="M831" s="70" t="str">
        <f t="shared" si="153"/>
        <v/>
      </c>
      <c r="N831" s="70" t="str">
        <f t="shared" si="154"/>
        <v/>
      </c>
      <c r="O831" s="70">
        <f t="shared" si="155"/>
        <v>1096</v>
      </c>
      <c r="P831" s="70" t="str">
        <f t="shared" si="156"/>
        <v>Mustafa Centre</v>
      </c>
    </row>
    <row r="832" spans="1:16" x14ac:dyDescent="0.3">
      <c r="A832" s="70">
        <v>1097</v>
      </c>
      <c r="B832" s="72">
        <v>43924</v>
      </c>
      <c r="C832" s="70" t="s">
        <v>1071</v>
      </c>
      <c r="D832" s="70">
        <v>28</v>
      </c>
      <c r="E832" s="70" t="s">
        <v>1073</v>
      </c>
      <c r="F832" s="70" t="s">
        <v>1185</v>
      </c>
      <c r="G832" s="70"/>
      <c r="H832" s="70" t="s">
        <v>1086</v>
      </c>
      <c r="I832" s="70" t="s">
        <v>1410</v>
      </c>
      <c r="J832" s="70" t="str">
        <f t="shared" si="150"/>
        <v>Female</v>
      </c>
      <c r="K832" s="70" t="str">
        <f t="shared" si="151"/>
        <v>UK</v>
      </c>
      <c r="L832" s="70" t="str">
        <f t="shared" si="152"/>
        <v>Case 1097 is a Local linked  case, 28 years old female UK (Long Term Pass holder)  and has not been overseas. She is currently admitted at NCID . Hero's</v>
      </c>
      <c r="M832" s="70" t="str">
        <f t="shared" si="153"/>
        <v/>
      </c>
      <c r="N832" s="70" t="str">
        <f t="shared" si="154"/>
        <v/>
      </c>
      <c r="O832" s="70">
        <f t="shared" si="155"/>
        <v>1097</v>
      </c>
      <c r="P832" s="70" t="str">
        <f t="shared" si="156"/>
        <v>Hero's</v>
      </c>
    </row>
    <row r="833" spans="1:16" x14ac:dyDescent="0.3">
      <c r="A833" s="70">
        <v>1098</v>
      </c>
      <c r="B833" s="72">
        <v>43924</v>
      </c>
      <c r="C833" s="70" t="s">
        <v>1071</v>
      </c>
      <c r="D833" s="70">
        <v>35</v>
      </c>
      <c r="E833" s="70" t="s">
        <v>1073</v>
      </c>
      <c r="F833" s="70" t="s">
        <v>1060</v>
      </c>
      <c r="G833" s="70"/>
      <c r="H833" s="70" t="s">
        <v>1086</v>
      </c>
      <c r="I833" s="70" t="s">
        <v>1236</v>
      </c>
      <c r="J833" s="70" t="str">
        <f t="shared" si="150"/>
        <v>Female</v>
      </c>
      <c r="K833" s="70" t="str">
        <f t="shared" si="151"/>
        <v>Singaporean</v>
      </c>
      <c r="L833" s="70" t="str">
        <f t="shared" si="152"/>
        <v>Case 1098 is a Local linked  case, 35 years old female Singapore Citizen  and has not been overseas. She is currently admitted at NCID . Dover Court International School</v>
      </c>
      <c r="M833" s="70" t="str">
        <f t="shared" si="153"/>
        <v/>
      </c>
      <c r="N833" s="70" t="str">
        <f t="shared" si="154"/>
        <v/>
      </c>
      <c r="O833" s="70">
        <f t="shared" si="155"/>
        <v>1098</v>
      </c>
      <c r="P833" s="70" t="str">
        <f t="shared" si="156"/>
        <v>Dover Court International School</v>
      </c>
    </row>
    <row r="834" spans="1:16" x14ac:dyDescent="0.3">
      <c r="A834" s="70">
        <v>1099</v>
      </c>
      <c r="B834" s="72">
        <v>43924</v>
      </c>
      <c r="C834" s="70" t="s">
        <v>1071</v>
      </c>
      <c r="D834" s="70">
        <v>54</v>
      </c>
      <c r="E834" s="70" t="s">
        <v>1059</v>
      </c>
      <c r="F834" s="70" t="s">
        <v>1060</v>
      </c>
      <c r="G834" s="70" t="s">
        <v>1085</v>
      </c>
      <c r="H834" s="70" t="s">
        <v>77</v>
      </c>
      <c r="I834" s="70"/>
      <c r="J834" s="70" t="str">
        <f t="shared" si="150"/>
        <v>Male</v>
      </c>
      <c r="K834" s="70" t="str">
        <f t="shared" si="151"/>
        <v>Singaporean</v>
      </c>
      <c r="L834" s="70" t="str">
        <f t="shared" si="152"/>
        <v xml:space="preserve">Case 1099 is a Imported case, 54 years old male Singapore Citizen  and has been to US . He is currently admitted at NCID . </v>
      </c>
      <c r="M834" s="70">
        <f t="shared" si="153"/>
        <v>1099</v>
      </c>
      <c r="N834" s="70" t="str">
        <f t="shared" si="154"/>
        <v xml:space="preserve">US </v>
      </c>
      <c r="O834" s="70" t="str">
        <f t="shared" si="155"/>
        <v/>
      </c>
      <c r="P834" s="70" t="str">
        <f t="shared" si="156"/>
        <v/>
      </c>
    </row>
    <row r="835" spans="1:16" x14ac:dyDescent="0.3">
      <c r="A835" s="70">
        <v>1100</v>
      </c>
      <c r="B835" s="72">
        <v>43924</v>
      </c>
      <c r="C835" s="70" t="s">
        <v>1071</v>
      </c>
      <c r="D835" s="70">
        <v>39</v>
      </c>
      <c r="E835" s="70" t="s">
        <v>1059</v>
      </c>
      <c r="F835" s="70" t="s">
        <v>1072</v>
      </c>
      <c r="G835" s="70"/>
      <c r="H835" s="70" t="s">
        <v>1086</v>
      </c>
      <c r="I835" s="70" t="s">
        <v>1382</v>
      </c>
      <c r="J835" s="70" t="str">
        <f t="shared" si="150"/>
        <v>Male</v>
      </c>
      <c r="K835" s="70" t="str">
        <f t="shared" si="151"/>
        <v>Singaporean</v>
      </c>
      <c r="L835" s="70" t="str">
        <f t="shared" si="152"/>
        <v>Case 1100 is a Local linked  case, 39 years old male Singapore Permanent Resident  and has not been overseas. He is currently admitted at NCID . Westlite Toh Guan</v>
      </c>
      <c r="M835" s="70" t="str">
        <f t="shared" si="153"/>
        <v/>
      </c>
      <c r="N835" s="70" t="str">
        <f t="shared" si="154"/>
        <v/>
      </c>
      <c r="O835" s="70">
        <f t="shared" si="155"/>
        <v>1100</v>
      </c>
      <c r="P835" s="70" t="str">
        <f t="shared" si="156"/>
        <v>Westlite Toh Guan</v>
      </c>
    </row>
    <row r="836" spans="1:16" x14ac:dyDescent="0.3">
      <c r="A836" s="70">
        <v>1101</v>
      </c>
      <c r="B836" s="72">
        <v>43924</v>
      </c>
      <c r="C836" s="70" t="s">
        <v>1071</v>
      </c>
      <c r="D836" s="70">
        <v>32</v>
      </c>
      <c r="E836" s="70" t="s">
        <v>1059</v>
      </c>
      <c r="F836" s="70" t="s">
        <v>1360</v>
      </c>
      <c r="G836" s="70"/>
      <c r="H836" s="70" t="s">
        <v>1086</v>
      </c>
      <c r="I836" s="70" t="s">
        <v>1382</v>
      </c>
      <c r="J836" s="70" t="str">
        <f t="shared" si="150"/>
        <v>Male</v>
      </c>
      <c r="K836" s="70" t="str">
        <f t="shared" si="151"/>
        <v>Bangladesh</v>
      </c>
      <c r="L836" s="70" t="str">
        <f t="shared" si="152"/>
        <v>Case 1101 is a Local linked  case, 32 years old male Bangladesh (Singapore Work Pass holder)  and has not been overseas. He is currently admitted at NCID . Westlite Toh Guan</v>
      </c>
      <c r="M836" s="70" t="str">
        <f t="shared" si="153"/>
        <v/>
      </c>
      <c r="N836" s="70" t="str">
        <f t="shared" si="154"/>
        <v/>
      </c>
      <c r="O836" s="70">
        <f t="shared" si="155"/>
        <v>1101</v>
      </c>
      <c r="P836" s="70" t="str">
        <f t="shared" si="156"/>
        <v>Westlite Toh Guan</v>
      </c>
    </row>
    <row r="837" spans="1:16" x14ac:dyDescent="0.3">
      <c r="A837" s="70">
        <v>1102</v>
      </c>
      <c r="B837" s="72">
        <v>43924</v>
      </c>
      <c r="C837" s="70" t="s">
        <v>1071</v>
      </c>
      <c r="D837" s="70">
        <v>30</v>
      </c>
      <c r="E837" s="70" t="s">
        <v>1059</v>
      </c>
      <c r="F837" s="70" t="s">
        <v>1060</v>
      </c>
      <c r="G837" s="70"/>
      <c r="H837" s="70" t="s">
        <v>1333</v>
      </c>
      <c r="I837" s="70"/>
      <c r="J837" s="70" t="str">
        <f t="shared" si="150"/>
        <v>Male</v>
      </c>
      <c r="K837" s="70" t="str">
        <f t="shared" si="151"/>
        <v>Singaporean</v>
      </c>
      <c r="L837" s="70" t="str">
        <f t="shared" si="152"/>
        <v xml:space="preserve">Case 1102 is a Local unlinked  case, 30 years old male Singapore Citizen  and has not been overseas. He is currently admitted at NCID . </v>
      </c>
      <c r="M837" s="70" t="str">
        <f t="shared" si="153"/>
        <v/>
      </c>
      <c r="N837" s="70" t="str">
        <f t="shared" si="154"/>
        <v/>
      </c>
      <c r="O837" s="70" t="str">
        <f t="shared" si="155"/>
        <v/>
      </c>
      <c r="P837" s="70" t="str">
        <f t="shared" si="156"/>
        <v/>
      </c>
    </row>
    <row r="838" spans="1:16" x14ac:dyDescent="0.3">
      <c r="A838" s="70">
        <v>1103</v>
      </c>
      <c r="B838" s="72">
        <v>43924</v>
      </c>
      <c r="C838" s="70" t="s">
        <v>1071</v>
      </c>
      <c r="D838" s="70">
        <v>42</v>
      </c>
      <c r="E838" s="70" t="s">
        <v>1073</v>
      </c>
      <c r="F838" s="70" t="s">
        <v>1060</v>
      </c>
      <c r="G838" s="70"/>
      <c r="H838" s="70" t="s">
        <v>1086</v>
      </c>
      <c r="I838" s="70" t="s">
        <v>1439</v>
      </c>
      <c r="J838" s="70" t="str">
        <f t="shared" si="150"/>
        <v>Female</v>
      </c>
      <c r="K838" s="70" t="str">
        <f t="shared" si="151"/>
        <v>Singaporean</v>
      </c>
      <c r="L838" s="70" t="str">
        <f t="shared" si="152"/>
        <v xml:space="preserve">Case 1103 is a Local linked  case, 42 years old female Singapore Citizen  and has not been overseas. She is currently admitted at NCID . Contact of Case 1031 </v>
      </c>
      <c r="M838" s="70" t="str">
        <f t="shared" si="153"/>
        <v/>
      </c>
      <c r="N838" s="70" t="str">
        <f t="shared" si="154"/>
        <v/>
      </c>
      <c r="O838" s="70">
        <f t="shared" si="155"/>
        <v>1103</v>
      </c>
      <c r="P838" s="70" t="str">
        <f t="shared" si="156"/>
        <v xml:space="preserve">Contact of Case 1031 </v>
      </c>
    </row>
    <row r="839" spans="1:16" x14ac:dyDescent="0.3">
      <c r="A839" s="70">
        <v>1104</v>
      </c>
      <c r="B839" s="72">
        <v>43924</v>
      </c>
      <c r="C839" s="70" t="s">
        <v>1071</v>
      </c>
      <c r="D839" s="70">
        <v>23</v>
      </c>
      <c r="E839" s="70" t="s">
        <v>1059</v>
      </c>
      <c r="F839" s="70" t="s">
        <v>1278</v>
      </c>
      <c r="G839" s="70"/>
      <c r="H839" s="70" t="s">
        <v>1086</v>
      </c>
      <c r="I839" s="70" t="s">
        <v>1440</v>
      </c>
      <c r="J839" s="70" t="str">
        <f t="shared" si="150"/>
        <v>Male</v>
      </c>
      <c r="K839" s="70" t="str">
        <f t="shared" si="151"/>
        <v>Bangladesh</v>
      </c>
      <c r="L839" s="70" t="str">
        <f t="shared" si="152"/>
        <v>Case 1104 is a Local linked  case, 23 years old male Bangladesh (Long Term Pass holder)  and has not been overseas. He is currently admitted at NCID . Project Glory</v>
      </c>
      <c r="M839" s="70" t="str">
        <f t="shared" si="153"/>
        <v/>
      </c>
      <c r="N839" s="70" t="str">
        <f t="shared" si="154"/>
        <v/>
      </c>
      <c r="O839" s="70">
        <f t="shared" si="155"/>
        <v>1104</v>
      </c>
      <c r="P839" s="70" t="str">
        <f t="shared" si="156"/>
        <v>Project Glory</v>
      </c>
    </row>
    <row r="840" spans="1:16" x14ac:dyDescent="0.3">
      <c r="A840" s="70">
        <v>1105</v>
      </c>
      <c r="B840" s="72">
        <v>43924</v>
      </c>
      <c r="C840" s="70" t="s">
        <v>1071</v>
      </c>
      <c r="D840" s="70">
        <v>55</v>
      </c>
      <c r="E840" s="70" t="s">
        <v>1073</v>
      </c>
      <c r="F840" s="70" t="s">
        <v>1072</v>
      </c>
      <c r="G840" s="70"/>
      <c r="H840" s="70" t="s">
        <v>1086</v>
      </c>
      <c r="I840" s="70" t="s">
        <v>1441</v>
      </c>
      <c r="J840" s="70" t="str">
        <f t="shared" si="150"/>
        <v>Female</v>
      </c>
      <c r="K840" s="70" t="str">
        <f t="shared" si="151"/>
        <v>Singaporean</v>
      </c>
      <c r="L840" s="70" t="str">
        <f t="shared" si="152"/>
        <v>Case 1105 is a Local linked  case, 55 years old female Singapore Permanent Resident  and has not been overseas. She is currently admitted at NCID . Contact of Case 887</v>
      </c>
      <c r="M840" s="70" t="str">
        <f t="shared" si="153"/>
        <v/>
      </c>
      <c r="N840" s="70" t="str">
        <f t="shared" si="154"/>
        <v/>
      </c>
      <c r="O840" s="70">
        <f t="shared" si="155"/>
        <v>1105</v>
      </c>
      <c r="P840" s="70" t="str">
        <f t="shared" si="156"/>
        <v>Contact of Case 887</v>
      </c>
    </row>
    <row r="841" spans="1:16" x14ac:dyDescent="0.3">
      <c r="A841" s="70">
        <v>1106</v>
      </c>
      <c r="B841" s="72">
        <v>43924</v>
      </c>
      <c r="C841" s="70" t="s">
        <v>1071</v>
      </c>
      <c r="D841" s="70">
        <v>27</v>
      </c>
      <c r="E841" s="70" t="s">
        <v>1059</v>
      </c>
      <c r="F841" s="70" t="s">
        <v>1278</v>
      </c>
      <c r="G841" s="70"/>
      <c r="H841" s="70" t="s">
        <v>1086</v>
      </c>
      <c r="I841" s="70" t="s">
        <v>1382</v>
      </c>
      <c r="J841" s="70" t="str">
        <f t="shared" si="150"/>
        <v>Male</v>
      </c>
      <c r="K841" s="70" t="str">
        <f t="shared" si="151"/>
        <v>Bangladesh</v>
      </c>
      <c r="L841" s="70" t="str">
        <f t="shared" si="152"/>
        <v>Case 1106 is a Local linked  case, 27 years old male Bangladesh (Long Term Pass holder)  and has not been overseas. He is currently admitted at NCID . Westlite Toh Guan</v>
      </c>
      <c r="M841" s="70" t="str">
        <f t="shared" si="153"/>
        <v/>
      </c>
      <c r="N841" s="70" t="str">
        <f t="shared" si="154"/>
        <v/>
      </c>
      <c r="O841" s="70">
        <f t="shared" si="155"/>
        <v>1106</v>
      </c>
      <c r="P841" s="70" t="str">
        <f t="shared" si="156"/>
        <v>Westlite Toh Guan</v>
      </c>
    </row>
    <row r="842" spans="1:16" x14ac:dyDescent="0.3">
      <c r="A842" s="70">
        <v>1107</v>
      </c>
      <c r="B842" s="72">
        <v>43924</v>
      </c>
      <c r="C842" s="70" t="s">
        <v>1058</v>
      </c>
      <c r="D842" s="70">
        <v>23</v>
      </c>
      <c r="E842" s="70" t="s">
        <v>1059</v>
      </c>
      <c r="F842" s="70" t="s">
        <v>1194</v>
      </c>
      <c r="G842" s="70"/>
      <c r="H842" s="70" t="s">
        <v>1086</v>
      </c>
      <c r="I842" s="70" t="s">
        <v>1359</v>
      </c>
      <c r="J842" s="70" t="str">
        <f t="shared" si="150"/>
        <v>Male</v>
      </c>
      <c r="K842" s="70" t="str">
        <f t="shared" si="151"/>
        <v>India</v>
      </c>
      <c r="L842" s="70" t="str">
        <f t="shared" si="152"/>
        <v>Case 1107 is a Local linked  case, 23 years old male India (Long Term Pass holder)  and has not been overseas. He is currently admitted at KTPH . S11 Dormitory</v>
      </c>
      <c r="M842" s="70" t="str">
        <f t="shared" si="153"/>
        <v/>
      </c>
      <c r="N842" s="70" t="str">
        <f t="shared" si="154"/>
        <v/>
      </c>
      <c r="O842" s="70">
        <f t="shared" si="155"/>
        <v>1107</v>
      </c>
      <c r="P842" s="70" t="str">
        <f t="shared" si="156"/>
        <v>S11 Dormitory</v>
      </c>
    </row>
    <row r="843" spans="1:16" x14ac:dyDescent="0.3">
      <c r="A843" s="70">
        <v>1108</v>
      </c>
      <c r="B843" s="72">
        <v>43924</v>
      </c>
      <c r="C843" s="70" t="s">
        <v>1058</v>
      </c>
      <c r="D843" s="70">
        <v>24</v>
      </c>
      <c r="E843" s="70" t="s">
        <v>1059</v>
      </c>
      <c r="F843" s="70" t="s">
        <v>1278</v>
      </c>
      <c r="G843" s="70"/>
      <c r="H843" s="70" t="s">
        <v>1086</v>
      </c>
      <c r="I843" s="70" t="s">
        <v>1359</v>
      </c>
      <c r="J843" s="70" t="str">
        <f t="shared" si="150"/>
        <v>Male</v>
      </c>
      <c r="K843" s="70" t="str">
        <f t="shared" si="151"/>
        <v>Bangladesh</v>
      </c>
      <c r="L843" s="70" t="str">
        <f t="shared" si="152"/>
        <v>Case 1108 is a Local linked  case, 24 years old male Bangladesh (Long Term Pass holder)  and has not been overseas. He is currently admitted at KTPH . S11 Dormitory</v>
      </c>
      <c r="M843" s="70" t="str">
        <f t="shared" si="153"/>
        <v/>
      </c>
      <c r="N843" s="70" t="str">
        <f t="shared" si="154"/>
        <v/>
      </c>
      <c r="O843" s="70">
        <f t="shared" si="155"/>
        <v>1108</v>
      </c>
      <c r="P843" s="70" t="str">
        <f t="shared" si="156"/>
        <v>S11 Dormitory</v>
      </c>
    </row>
    <row r="844" spans="1:16" x14ac:dyDescent="0.3">
      <c r="A844" s="70">
        <v>1109</v>
      </c>
      <c r="B844" s="72">
        <v>43924</v>
      </c>
      <c r="C844" s="70" t="s">
        <v>1074</v>
      </c>
      <c r="D844" s="70">
        <v>72</v>
      </c>
      <c r="E844" s="70" t="s">
        <v>1059</v>
      </c>
      <c r="F844" s="70" t="s">
        <v>1173</v>
      </c>
      <c r="G844" s="70" t="s">
        <v>687</v>
      </c>
      <c r="H844" s="70" t="s">
        <v>1069</v>
      </c>
      <c r="I844" s="70" t="s">
        <v>1442</v>
      </c>
      <c r="J844" s="70" t="str">
        <f t="shared" si="150"/>
        <v>Male</v>
      </c>
      <c r="K844" s="70" t="str">
        <f t="shared" si="151"/>
        <v>Indonesia</v>
      </c>
      <c r="L844" s="70" t="str">
        <f t="shared" si="152"/>
        <v>Case 1109 is a Imported  case, 72 years old male Indonesia (Long Term Pass holder)  and has been to Indonesia . He is currently admitted at AH . Family member of Case 928</v>
      </c>
      <c r="M844" s="70">
        <f t="shared" si="153"/>
        <v>1109</v>
      </c>
      <c r="N844" s="70" t="str">
        <f t="shared" si="154"/>
        <v xml:space="preserve">Indonesia </v>
      </c>
      <c r="O844" s="70">
        <f t="shared" si="155"/>
        <v>1109</v>
      </c>
      <c r="P844" s="70" t="str">
        <f t="shared" si="156"/>
        <v>Family member of Case 928</v>
      </c>
    </row>
    <row r="845" spans="1:16" x14ac:dyDescent="0.3">
      <c r="A845" s="70">
        <v>1110</v>
      </c>
      <c r="B845" s="72">
        <v>43924</v>
      </c>
      <c r="C845" s="70" t="s">
        <v>1058</v>
      </c>
      <c r="D845" s="70">
        <v>27</v>
      </c>
      <c r="E845" s="70" t="s">
        <v>1059</v>
      </c>
      <c r="F845" s="70" t="s">
        <v>1278</v>
      </c>
      <c r="G845" s="70"/>
      <c r="H845" s="70" t="s">
        <v>1086</v>
      </c>
      <c r="I845" s="70" t="s">
        <v>1359</v>
      </c>
      <c r="J845" s="70" t="str">
        <f t="shared" si="150"/>
        <v>Male</v>
      </c>
      <c r="K845" s="70" t="str">
        <f t="shared" si="151"/>
        <v>Bangladesh</v>
      </c>
      <c r="L845" s="70" t="str">
        <f t="shared" si="152"/>
        <v>Case 1110 is a Local linked  case, 27 years old male Bangladesh (Long Term Pass holder)  and has not been overseas. He is currently admitted at KTPH . S11 Dormitory</v>
      </c>
      <c r="M845" s="70" t="str">
        <f t="shared" si="153"/>
        <v/>
      </c>
      <c r="N845" s="70" t="str">
        <f t="shared" si="154"/>
        <v/>
      </c>
      <c r="O845" s="70">
        <f t="shared" si="155"/>
        <v>1110</v>
      </c>
      <c r="P845" s="70" t="str">
        <f t="shared" si="156"/>
        <v>S11 Dormitory</v>
      </c>
    </row>
    <row r="846" spans="1:16" x14ac:dyDescent="0.3">
      <c r="A846" s="70">
        <v>1111</v>
      </c>
      <c r="B846" s="72">
        <v>43924</v>
      </c>
      <c r="C846" s="70" t="s">
        <v>1058</v>
      </c>
      <c r="D846" s="70">
        <v>29</v>
      </c>
      <c r="E846" s="70" t="s">
        <v>1059</v>
      </c>
      <c r="F846" s="70" t="s">
        <v>1443</v>
      </c>
      <c r="G846" s="70"/>
      <c r="H846" s="70" t="s">
        <v>1086</v>
      </c>
      <c r="I846" s="70" t="s">
        <v>1359</v>
      </c>
      <c r="J846" s="70" t="str">
        <f t="shared" si="150"/>
        <v>Male</v>
      </c>
      <c r="K846" s="70" t="str">
        <f t="shared" si="151"/>
        <v>Myanmar</v>
      </c>
      <c r="L846" s="70" t="str">
        <f t="shared" si="152"/>
        <v>Case 1111 is a Local linked  case, 29 years old male Myanmar (Long Term Pass holder)  and has not been overseas. He is currently admitted at KTPH . S11 Dormitory</v>
      </c>
      <c r="M846" s="70" t="str">
        <f t="shared" si="153"/>
        <v/>
      </c>
      <c r="N846" s="70" t="str">
        <f t="shared" si="154"/>
        <v/>
      </c>
      <c r="O846" s="70">
        <f t="shared" si="155"/>
        <v>1111</v>
      </c>
      <c r="P846" s="70" t="str">
        <f t="shared" si="156"/>
        <v>S11 Dormitory</v>
      </c>
    </row>
    <row r="847" spans="1:16" x14ac:dyDescent="0.3">
      <c r="A847" s="70">
        <v>1112</v>
      </c>
      <c r="B847" s="72">
        <v>43924</v>
      </c>
      <c r="C847" s="70" t="s">
        <v>1058</v>
      </c>
      <c r="D847" s="70">
        <v>32</v>
      </c>
      <c r="E847" s="70" t="s">
        <v>1059</v>
      </c>
      <c r="F847" s="70" t="s">
        <v>1443</v>
      </c>
      <c r="G847" s="70"/>
      <c r="H847" s="70" t="s">
        <v>1086</v>
      </c>
      <c r="I847" s="70" t="s">
        <v>1359</v>
      </c>
      <c r="J847" s="70" t="str">
        <f t="shared" si="150"/>
        <v>Male</v>
      </c>
      <c r="K847" s="70" t="str">
        <f t="shared" si="151"/>
        <v>Myanmar</v>
      </c>
      <c r="L847" s="70" t="str">
        <f t="shared" si="152"/>
        <v>Case 1112 is a Local linked  case, 32 years old male Myanmar (Long Term Pass holder)  and has not been overseas. He is currently admitted at KTPH . S11 Dormitory</v>
      </c>
      <c r="M847" s="70" t="str">
        <f t="shared" si="153"/>
        <v/>
      </c>
      <c r="N847" s="70" t="str">
        <f t="shared" si="154"/>
        <v/>
      </c>
      <c r="O847" s="70">
        <f t="shared" si="155"/>
        <v>1112</v>
      </c>
      <c r="P847" s="70" t="str">
        <f t="shared" si="156"/>
        <v>S11 Dormitory</v>
      </c>
    </row>
    <row r="848" spans="1:16" x14ac:dyDescent="0.3">
      <c r="A848" s="70">
        <v>1113</v>
      </c>
      <c r="B848" s="72">
        <v>43924</v>
      </c>
      <c r="C848" s="70" t="s">
        <v>1062</v>
      </c>
      <c r="D848" s="70">
        <v>42</v>
      </c>
      <c r="E848" s="70" t="s">
        <v>1059</v>
      </c>
      <c r="F848" s="70" t="s">
        <v>1360</v>
      </c>
      <c r="G848" s="70"/>
      <c r="H848" s="70" t="s">
        <v>1086</v>
      </c>
      <c r="I848" s="70" t="s">
        <v>1382</v>
      </c>
      <c r="J848" s="70" t="str">
        <f t="shared" si="150"/>
        <v>Male</v>
      </c>
      <c r="K848" s="70" t="str">
        <f t="shared" si="151"/>
        <v>Bangladesh</v>
      </c>
      <c r="L848" s="70" t="str">
        <f t="shared" si="152"/>
        <v>Case 1113 is a Local linked  case, 42 years old male Bangladesh (Singapore Work Pass holder)  and has not been overseas. He is currently admitted at NTFGH . Westlite Toh Guan</v>
      </c>
      <c r="M848" s="70" t="str">
        <f t="shared" si="153"/>
        <v/>
      </c>
      <c r="N848" s="70" t="str">
        <f t="shared" si="154"/>
        <v/>
      </c>
      <c r="O848" s="70">
        <f t="shared" si="155"/>
        <v>1113</v>
      </c>
      <c r="P848" s="70" t="str">
        <f t="shared" si="156"/>
        <v>Westlite Toh Guan</v>
      </c>
    </row>
    <row r="849" spans="1:16" x14ac:dyDescent="0.3">
      <c r="A849" s="70">
        <v>1114</v>
      </c>
      <c r="B849" s="72">
        <v>43924</v>
      </c>
      <c r="C849" s="70" t="s">
        <v>1064</v>
      </c>
      <c r="D849" s="70">
        <v>28</v>
      </c>
      <c r="E849" s="70" t="s">
        <v>1059</v>
      </c>
      <c r="F849" s="70" t="s">
        <v>1060</v>
      </c>
      <c r="G849" s="70"/>
      <c r="H849" s="70" t="s">
        <v>1061</v>
      </c>
      <c r="I849" s="70"/>
      <c r="J849" s="70" t="str">
        <f t="shared" ref="J849" si="157">IF(TRIM(E849)="M","Male",IF(TRIM(E849)="F","Female",""))</f>
        <v>Male</v>
      </c>
      <c r="K849" s="70" t="str">
        <f t="shared" ref="K849" si="158">IF(LEFT(F849,9)="Singapore","Singaporean",IF(ISERR(FIND("(",F849)),F849,LEFT(F849,FIND("(",F849)-2)))</f>
        <v>Singaporean</v>
      </c>
      <c r="L849" s="70" t="str">
        <f t="shared" ref="L849" si="159">"Case "&amp;A849&amp;" is a "&amp;H849&amp;" case, "&amp;D849&amp;" years old "&amp;LOWER(J849)&amp;" "&amp;F849 &amp;IF(G849=""," and has not been overseas"," and has been to "&amp;G849)&amp;". "&amp;IF(TRIM(E849)="F","She",IF(TRIM(E849)="M","He"))&amp;" is currently admitted at "&amp;C849&amp;". "&amp;I849</f>
        <v xml:space="preserve">Case 1114 is a Local unlinked case, 28 years old male Singapore Citizen  and has not been overseas. He is currently admitted at CGH . </v>
      </c>
      <c r="M849" s="70" t="str">
        <f t="shared" ref="M849" si="160">IF(G849="","",A849)</f>
        <v/>
      </c>
      <c r="N849" s="70" t="str">
        <f t="shared" ref="N849" si="161">IF(G849="","",G849)</f>
        <v/>
      </c>
      <c r="O849" s="70" t="str">
        <f t="shared" ref="O849" si="162">IF(I849="","",A849)</f>
        <v/>
      </c>
      <c r="P849" s="70" t="str">
        <f t="shared" ref="P849" si="163">IF(I849="","",I849)</f>
        <v/>
      </c>
    </row>
    <row r="850" spans="1:16" x14ac:dyDescent="0.3">
      <c r="A850" s="73">
        <v>1115</v>
      </c>
      <c r="B850" s="75">
        <v>43924</v>
      </c>
      <c r="C850" s="73" t="s">
        <v>1071</v>
      </c>
      <c r="D850" s="73">
        <v>66</v>
      </c>
      <c r="E850" s="73" t="s">
        <v>1073</v>
      </c>
      <c r="F850" s="73" t="s">
        <v>1060</v>
      </c>
      <c r="G850" s="73"/>
      <c r="H850" s="73" t="s">
        <v>1086</v>
      </c>
      <c r="I850" s="73" t="s">
        <v>1451</v>
      </c>
      <c r="J850" s="73" t="str">
        <f t="shared" ref="J850" si="164">IF(TRIM(E850)="M","Male",IF(TRIM(E850)="F","Female",""))</f>
        <v>Female</v>
      </c>
      <c r="K850" s="73" t="str">
        <f t="shared" ref="K850" si="165">IF(LEFT(F850,9)="Singapore","Singaporean",IF(ISERR(FIND("(",F850)),F850,LEFT(F850,FIND("(",F850)-2)))</f>
        <v>Singaporean</v>
      </c>
      <c r="L850" s="73" t="str">
        <f t="shared" ref="L850" si="166">"Case "&amp;A850&amp;" is a "&amp;H850&amp;" case, "&amp;D850&amp;" years old "&amp;LOWER(J850)&amp;" "&amp;F850 &amp;IF(G850=""," and has not been overseas"," and has been to "&amp;G850)&amp;". "&amp;IF(TRIM(E850)="F","She",IF(TRIM(E850)="M","He"))&amp;" is currently admitted at "&amp;C850&amp;". "&amp;I850</f>
        <v>Case 1115 is a Local linked  case, 66 years old female Singapore Citizen  and has not been overseas. She is currently admitted at NCID . Orange Ballroom</v>
      </c>
      <c r="M850" s="73" t="str">
        <f t="shared" ref="M850" si="167">IF(G850="","",A850)</f>
        <v/>
      </c>
      <c r="N850" s="73" t="str">
        <f t="shared" ref="N850" si="168">IF(G850="","",G850)</f>
        <v/>
      </c>
      <c r="O850" s="73">
        <f t="shared" ref="O850" si="169">IF(I850="","",A850)</f>
        <v>1115</v>
      </c>
      <c r="P850" s="73" t="str">
        <f t="shared" ref="P850" si="170">IF(I850="","",I850)</f>
        <v>Orange Ballroom</v>
      </c>
    </row>
    <row r="851" spans="1:16" x14ac:dyDescent="0.3">
      <c r="A851" s="73">
        <v>1116</v>
      </c>
      <c r="B851" s="75">
        <v>43924</v>
      </c>
      <c r="C851" s="73" t="s">
        <v>1071</v>
      </c>
      <c r="D851" s="73">
        <v>18</v>
      </c>
      <c r="E851" s="73" t="s">
        <v>1059</v>
      </c>
      <c r="F851" s="73" t="s">
        <v>1060</v>
      </c>
      <c r="G851" s="73"/>
      <c r="H851" s="73" t="s">
        <v>1086</v>
      </c>
      <c r="I851" s="73" t="s">
        <v>1452</v>
      </c>
      <c r="J851" s="73" t="str">
        <f t="shared" ref="J851:J914" si="171">IF(TRIM(E851)="M","Male",IF(TRIM(E851)="F","Female",""))</f>
        <v>Male</v>
      </c>
      <c r="K851" s="73" t="str">
        <f t="shared" ref="K851:K914" si="172">IF(LEFT(F851,9)="Singapore","Singaporean",IF(ISERR(FIND("(",F851)),F851,LEFT(F851,FIND("(",F851)-2)))</f>
        <v>Singaporean</v>
      </c>
      <c r="L851" s="73" t="str">
        <f t="shared" ref="L851:L914" si="173">"Case "&amp;A851&amp;" is a "&amp;H851&amp;" case, "&amp;D851&amp;" years old "&amp;LOWER(J851)&amp;" "&amp;F851 &amp;IF(G851=""," and has not been overseas"," and has been to "&amp;G851)&amp;". "&amp;IF(TRIM(E851)="F","She",IF(TRIM(E851)="M","He"))&amp;" is currently admitted at "&amp;C851&amp;". "&amp;I851</f>
        <v>Case 1116 is a Local linked  case, 18 years old male Singapore Citizen  and has not been overseas. He is currently admitted at NCID . Contact of Case 999</v>
      </c>
      <c r="M851" s="73" t="str">
        <f t="shared" ref="M851:M914" si="174">IF(G851="","",A851)</f>
        <v/>
      </c>
      <c r="N851" s="73" t="str">
        <f t="shared" ref="N851:N914" si="175">IF(G851="","",G851)</f>
        <v/>
      </c>
      <c r="O851" s="73">
        <f t="shared" ref="O851:O914" si="176">IF(I851="","",A851)</f>
        <v>1116</v>
      </c>
      <c r="P851" s="73" t="str">
        <f t="shared" ref="P851:P914" si="177">IF(I851="","",I851)</f>
        <v>Contact of Case 999</v>
      </c>
    </row>
    <row r="852" spans="1:16" x14ac:dyDescent="0.3">
      <c r="A852" s="73">
        <v>1117</v>
      </c>
      <c r="B852" s="75">
        <v>43924</v>
      </c>
      <c r="C852" s="73" t="s">
        <v>1066</v>
      </c>
      <c r="D852" s="73">
        <v>24</v>
      </c>
      <c r="E852" s="73" t="s">
        <v>1059</v>
      </c>
      <c r="F852" s="73" t="s">
        <v>1278</v>
      </c>
      <c r="G852" s="73"/>
      <c r="H852" s="73" t="s">
        <v>1086</v>
      </c>
      <c r="I852" s="73" t="s">
        <v>1359</v>
      </c>
      <c r="J852" s="73" t="str">
        <f t="shared" si="171"/>
        <v>Male</v>
      </c>
      <c r="K852" s="73" t="str">
        <f t="shared" si="172"/>
        <v>Bangladesh</v>
      </c>
      <c r="L852" s="73" t="str">
        <f t="shared" si="173"/>
        <v>Case 1117 is a Local linked  case, 24 years old male Bangladesh (Long Term Pass holder)  and has not been overseas. He is currently admitted at SKH . S11 Dormitory</v>
      </c>
      <c r="M852" s="73" t="str">
        <f t="shared" si="174"/>
        <v/>
      </c>
      <c r="N852" s="73" t="str">
        <f t="shared" si="175"/>
        <v/>
      </c>
      <c r="O852" s="73">
        <f t="shared" si="176"/>
        <v>1117</v>
      </c>
      <c r="P852" s="73" t="str">
        <f t="shared" si="177"/>
        <v>S11 Dormitory</v>
      </c>
    </row>
    <row r="853" spans="1:16" x14ac:dyDescent="0.3">
      <c r="A853" s="73">
        <v>1118</v>
      </c>
      <c r="B853" s="75">
        <v>43924</v>
      </c>
      <c r="C853" s="73" t="s">
        <v>1066</v>
      </c>
      <c r="D853" s="73">
        <v>26</v>
      </c>
      <c r="E853" s="73" t="s">
        <v>1059</v>
      </c>
      <c r="F853" s="73" t="s">
        <v>1278</v>
      </c>
      <c r="G853" s="73"/>
      <c r="H853" s="73" t="s">
        <v>1086</v>
      </c>
      <c r="I853" s="73" t="s">
        <v>1359</v>
      </c>
      <c r="J853" s="73" t="str">
        <f t="shared" si="171"/>
        <v>Male</v>
      </c>
      <c r="K853" s="73" t="str">
        <f t="shared" si="172"/>
        <v>Bangladesh</v>
      </c>
      <c r="L853" s="73" t="str">
        <f t="shared" si="173"/>
        <v>Case 1118 is a Local linked  case, 26 years old male Bangladesh (Long Term Pass holder)  and has not been overseas. He is currently admitted at SKH . S11 Dormitory</v>
      </c>
      <c r="M853" s="73" t="str">
        <f t="shared" si="174"/>
        <v/>
      </c>
      <c r="N853" s="73" t="str">
        <f t="shared" si="175"/>
        <v/>
      </c>
      <c r="O853" s="73">
        <f t="shared" si="176"/>
        <v>1118</v>
      </c>
      <c r="P853" s="73" t="str">
        <f t="shared" si="177"/>
        <v>S11 Dormitory</v>
      </c>
    </row>
    <row r="854" spans="1:16" x14ac:dyDescent="0.3">
      <c r="A854" s="73">
        <v>1119</v>
      </c>
      <c r="B854" s="75">
        <v>43924</v>
      </c>
      <c r="C854" s="73" t="s">
        <v>1066</v>
      </c>
      <c r="D854" s="73">
        <v>23</v>
      </c>
      <c r="E854" s="73" t="s">
        <v>1059</v>
      </c>
      <c r="F854" s="73" t="s">
        <v>1278</v>
      </c>
      <c r="G854" s="73"/>
      <c r="H854" s="73" t="s">
        <v>1086</v>
      </c>
      <c r="I854" s="73" t="s">
        <v>1359</v>
      </c>
      <c r="J854" s="73" t="str">
        <f t="shared" si="171"/>
        <v>Male</v>
      </c>
      <c r="K854" s="73" t="str">
        <f t="shared" si="172"/>
        <v>Bangladesh</v>
      </c>
      <c r="L854" s="73" t="str">
        <f t="shared" si="173"/>
        <v>Case 1119 is a Local linked  case, 23 years old male Bangladesh (Long Term Pass holder)  and has not been overseas. He is currently admitted at SKH . S11 Dormitory</v>
      </c>
      <c r="M854" s="73" t="str">
        <f t="shared" si="174"/>
        <v/>
      </c>
      <c r="N854" s="73" t="str">
        <f t="shared" si="175"/>
        <v/>
      </c>
      <c r="O854" s="73">
        <f t="shared" si="176"/>
        <v>1119</v>
      </c>
      <c r="P854" s="73" t="str">
        <f t="shared" si="177"/>
        <v>S11 Dormitory</v>
      </c>
    </row>
    <row r="855" spans="1:16" x14ac:dyDescent="0.3">
      <c r="A855" s="73">
        <v>1120</v>
      </c>
      <c r="B855" s="75">
        <v>43924</v>
      </c>
      <c r="C855" s="73" t="s">
        <v>1071</v>
      </c>
      <c r="D855" s="73">
        <v>25</v>
      </c>
      <c r="E855" s="73" t="s">
        <v>1059</v>
      </c>
      <c r="F855" s="73" t="s">
        <v>1278</v>
      </c>
      <c r="G855" s="73"/>
      <c r="H855" s="73" t="s">
        <v>1086</v>
      </c>
      <c r="I855" s="73" t="s">
        <v>1440</v>
      </c>
      <c r="J855" s="73" t="str">
        <f t="shared" si="171"/>
        <v>Male</v>
      </c>
      <c r="K855" s="73" t="str">
        <f t="shared" si="172"/>
        <v>Bangladesh</v>
      </c>
      <c r="L855" s="73" t="str">
        <f t="shared" si="173"/>
        <v>Case 1120 is a Local linked  case, 25 years old male Bangladesh (Long Term Pass holder)  and has not been overseas. He is currently admitted at NCID . Project Glory</v>
      </c>
      <c r="M855" s="73" t="str">
        <f t="shared" si="174"/>
        <v/>
      </c>
      <c r="N855" s="73" t="str">
        <f t="shared" si="175"/>
        <v/>
      </c>
      <c r="O855" s="73">
        <f t="shared" si="176"/>
        <v>1120</v>
      </c>
      <c r="P855" s="73" t="str">
        <f t="shared" si="177"/>
        <v>Project Glory</v>
      </c>
    </row>
    <row r="856" spans="1:16" x14ac:dyDescent="0.3">
      <c r="A856" s="73">
        <v>1121</v>
      </c>
      <c r="B856" s="75">
        <v>43924</v>
      </c>
      <c r="C856" s="73" t="s">
        <v>1071</v>
      </c>
      <c r="D856" s="73">
        <v>66</v>
      </c>
      <c r="E856" s="73" t="s">
        <v>1059</v>
      </c>
      <c r="F856" s="73" t="s">
        <v>1060</v>
      </c>
      <c r="G856" s="73" t="s">
        <v>1453</v>
      </c>
      <c r="H856" s="73" t="s">
        <v>1069</v>
      </c>
      <c r="I856" s="73" t="s">
        <v>1454</v>
      </c>
      <c r="J856" s="73" t="str">
        <f t="shared" si="171"/>
        <v>Male</v>
      </c>
      <c r="K856" s="73" t="str">
        <f t="shared" si="172"/>
        <v>Singaporean</v>
      </c>
      <c r="L856" s="73" t="str">
        <f t="shared" si="173"/>
        <v>Case 1121 is a Imported  case, 66 years old male Singapore Citizen  and has been to Argentina, Hungary, Chile, US . He is currently admitted at NCID . Family member of Case 1060</v>
      </c>
      <c r="M856" s="73">
        <f t="shared" si="174"/>
        <v>1121</v>
      </c>
      <c r="N856" s="73" t="str">
        <f t="shared" si="175"/>
        <v xml:space="preserve">Argentina, Hungary, Chile, US </v>
      </c>
      <c r="O856" s="73">
        <f t="shared" si="176"/>
        <v>1121</v>
      </c>
      <c r="P856" s="73" t="str">
        <f t="shared" si="177"/>
        <v>Family member of Case 1060</v>
      </c>
    </row>
    <row r="857" spans="1:16" x14ac:dyDescent="0.3">
      <c r="A857" s="73">
        <v>1122</v>
      </c>
      <c r="B857" s="75">
        <v>43924</v>
      </c>
      <c r="C857" s="73" t="s">
        <v>1071</v>
      </c>
      <c r="D857" s="73">
        <v>29</v>
      </c>
      <c r="E857" s="73" t="s">
        <v>1059</v>
      </c>
      <c r="F857" s="73" t="s">
        <v>1180</v>
      </c>
      <c r="G857" s="73" t="s">
        <v>1455</v>
      </c>
      <c r="H857" s="73" t="s">
        <v>77</v>
      </c>
      <c r="I857" s="73"/>
      <c r="J857" s="73" t="str">
        <f t="shared" si="171"/>
        <v>Male</v>
      </c>
      <c r="K857" s="73" t="str">
        <f t="shared" si="172"/>
        <v>France</v>
      </c>
      <c r="L857" s="73" t="str">
        <f t="shared" si="173"/>
        <v xml:space="preserve">Case 1122 is a Imported case, 29 years old male France (Long Term Pass holder)  and has been to France, Spain . He is currently admitted at NCID . </v>
      </c>
      <c r="M857" s="73">
        <f t="shared" si="174"/>
        <v>1122</v>
      </c>
      <c r="N857" s="73" t="str">
        <f t="shared" si="175"/>
        <v xml:space="preserve">France, Spain </v>
      </c>
      <c r="O857" s="73" t="str">
        <f t="shared" si="176"/>
        <v/>
      </c>
      <c r="P857" s="73" t="str">
        <f t="shared" si="177"/>
        <v/>
      </c>
    </row>
    <row r="858" spans="1:16" x14ac:dyDescent="0.3">
      <c r="A858" s="73">
        <v>1123</v>
      </c>
      <c r="B858" s="75">
        <v>43924</v>
      </c>
      <c r="C858" s="73" t="s">
        <v>1161</v>
      </c>
      <c r="D858" s="73">
        <v>9</v>
      </c>
      <c r="E858" s="73" t="s">
        <v>1073</v>
      </c>
      <c r="F858" s="73" t="s">
        <v>1072</v>
      </c>
      <c r="G858" s="73"/>
      <c r="H858" s="73" t="s">
        <v>1086</v>
      </c>
      <c r="I858" s="73" t="s">
        <v>1456</v>
      </c>
      <c r="J858" s="73" t="str">
        <f t="shared" si="171"/>
        <v>Female</v>
      </c>
      <c r="K858" s="73" t="str">
        <f t="shared" si="172"/>
        <v>Singaporean</v>
      </c>
      <c r="L858" s="73" t="str">
        <f t="shared" si="173"/>
        <v>Case 1123 is a Local linked  case, 9 years old female Singapore Permanent Resident  and has not been overseas. She is currently admitted at KKH . Family member of Case 884</v>
      </c>
      <c r="M858" s="73" t="str">
        <f t="shared" si="174"/>
        <v/>
      </c>
      <c r="N858" s="73" t="str">
        <f t="shared" si="175"/>
        <v/>
      </c>
      <c r="O858" s="73">
        <f t="shared" si="176"/>
        <v>1123</v>
      </c>
      <c r="P858" s="73" t="str">
        <f t="shared" si="177"/>
        <v>Family member of Case 884</v>
      </c>
    </row>
    <row r="859" spans="1:16" x14ac:dyDescent="0.3">
      <c r="A859" s="73">
        <v>1124</v>
      </c>
      <c r="B859" s="75">
        <v>43924</v>
      </c>
      <c r="C859" s="73" t="s">
        <v>1071</v>
      </c>
      <c r="D859" s="73">
        <v>26</v>
      </c>
      <c r="E859" s="73" t="s">
        <v>1059</v>
      </c>
      <c r="F859" s="73" t="s">
        <v>1255</v>
      </c>
      <c r="G859" s="73"/>
      <c r="H859" s="73" t="s">
        <v>1086</v>
      </c>
      <c r="I859" s="73" t="s">
        <v>1457</v>
      </c>
      <c r="J859" s="73" t="str">
        <f t="shared" si="171"/>
        <v>Male</v>
      </c>
      <c r="K859" s="73" t="str">
        <f t="shared" si="172"/>
        <v>India</v>
      </c>
      <c r="L859" s="73" t="str">
        <f t="shared" si="173"/>
        <v>Case 1124 is a Local linked  case, 26 years old male India (Singapore Work Pass holder)  and has not been overseas. He is currently admitted at NCID . Project Glory and Sungei Tengah Lodge</v>
      </c>
      <c r="M859" s="73" t="str">
        <f t="shared" si="174"/>
        <v/>
      </c>
      <c r="N859" s="73" t="str">
        <f t="shared" si="175"/>
        <v/>
      </c>
      <c r="O859" s="73">
        <f t="shared" si="176"/>
        <v>1124</v>
      </c>
      <c r="P859" s="73" t="str">
        <f t="shared" si="177"/>
        <v>Project Glory and Sungei Tengah Lodge</v>
      </c>
    </row>
    <row r="860" spans="1:16" x14ac:dyDescent="0.3">
      <c r="A860" s="73">
        <v>1125</v>
      </c>
      <c r="B860" s="75">
        <v>43924</v>
      </c>
      <c r="C860" s="73" t="s">
        <v>1071</v>
      </c>
      <c r="D860" s="73">
        <v>42</v>
      </c>
      <c r="E860" s="73" t="s">
        <v>1059</v>
      </c>
      <c r="F860" s="73" t="s">
        <v>1360</v>
      </c>
      <c r="G860" s="73"/>
      <c r="H860" s="73" t="s">
        <v>1061</v>
      </c>
      <c r="I860" s="73"/>
      <c r="J860" s="73" t="str">
        <f t="shared" si="171"/>
        <v>Male</v>
      </c>
      <c r="K860" s="73" t="str">
        <f t="shared" si="172"/>
        <v>Bangladesh</v>
      </c>
      <c r="L860" s="73" t="str">
        <f t="shared" si="173"/>
        <v xml:space="preserve">Case 1125 is a Local unlinked case, 42 years old male Bangladesh (Singapore Work Pass holder)  and has not been overseas. He is currently admitted at NCID . </v>
      </c>
      <c r="M860" s="73" t="str">
        <f t="shared" si="174"/>
        <v/>
      </c>
      <c r="N860" s="73" t="str">
        <f t="shared" si="175"/>
        <v/>
      </c>
      <c r="O860" s="73" t="str">
        <f t="shared" si="176"/>
        <v/>
      </c>
      <c r="P860" s="73" t="str">
        <f t="shared" si="177"/>
        <v/>
      </c>
    </row>
    <row r="861" spans="1:16" x14ac:dyDescent="0.3">
      <c r="A861" s="73">
        <v>1126</v>
      </c>
      <c r="B861" s="75">
        <v>43924</v>
      </c>
      <c r="C861" s="73" t="s">
        <v>1066</v>
      </c>
      <c r="D861" s="73">
        <v>25</v>
      </c>
      <c r="E861" s="73" t="s">
        <v>1059</v>
      </c>
      <c r="F861" s="73" t="s">
        <v>1278</v>
      </c>
      <c r="G861" s="73"/>
      <c r="H861" s="73" t="s">
        <v>1086</v>
      </c>
      <c r="I861" s="73" t="s">
        <v>1359</v>
      </c>
      <c r="J861" s="73" t="str">
        <f t="shared" si="171"/>
        <v>Male</v>
      </c>
      <c r="K861" s="73" t="str">
        <f t="shared" si="172"/>
        <v>Bangladesh</v>
      </c>
      <c r="L861" s="73" t="str">
        <f t="shared" si="173"/>
        <v>Case 1126 is a Local linked  case, 25 years old male Bangladesh (Long Term Pass holder)  and has not been overseas. He is currently admitted at SKH . S11 Dormitory</v>
      </c>
      <c r="M861" s="73" t="str">
        <f t="shared" si="174"/>
        <v/>
      </c>
      <c r="N861" s="73" t="str">
        <f t="shared" si="175"/>
        <v/>
      </c>
      <c r="O861" s="73">
        <f t="shared" si="176"/>
        <v>1126</v>
      </c>
      <c r="P861" s="73" t="str">
        <f t="shared" si="177"/>
        <v>S11 Dormitory</v>
      </c>
    </row>
    <row r="862" spans="1:16" x14ac:dyDescent="0.3">
      <c r="A862" s="73">
        <v>1127</v>
      </c>
      <c r="B862" s="75">
        <v>43924</v>
      </c>
      <c r="C862" s="73" t="s">
        <v>1066</v>
      </c>
      <c r="D862" s="73">
        <v>46</v>
      </c>
      <c r="E862" s="73" t="s">
        <v>1458</v>
      </c>
      <c r="F862" s="73" t="s">
        <v>1255</v>
      </c>
      <c r="G862" s="73"/>
      <c r="H862" s="73" t="s">
        <v>1086</v>
      </c>
      <c r="I862" s="73" t="s">
        <v>253</v>
      </c>
      <c r="J862" s="73" t="str">
        <f t="shared" si="171"/>
        <v>Female</v>
      </c>
      <c r="K862" s="73" t="str">
        <f t="shared" si="172"/>
        <v>India</v>
      </c>
      <c r="L862" s="73" t="str">
        <f t="shared" si="173"/>
        <v>Case 1127 is a Local linked  case, 46 years old female India (Singapore Work Pass holder)  and has not been overseas. She is currently admitted at SKH . Mustafa Centre</v>
      </c>
      <c r="M862" s="73" t="str">
        <f t="shared" si="174"/>
        <v/>
      </c>
      <c r="N862" s="73" t="str">
        <f t="shared" si="175"/>
        <v/>
      </c>
      <c r="O862" s="73">
        <f t="shared" si="176"/>
        <v>1127</v>
      </c>
      <c r="P862" s="73" t="str">
        <f t="shared" si="177"/>
        <v>Mustafa Centre</v>
      </c>
    </row>
    <row r="863" spans="1:16" x14ac:dyDescent="0.3">
      <c r="A863" s="73">
        <v>1128</v>
      </c>
      <c r="B863" s="75">
        <v>43924</v>
      </c>
      <c r="C863" s="73" t="s">
        <v>1138</v>
      </c>
      <c r="D863" s="73">
        <v>37</v>
      </c>
      <c r="E863" s="73" t="s">
        <v>1059</v>
      </c>
      <c r="F863" s="73" t="s">
        <v>1459</v>
      </c>
      <c r="G863" s="73"/>
      <c r="H863" s="73" t="s">
        <v>1061</v>
      </c>
      <c r="I863" s="73"/>
      <c r="J863" s="73" t="str">
        <f t="shared" si="171"/>
        <v>Male</v>
      </c>
      <c r="K863" s="73" t="str">
        <f t="shared" si="172"/>
        <v>Venezuela</v>
      </c>
      <c r="L863" s="73" t="str">
        <f t="shared" si="173"/>
        <v xml:space="preserve">Case 1128 is a Local unlinked case, 37 years old male Venezuela (Long Term Pass holder)  and has not been overseas. He is currently admitted at SGH . </v>
      </c>
      <c r="M863" s="73" t="str">
        <f t="shared" si="174"/>
        <v/>
      </c>
      <c r="N863" s="73" t="str">
        <f t="shared" si="175"/>
        <v/>
      </c>
      <c r="O863" s="73" t="str">
        <f t="shared" si="176"/>
        <v/>
      </c>
      <c r="P863" s="73" t="str">
        <f t="shared" si="177"/>
        <v/>
      </c>
    </row>
    <row r="864" spans="1:16" x14ac:dyDescent="0.3">
      <c r="A864" s="73">
        <v>1129</v>
      </c>
      <c r="B864" s="75">
        <v>43924</v>
      </c>
      <c r="C864" s="73" t="s">
        <v>1064</v>
      </c>
      <c r="D864" s="73">
        <v>55</v>
      </c>
      <c r="E864" s="73" t="s">
        <v>1073</v>
      </c>
      <c r="F864" s="73" t="s">
        <v>1060</v>
      </c>
      <c r="G864" s="73"/>
      <c r="H864" s="73" t="s">
        <v>1061</v>
      </c>
      <c r="I864" s="73"/>
      <c r="J864" s="73" t="str">
        <f t="shared" si="171"/>
        <v>Female</v>
      </c>
      <c r="K864" s="73" t="str">
        <f t="shared" si="172"/>
        <v>Singaporean</v>
      </c>
      <c r="L864" s="73" t="str">
        <f t="shared" si="173"/>
        <v xml:space="preserve">Case 1129 is a Local unlinked case, 55 years old female Singapore Citizen  and has not been overseas. She is currently admitted at CGH . </v>
      </c>
      <c r="M864" s="73" t="str">
        <f t="shared" si="174"/>
        <v/>
      </c>
      <c r="N864" s="73" t="str">
        <f t="shared" si="175"/>
        <v/>
      </c>
      <c r="O864" s="73" t="str">
        <f t="shared" si="176"/>
        <v/>
      </c>
      <c r="P864" s="73" t="str">
        <f t="shared" si="177"/>
        <v/>
      </c>
    </row>
    <row r="865" spans="1:16" x14ac:dyDescent="0.3">
      <c r="A865" s="73">
        <v>1130</v>
      </c>
      <c r="B865" s="75">
        <v>43924</v>
      </c>
      <c r="C865" s="73" t="s">
        <v>1071</v>
      </c>
      <c r="D865" s="73">
        <v>43</v>
      </c>
      <c r="E865" s="73" t="s">
        <v>1073</v>
      </c>
      <c r="F865" s="73" t="s">
        <v>1060</v>
      </c>
      <c r="G865" s="73"/>
      <c r="H865" s="73" t="s">
        <v>1086</v>
      </c>
      <c r="I865" s="73" t="s">
        <v>1460</v>
      </c>
      <c r="J865" s="73" t="str">
        <f t="shared" si="171"/>
        <v>Female</v>
      </c>
      <c r="K865" s="73" t="str">
        <f t="shared" si="172"/>
        <v>Singaporean</v>
      </c>
      <c r="L865" s="73" t="str">
        <f t="shared" si="173"/>
        <v>Case 1130 is a Local linked  case, 43 years old female Singapore Citizen  and has not been overseas. She is currently admitted at NCID . Family member of Case 352</v>
      </c>
      <c r="M865" s="73" t="str">
        <f t="shared" si="174"/>
        <v/>
      </c>
      <c r="N865" s="73" t="str">
        <f t="shared" si="175"/>
        <v/>
      </c>
      <c r="O865" s="73">
        <f t="shared" si="176"/>
        <v>1130</v>
      </c>
      <c r="P865" s="73" t="str">
        <f t="shared" si="177"/>
        <v>Family member of Case 352</v>
      </c>
    </row>
    <row r="866" spans="1:16" x14ac:dyDescent="0.3">
      <c r="A866" s="73">
        <v>1131</v>
      </c>
      <c r="B866" s="75">
        <v>43924</v>
      </c>
      <c r="C866" s="73" t="s">
        <v>1071</v>
      </c>
      <c r="D866" s="73">
        <v>30</v>
      </c>
      <c r="E866" s="73" t="s">
        <v>1073</v>
      </c>
      <c r="F866" s="73" t="s">
        <v>1060</v>
      </c>
      <c r="G866" s="73"/>
      <c r="H866" s="73" t="s">
        <v>1061</v>
      </c>
      <c r="I866" s="73"/>
      <c r="J866" s="73" t="str">
        <f t="shared" si="171"/>
        <v>Female</v>
      </c>
      <c r="K866" s="73" t="str">
        <f t="shared" si="172"/>
        <v>Singaporean</v>
      </c>
      <c r="L866" s="73" t="str">
        <f t="shared" si="173"/>
        <v xml:space="preserve">Case 1131 is a Local unlinked case, 30 years old female Singapore Citizen  and has not been overseas. She is currently admitted at NCID . </v>
      </c>
      <c r="M866" s="73" t="str">
        <f t="shared" si="174"/>
        <v/>
      </c>
      <c r="N866" s="73" t="str">
        <f t="shared" si="175"/>
        <v/>
      </c>
      <c r="O866" s="73" t="str">
        <f t="shared" si="176"/>
        <v/>
      </c>
      <c r="P866" s="73" t="str">
        <f t="shared" si="177"/>
        <v/>
      </c>
    </row>
    <row r="867" spans="1:16" x14ac:dyDescent="0.3">
      <c r="A867" s="73">
        <v>1132</v>
      </c>
      <c r="B867" s="75">
        <v>43924</v>
      </c>
      <c r="C867" s="73" t="s">
        <v>1226</v>
      </c>
      <c r="D867" s="73">
        <v>74</v>
      </c>
      <c r="E867" s="73" t="s">
        <v>1059</v>
      </c>
      <c r="F867" s="73" t="s">
        <v>1060</v>
      </c>
      <c r="G867" s="73"/>
      <c r="H867" s="73" t="s">
        <v>1061</v>
      </c>
      <c r="I867" s="73"/>
      <c r="J867" s="73" t="str">
        <f t="shared" si="171"/>
        <v>Male</v>
      </c>
      <c r="K867" s="73" t="str">
        <f t="shared" si="172"/>
        <v>Singaporean</v>
      </c>
      <c r="L867" s="73" t="str">
        <f t="shared" si="173"/>
        <v xml:space="preserve">Case 1132 is a Local unlinked case, 74 years old male Singapore Citizen  and has not been overseas. He is currently admitted at MAH . </v>
      </c>
      <c r="M867" s="73" t="str">
        <f t="shared" si="174"/>
        <v/>
      </c>
      <c r="N867" s="73" t="str">
        <f t="shared" si="175"/>
        <v/>
      </c>
      <c r="O867" s="73" t="str">
        <f t="shared" si="176"/>
        <v/>
      </c>
      <c r="P867" s="73" t="str">
        <f t="shared" si="177"/>
        <v/>
      </c>
    </row>
    <row r="868" spans="1:16" x14ac:dyDescent="0.3">
      <c r="A868" s="73">
        <v>1133</v>
      </c>
      <c r="B868" s="75">
        <v>43924</v>
      </c>
      <c r="C868" s="73" t="s">
        <v>1071</v>
      </c>
      <c r="D868" s="73">
        <v>26</v>
      </c>
      <c r="E868" s="73" t="s">
        <v>1073</v>
      </c>
      <c r="F868" s="73" t="s">
        <v>1060</v>
      </c>
      <c r="G868" s="73"/>
      <c r="H868" s="73" t="s">
        <v>1061</v>
      </c>
      <c r="I868" s="73"/>
      <c r="J868" s="73" t="str">
        <f t="shared" si="171"/>
        <v>Female</v>
      </c>
      <c r="K868" s="73" t="str">
        <f t="shared" si="172"/>
        <v>Singaporean</v>
      </c>
      <c r="L868" s="73" t="str">
        <f t="shared" si="173"/>
        <v xml:space="preserve">Case 1133 is a Local unlinked case, 26 years old female Singapore Citizen  and has not been overseas. She is currently admitted at NCID . </v>
      </c>
      <c r="M868" s="73" t="str">
        <f t="shared" si="174"/>
        <v/>
      </c>
      <c r="N868" s="73" t="str">
        <f t="shared" si="175"/>
        <v/>
      </c>
      <c r="O868" s="73" t="str">
        <f t="shared" si="176"/>
        <v/>
      </c>
      <c r="P868" s="73" t="str">
        <f t="shared" si="177"/>
        <v/>
      </c>
    </row>
    <row r="869" spans="1:16" x14ac:dyDescent="0.3">
      <c r="A869" s="73">
        <v>1134</v>
      </c>
      <c r="B869" s="75">
        <v>43924</v>
      </c>
      <c r="C869" s="73" t="s">
        <v>343</v>
      </c>
      <c r="D869" s="73">
        <v>29</v>
      </c>
      <c r="E869" s="73" t="s">
        <v>1073</v>
      </c>
      <c r="F869" s="73" t="s">
        <v>687</v>
      </c>
      <c r="G869" s="73"/>
      <c r="H869" s="73" t="s">
        <v>1152</v>
      </c>
      <c r="I869" s="73" t="s">
        <v>1461</v>
      </c>
      <c r="J869" s="73" t="str">
        <f t="shared" si="171"/>
        <v>Female</v>
      </c>
      <c r="K869" s="73" t="str">
        <f t="shared" si="172"/>
        <v xml:space="preserve">Indonesia </v>
      </c>
      <c r="L869" s="73" t="str">
        <f t="shared" si="173"/>
        <v>Case 1134 is a Local linked case, 29 years old female Indonesia  and has not been overseas. She is currently admitted at NUH . Family member of Case 1080</v>
      </c>
      <c r="M869" s="73" t="str">
        <f t="shared" si="174"/>
        <v/>
      </c>
      <c r="N869" s="73" t="str">
        <f t="shared" si="175"/>
        <v/>
      </c>
      <c r="O869" s="73">
        <f t="shared" si="176"/>
        <v>1134</v>
      </c>
      <c r="P869" s="73" t="str">
        <f t="shared" si="177"/>
        <v>Family member of Case 1080</v>
      </c>
    </row>
    <row r="870" spans="1:16" x14ac:dyDescent="0.3">
      <c r="A870" s="73">
        <v>1135</v>
      </c>
      <c r="B870" s="75">
        <v>43924</v>
      </c>
      <c r="C870" s="73" t="s">
        <v>1071</v>
      </c>
      <c r="D870" s="73">
        <v>33</v>
      </c>
      <c r="E870" s="73" t="s">
        <v>1059</v>
      </c>
      <c r="F870" s="73" t="s">
        <v>1360</v>
      </c>
      <c r="G870" s="73"/>
      <c r="H870" s="73" t="s">
        <v>1086</v>
      </c>
      <c r="I870" s="73" t="s">
        <v>1359</v>
      </c>
      <c r="J870" s="73" t="str">
        <f t="shared" si="171"/>
        <v>Male</v>
      </c>
      <c r="K870" s="73" t="str">
        <f t="shared" si="172"/>
        <v>Bangladesh</v>
      </c>
      <c r="L870" s="73" t="str">
        <f t="shared" si="173"/>
        <v>Case 1135 is a Local linked  case, 33 years old male Bangladesh (Singapore Work Pass holder)  and has not been overseas. He is currently admitted at NCID . S11 Dormitory</v>
      </c>
      <c r="M870" s="73" t="str">
        <f t="shared" si="174"/>
        <v/>
      </c>
      <c r="N870" s="73" t="str">
        <f t="shared" si="175"/>
        <v/>
      </c>
      <c r="O870" s="73">
        <f t="shared" si="176"/>
        <v>1135</v>
      </c>
      <c r="P870" s="73" t="str">
        <f t="shared" si="177"/>
        <v>S11 Dormitory</v>
      </c>
    </row>
    <row r="871" spans="1:16" x14ac:dyDescent="0.3">
      <c r="A871" s="73">
        <v>1136</v>
      </c>
      <c r="B871" s="75">
        <v>43924</v>
      </c>
      <c r="C871" s="73" t="s">
        <v>1161</v>
      </c>
      <c r="D871" s="73">
        <v>7</v>
      </c>
      <c r="E871" s="73" t="s">
        <v>1059</v>
      </c>
      <c r="F871" s="73" t="s">
        <v>1060</v>
      </c>
      <c r="G871" s="73"/>
      <c r="H871" s="73" t="s">
        <v>1086</v>
      </c>
      <c r="I871" s="73" t="s">
        <v>1462</v>
      </c>
      <c r="J871" s="73" t="str">
        <f t="shared" si="171"/>
        <v>Male</v>
      </c>
      <c r="K871" s="73" t="str">
        <f t="shared" si="172"/>
        <v>Singaporean</v>
      </c>
      <c r="L871" s="73" t="str">
        <f t="shared" si="173"/>
        <v>Case 1136 is a Local linked  case, 7 years old male Singapore Citizen  and has not been overseas. He is currently admitted at KKH . Family member of Case 850</v>
      </c>
      <c r="M871" s="73" t="str">
        <f t="shared" si="174"/>
        <v/>
      </c>
      <c r="N871" s="73" t="str">
        <f t="shared" si="175"/>
        <v/>
      </c>
      <c r="O871" s="73">
        <f t="shared" si="176"/>
        <v>1136</v>
      </c>
      <c r="P871" s="73" t="str">
        <f t="shared" si="177"/>
        <v>Family member of Case 850</v>
      </c>
    </row>
    <row r="872" spans="1:16" x14ac:dyDescent="0.3">
      <c r="A872" s="73">
        <v>1137</v>
      </c>
      <c r="B872" s="75">
        <v>43924</v>
      </c>
      <c r="C872" s="73" t="s">
        <v>1071</v>
      </c>
      <c r="D872" s="73">
        <v>24</v>
      </c>
      <c r="E872" s="73" t="s">
        <v>1073</v>
      </c>
      <c r="F872" s="73" t="s">
        <v>1231</v>
      </c>
      <c r="G872" s="73"/>
      <c r="H872" s="73" t="s">
        <v>1086</v>
      </c>
      <c r="I872" s="73" t="s">
        <v>1463</v>
      </c>
      <c r="J872" s="73" t="str">
        <f t="shared" si="171"/>
        <v>Female</v>
      </c>
      <c r="K872" s="73" t="str">
        <f t="shared" si="172"/>
        <v>Malaysia</v>
      </c>
      <c r="L872" s="73" t="str">
        <f t="shared" si="173"/>
        <v>Case 1137 is a Local linked  case, 24 years old female Malaysia (Long Term Pass holder)  and has not been overseas. She is currently admitted at NCID . Contact of Case 853</v>
      </c>
      <c r="M872" s="73" t="str">
        <f t="shared" si="174"/>
        <v/>
      </c>
      <c r="N872" s="73" t="str">
        <f t="shared" si="175"/>
        <v/>
      </c>
      <c r="O872" s="73">
        <f t="shared" si="176"/>
        <v>1137</v>
      </c>
      <c r="P872" s="73" t="str">
        <f t="shared" si="177"/>
        <v>Contact of Case 853</v>
      </c>
    </row>
    <row r="873" spans="1:16" x14ac:dyDescent="0.3">
      <c r="A873" s="73">
        <v>1138</v>
      </c>
      <c r="B873" s="75">
        <v>43924</v>
      </c>
      <c r="C873" s="73" t="s">
        <v>1071</v>
      </c>
      <c r="D873" s="73">
        <v>22</v>
      </c>
      <c r="E873" s="73" t="s">
        <v>1059</v>
      </c>
      <c r="F873" s="73" t="s">
        <v>1194</v>
      </c>
      <c r="G873" s="73"/>
      <c r="H873" s="73" t="s">
        <v>1086</v>
      </c>
      <c r="I873" s="73" t="s">
        <v>1359</v>
      </c>
      <c r="J873" s="73" t="str">
        <f t="shared" si="171"/>
        <v>Male</v>
      </c>
      <c r="K873" s="73" t="str">
        <f t="shared" si="172"/>
        <v>India</v>
      </c>
      <c r="L873" s="73" t="str">
        <f t="shared" si="173"/>
        <v>Case 1138 is a Local linked  case, 22 years old male India (Long Term Pass holder)  and has not been overseas. He is currently admitted at NCID . S11 Dormitory</v>
      </c>
      <c r="M873" s="73" t="str">
        <f t="shared" si="174"/>
        <v/>
      </c>
      <c r="N873" s="73" t="str">
        <f t="shared" si="175"/>
        <v/>
      </c>
      <c r="O873" s="73">
        <f t="shared" si="176"/>
        <v>1138</v>
      </c>
      <c r="P873" s="73" t="str">
        <f t="shared" si="177"/>
        <v>S11 Dormitory</v>
      </c>
    </row>
    <row r="874" spans="1:16" x14ac:dyDescent="0.3">
      <c r="A874" s="73">
        <v>1139</v>
      </c>
      <c r="B874" s="75">
        <v>43924</v>
      </c>
      <c r="C874" s="73" t="s">
        <v>1064</v>
      </c>
      <c r="D874" s="73">
        <v>67</v>
      </c>
      <c r="E874" s="73" t="s">
        <v>1073</v>
      </c>
      <c r="F874" s="73" t="s">
        <v>1060</v>
      </c>
      <c r="G874" s="73"/>
      <c r="H874" s="73" t="s">
        <v>1061</v>
      </c>
      <c r="I874" s="73"/>
      <c r="J874" s="73" t="str">
        <f t="shared" si="171"/>
        <v>Female</v>
      </c>
      <c r="K874" s="73" t="str">
        <f t="shared" si="172"/>
        <v>Singaporean</v>
      </c>
      <c r="L874" s="73" t="str">
        <f t="shared" si="173"/>
        <v xml:space="preserve">Case 1139 is a Local unlinked case, 67 years old female Singapore Citizen  and has not been overseas. She is currently admitted at CGH . </v>
      </c>
      <c r="M874" s="73" t="str">
        <f t="shared" si="174"/>
        <v/>
      </c>
      <c r="N874" s="73" t="str">
        <f t="shared" si="175"/>
        <v/>
      </c>
      <c r="O874" s="73" t="str">
        <f t="shared" si="176"/>
        <v/>
      </c>
      <c r="P874" s="73" t="str">
        <f t="shared" si="177"/>
        <v/>
      </c>
    </row>
    <row r="875" spans="1:16" x14ac:dyDescent="0.3">
      <c r="A875" s="73">
        <v>1140</v>
      </c>
      <c r="B875" s="75">
        <v>43924</v>
      </c>
      <c r="C875" s="73" t="s">
        <v>1064</v>
      </c>
      <c r="D875" s="73">
        <v>30</v>
      </c>
      <c r="E875" s="73" t="s">
        <v>1059</v>
      </c>
      <c r="F875" s="73" t="s">
        <v>1464</v>
      </c>
      <c r="G875" s="73"/>
      <c r="H875" s="73" t="s">
        <v>1061</v>
      </c>
      <c r="I875" s="73"/>
      <c r="J875" s="73" t="str">
        <f t="shared" si="171"/>
        <v>Male</v>
      </c>
      <c r="K875" s="73" t="str">
        <f t="shared" si="172"/>
        <v>Bangladesh</v>
      </c>
      <c r="L875" s="73" t="str">
        <f t="shared" si="173"/>
        <v xml:space="preserve">Case 1140 is a Local unlinked case, 30 years old male Bangladesh (Singapore Work Pass Holder)  and has not been overseas. He is currently admitted at CGH . </v>
      </c>
      <c r="M875" s="73" t="str">
        <f t="shared" si="174"/>
        <v/>
      </c>
      <c r="N875" s="73" t="str">
        <f t="shared" si="175"/>
        <v/>
      </c>
      <c r="O875" s="73" t="str">
        <f t="shared" si="176"/>
        <v/>
      </c>
      <c r="P875" s="73" t="str">
        <f t="shared" si="177"/>
        <v/>
      </c>
    </row>
    <row r="876" spans="1:16" x14ac:dyDescent="0.3">
      <c r="A876" s="73">
        <v>1141</v>
      </c>
      <c r="B876" s="75">
        <v>43924</v>
      </c>
      <c r="C876" s="73" t="s">
        <v>1064</v>
      </c>
      <c r="D876" s="73">
        <v>37</v>
      </c>
      <c r="E876" s="73" t="s">
        <v>1059</v>
      </c>
      <c r="F876" s="73" t="s">
        <v>1060</v>
      </c>
      <c r="G876" s="73"/>
      <c r="H876" s="73" t="s">
        <v>1061</v>
      </c>
      <c r="I876" s="73"/>
      <c r="J876" s="73" t="str">
        <f t="shared" si="171"/>
        <v>Male</v>
      </c>
      <c r="K876" s="73" t="str">
        <f t="shared" si="172"/>
        <v>Singaporean</v>
      </c>
      <c r="L876" s="73" t="str">
        <f t="shared" si="173"/>
        <v xml:space="preserve">Case 1141 is a Local unlinked case, 37 years old male Singapore Citizen  and has not been overseas. He is currently admitted at CGH . </v>
      </c>
      <c r="M876" s="73" t="str">
        <f t="shared" si="174"/>
        <v/>
      </c>
      <c r="N876" s="73" t="str">
        <f t="shared" si="175"/>
        <v/>
      </c>
      <c r="O876" s="73" t="str">
        <f t="shared" si="176"/>
        <v/>
      </c>
      <c r="P876" s="73" t="str">
        <f t="shared" si="177"/>
        <v/>
      </c>
    </row>
    <row r="877" spans="1:16" x14ac:dyDescent="0.3">
      <c r="A877" s="73">
        <v>1142</v>
      </c>
      <c r="B877" s="75">
        <v>43924</v>
      </c>
      <c r="C877" s="73" t="s">
        <v>1071</v>
      </c>
      <c r="D877" s="73">
        <v>90</v>
      </c>
      <c r="E877" s="73" t="s">
        <v>1059</v>
      </c>
      <c r="F877" s="73" t="s">
        <v>1060</v>
      </c>
      <c r="G877" s="73"/>
      <c r="H877" s="73" t="s">
        <v>1061</v>
      </c>
      <c r="I877" s="73"/>
      <c r="J877" s="73" t="str">
        <f t="shared" si="171"/>
        <v>Male</v>
      </c>
      <c r="K877" s="73" t="str">
        <f t="shared" si="172"/>
        <v>Singaporean</v>
      </c>
      <c r="L877" s="73" t="str">
        <f t="shared" si="173"/>
        <v xml:space="preserve">Case 1142 is a Local unlinked case, 90 years old male Singapore Citizen  and has not been overseas. He is currently admitted at NCID . </v>
      </c>
      <c r="M877" s="73" t="str">
        <f t="shared" si="174"/>
        <v/>
      </c>
      <c r="N877" s="73" t="str">
        <f t="shared" si="175"/>
        <v/>
      </c>
      <c r="O877" s="73" t="str">
        <f t="shared" si="176"/>
        <v/>
      </c>
      <c r="P877" s="73" t="str">
        <f t="shared" si="177"/>
        <v/>
      </c>
    </row>
    <row r="878" spans="1:16" x14ac:dyDescent="0.3">
      <c r="A878" s="73">
        <v>1143</v>
      </c>
      <c r="B878" s="75">
        <v>43924</v>
      </c>
      <c r="C878" s="73" t="s">
        <v>1071</v>
      </c>
      <c r="D878" s="73">
        <v>42</v>
      </c>
      <c r="E878" s="73" t="s">
        <v>1073</v>
      </c>
      <c r="F878" s="73" t="s">
        <v>1060</v>
      </c>
      <c r="G878" s="73" t="s">
        <v>1063</v>
      </c>
      <c r="H878" s="73" t="s">
        <v>1069</v>
      </c>
      <c r="I878" s="73" t="s">
        <v>1465</v>
      </c>
      <c r="J878" s="73" t="str">
        <f t="shared" si="171"/>
        <v>Female</v>
      </c>
      <c r="K878" s="73" t="str">
        <f t="shared" si="172"/>
        <v>Singaporean</v>
      </c>
      <c r="L878" s="73" t="str">
        <f t="shared" si="173"/>
        <v>Case 1143 is a Imported  case, 42 years old female Singapore Citizen  and has been to UK . She is currently admitted at NCID . Family member of Case 932</v>
      </c>
      <c r="M878" s="73">
        <f t="shared" si="174"/>
        <v>1143</v>
      </c>
      <c r="N878" s="73" t="str">
        <f t="shared" si="175"/>
        <v xml:space="preserve">UK </v>
      </c>
      <c r="O878" s="73">
        <f t="shared" si="176"/>
        <v>1143</v>
      </c>
      <c r="P878" s="73" t="str">
        <f t="shared" si="177"/>
        <v>Family member of Case 932</v>
      </c>
    </row>
    <row r="879" spans="1:16" x14ac:dyDescent="0.3">
      <c r="A879" s="73">
        <v>1144</v>
      </c>
      <c r="B879" s="75">
        <v>43924</v>
      </c>
      <c r="C879" s="73" t="s">
        <v>1071</v>
      </c>
      <c r="D879" s="73">
        <v>41</v>
      </c>
      <c r="E879" s="73" t="s">
        <v>1059</v>
      </c>
      <c r="F879" s="73" t="s">
        <v>1194</v>
      </c>
      <c r="G879" s="73"/>
      <c r="H879" s="73" t="s">
        <v>1061</v>
      </c>
      <c r="I879" s="73"/>
      <c r="J879" s="73" t="str">
        <f t="shared" si="171"/>
        <v>Male</v>
      </c>
      <c r="K879" s="73" t="str">
        <f t="shared" si="172"/>
        <v>India</v>
      </c>
      <c r="L879" s="73" t="str">
        <f t="shared" si="173"/>
        <v xml:space="preserve">Case 1144 is a Local unlinked case, 41 years old male India (Long Term Pass holder)  and has not been overseas. He is currently admitted at NCID . </v>
      </c>
      <c r="M879" s="73" t="str">
        <f t="shared" si="174"/>
        <v/>
      </c>
      <c r="N879" s="73" t="str">
        <f t="shared" si="175"/>
        <v/>
      </c>
      <c r="O879" s="73" t="str">
        <f t="shared" si="176"/>
        <v/>
      </c>
      <c r="P879" s="73" t="str">
        <f t="shared" si="177"/>
        <v/>
      </c>
    </row>
    <row r="880" spans="1:16" x14ac:dyDescent="0.3">
      <c r="A880" s="73">
        <v>1145</v>
      </c>
      <c r="B880" s="75">
        <v>43924</v>
      </c>
      <c r="C880" s="73" t="s">
        <v>1066</v>
      </c>
      <c r="D880" s="73">
        <v>20</v>
      </c>
      <c r="E880" s="73" t="s">
        <v>1059</v>
      </c>
      <c r="F880" s="73" t="s">
        <v>1466</v>
      </c>
      <c r="G880" s="73"/>
      <c r="H880" s="73" t="s">
        <v>1086</v>
      </c>
      <c r="I880" s="73" t="s">
        <v>1467</v>
      </c>
      <c r="J880" s="73" t="str">
        <f t="shared" si="171"/>
        <v>Male</v>
      </c>
      <c r="K880" s="73" t="str">
        <f t="shared" si="172"/>
        <v>Banglades</v>
      </c>
      <c r="L880" s="73" t="str">
        <f t="shared" si="173"/>
        <v xml:space="preserve">Case 1145 is a Local linked  case, 20 years old male Bangladesh(Long Term Pass holder)  and has not been overseas. He is currently admitted at SKH . S11 Dormitory </v>
      </c>
      <c r="M880" s="73" t="str">
        <f t="shared" si="174"/>
        <v/>
      </c>
      <c r="N880" s="73" t="str">
        <f t="shared" si="175"/>
        <v/>
      </c>
      <c r="O880" s="73">
        <f t="shared" si="176"/>
        <v>1145</v>
      </c>
      <c r="P880" s="73" t="str">
        <f t="shared" si="177"/>
        <v xml:space="preserve">S11 Dormitory </v>
      </c>
    </row>
    <row r="881" spans="1:16" x14ac:dyDescent="0.3">
      <c r="A881" s="73">
        <v>1146</v>
      </c>
      <c r="B881" s="75">
        <v>43924</v>
      </c>
      <c r="C881" s="73" t="s">
        <v>1071</v>
      </c>
      <c r="D881" s="73">
        <v>33</v>
      </c>
      <c r="E881" s="73" t="s">
        <v>1059</v>
      </c>
      <c r="F881" s="73" t="s">
        <v>1360</v>
      </c>
      <c r="G881" s="73"/>
      <c r="H881" s="73" t="s">
        <v>1061</v>
      </c>
      <c r="I881" s="73"/>
      <c r="J881" s="73" t="str">
        <f t="shared" si="171"/>
        <v>Male</v>
      </c>
      <c r="K881" s="73" t="str">
        <f t="shared" si="172"/>
        <v>Bangladesh</v>
      </c>
      <c r="L881" s="73" t="str">
        <f t="shared" si="173"/>
        <v xml:space="preserve">Case 1146 is a Local unlinked case, 33 years old male Bangladesh (Singapore Work Pass holder)  and has not been overseas. He is currently admitted at NCID . </v>
      </c>
      <c r="M881" s="73" t="str">
        <f t="shared" si="174"/>
        <v/>
      </c>
      <c r="N881" s="73" t="str">
        <f t="shared" si="175"/>
        <v/>
      </c>
      <c r="O881" s="73" t="str">
        <f t="shared" si="176"/>
        <v/>
      </c>
      <c r="P881" s="73" t="str">
        <f t="shared" si="177"/>
        <v/>
      </c>
    </row>
    <row r="882" spans="1:16" x14ac:dyDescent="0.3">
      <c r="A882" s="73">
        <v>1147</v>
      </c>
      <c r="B882" s="75">
        <v>43924</v>
      </c>
      <c r="C882" s="73" t="s">
        <v>1071</v>
      </c>
      <c r="D882" s="73">
        <v>46</v>
      </c>
      <c r="E882" s="73" t="s">
        <v>1059</v>
      </c>
      <c r="F882" s="73" t="s">
        <v>1060</v>
      </c>
      <c r="G882" s="73"/>
      <c r="H882" s="73" t="s">
        <v>1061</v>
      </c>
      <c r="I882" s="73"/>
      <c r="J882" s="73" t="str">
        <f t="shared" si="171"/>
        <v>Male</v>
      </c>
      <c r="K882" s="73" t="str">
        <f t="shared" si="172"/>
        <v>Singaporean</v>
      </c>
      <c r="L882" s="73" t="str">
        <f t="shared" si="173"/>
        <v xml:space="preserve">Case 1147 is a Local unlinked case, 46 years old male Singapore Citizen  and has not been overseas. He is currently admitted at NCID . </v>
      </c>
      <c r="M882" s="73" t="str">
        <f t="shared" si="174"/>
        <v/>
      </c>
      <c r="N882" s="73" t="str">
        <f t="shared" si="175"/>
        <v/>
      </c>
      <c r="O882" s="73" t="str">
        <f t="shared" si="176"/>
        <v/>
      </c>
      <c r="P882" s="73" t="str">
        <f t="shared" si="177"/>
        <v/>
      </c>
    </row>
    <row r="883" spans="1:16" x14ac:dyDescent="0.3">
      <c r="A883" s="73">
        <v>1148</v>
      </c>
      <c r="B883" s="75">
        <v>43924</v>
      </c>
      <c r="C883" s="73" t="s">
        <v>1062</v>
      </c>
      <c r="D883" s="73">
        <v>28</v>
      </c>
      <c r="E883" s="73" t="s">
        <v>1059</v>
      </c>
      <c r="F883" s="73" t="s">
        <v>1278</v>
      </c>
      <c r="G883" s="73"/>
      <c r="H883" s="73" t="s">
        <v>1086</v>
      </c>
      <c r="I883" s="73" t="s">
        <v>1468</v>
      </c>
      <c r="J883" s="73" t="str">
        <f t="shared" si="171"/>
        <v>Male</v>
      </c>
      <c r="K883" s="73" t="str">
        <f t="shared" si="172"/>
        <v>Bangladesh</v>
      </c>
      <c r="L883" s="73" t="str">
        <f t="shared" si="173"/>
        <v>Case 1148 is a Local linked  case, 28 years old male Bangladesh (Long Term Pass holder)  and has not been overseas. He is currently admitted at NTFGH . Toh Guan Dormitory</v>
      </c>
      <c r="M883" s="73" t="str">
        <f t="shared" si="174"/>
        <v/>
      </c>
      <c r="N883" s="73" t="str">
        <f t="shared" si="175"/>
        <v/>
      </c>
      <c r="O883" s="73">
        <f t="shared" si="176"/>
        <v>1148</v>
      </c>
      <c r="P883" s="73" t="str">
        <f t="shared" si="177"/>
        <v>Toh Guan Dormitory</v>
      </c>
    </row>
    <row r="884" spans="1:16" x14ac:dyDescent="0.3">
      <c r="A884" s="73">
        <v>1149</v>
      </c>
      <c r="B884" s="75">
        <v>43924</v>
      </c>
      <c r="C884" s="73" t="s">
        <v>1062</v>
      </c>
      <c r="D884" s="73">
        <v>48</v>
      </c>
      <c r="E884" s="73" t="s">
        <v>1059</v>
      </c>
      <c r="F884" s="73" t="s">
        <v>1250</v>
      </c>
      <c r="G884" s="73"/>
      <c r="H884" s="73" t="s">
        <v>1086</v>
      </c>
      <c r="I884" s="73" t="s">
        <v>1440</v>
      </c>
      <c r="J884" s="73" t="str">
        <f t="shared" si="171"/>
        <v>Male</v>
      </c>
      <c r="K884" s="73" t="str">
        <f t="shared" si="172"/>
        <v>Philippines</v>
      </c>
      <c r="L884" s="73" t="str">
        <f t="shared" si="173"/>
        <v>Case 1149 is a Local linked  case, 48 years old male Philippines (Singapore Work Pass holder)  and has not been overseas. He is currently admitted at NTFGH . Project Glory</v>
      </c>
      <c r="M884" s="73" t="str">
        <f t="shared" si="174"/>
        <v/>
      </c>
      <c r="N884" s="73" t="str">
        <f t="shared" si="175"/>
        <v/>
      </c>
      <c r="O884" s="73">
        <f t="shared" si="176"/>
        <v>1149</v>
      </c>
      <c r="P884" s="73" t="str">
        <f t="shared" si="177"/>
        <v>Project Glory</v>
      </c>
    </row>
    <row r="885" spans="1:16" x14ac:dyDescent="0.3">
      <c r="A885" s="73">
        <v>1150</v>
      </c>
      <c r="B885" s="75">
        <v>43924</v>
      </c>
      <c r="C885" s="73" t="s">
        <v>1062</v>
      </c>
      <c r="D885" s="73">
        <v>32</v>
      </c>
      <c r="E885" s="73" t="s">
        <v>1059</v>
      </c>
      <c r="F885" s="73" t="s">
        <v>1278</v>
      </c>
      <c r="G885" s="73"/>
      <c r="H885" s="73" t="s">
        <v>1086</v>
      </c>
      <c r="I885" s="73" t="s">
        <v>1468</v>
      </c>
      <c r="J885" s="73" t="str">
        <f t="shared" si="171"/>
        <v>Male</v>
      </c>
      <c r="K885" s="73" t="str">
        <f t="shared" si="172"/>
        <v>Bangladesh</v>
      </c>
      <c r="L885" s="73" t="str">
        <f t="shared" si="173"/>
        <v>Case 1150 is a Local linked  case, 32 years old male Bangladesh (Long Term Pass holder)  and has not been overseas. He is currently admitted at NTFGH . Toh Guan Dormitory</v>
      </c>
      <c r="M885" s="73" t="str">
        <f t="shared" si="174"/>
        <v/>
      </c>
      <c r="N885" s="73" t="str">
        <f t="shared" si="175"/>
        <v/>
      </c>
      <c r="O885" s="73">
        <f t="shared" si="176"/>
        <v>1150</v>
      </c>
      <c r="P885" s="73" t="str">
        <f t="shared" si="177"/>
        <v>Toh Guan Dormitory</v>
      </c>
    </row>
    <row r="886" spans="1:16" x14ac:dyDescent="0.3">
      <c r="A886" s="73">
        <v>1151</v>
      </c>
      <c r="B886" s="75">
        <v>43924</v>
      </c>
      <c r="C886" s="73" t="s">
        <v>1066</v>
      </c>
      <c r="D886" s="73">
        <v>20</v>
      </c>
      <c r="E886" s="73" t="s">
        <v>1073</v>
      </c>
      <c r="F886" s="73" t="s">
        <v>1156</v>
      </c>
      <c r="G886" s="73"/>
      <c r="H886" s="73" t="s">
        <v>1333</v>
      </c>
      <c r="I886" s="73"/>
      <c r="J886" s="73" t="str">
        <f t="shared" si="171"/>
        <v>Female</v>
      </c>
      <c r="K886" s="73" t="str">
        <f t="shared" si="172"/>
        <v>Malaysia</v>
      </c>
      <c r="L886" s="73" t="str">
        <f t="shared" si="173"/>
        <v xml:space="preserve">Case 1151 is a Local unlinked  case, 20 years old female Malaysia (Singapore Work Pass holder)  and has not been overseas. She is currently admitted at SKH . </v>
      </c>
      <c r="M886" s="73" t="str">
        <f t="shared" si="174"/>
        <v/>
      </c>
      <c r="N886" s="73" t="str">
        <f t="shared" si="175"/>
        <v/>
      </c>
      <c r="O886" s="73" t="str">
        <f t="shared" si="176"/>
        <v/>
      </c>
      <c r="P886" s="73" t="str">
        <f t="shared" si="177"/>
        <v/>
      </c>
    </row>
    <row r="887" spans="1:16" x14ac:dyDescent="0.3">
      <c r="A887" s="73">
        <v>1152</v>
      </c>
      <c r="B887" s="75">
        <v>43924</v>
      </c>
      <c r="C887" s="73" t="s">
        <v>1138</v>
      </c>
      <c r="D887" s="73">
        <v>65</v>
      </c>
      <c r="E887" s="73" t="s">
        <v>1059</v>
      </c>
      <c r="F887" s="73" t="s">
        <v>1060</v>
      </c>
      <c r="G887" s="73"/>
      <c r="H887" s="73" t="s">
        <v>1333</v>
      </c>
      <c r="I887" s="73"/>
      <c r="J887" s="73" t="str">
        <f t="shared" si="171"/>
        <v>Male</v>
      </c>
      <c r="K887" s="73" t="str">
        <f t="shared" si="172"/>
        <v>Singaporean</v>
      </c>
      <c r="L887" s="73" t="str">
        <f t="shared" si="173"/>
        <v xml:space="preserve">Case 1152 is a Local unlinked  case, 65 years old male Singapore Citizen  and has not been overseas. He is currently admitted at SGH . </v>
      </c>
      <c r="M887" s="73" t="str">
        <f t="shared" si="174"/>
        <v/>
      </c>
      <c r="N887" s="73" t="str">
        <f t="shared" si="175"/>
        <v/>
      </c>
      <c r="O887" s="73" t="str">
        <f t="shared" si="176"/>
        <v/>
      </c>
      <c r="P887" s="73" t="str">
        <f t="shared" si="177"/>
        <v/>
      </c>
    </row>
    <row r="888" spans="1:16" x14ac:dyDescent="0.3">
      <c r="A888" s="73">
        <v>1153</v>
      </c>
      <c r="B888" s="75">
        <v>43924</v>
      </c>
      <c r="C888" s="73" t="s">
        <v>1138</v>
      </c>
      <c r="D888" s="73">
        <v>28</v>
      </c>
      <c r="E888" s="73" t="s">
        <v>1059</v>
      </c>
      <c r="F888" s="73" t="s">
        <v>1278</v>
      </c>
      <c r="G888" s="73"/>
      <c r="H888" s="73" t="s">
        <v>1086</v>
      </c>
      <c r="I888" s="73" t="s">
        <v>1359</v>
      </c>
      <c r="J888" s="73" t="str">
        <f t="shared" si="171"/>
        <v>Male</v>
      </c>
      <c r="K888" s="73" t="str">
        <f t="shared" si="172"/>
        <v>Bangladesh</v>
      </c>
      <c r="L888" s="73" t="str">
        <f t="shared" si="173"/>
        <v>Case 1153 is a Local linked  case, 28 years old male Bangladesh (Long Term Pass holder)  and has not been overseas. He is currently admitted at SGH . S11 Dormitory</v>
      </c>
      <c r="M888" s="73" t="str">
        <f t="shared" si="174"/>
        <v/>
      </c>
      <c r="N888" s="73" t="str">
        <f t="shared" si="175"/>
        <v/>
      </c>
      <c r="O888" s="73">
        <f t="shared" si="176"/>
        <v>1153</v>
      </c>
      <c r="P888" s="73" t="str">
        <f t="shared" si="177"/>
        <v>S11 Dormitory</v>
      </c>
    </row>
    <row r="889" spans="1:16" x14ac:dyDescent="0.3">
      <c r="A889" s="73">
        <v>1154</v>
      </c>
      <c r="B889" s="75">
        <v>43924</v>
      </c>
      <c r="C889" s="73" t="s">
        <v>1138</v>
      </c>
      <c r="D889" s="73">
        <v>60</v>
      </c>
      <c r="E889" s="73" t="s">
        <v>1073</v>
      </c>
      <c r="F889" s="73" t="s">
        <v>1060</v>
      </c>
      <c r="G889" s="73"/>
      <c r="H889" s="73" t="s">
        <v>1061</v>
      </c>
      <c r="I889" s="73"/>
      <c r="J889" s="73" t="str">
        <f t="shared" si="171"/>
        <v>Female</v>
      </c>
      <c r="K889" s="73" t="str">
        <f t="shared" si="172"/>
        <v>Singaporean</v>
      </c>
      <c r="L889" s="73" t="str">
        <f t="shared" si="173"/>
        <v xml:space="preserve">Case 1154 is a Local unlinked case, 60 years old female Singapore Citizen  and has not been overseas. She is currently admitted at SGH . </v>
      </c>
      <c r="M889" s="73" t="str">
        <f t="shared" si="174"/>
        <v/>
      </c>
      <c r="N889" s="73" t="str">
        <f t="shared" si="175"/>
        <v/>
      </c>
      <c r="O889" s="73" t="str">
        <f t="shared" si="176"/>
        <v/>
      </c>
      <c r="P889" s="73" t="str">
        <f t="shared" si="177"/>
        <v/>
      </c>
    </row>
    <row r="890" spans="1:16" x14ac:dyDescent="0.3">
      <c r="A890" s="73">
        <v>1155</v>
      </c>
      <c r="B890" s="75">
        <v>43924</v>
      </c>
      <c r="C890" s="73" t="s">
        <v>1138</v>
      </c>
      <c r="D890" s="73">
        <v>32</v>
      </c>
      <c r="E890" s="73" t="s">
        <v>1059</v>
      </c>
      <c r="F890" s="73" t="s">
        <v>1278</v>
      </c>
      <c r="G890" s="73"/>
      <c r="H890" s="73" t="s">
        <v>1086</v>
      </c>
      <c r="I890" s="73" t="s">
        <v>1359</v>
      </c>
      <c r="J890" s="73" t="str">
        <f t="shared" si="171"/>
        <v>Male</v>
      </c>
      <c r="K890" s="73" t="str">
        <f t="shared" si="172"/>
        <v>Bangladesh</v>
      </c>
      <c r="L890" s="73" t="str">
        <f t="shared" si="173"/>
        <v>Case 1155 is a Local linked  case, 32 years old male Bangladesh (Long Term Pass holder)  and has not been overseas. He is currently admitted at SGH . S11 Dormitory</v>
      </c>
      <c r="M890" s="73" t="str">
        <f t="shared" si="174"/>
        <v/>
      </c>
      <c r="N890" s="73" t="str">
        <f t="shared" si="175"/>
        <v/>
      </c>
      <c r="O890" s="73">
        <f t="shared" si="176"/>
        <v>1155</v>
      </c>
      <c r="P890" s="73" t="str">
        <f t="shared" si="177"/>
        <v>S11 Dormitory</v>
      </c>
    </row>
    <row r="891" spans="1:16" x14ac:dyDescent="0.3">
      <c r="A891" s="73">
        <v>1156</v>
      </c>
      <c r="B891" s="75">
        <v>43924</v>
      </c>
      <c r="C891" s="73" t="s">
        <v>1138</v>
      </c>
      <c r="D891" s="73">
        <v>28</v>
      </c>
      <c r="E891" s="73" t="s">
        <v>1059</v>
      </c>
      <c r="F891" s="73" t="s">
        <v>1278</v>
      </c>
      <c r="G891" s="73"/>
      <c r="H891" s="73" t="s">
        <v>1086</v>
      </c>
      <c r="I891" s="73" t="s">
        <v>1359</v>
      </c>
      <c r="J891" s="73" t="str">
        <f t="shared" si="171"/>
        <v>Male</v>
      </c>
      <c r="K891" s="73" t="str">
        <f t="shared" si="172"/>
        <v>Bangladesh</v>
      </c>
      <c r="L891" s="73" t="str">
        <f t="shared" si="173"/>
        <v>Case 1156 is a Local linked  case, 28 years old male Bangladesh (Long Term Pass holder)  and has not been overseas. He is currently admitted at SGH . S11 Dormitory</v>
      </c>
      <c r="M891" s="73" t="str">
        <f t="shared" si="174"/>
        <v/>
      </c>
      <c r="N891" s="73" t="str">
        <f t="shared" si="175"/>
        <v/>
      </c>
      <c r="O891" s="73">
        <f t="shared" si="176"/>
        <v>1156</v>
      </c>
      <c r="P891" s="73" t="str">
        <f t="shared" si="177"/>
        <v>S11 Dormitory</v>
      </c>
    </row>
    <row r="892" spans="1:16" x14ac:dyDescent="0.3">
      <c r="A892" s="73">
        <v>1157</v>
      </c>
      <c r="B892" s="75">
        <v>43924</v>
      </c>
      <c r="C892" s="73" t="s">
        <v>1161</v>
      </c>
      <c r="D892" s="73">
        <v>20</v>
      </c>
      <c r="E892" s="73" t="s">
        <v>1059</v>
      </c>
      <c r="F892" s="73" t="s">
        <v>1060</v>
      </c>
      <c r="G892" s="73"/>
      <c r="H892" s="73" t="s">
        <v>1061</v>
      </c>
      <c r="I892" s="73"/>
      <c r="J892" s="73" t="str">
        <f t="shared" si="171"/>
        <v>Male</v>
      </c>
      <c r="K892" s="73" t="str">
        <f t="shared" si="172"/>
        <v>Singaporean</v>
      </c>
      <c r="L892" s="73" t="str">
        <f t="shared" si="173"/>
        <v xml:space="preserve">Case 1157 is a Local unlinked case, 20 years old male Singapore Citizen  and has not been overseas. He is currently admitted at KKH . </v>
      </c>
      <c r="M892" s="73" t="str">
        <f t="shared" si="174"/>
        <v/>
      </c>
      <c r="N892" s="73" t="str">
        <f t="shared" si="175"/>
        <v/>
      </c>
      <c r="O892" s="73" t="str">
        <f t="shared" si="176"/>
        <v/>
      </c>
      <c r="P892" s="73" t="str">
        <f t="shared" si="177"/>
        <v/>
      </c>
    </row>
    <row r="893" spans="1:16" x14ac:dyDescent="0.3">
      <c r="A893" s="73">
        <v>1158</v>
      </c>
      <c r="B893" s="75">
        <v>43924</v>
      </c>
      <c r="C893" s="73" t="s">
        <v>343</v>
      </c>
      <c r="D893" s="73">
        <v>62</v>
      </c>
      <c r="E893" s="73" t="s">
        <v>1059</v>
      </c>
      <c r="F893" s="73" t="s">
        <v>1060</v>
      </c>
      <c r="G893" s="73"/>
      <c r="H893" s="73" t="s">
        <v>1086</v>
      </c>
      <c r="I893" s="73" t="s">
        <v>1433</v>
      </c>
      <c r="J893" s="73" t="str">
        <f t="shared" si="171"/>
        <v>Male</v>
      </c>
      <c r="K893" s="73" t="str">
        <f t="shared" si="172"/>
        <v>Singaporean</v>
      </c>
      <c r="L893" s="73" t="str">
        <f t="shared" si="173"/>
        <v>Case 1158 is a Local linked  case, 62 years old male Singapore Citizen  and has not been overseas. He is currently admitted at NUH . Keppel Shipyard</v>
      </c>
      <c r="M893" s="73" t="str">
        <f t="shared" si="174"/>
        <v/>
      </c>
      <c r="N893" s="73" t="str">
        <f t="shared" si="175"/>
        <v/>
      </c>
      <c r="O893" s="73">
        <f t="shared" si="176"/>
        <v>1158</v>
      </c>
      <c r="P893" s="73" t="str">
        <f t="shared" si="177"/>
        <v>Keppel Shipyard</v>
      </c>
    </row>
    <row r="894" spans="1:16" x14ac:dyDescent="0.3">
      <c r="A894" s="73">
        <v>1159</v>
      </c>
      <c r="B894" s="75">
        <v>43924</v>
      </c>
      <c r="C894" s="73" t="s">
        <v>1071</v>
      </c>
      <c r="D894" s="73">
        <v>33</v>
      </c>
      <c r="E894" s="73" t="s">
        <v>1073</v>
      </c>
      <c r="F894" s="73" t="s">
        <v>1060</v>
      </c>
      <c r="G894" s="73"/>
      <c r="H894" s="73" t="s">
        <v>1061</v>
      </c>
      <c r="I894" s="73"/>
      <c r="J894" s="73" t="str">
        <f t="shared" si="171"/>
        <v>Female</v>
      </c>
      <c r="K894" s="73" t="str">
        <f t="shared" si="172"/>
        <v>Singaporean</v>
      </c>
      <c r="L894" s="73" t="str">
        <f t="shared" si="173"/>
        <v xml:space="preserve">Case 1159 is a Local unlinked case, 33 years old female Singapore Citizen  and has not been overseas. She is currently admitted at NCID . </v>
      </c>
      <c r="M894" s="73" t="str">
        <f t="shared" si="174"/>
        <v/>
      </c>
      <c r="N894" s="73" t="str">
        <f t="shared" si="175"/>
        <v/>
      </c>
      <c r="O894" s="73" t="str">
        <f t="shared" si="176"/>
        <v/>
      </c>
      <c r="P894" s="73" t="str">
        <f t="shared" si="177"/>
        <v/>
      </c>
    </row>
    <row r="895" spans="1:16" x14ac:dyDescent="0.3">
      <c r="A895" s="73">
        <v>1160</v>
      </c>
      <c r="B895" s="75">
        <v>43924</v>
      </c>
      <c r="C895" s="73" t="s">
        <v>1071</v>
      </c>
      <c r="D895" s="73">
        <v>55</v>
      </c>
      <c r="E895" s="73" t="s">
        <v>1059</v>
      </c>
      <c r="F895" s="73" t="s">
        <v>1060</v>
      </c>
      <c r="G895" s="73"/>
      <c r="H895" s="73" t="s">
        <v>1061</v>
      </c>
      <c r="I895" s="73"/>
      <c r="J895" s="73" t="str">
        <f t="shared" si="171"/>
        <v>Male</v>
      </c>
      <c r="K895" s="73" t="str">
        <f t="shared" si="172"/>
        <v>Singaporean</v>
      </c>
      <c r="L895" s="73" t="str">
        <f t="shared" si="173"/>
        <v xml:space="preserve">Case 1160 is a Local unlinked case, 55 years old male Singapore Citizen  and has not been overseas. He is currently admitted at NCID . </v>
      </c>
      <c r="M895" s="73" t="str">
        <f t="shared" si="174"/>
        <v/>
      </c>
      <c r="N895" s="73" t="str">
        <f t="shared" si="175"/>
        <v/>
      </c>
      <c r="O895" s="73" t="str">
        <f t="shared" si="176"/>
        <v/>
      </c>
      <c r="P895" s="73" t="str">
        <f t="shared" si="177"/>
        <v/>
      </c>
    </row>
    <row r="896" spans="1:16" x14ac:dyDescent="0.3">
      <c r="A896" s="73">
        <v>1161</v>
      </c>
      <c r="B896" s="75">
        <v>43924</v>
      </c>
      <c r="C896" s="73" t="s">
        <v>1071</v>
      </c>
      <c r="D896" s="73">
        <v>19</v>
      </c>
      <c r="E896" s="73" t="s">
        <v>1059</v>
      </c>
      <c r="F896" s="73" t="s">
        <v>1060</v>
      </c>
      <c r="G896" s="73"/>
      <c r="H896" s="73" t="s">
        <v>1061</v>
      </c>
      <c r="I896" s="73"/>
      <c r="J896" s="73" t="str">
        <f t="shared" si="171"/>
        <v>Male</v>
      </c>
      <c r="K896" s="73" t="str">
        <f t="shared" si="172"/>
        <v>Singaporean</v>
      </c>
      <c r="L896" s="73" t="str">
        <f t="shared" si="173"/>
        <v xml:space="preserve">Case 1161 is a Local unlinked case, 19 years old male Singapore Citizen  and has not been overseas. He is currently admitted at NCID . </v>
      </c>
      <c r="M896" s="73" t="str">
        <f t="shared" si="174"/>
        <v/>
      </c>
      <c r="N896" s="73" t="str">
        <f t="shared" si="175"/>
        <v/>
      </c>
      <c r="O896" s="73" t="str">
        <f t="shared" si="176"/>
        <v/>
      </c>
      <c r="P896" s="73" t="str">
        <f t="shared" si="177"/>
        <v/>
      </c>
    </row>
    <row r="897" spans="1:16" x14ac:dyDescent="0.3">
      <c r="A897" s="73">
        <v>1162</v>
      </c>
      <c r="B897" s="75">
        <v>43924</v>
      </c>
      <c r="C897" s="73" t="s">
        <v>1071</v>
      </c>
      <c r="D897" s="73">
        <v>35</v>
      </c>
      <c r="E897" s="73" t="s">
        <v>1059</v>
      </c>
      <c r="F897" s="73" t="s">
        <v>1360</v>
      </c>
      <c r="G897" s="73"/>
      <c r="H897" s="73" t="s">
        <v>1086</v>
      </c>
      <c r="I897" s="73" t="s">
        <v>1469</v>
      </c>
      <c r="J897" s="73" t="str">
        <f t="shared" si="171"/>
        <v>Male</v>
      </c>
      <c r="K897" s="73" t="str">
        <f t="shared" si="172"/>
        <v>Bangladesh</v>
      </c>
      <c r="L897" s="73" t="str">
        <f t="shared" si="173"/>
        <v>Case 1162 is a Local linked  case, 35 years old male Bangladesh (Singapore Work Pass holder)  and has not been overseas. He is currently admitted at NCID . Contact of Case 1078</v>
      </c>
      <c r="M897" s="73" t="str">
        <f t="shared" si="174"/>
        <v/>
      </c>
      <c r="N897" s="73" t="str">
        <f t="shared" si="175"/>
        <v/>
      </c>
      <c r="O897" s="73">
        <f t="shared" si="176"/>
        <v>1162</v>
      </c>
      <c r="P897" s="73" t="str">
        <f t="shared" si="177"/>
        <v>Contact of Case 1078</v>
      </c>
    </row>
    <row r="898" spans="1:16" x14ac:dyDescent="0.3">
      <c r="A898" s="73">
        <v>1163</v>
      </c>
      <c r="B898" s="75">
        <v>43924</v>
      </c>
      <c r="C898" s="73" t="s">
        <v>1071</v>
      </c>
      <c r="D898" s="73">
        <v>52</v>
      </c>
      <c r="E898" s="73" t="s">
        <v>1059</v>
      </c>
      <c r="F898" s="73" t="s">
        <v>1255</v>
      </c>
      <c r="G898" s="73"/>
      <c r="H898" s="73" t="s">
        <v>1061</v>
      </c>
      <c r="I898" s="73"/>
      <c r="J898" s="73" t="str">
        <f t="shared" si="171"/>
        <v>Male</v>
      </c>
      <c r="K898" s="73" t="str">
        <f t="shared" si="172"/>
        <v>India</v>
      </c>
      <c r="L898" s="73" t="str">
        <f t="shared" si="173"/>
        <v xml:space="preserve">Case 1163 is a Local unlinked case, 52 years old male India (Singapore Work Pass holder)  and has not been overseas. He is currently admitted at NCID . </v>
      </c>
      <c r="M898" s="73" t="str">
        <f t="shared" si="174"/>
        <v/>
      </c>
      <c r="N898" s="73" t="str">
        <f t="shared" si="175"/>
        <v/>
      </c>
      <c r="O898" s="73" t="str">
        <f t="shared" si="176"/>
        <v/>
      </c>
      <c r="P898" s="73" t="str">
        <f t="shared" si="177"/>
        <v/>
      </c>
    </row>
    <row r="899" spans="1:16" x14ac:dyDescent="0.3">
      <c r="A899" s="73">
        <v>1164</v>
      </c>
      <c r="B899" s="75">
        <v>43924</v>
      </c>
      <c r="C899" s="73" t="s">
        <v>1071</v>
      </c>
      <c r="D899" s="73">
        <v>27</v>
      </c>
      <c r="E899" s="73" t="s">
        <v>1059</v>
      </c>
      <c r="F899" s="73" t="s">
        <v>1278</v>
      </c>
      <c r="G899" s="73"/>
      <c r="H899" s="73" t="s">
        <v>1061</v>
      </c>
      <c r="I899" s="73"/>
      <c r="J899" s="73" t="str">
        <f t="shared" si="171"/>
        <v>Male</v>
      </c>
      <c r="K899" s="73" t="str">
        <f t="shared" si="172"/>
        <v>Bangladesh</v>
      </c>
      <c r="L899" s="73" t="str">
        <f t="shared" si="173"/>
        <v xml:space="preserve">Case 1164 is a Local unlinked case, 27 years old male Bangladesh (Long Term Pass holder)  and has not been overseas. He is currently admitted at NCID . </v>
      </c>
      <c r="M899" s="73" t="str">
        <f t="shared" si="174"/>
        <v/>
      </c>
      <c r="N899" s="73" t="str">
        <f t="shared" si="175"/>
        <v/>
      </c>
      <c r="O899" s="73" t="str">
        <f t="shared" si="176"/>
        <v/>
      </c>
      <c r="P899" s="73" t="str">
        <f t="shared" si="177"/>
        <v/>
      </c>
    </row>
    <row r="900" spans="1:16" x14ac:dyDescent="0.3">
      <c r="A900" s="73">
        <v>1165</v>
      </c>
      <c r="B900" s="75">
        <v>43924</v>
      </c>
      <c r="C900" s="73" t="s">
        <v>1071</v>
      </c>
      <c r="D900" s="73">
        <v>60</v>
      </c>
      <c r="E900" s="73" t="s">
        <v>1059</v>
      </c>
      <c r="F900" s="73" t="s">
        <v>1060</v>
      </c>
      <c r="G900" s="73" t="s">
        <v>1081</v>
      </c>
      <c r="H900" s="73" t="s">
        <v>77</v>
      </c>
      <c r="I900" s="73"/>
      <c r="J900" s="73" t="str">
        <f t="shared" si="171"/>
        <v>Male</v>
      </c>
      <c r="K900" s="73" t="str">
        <f t="shared" si="172"/>
        <v>Singaporean</v>
      </c>
      <c r="L900" s="73" t="str">
        <f t="shared" si="173"/>
        <v xml:space="preserve">Case 1165 is a Imported case, 60 years old male Singapore Citizen  and has been to Turkey . He is currently admitted at NCID . </v>
      </c>
      <c r="M900" s="73">
        <f t="shared" si="174"/>
        <v>1165</v>
      </c>
      <c r="N900" s="73" t="str">
        <f t="shared" si="175"/>
        <v xml:space="preserve">Turkey </v>
      </c>
      <c r="O900" s="73" t="str">
        <f t="shared" si="176"/>
        <v/>
      </c>
      <c r="P900" s="73" t="str">
        <f t="shared" si="177"/>
        <v/>
      </c>
    </row>
    <row r="901" spans="1:16" x14ac:dyDescent="0.3">
      <c r="A901" s="73">
        <v>1166</v>
      </c>
      <c r="B901" s="75">
        <v>43924</v>
      </c>
      <c r="C901" s="73" t="s">
        <v>1071</v>
      </c>
      <c r="D901" s="73">
        <v>62</v>
      </c>
      <c r="E901" s="73" t="s">
        <v>1059</v>
      </c>
      <c r="F901" s="73" t="s">
        <v>1186</v>
      </c>
      <c r="G901" s="73"/>
      <c r="H901" s="73" t="s">
        <v>1061</v>
      </c>
      <c r="I901" s="73"/>
      <c r="J901" s="73" t="str">
        <f t="shared" si="171"/>
        <v>Male</v>
      </c>
      <c r="K901" s="73" t="str">
        <f t="shared" si="172"/>
        <v>UK</v>
      </c>
      <c r="L901" s="73" t="str">
        <f t="shared" si="173"/>
        <v xml:space="preserve">Case 1166 is a Local unlinked case, 62 years old male UK (Singapore Work Pass holder)  and has not been overseas. He is currently admitted at NCID . </v>
      </c>
      <c r="M901" s="73" t="str">
        <f t="shared" si="174"/>
        <v/>
      </c>
      <c r="N901" s="73" t="str">
        <f t="shared" si="175"/>
        <v/>
      </c>
      <c r="O901" s="73" t="str">
        <f t="shared" si="176"/>
        <v/>
      </c>
      <c r="P901" s="73" t="str">
        <f t="shared" si="177"/>
        <v/>
      </c>
    </row>
    <row r="902" spans="1:16" x14ac:dyDescent="0.3">
      <c r="A902" s="73">
        <v>1167</v>
      </c>
      <c r="B902" s="75">
        <v>43924</v>
      </c>
      <c r="C902" s="73" t="s">
        <v>1071</v>
      </c>
      <c r="D902" s="73">
        <v>58</v>
      </c>
      <c r="E902" s="73" t="s">
        <v>1073</v>
      </c>
      <c r="F902" s="73" t="s">
        <v>1060</v>
      </c>
      <c r="G902" s="73"/>
      <c r="H902" s="73" t="s">
        <v>1061</v>
      </c>
      <c r="I902" s="73"/>
      <c r="J902" s="73" t="str">
        <f t="shared" si="171"/>
        <v>Female</v>
      </c>
      <c r="K902" s="73" t="str">
        <f t="shared" si="172"/>
        <v>Singaporean</v>
      </c>
      <c r="L902" s="73" t="str">
        <f t="shared" si="173"/>
        <v xml:space="preserve">Case 1167 is a Local unlinked case, 58 years old female Singapore Citizen  and has not been overseas. She is currently admitted at NCID . </v>
      </c>
      <c r="M902" s="73" t="str">
        <f t="shared" si="174"/>
        <v/>
      </c>
      <c r="N902" s="73" t="str">
        <f t="shared" si="175"/>
        <v/>
      </c>
      <c r="O902" s="73" t="str">
        <f t="shared" si="176"/>
        <v/>
      </c>
      <c r="P902" s="73" t="str">
        <f t="shared" si="177"/>
        <v/>
      </c>
    </row>
    <row r="903" spans="1:16" x14ac:dyDescent="0.3">
      <c r="A903" s="73">
        <v>1168</v>
      </c>
      <c r="B903" s="75">
        <v>43925</v>
      </c>
      <c r="C903" s="73" t="s">
        <v>1071</v>
      </c>
      <c r="D903" s="73">
        <v>60</v>
      </c>
      <c r="E903" s="73" t="s">
        <v>1073</v>
      </c>
      <c r="F903" s="73" t="s">
        <v>1060</v>
      </c>
      <c r="G903" s="73"/>
      <c r="H903" s="73" t="s">
        <v>1086</v>
      </c>
      <c r="I903" s="73" t="s">
        <v>1470</v>
      </c>
      <c r="J903" s="73" t="str">
        <f t="shared" si="171"/>
        <v>Female</v>
      </c>
      <c r="K903" s="73" t="str">
        <f t="shared" si="172"/>
        <v>Singaporean</v>
      </c>
      <c r="L903" s="73" t="str">
        <f t="shared" si="173"/>
        <v>Case 1168 is a Local linked  case, 60 years old female Singapore Citizen  and has not been overseas. She is currently admitted at NCID . Family member of Case 933</v>
      </c>
      <c r="M903" s="73" t="str">
        <f t="shared" si="174"/>
        <v/>
      </c>
      <c r="N903" s="73" t="str">
        <f t="shared" si="175"/>
        <v/>
      </c>
      <c r="O903" s="73">
        <f t="shared" si="176"/>
        <v>1168</v>
      </c>
      <c r="P903" s="73" t="str">
        <f t="shared" si="177"/>
        <v>Family member of Case 933</v>
      </c>
    </row>
    <row r="904" spans="1:16" x14ac:dyDescent="0.3">
      <c r="A904" s="73">
        <v>1169</v>
      </c>
      <c r="B904" s="75">
        <v>43925</v>
      </c>
      <c r="C904" s="73" t="s">
        <v>1071</v>
      </c>
      <c r="D904" s="73">
        <v>55</v>
      </c>
      <c r="E904" s="73" t="s">
        <v>1059</v>
      </c>
      <c r="F904" s="73" t="s">
        <v>1060</v>
      </c>
      <c r="G904" s="73"/>
      <c r="H904" s="73" t="s">
        <v>1061</v>
      </c>
      <c r="I904" s="73"/>
      <c r="J904" s="73" t="str">
        <f t="shared" si="171"/>
        <v>Male</v>
      </c>
      <c r="K904" s="73" t="str">
        <f t="shared" si="172"/>
        <v>Singaporean</v>
      </c>
      <c r="L904" s="73" t="str">
        <f t="shared" si="173"/>
        <v xml:space="preserve">Case 1169 is a Local unlinked case, 55 years old male Singapore Citizen  and has not been overseas. He is currently admitted at NCID . </v>
      </c>
      <c r="M904" s="73" t="str">
        <f t="shared" si="174"/>
        <v/>
      </c>
      <c r="N904" s="73" t="str">
        <f t="shared" si="175"/>
        <v/>
      </c>
      <c r="O904" s="73" t="str">
        <f t="shared" si="176"/>
        <v/>
      </c>
      <c r="P904" s="73" t="str">
        <f t="shared" si="177"/>
        <v/>
      </c>
    </row>
    <row r="905" spans="1:16" x14ac:dyDescent="0.3">
      <c r="A905" s="73">
        <v>1170</v>
      </c>
      <c r="B905" s="75">
        <v>43925</v>
      </c>
      <c r="C905" s="73" t="s">
        <v>1071</v>
      </c>
      <c r="D905" s="73">
        <v>54</v>
      </c>
      <c r="E905" s="73" t="s">
        <v>1073</v>
      </c>
      <c r="F905" s="73" t="s">
        <v>1072</v>
      </c>
      <c r="G905" s="73"/>
      <c r="H905" s="73" t="s">
        <v>1086</v>
      </c>
      <c r="I905" s="73" t="s">
        <v>1471</v>
      </c>
      <c r="J905" s="73" t="str">
        <f t="shared" si="171"/>
        <v>Female</v>
      </c>
      <c r="K905" s="73" t="str">
        <f t="shared" si="172"/>
        <v>Singaporean</v>
      </c>
      <c r="L905" s="73" t="str">
        <f t="shared" si="173"/>
        <v>Case 1170 is a Local linked  case, 54 years old female Singapore Permanent Resident  and has not been overseas. She is currently admitted at NCID . Family member of Case 953</v>
      </c>
      <c r="M905" s="73" t="str">
        <f t="shared" si="174"/>
        <v/>
      </c>
      <c r="N905" s="73" t="str">
        <f t="shared" si="175"/>
        <v/>
      </c>
      <c r="O905" s="73">
        <f t="shared" si="176"/>
        <v>1170</v>
      </c>
      <c r="P905" s="73" t="str">
        <f t="shared" si="177"/>
        <v>Family member of Case 953</v>
      </c>
    </row>
    <row r="906" spans="1:16" x14ac:dyDescent="0.3">
      <c r="A906" s="73">
        <v>1171</v>
      </c>
      <c r="B906" s="75">
        <v>43925</v>
      </c>
      <c r="C906" s="73" t="s">
        <v>1071</v>
      </c>
      <c r="D906" s="73">
        <v>35</v>
      </c>
      <c r="E906" s="73" t="s">
        <v>1059</v>
      </c>
      <c r="F906" s="73" t="s">
        <v>1472</v>
      </c>
      <c r="G906" s="73"/>
      <c r="H906" s="73" t="s">
        <v>1086</v>
      </c>
      <c r="I906" s="73" t="s">
        <v>1467</v>
      </c>
      <c r="J906" s="73" t="str">
        <f t="shared" si="171"/>
        <v>Male</v>
      </c>
      <c r="K906" s="73" t="str">
        <f t="shared" si="172"/>
        <v xml:space="preserve">Bangladesh </v>
      </c>
      <c r="L906" s="73" t="str">
        <f t="shared" si="173"/>
        <v xml:space="preserve">Case 1171 is a Local linked  case, 35 years old male Bangladesh  (Singapore Work Pass holder)  and has not been overseas. He is currently admitted at NCID . S11 Dormitory </v>
      </c>
      <c r="M906" s="73" t="str">
        <f t="shared" si="174"/>
        <v/>
      </c>
      <c r="N906" s="73" t="str">
        <f t="shared" si="175"/>
        <v/>
      </c>
      <c r="O906" s="73">
        <f t="shared" si="176"/>
        <v>1171</v>
      </c>
      <c r="P906" s="73" t="str">
        <f t="shared" si="177"/>
        <v xml:space="preserve">S11 Dormitory </v>
      </c>
    </row>
    <row r="907" spans="1:16" x14ac:dyDescent="0.3">
      <c r="A907" s="73">
        <v>1172</v>
      </c>
      <c r="B907" s="75">
        <v>43925</v>
      </c>
      <c r="C907" s="73" t="s">
        <v>1071</v>
      </c>
      <c r="D907" s="73">
        <v>64</v>
      </c>
      <c r="E907" s="73" t="s">
        <v>1059</v>
      </c>
      <c r="F907" s="73" t="s">
        <v>1060</v>
      </c>
      <c r="G907" s="73"/>
      <c r="H907" s="73" t="s">
        <v>1086</v>
      </c>
      <c r="I907" s="73" t="s">
        <v>1433</v>
      </c>
      <c r="J907" s="73" t="str">
        <f t="shared" si="171"/>
        <v>Male</v>
      </c>
      <c r="K907" s="73" t="str">
        <f t="shared" si="172"/>
        <v>Singaporean</v>
      </c>
      <c r="L907" s="73" t="str">
        <f t="shared" si="173"/>
        <v>Case 1172 is a Local linked  case, 64 years old male Singapore Citizen  and has not been overseas. He is currently admitted at NCID . Keppel Shipyard</v>
      </c>
      <c r="M907" s="73" t="str">
        <f t="shared" si="174"/>
        <v/>
      </c>
      <c r="N907" s="73" t="str">
        <f t="shared" si="175"/>
        <v/>
      </c>
      <c r="O907" s="73">
        <f t="shared" si="176"/>
        <v>1172</v>
      </c>
      <c r="P907" s="73" t="str">
        <f t="shared" si="177"/>
        <v>Keppel Shipyard</v>
      </c>
    </row>
    <row r="908" spans="1:16" x14ac:dyDescent="0.3">
      <c r="A908" s="73">
        <v>1173</v>
      </c>
      <c r="B908" s="75">
        <v>43925</v>
      </c>
      <c r="C908" s="73" t="s">
        <v>1071</v>
      </c>
      <c r="D908" s="73">
        <v>35</v>
      </c>
      <c r="E908" s="73" t="s">
        <v>1059</v>
      </c>
      <c r="F908" s="73" t="s">
        <v>1360</v>
      </c>
      <c r="G908" s="73"/>
      <c r="H908" s="73" t="s">
        <v>1086</v>
      </c>
      <c r="I908" s="73" t="s">
        <v>1359</v>
      </c>
      <c r="J908" s="73" t="str">
        <f t="shared" si="171"/>
        <v>Male</v>
      </c>
      <c r="K908" s="73" t="str">
        <f t="shared" si="172"/>
        <v>Bangladesh</v>
      </c>
      <c r="L908" s="73" t="str">
        <f t="shared" si="173"/>
        <v>Case 1173 is a Local linked  case, 35 years old male Bangladesh (Singapore Work Pass holder)  and has not been overseas. He is currently admitted at NCID . S11 Dormitory</v>
      </c>
      <c r="M908" s="73" t="str">
        <f t="shared" si="174"/>
        <v/>
      </c>
      <c r="N908" s="73" t="str">
        <f t="shared" si="175"/>
        <v/>
      </c>
      <c r="O908" s="73">
        <f t="shared" si="176"/>
        <v>1173</v>
      </c>
      <c r="P908" s="73" t="str">
        <f t="shared" si="177"/>
        <v>S11 Dormitory</v>
      </c>
    </row>
    <row r="909" spans="1:16" x14ac:dyDescent="0.3">
      <c r="A909" s="73">
        <v>1174</v>
      </c>
      <c r="B909" s="75">
        <v>43925</v>
      </c>
      <c r="C909" s="73" t="s">
        <v>1071</v>
      </c>
      <c r="D909" s="73">
        <v>40</v>
      </c>
      <c r="E909" s="73" t="s">
        <v>1059</v>
      </c>
      <c r="F909" s="73" t="s">
        <v>1194</v>
      </c>
      <c r="G909" s="73"/>
      <c r="H909" s="73" t="s">
        <v>1086</v>
      </c>
      <c r="I909" s="73" t="s">
        <v>1359</v>
      </c>
      <c r="J909" s="73" t="str">
        <f t="shared" si="171"/>
        <v>Male</v>
      </c>
      <c r="K909" s="73" t="str">
        <f t="shared" si="172"/>
        <v>India</v>
      </c>
      <c r="L909" s="73" t="str">
        <f t="shared" si="173"/>
        <v>Case 1174 is a Local linked  case, 40 years old male India (Long Term Pass holder)  and has not been overseas. He is currently admitted at NCID . S11 Dormitory</v>
      </c>
      <c r="M909" s="73" t="str">
        <f t="shared" si="174"/>
        <v/>
      </c>
      <c r="N909" s="73" t="str">
        <f t="shared" si="175"/>
        <v/>
      </c>
      <c r="O909" s="73">
        <f t="shared" si="176"/>
        <v>1174</v>
      </c>
      <c r="P909" s="73" t="str">
        <f t="shared" si="177"/>
        <v>S11 Dormitory</v>
      </c>
    </row>
    <row r="910" spans="1:16" x14ac:dyDescent="0.3">
      <c r="A910" s="73">
        <v>1175</v>
      </c>
      <c r="B910" s="75">
        <v>43925</v>
      </c>
      <c r="C910" s="73" t="s">
        <v>1071</v>
      </c>
      <c r="D910" s="73">
        <v>32</v>
      </c>
      <c r="E910" s="73" t="s">
        <v>1059</v>
      </c>
      <c r="F910" s="73" t="s">
        <v>1156</v>
      </c>
      <c r="G910" s="73" t="s">
        <v>360</v>
      </c>
      <c r="H910" s="73" t="s">
        <v>77</v>
      </c>
      <c r="I910" s="73"/>
      <c r="J910" s="73" t="str">
        <f t="shared" si="171"/>
        <v>Male</v>
      </c>
      <c r="K910" s="73" t="str">
        <f t="shared" si="172"/>
        <v>Malaysia</v>
      </c>
      <c r="L910" s="73" t="str">
        <f t="shared" si="173"/>
        <v xml:space="preserve">Case 1175 is a Imported case, 32 years old male Malaysia (Singapore Work Pass holder)  and has been to Malaysia . He is currently admitted at NCID . </v>
      </c>
      <c r="M910" s="73">
        <f t="shared" si="174"/>
        <v>1175</v>
      </c>
      <c r="N910" s="73" t="str">
        <f t="shared" si="175"/>
        <v xml:space="preserve">Malaysia </v>
      </c>
      <c r="O910" s="73" t="str">
        <f t="shared" si="176"/>
        <v/>
      </c>
      <c r="P910" s="73" t="str">
        <f t="shared" si="177"/>
        <v/>
      </c>
    </row>
    <row r="911" spans="1:16" x14ac:dyDescent="0.3">
      <c r="A911" s="73">
        <v>1176</v>
      </c>
      <c r="B911" s="75">
        <v>43925</v>
      </c>
      <c r="C911" s="73" t="s">
        <v>1071</v>
      </c>
      <c r="D911" s="73">
        <v>33</v>
      </c>
      <c r="E911" s="73" t="s">
        <v>1059</v>
      </c>
      <c r="F911" s="73" t="s">
        <v>1278</v>
      </c>
      <c r="G911" s="73"/>
      <c r="H911" s="73" t="s">
        <v>1086</v>
      </c>
      <c r="I911" s="73" t="s">
        <v>1382</v>
      </c>
      <c r="J911" s="73" t="str">
        <f t="shared" si="171"/>
        <v>Male</v>
      </c>
      <c r="K911" s="73" t="str">
        <f t="shared" si="172"/>
        <v>Bangladesh</v>
      </c>
      <c r="L911" s="73" t="str">
        <f t="shared" si="173"/>
        <v>Case 1176 is a Local linked  case, 33 years old male Bangladesh (Long Term Pass holder)  and has not been overseas. He is currently admitted at NCID . Westlite Toh Guan</v>
      </c>
      <c r="M911" s="73" t="str">
        <f t="shared" si="174"/>
        <v/>
      </c>
      <c r="N911" s="73" t="str">
        <f t="shared" si="175"/>
        <v/>
      </c>
      <c r="O911" s="73">
        <f t="shared" si="176"/>
        <v>1176</v>
      </c>
      <c r="P911" s="73" t="str">
        <f t="shared" si="177"/>
        <v>Westlite Toh Guan</v>
      </c>
    </row>
    <row r="912" spans="1:16" x14ac:dyDescent="0.3">
      <c r="A912" s="73">
        <v>1177</v>
      </c>
      <c r="B912" s="75">
        <v>43925</v>
      </c>
      <c r="C912" s="73" t="s">
        <v>1071</v>
      </c>
      <c r="D912" s="73">
        <v>25</v>
      </c>
      <c r="E912" s="73" t="s">
        <v>1059</v>
      </c>
      <c r="F912" s="73" t="s">
        <v>1060</v>
      </c>
      <c r="G912" s="73" t="s">
        <v>1063</v>
      </c>
      <c r="H912" s="73" t="s">
        <v>77</v>
      </c>
      <c r="I912" s="73"/>
      <c r="J912" s="73" t="str">
        <f t="shared" si="171"/>
        <v>Male</v>
      </c>
      <c r="K912" s="73" t="str">
        <f t="shared" si="172"/>
        <v>Singaporean</v>
      </c>
      <c r="L912" s="73" t="str">
        <f t="shared" si="173"/>
        <v xml:space="preserve">Case 1177 is a Imported case, 25 years old male Singapore Citizen  and has been to UK . He is currently admitted at NCID . </v>
      </c>
      <c r="M912" s="73">
        <f t="shared" si="174"/>
        <v>1177</v>
      </c>
      <c r="N912" s="73" t="str">
        <f t="shared" si="175"/>
        <v xml:space="preserve">UK </v>
      </c>
      <c r="O912" s="73" t="str">
        <f t="shared" si="176"/>
        <v/>
      </c>
      <c r="P912" s="73" t="str">
        <f t="shared" si="177"/>
        <v/>
      </c>
    </row>
    <row r="913" spans="1:16" x14ac:dyDescent="0.3">
      <c r="A913" s="73">
        <v>1178</v>
      </c>
      <c r="B913" s="75">
        <v>43925</v>
      </c>
      <c r="C913" s="73" t="s">
        <v>1071</v>
      </c>
      <c r="D913" s="73">
        <v>24</v>
      </c>
      <c r="E913" s="73" t="s">
        <v>1059</v>
      </c>
      <c r="F913" s="73" t="s">
        <v>1360</v>
      </c>
      <c r="G913" s="73"/>
      <c r="H913" s="73" t="s">
        <v>1061</v>
      </c>
      <c r="I913" s="73"/>
      <c r="J913" s="73" t="str">
        <f t="shared" si="171"/>
        <v>Male</v>
      </c>
      <c r="K913" s="73" t="str">
        <f t="shared" si="172"/>
        <v>Bangladesh</v>
      </c>
      <c r="L913" s="73" t="str">
        <f t="shared" si="173"/>
        <v xml:space="preserve">Case 1178 is a Local unlinked case, 24 years old male Bangladesh (Singapore Work Pass holder)  and has not been overseas. He is currently admitted at NCID . </v>
      </c>
      <c r="M913" s="73" t="str">
        <f t="shared" si="174"/>
        <v/>
      </c>
      <c r="N913" s="73" t="str">
        <f t="shared" si="175"/>
        <v/>
      </c>
      <c r="O913" s="73" t="str">
        <f t="shared" si="176"/>
        <v/>
      </c>
      <c r="P913" s="73" t="str">
        <f t="shared" si="177"/>
        <v/>
      </c>
    </row>
    <row r="914" spans="1:16" x14ac:dyDescent="0.3">
      <c r="A914" s="73">
        <v>1179</v>
      </c>
      <c r="B914" s="75">
        <v>43925</v>
      </c>
      <c r="C914" s="73" t="s">
        <v>1071</v>
      </c>
      <c r="D914" s="73">
        <v>23</v>
      </c>
      <c r="E914" s="73" t="s">
        <v>1073</v>
      </c>
      <c r="F914" s="73" t="s">
        <v>1060</v>
      </c>
      <c r="G914" s="73"/>
      <c r="H914" s="73" t="s">
        <v>1061</v>
      </c>
      <c r="I914" s="73"/>
      <c r="J914" s="73" t="str">
        <f t="shared" si="171"/>
        <v>Female</v>
      </c>
      <c r="K914" s="73" t="str">
        <f t="shared" si="172"/>
        <v>Singaporean</v>
      </c>
      <c r="L914" s="73" t="str">
        <f t="shared" si="173"/>
        <v xml:space="preserve">Case 1179 is a Local unlinked case, 23 years old female Singapore Citizen  and has not been overseas. She is currently admitted at NCID . </v>
      </c>
      <c r="M914" s="73" t="str">
        <f t="shared" si="174"/>
        <v/>
      </c>
      <c r="N914" s="73" t="str">
        <f t="shared" si="175"/>
        <v/>
      </c>
      <c r="O914" s="73" t="str">
        <f t="shared" si="176"/>
        <v/>
      </c>
      <c r="P914" s="73" t="str">
        <f t="shared" si="177"/>
        <v/>
      </c>
    </row>
    <row r="915" spans="1:16" x14ac:dyDescent="0.3">
      <c r="A915" s="73">
        <v>1180</v>
      </c>
      <c r="B915" s="75">
        <v>43925</v>
      </c>
      <c r="C915" s="73" t="s">
        <v>1071</v>
      </c>
      <c r="D915" s="73">
        <v>42</v>
      </c>
      <c r="E915" s="73" t="s">
        <v>1059</v>
      </c>
      <c r="F915" s="73" t="s">
        <v>1060</v>
      </c>
      <c r="G915" s="73"/>
      <c r="H915" s="73" t="s">
        <v>1086</v>
      </c>
      <c r="I915" s="73" t="s">
        <v>253</v>
      </c>
      <c r="J915" s="73" t="str">
        <f t="shared" ref="J915:J924" si="178">IF(TRIM(E915)="M","Male",IF(TRIM(E915)="F","Female",""))</f>
        <v>Male</v>
      </c>
      <c r="K915" s="73" t="str">
        <f t="shared" ref="K915:K924" si="179">IF(LEFT(F915,9)="Singapore","Singaporean",IF(ISERR(FIND("(",F915)),F915,LEFT(F915,FIND("(",F915)-2)))</f>
        <v>Singaporean</v>
      </c>
      <c r="L915" s="73" t="str">
        <f t="shared" ref="L915:L924" si="180">"Case "&amp;A915&amp;" is a "&amp;H915&amp;" case, "&amp;D915&amp;" years old "&amp;LOWER(J915)&amp;" "&amp;F915 &amp;IF(G915=""," and has not been overseas"," and has been to "&amp;G915)&amp;". "&amp;IF(TRIM(E915)="F","She",IF(TRIM(E915)="M","He"))&amp;" is currently admitted at "&amp;C915&amp;". "&amp;I915</f>
        <v>Case 1180 is a Local linked  case, 42 years old male Singapore Citizen  and has not been overseas. He is currently admitted at NCID . Mustafa Centre</v>
      </c>
      <c r="M915" s="73" t="str">
        <f t="shared" ref="M915:M924" si="181">IF(G915="","",A915)</f>
        <v/>
      </c>
      <c r="N915" s="73" t="str">
        <f t="shared" ref="N915:N924" si="182">IF(G915="","",G915)</f>
        <v/>
      </c>
      <c r="O915" s="73">
        <f t="shared" ref="O915:O924" si="183">IF(I915="","",A915)</f>
        <v>1180</v>
      </c>
      <c r="P915" s="73" t="str">
        <f t="shared" ref="P915:P924" si="184">IF(I915="","",I915)</f>
        <v>Mustafa Centre</v>
      </c>
    </row>
    <row r="916" spans="1:16" x14ac:dyDescent="0.3">
      <c r="A916" s="73">
        <v>1181</v>
      </c>
      <c r="B916" s="75">
        <v>43925</v>
      </c>
      <c r="C916" s="73" t="s">
        <v>1071</v>
      </c>
      <c r="D916" s="73">
        <v>31</v>
      </c>
      <c r="E916" s="73" t="s">
        <v>1059</v>
      </c>
      <c r="F916" s="73" t="s">
        <v>1278</v>
      </c>
      <c r="G916" s="73"/>
      <c r="H916" s="73" t="s">
        <v>1061</v>
      </c>
      <c r="I916" s="73"/>
      <c r="J916" s="73" t="str">
        <f t="shared" si="178"/>
        <v>Male</v>
      </c>
      <c r="K916" s="73" t="str">
        <f t="shared" si="179"/>
        <v>Bangladesh</v>
      </c>
      <c r="L916" s="73" t="str">
        <f t="shared" si="180"/>
        <v xml:space="preserve">Case 1181 is a Local unlinked case, 31 years old male Bangladesh (Long Term Pass holder)  and has not been overseas. He is currently admitted at NCID . </v>
      </c>
      <c r="M916" s="73" t="str">
        <f t="shared" si="181"/>
        <v/>
      </c>
      <c r="N916" s="73" t="str">
        <f t="shared" si="182"/>
        <v/>
      </c>
      <c r="O916" s="73" t="str">
        <f t="shared" si="183"/>
        <v/>
      </c>
      <c r="P916" s="73" t="str">
        <f t="shared" si="184"/>
        <v/>
      </c>
    </row>
    <row r="917" spans="1:16" x14ac:dyDescent="0.3">
      <c r="A917" s="73">
        <v>1182</v>
      </c>
      <c r="B917" s="75">
        <v>43925</v>
      </c>
      <c r="C917" s="73" t="s">
        <v>1071</v>
      </c>
      <c r="D917" s="73">
        <v>26</v>
      </c>
      <c r="E917" s="73" t="s">
        <v>1073</v>
      </c>
      <c r="F917" s="73" t="s">
        <v>1060</v>
      </c>
      <c r="G917" s="73"/>
      <c r="H917" s="73" t="s">
        <v>1061</v>
      </c>
      <c r="I917" s="73"/>
      <c r="J917" s="73" t="str">
        <f t="shared" si="178"/>
        <v>Female</v>
      </c>
      <c r="K917" s="73" t="str">
        <f t="shared" si="179"/>
        <v>Singaporean</v>
      </c>
      <c r="L917" s="73" t="str">
        <f t="shared" si="180"/>
        <v xml:space="preserve">Case 1182 is a Local unlinked case, 26 years old female Singapore Citizen  and has not been overseas. She is currently admitted at NCID . </v>
      </c>
      <c r="M917" s="73" t="str">
        <f t="shared" si="181"/>
        <v/>
      </c>
      <c r="N917" s="73" t="str">
        <f t="shared" si="182"/>
        <v/>
      </c>
      <c r="O917" s="73" t="str">
        <f t="shared" si="183"/>
        <v/>
      </c>
      <c r="P917" s="73" t="str">
        <f t="shared" si="184"/>
        <v/>
      </c>
    </row>
    <row r="918" spans="1:16" x14ac:dyDescent="0.3">
      <c r="A918" s="73">
        <v>1183</v>
      </c>
      <c r="B918" s="75">
        <v>43925</v>
      </c>
      <c r="C918" s="73" t="s">
        <v>1071</v>
      </c>
      <c r="D918" s="73">
        <v>35</v>
      </c>
      <c r="E918" s="73" t="s">
        <v>1059</v>
      </c>
      <c r="F918" s="73" t="s">
        <v>1360</v>
      </c>
      <c r="G918" s="73"/>
      <c r="H918" s="73" t="s">
        <v>1086</v>
      </c>
      <c r="I918" s="73" t="s">
        <v>1473</v>
      </c>
      <c r="J918" s="73" t="str">
        <f t="shared" si="178"/>
        <v>Male</v>
      </c>
      <c r="K918" s="73" t="str">
        <f t="shared" si="179"/>
        <v>Bangladesh</v>
      </c>
      <c r="L918" s="73" t="str">
        <f t="shared" si="180"/>
        <v>Case 1183 is a Local linked  case, 35 years old male Bangladesh (Singapore Work Pass holder)  and has not been overseas. He is currently admitted at NCID . Contact of Case 1049</v>
      </c>
      <c r="M918" s="73" t="str">
        <f t="shared" si="181"/>
        <v/>
      </c>
      <c r="N918" s="73" t="str">
        <f t="shared" si="182"/>
        <v/>
      </c>
      <c r="O918" s="73">
        <f t="shared" si="183"/>
        <v>1183</v>
      </c>
      <c r="P918" s="73" t="str">
        <f t="shared" si="184"/>
        <v>Contact of Case 1049</v>
      </c>
    </row>
    <row r="919" spans="1:16" x14ac:dyDescent="0.3">
      <c r="A919" s="73">
        <v>1184</v>
      </c>
      <c r="B919" s="75">
        <v>43925</v>
      </c>
      <c r="C919" s="73" t="s">
        <v>1071</v>
      </c>
      <c r="D919" s="73">
        <v>29</v>
      </c>
      <c r="E919" s="73" t="s">
        <v>1059</v>
      </c>
      <c r="F919" s="73" t="s">
        <v>1278</v>
      </c>
      <c r="G919" s="73"/>
      <c r="H919" s="73" t="s">
        <v>1086</v>
      </c>
      <c r="I919" s="73" t="s">
        <v>1473</v>
      </c>
      <c r="J919" s="73" t="str">
        <f t="shared" si="178"/>
        <v>Male</v>
      </c>
      <c r="K919" s="73" t="str">
        <f t="shared" si="179"/>
        <v>Bangladesh</v>
      </c>
      <c r="L919" s="73" t="str">
        <f t="shared" si="180"/>
        <v>Case 1184 is a Local linked  case, 29 years old male Bangladesh (Long Term Pass holder)  and has not been overseas. He is currently admitted at NCID . Contact of Case 1049</v>
      </c>
      <c r="M919" s="73" t="str">
        <f t="shared" si="181"/>
        <v/>
      </c>
      <c r="N919" s="73" t="str">
        <f t="shared" si="182"/>
        <v/>
      </c>
      <c r="O919" s="73">
        <f t="shared" si="183"/>
        <v>1184</v>
      </c>
      <c r="P919" s="73" t="str">
        <f t="shared" si="184"/>
        <v>Contact of Case 1049</v>
      </c>
    </row>
    <row r="920" spans="1:16" x14ac:dyDescent="0.3">
      <c r="A920" s="73">
        <v>1185</v>
      </c>
      <c r="B920" s="75">
        <v>43925</v>
      </c>
      <c r="C920" s="73" t="s">
        <v>1071</v>
      </c>
      <c r="D920" s="73">
        <v>18</v>
      </c>
      <c r="E920" s="73" t="s">
        <v>1059</v>
      </c>
      <c r="F920" s="73" t="s">
        <v>1194</v>
      </c>
      <c r="G920" s="73"/>
      <c r="H920" s="73" t="s">
        <v>1086</v>
      </c>
      <c r="I920" s="73" t="s">
        <v>1359</v>
      </c>
      <c r="J920" s="73" t="str">
        <f t="shared" si="178"/>
        <v>Male</v>
      </c>
      <c r="K920" s="73" t="str">
        <f t="shared" si="179"/>
        <v>India</v>
      </c>
      <c r="L920" s="73" t="str">
        <f t="shared" si="180"/>
        <v>Case 1185 is a Local linked  case, 18 years old male India (Long Term Pass holder)  and has not been overseas. He is currently admitted at NCID . S11 Dormitory</v>
      </c>
      <c r="M920" s="73" t="str">
        <f t="shared" si="181"/>
        <v/>
      </c>
      <c r="N920" s="73" t="str">
        <f t="shared" si="182"/>
        <v/>
      </c>
      <c r="O920" s="73">
        <f t="shared" si="183"/>
        <v>1185</v>
      </c>
      <c r="P920" s="73" t="str">
        <f t="shared" si="184"/>
        <v>S11 Dormitory</v>
      </c>
    </row>
    <row r="921" spans="1:16" x14ac:dyDescent="0.3">
      <c r="A921" s="73">
        <v>1186</v>
      </c>
      <c r="B921" s="75">
        <v>43925</v>
      </c>
      <c r="C921" s="73" t="s">
        <v>1071</v>
      </c>
      <c r="D921" s="73">
        <v>32</v>
      </c>
      <c r="E921" s="73" t="s">
        <v>1059</v>
      </c>
      <c r="F921" s="73" t="s">
        <v>1278</v>
      </c>
      <c r="G921" s="73"/>
      <c r="H921" s="73" t="s">
        <v>1086</v>
      </c>
      <c r="I921" s="73" t="s">
        <v>1359</v>
      </c>
      <c r="J921" s="73" t="str">
        <f t="shared" si="178"/>
        <v>Male</v>
      </c>
      <c r="K921" s="73" t="str">
        <f t="shared" si="179"/>
        <v>Bangladesh</v>
      </c>
      <c r="L921" s="73" t="str">
        <f t="shared" si="180"/>
        <v>Case 1186 is a Local linked  case, 32 years old male Bangladesh (Long Term Pass holder)  and has not been overseas. He is currently admitted at NCID . S11 Dormitory</v>
      </c>
      <c r="M921" s="73" t="str">
        <f t="shared" si="181"/>
        <v/>
      </c>
      <c r="N921" s="73" t="str">
        <f t="shared" si="182"/>
        <v/>
      </c>
      <c r="O921" s="73">
        <f t="shared" si="183"/>
        <v>1186</v>
      </c>
      <c r="P921" s="73" t="str">
        <f t="shared" si="184"/>
        <v>S11 Dormitory</v>
      </c>
    </row>
    <row r="922" spans="1:16" x14ac:dyDescent="0.3">
      <c r="A922" s="73">
        <v>1187</v>
      </c>
      <c r="B922" s="75">
        <v>43925</v>
      </c>
      <c r="C922" s="73" t="s">
        <v>1058</v>
      </c>
      <c r="D922" s="73">
        <v>25</v>
      </c>
      <c r="E922" s="73" t="s">
        <v>1059</v>
      </c>
      <c r="F922" s="73" t="s">
        <v>1360</v>
      </c>
      <c r="G922" s="73"/>
      <c r="H922" s="73" t="s">
        <v>1086</v>
      </c>
      <c r="I922" s="73" t="s">
        <v>1359</v>
      </c>
      <c r="J922" s="73" t="str">
        <f t="shared" si="178"/>
        <v>Male</v>
      </c>
      <c r="K922" s="73" t="str">
        <f t="shared" si="179"/>
        <v>Bangladesh</v>
      </c>
      <c r="L922" s="73" t="str">
        <f t="shared" si="180"/>
        <v>Case 1187 is a Local linked  case, 25 years old male Bangladesh (Singapore Work Pass holder)  and has not been overseas. He is currently admitted at KTPH . S11 Dormitory</v>
      </c>
      <c r="M922" s="73" t="str">
        <f t="shared" si="181"/>
        <v/>
      </c>
      <c r="N922" s="73" t="str">
        <f t="shared" si="182"/>
        <v/>
      </c>
      <c r="O922" s="73">
        <f t="shared" si="183"/>
        <v>1187</v>
      </c>
      <c r="P922" s="73" t="str">
        <f t="shared" si="184"/>
        <v>S11 Dormitory</v>
      </c>
    </row>
    <row r="923" spans="1:16" x14ac:dyDescent="0.3">
      <c r="A923" s="73">
        <v>1188</v>
      </c>
      <c r="B923" s="75">
        <v>43925</v>
      </c>
      <c r="C923" s="73" t="s">
        <v>1058</v>
      </c>
      <c r="D923" s="73">
        <v>54</v>
      </c>
      <c r="E923" s="73" t="s">
        <v>1059</v>
      </c>
      <c r="F923" s="73" t="s">
        <v>1060</v>
      </c>
      <c r="G923" s="73"/>
      <c r="H923" s="73" t="s">
        <v>1086</v>
      </c>
      <c r="I923" s="73" t="s">
        <v>253</v>
      </c>
      <c r="J923" s="73" t="str">
        <f t="shared" si="178"/>
        <v>Male</v>
      </c>
      <c r="K923" s="73" t="str">
        <f t="shared" si="179"/>
        <v>Singaporean</v>
      </c>
      <c r="L923" s="73" t="str">
        <f t="shared" si="180"/>
        <v>Case 1188 is a Local linked  case, 54 years old male Singapore Citizen  and has not been overseas. He is currently admitted at KTPH . Mustafa Centre</v>
      </c>
      <c r="M923" s="73" t="str">
        <f t="shared" si="181"/>
        <v/>
      </c>
      <c r="N923" s="73" t="str">
        <f t="shared" si="182"/>
        <v/>
      </c>
      <c r="O923" s="73">
        <f t="shared" si="183"/>
        <v>1188</v>
      </c>
      <c r="P923" s="73" t="str">
        <f t="shared" si="184"/>
        <v>Mustafa Centre</v>
      </c>
    </row>
    <row r="924" spans="1:16" x14ac:dyDescent="0.3">
      <c r="A924" s="73">
        <v>1189</v>
      </c>
      <c r="B924" s="75">
        <v>43925</v>
      </c>
      <c r="C924" s="73" t="s">
        <v>1058</v>
      </c>
      <c r="D924" s="73">
        <v>15</v>
      </c>
      <c r="E924" s="73" t="s">
        <v>1073</v>
      </c>
      <c r="F924" s="73" t="s">
        <v>1060</v>
      </c>
      <c r="G924" s="73"/>
      <c r="H924" s="73" t="s">
        <v>1086</v>
      </c>
      <c r="I924" s="73" t="s">
        <v>253</v>
      </c>
      <c r="J924" s="73" t="str">
        <f t="shared" si="178"/>
        <v>Female</v>
      </c>
      <c r="K924" s="73" t="str">
        <f t="shared" si="179"/>
        <v>Singaporean</v>
      </c>
      <c r="L924" s="73" t="str">
        <f t="shared" si="180"/>
        <v>Case 1189 is a Local linked  case, 15 years old female Singapore Citizen  and has not been overseas. She is currently admitted at KTPH . Mustafa Centre</v>
      </c>
      <c r="M924" s="73" t="str">
        <f t="shared" si="181"/>
        <v/>
      </c>
      <c r="N924" s="73" t="str">
        <f t="shared" si="182"/>
        <v/>
      </c>
      <c r="O924" s="73">
        <f t="shared" si="183"/>
        <v>1189</v>
      </c>
      <c r="P924" s="73" t="str">
        <f t="shared" si="184"/>
        <v>Mustafa Centre</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394"/>
  <sheetViews>
    <sheetView topLeftCell="A381" workbookViewId="0">
      <selection activeCell="B402" sqref="B402"/>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1">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346</v>
      </c>
    </row>
    <row r="52" spans="1:2" x14ac:dyDescent="0.3">
      <c r="A52" s="6">
        <v>95</v>
      </c>
      <c r="B52" s="1" t="s">
        <v>291</v>
      </c>
    </row>
    <row r="53" spans="1:2" x14ac:dyDescent="0.3">
      <c r="A53" s="6">
        <v>96</v>
      </c>
      <c r="B53" s="1" t="s">
        <v>346</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346</v>
      </c>
    </row>
    <row r="64" spans="1:2" x14ac:dyDescent="0.3">
      <c r="A64" s="6">
        <v>108</v>
      </c>
      <c r="B64" s="1" t="s">
        <v>291</v>
      </c>
    </row>
    <row r="65" spans="1:2" x14ac:dyDescent="0.3">
      <c r="A65" s="6">
        <v>110</v>
      </c>
      <c r="B65" s="1" t="s">
        <v>291</v>
      </c>
    </row>
    <row r="66" spans="1:2" x14ac:dyDescent="0.3">
      <c r="A66" s="6">
        <v>112</v>
      </c>
      <c r="B66" s="1" t="s">
        <v>346</v>
      </c>
    </row>
    <row r="67" spans="1:2" x14ac:dyDescent="0.3">
      <c r="A67" s="6">
        <v>114</v>
      </c>
      <c r="B67" s="1" t="s">
        <v>346</v>
      </c>
    </row>
    <row r="68" spans="1:2" x14ac:dyDescent="0.3">
      <c r="A68" s="6">
        <v>115</v>
      </c>
      <c r="B68" s="1" t="s">
        <v>346</v>
      </c>
    </row>
    <row r="69" spans="1:2" x14ac:dyDescent="0.3">
      <c r="A69" s="6">
        <v>116</v>
      </c>
      <c r="B69" s="1" t="s">
        <v>346</v>
      </c>
    </row>
    <row r="70" spans="1:2" x14ac:dyDescent="0.3">
      <c r="A70" s="6">
        <v>117</v>
      </c>
      <c r="B70" s="1" t="s">
        <v>346</v>
      </c>
    </row>
    <row r="71" spans="1:2" x14ac:dyDescent="0.3">
      <c r="A71" s="6">
        <v>118</v>
      </c>
      <c r="B71" s="1" t="s">
        <v>346</v>
      </c>
    </row>
    <row r="72" spans="1:2" x14ac:dyDescent="0.3">
      <c r="A72" s="6">
        <v>120</v>
      </c>
      <c r="B72" s="1" t="s">
        <v>346</v>
      </c>
    </row>
    <row r="73" spans="1:2" x14ac:dyDescent="0.3">
      <c r="A73" s="6">
        <v>121</v>
      </c>
      <c r="B73" s="1" t="s">
        <v>346</v>
      </c>
    </row>
    <row r="74" spans="1:2" x14ac:dyDescent="0.3">
      <c r="A74" s="6">
        <v>122</v>
      </c>
      <c r="B74" s="1" t="s">
        <v>346</v>
      </c>
    </row>
    <row r="75" spans="1:2" x14ac:dyDescent="0.3">
      <c r="A75" s="6">
        <v>125</v>
      </c>
      <c r="B75" s="1" t="s">
        <v>346</v>
      </c>
    </row>
    <row r="76" spans="1:2" x14ac:dyDescent="0.3">
      <c r="A76" s="6">
        <v>127</v>
      </c>
      <c r="B76" s="1" t="s">
        <v>346</v>
      </c>
    </row>
    <row r="77" spans="1:2" x14ac:dyDescent="0.3">
      <c r="A77" s="6">
        <v>128</v>
      </c>
      <c r="B77" s="1" t="s">
        <v>346</v>
      </c>
    </row>
    <row r="78" spans="1:2" x14ac:dyDescent="0.3">
      <c r="A78" s="6">
        <v>129</v>
      </c>
      <c r="B78" s="1" t="s">
        <v>346</v>
      </c>
    </row>
    <row r="79" spans="1:2" x14ac:dyDescent="0.3">
      <c r="A79" s="6">
        <v>130</v>
      </c>
      <c r="B79" s="1" t="s">
        <v>346</v>
      </c>
    </row>
    <row r="80" spans="1:2" x14ac:dyDescent="0.3">
      <c r="A80" s="6">
        <v>131</v>
      </c>
      <c r="B80" s="1" t="s">
        <v>346</v>
      </c>
    </row>
    <row r="81" spans="1:2" x14ac:dyDescent="0.3">
      <c r="A81" s="6">
        <v>133</v>
      </c>
      <c r="B81" s="1" t="s">
        <v>346</v>
      </c>
    </row>
    <row r="82" spans="1:2" x14ac:dyDescent="0.3">
      <c r="A82" s="6">
        <v>134</v>
      </c>
      <c r="B82" s="1" t="s">
        <v>346</v>
      </c>
    </row>
    <row r="83" spans="1:2" x14ac:dyDescent="0.3">
      <c r="A83" s="6">
        <v>137</v>
      </c>
      <c r="B83" s="1" t="s">
        <v>346</v>
      </c>
    </row>
    <row r="84" spans="1:2" x14ac:dyDescent="0.3">
      <c r="A84" s="6">
        <v>138</v>
      </c>
      <c r="B84" s="1" t="s">
        <v>17</v>
      </c>
    </row>
    <row r="85" spans="1:2" x14ac:dyDescent="0.3">
      <c r="A85" s="6">
        <v>139</v>
      </c>
      <c r="B85" s="1" t="s">
        <v>346</v>
      </c>
    </row>
    <row r="86" spans="1:2" x14ac:dyDescent="0.3">
      <c r="A86" s="6">
        <v>140</v>
      </c>
      <c r="B86" s="1" t="s">
        <v>346</v>
      </c>
    </row>
    <row r="87" spans="1:2" x14ac:dyDescent="0.3">
      <c r="A87" s="1">
        <v>142</v>
      </c>
      <c r="B87" s="1" t="s">
        <v>733</v>
      </c>
    </row>
    <row r="88" spans="1:2" x14ac:dyDescent="0.3">
      <c r="A88" s="6">
        <v>142</v>
      </c>
      <c r="B88" s="1" t="s">
        <v>346</v>
      </c>
    </row>
    <row r="89" spans="1:2" x14ac:dyDescent="0.3">
      <c r="A89" s="6">
        <v>144</v>
      </c>
      <c r="B89" s="1" t="s">
        <v>346</v>
      </c>
    </row>
    <row r="90" spans="1:2" x14ac:dyDescent="0.3">
      <c r="A90" s="1">
        <v>144</v>
      </c>
      <c r="B90" s="1" t="s">
        <v>845</v>
      </c>
    </row>
    <row r="91" spans="1:2" x14ac:dyDescent="0.3">
      <c r="A91" s="6">
        <v>145</v>
      </c>
      <c r="B91" s="1" t="s">
        <v>346</v>
      </c>
    </row>
    <row r="92" spans="1:2" x14ac:dyDescent="0.3">
      <c r="A92" s="6">
        <v>146</v>
      </c>
      <c r="B92" s="1" t="s">
        <v>346</v>
      </c>
    </row>
    <row r="93" spans="1:2" x14ac:dyDescent="0.3">
      <c r="A93" s="6">
        <v>148</v>
      </c>
      <c r="B93" s="1" t="s">
        <v>346</v>
      </c>
    </row>
    <row r="94" spans="1:2" x14ac:dyDescent="0.3">
      <c r="A94" s="6">
        <v>149</v>
      </c>
      <c r="B94" s="1" t="s">
        <v>346</v>
      </c>
    </row>
    <row r="95" spans="1:2" x14ac:dyDescent="0.3">
      <c r="A95" s="6">
        <v>150</v>
      </c>
      <c r="B95" s="1" t="s">
        <v>346</v>
      </c>
    </row>
    <row r="96" spans="1:2" x14ac:dyDescent="0.3">
      <c r="A96" s="6">
        <v>151</v>
      </c>
      <c r="B96" s="1" t="s">
        <v>17</v>
      </c>
    </row>
    <row r="97" spans="1:2" x14ac:dyDescent="0.3">
      <c r="A97" s="6">
        <v>155</v>
      </c>
      <c r="B97" s="1" t="s">
        <v>346</v>
      </c>
    </row>
    <row r="98" spans="1:2" x14ac:dyDescent="0.3">
      <c r="A98" s="6">
        <v>156</v>
      </c>
      <c r="B98" s="1" t="s">
        <v>346</v>
      </c>
    </row>
    <row r="99" spans="1:2" x14ac:dyDescent="0.3">
      <c r="A99" s="6">
        <v>157</v>
      </c>
      <c r="B99" s="1" t="s">
        <v>346</v>
      </c>
    </row>
    <row r="100" spans="1:2" x14ac:dyDescent="0.3">
      <c r="A100" s="6">
        <v>158</v>
      </c>
      <c r="B100" s="1" t="s">
        <v>346</v>
      </c>
    </row>
    <row r="101" spans="1:2" x14ac:dyDescent="0.3">
      <c r="A101" s="6">
        <v>159</v>
      </c>
      <c r="B101" s="1" t="s">
        <v>346</v>
      </c>
    </row>
    <row r="102" spans="1:2" x14ac:dyDescent="0.3">
      <c r="A102" s="6">
        <v>160</v>
      </c>
      <c r="B102" s="1" t="s">
        <v>346</v>
      </c>
    </row>
    <row r="103" spans="1:2" x14ac:dyDescent="0.3">
      <c r="A103" s="6">
        <v>161</v>
      </c>
      <c r="B103" s="1" t="s">
        <v>346</v>
      </c>
    </row>
    <row r="104" spans="1:2" x14ac:dyDescent="0.3">
      <c r="A104" s="6">
        <v>162</v>
      </c>
      <c r="B104" s="1" t="s">
        <v>733</v>
      </c>
    </row>
    <row r="105" spans="1:2" x14ac:dyDescent="0.3">
      <c r="A105" s="6">
        <v>163</v>
      </c>
      <c r="B105" s="1" t="s">
        <v>733</v>
      </c>
    </row>
    <row r="106" spans="1:2" x14ac:dyDescent="0.3">
      <c r="A106" s="6">
        <v>164</v>
      </c>
      <c r="B106" s="1" t="s">
        <v>346</v>
      </c>
    </row>
    <row r="107" spans="1:2" x14ac:dyDescent="0.3">
      <c r="A107" s="6">
        <v>166</v>
      </c>
      <c r="B107" s="1" t="s">
        <v>346</v>
      </c>
    </row>
    <row r="108" spans="1:2" x14ac:dyDescent="0.3">
      <c r="A108" s="6">
        <v>174</v>
      </c>
      <c r="B108" s="1" t="s">
        <v>346</v>
      </c>
    </row>
    <row r="109" spans="1:2" x14ac:dyDescent="0.3">
      <c r="A109" s="6">
        <v>179</v>
      </c>
      <c r="B109" s="1" t="s">
        <v>346</v>
      </c>
    </row>
    <row r="110" spans="1:2" x14ac:dyDescent="0.3">
      <c r="A110" s="6">
        <v>183</v>
      </c>
      <c r="B110" s="1" t="s">
        <v>724</v>
      </c>
    </row>
    <row r="111" spans="1:2" x14ac:dyDescent="0.3">
      <c r="A111" s="1">
        <v>183</v>
      </c>
      <c r="B111" s="1" t="s">
        <v>888</v>
      </c>
    </row>
    <row r="112" spans="1:2" x14ac:dyDescent="0.3">
      <c r="A112" s="6">
        <v>185</v>
      </c>
      <c r="B112" s="1" t="s">
        <v>346</v>
      </c>
    </row>
    <row r="113" spans="1:2" x14ac:dyDescent="0.3">
      <c r="A113" s="6">
        <v>186</v>
      </c>
      <c r="B113" s="1" t="s">
        <v>346</v>
      </c>
    </row>
    <row r="114" spans="1:2" x14ac:dyDescent="0.3">
      <c r="A114" s="6">
        <v>187</v>
      </c>
      <c r="B114" s="1" t="s">
        <v>724</v>
      </c>
    </row>
    <row r="115" spans="1:2" x14ac:dyDescent="0.3">
      <c r="A115" s="51">
        <v>192</v>
      </c>
      <c r="B115" s="51" t="s">
        <v>1351</v>
      </c>
    </row>
    <row r="116" spans="1:2" x14ac:dyDescent="0.3">
      <c r="A116" s="6">
        <v>196</v>
      </c>
      <c r="B116" s="1" t="s">
        <v>346</v>
      </c>
    </row>
    <row r="117" spans="1:2" x14ac:dyDescent="0.3">
      <c r="A117" s="6">
        <v>197</v>
      </c>
      <c r="B117" s="1" t="s">
        <v>724</v>
      </c>
    </row>
    <row r="118" spans="1:2" x14ac:dyDescent="0.3">
      <c r="A118" s="6">
        <v>199</v>
      </c>
      <c r="B118" s="1" t="s">
        <v>724</v>
      </c>
    </row>
    <row r="119" spans="1:2" x14ac:dyDescent="0.3">
      <c r="A119" s="6">
        <v>201</v>
      </c>
      <c r="B119" s="1" t="s">
        <v>346</v>
      </c>
    </row>
    <row r="120" spans="1:2" x14ac:dyDescent="0.3">
      <c r="A120" s="6">
        <v>202</v>
      </c>
      <c r="B120" s="1" t="s">
        <v>724</v>
      </c>
    </row>
    <row r="121" spans="1:2" x14ac:dyDescent="0.3">
      <c r="A121" s="1">
        <v>208</v>
      </c>
      <c r="B121" s="1" t="s">
        <v>845</v>
      </c>
    </row>
    <row r="122" spans="1:2" x14ac:dyDescent="0.3">
      <c r="A122" s="1">
        <v>214</v>
      </c>
      <c r="B122" s="1" t="s">
        <v>845</v>
      </c>
    </row>
    <row r="123" spans="1:2" x14ac:dyDescent="0.3">
      <c r="A123" s="6">
        <v>218</v>
      </c>
      <c r="B123" s="1" t="s">
        <v>346</v>
      </c>
    </row>
    <row r="124" spans="1:2" x14ac:dyDescent="0.3">
      <c r="A124" s="6">
        <v>224</v>
      </c>
      <c r="B124" s="1" t="s">
        <v>346</v>
      </c>
    </row>
    <row r="125" spans="1:2" x14ac:dyDescent="0.3">
      <c r="A125" s="1">
        <v>235</v>
      </c>
      <c r="B125" s="1" t="s">
        <v>845</v>
      </c>
    </row>
    <row r="126" spans="1:2" x14ac:dyDescent="0.3">
      <c r="A126" s="1">
        <v>252</v>
      </c>
      <c r="B126" s="1" t="s">
        <v>888</v>
      </c>
    </row>
    <row r="127" spans="1:2" x14ac:dyDescent="0.3">
      <c r="A127" s="1">
        <v>283</v>
      </c>
      <c r="B127" s="1" t="s">
        <v>887</v>
      </c>
    </row>
    <row r="128" spans="1:2" x14ac:dyDescent="0.3">
      <c r="A128" s="1">
        <v>305</v>
      </c>
      <c r="B128" s="1" t="s">
        <v>733</v>
      </c>
    </row>
    <row r="129" spans="1:2" x14ac:dyDescent="0.3">
      <c r="A129" s="1">
        <v>310</v>
      </c>
      <c r="B129" s="1" t="s">
        <v>888</v>
      </c>
    </row>
    <row r="130" spans="1:2" x14ac:dyDescent="0.3">
      <c r="A130" s="6">
        <v>345</v>
      </c>
      <c r="B130" s="1" t="s">
        <v>733</v>
      </c>
    </row>
    <row r="131" spans="1:2" x14ac:dyDescent="0.3">
      <c r="A131" s="71">
        <v>384</v>
      </c>
      <c r="B131" s="71" t="s">
        <v>1422</v>
      </c>
    </row>
    <row r="132" spans="1:2" x14ac:dyDescent="0.3">
      <c r="A132" s="51">
        <v>439</v>
      </c>
      <c r="B132" s="51" t="s">
        <v>1350</v>
      </c>
    </row>
    <row r="133" spans="1:2" x14ac:dyDescent="0.3">
      <c r="A133" s="6">
        <v>443</v>
      </c>
      <c r="B133" s="1" t="s">
        <v>733</v>
      </c>
    </row>
    <row r="134" spans="1:2" x14ac:dyDescent="0.3">
      <c r="A134" s="76">
        <v>510</v>
      </c>
      <c r="B134" s="76" t="s">
        <v>1449</v>
      </c>
    </row>
    <row r="135" spans="1:2" x14ac:dyDescent="0.3">
      <c r="A135" s="76">
        <v>511</v>
      </c>
      <c r="B135" s="76" t="s">
        <v>1449</v>
      </c>
    </row>
    <row r="136" spans="1:2" x14ac:dyDescent="0.3">
      <c r="A136" s="1">
        <v>516</v>
      </c>
      <c r="B136" s="1" t="s">
        <v>1237</v>
      </c>
    </row>
    <row r="137" spans="1:2" x14ac:dyDescent="0.3">
      <c r="A137" s="1">
        <v>521</v>
      </c>
      <c r="B137" s="1" t="s">
        <v>1237</v>
      </c>
    </row>
    <row r="138" spans="1:2" x14ac:dyDescent="0.3">
      <c r="A138" s="71">
        <v>540</v>
      </c>
      <c r="B138" s="71" t="s">
        <v>1421</v>
      </c>
    </row>
    <row r="139" spans="1:2" x14ac:dyDescent="0.3">
      <c r="A139" s="1">
        <v>556</v>
      </c>
      <c r="B139" s="1" t="s">
        <v>1348</v>
      </c>
    </row>
    <row r="140" spans="1:2" x14ac:dyDescent="0.3">
      <c r="A140" s="51">
        <v>556</v>
      </c>
      <c r="B140" s="51" t="s">
        <v>1351</v>
      </c>
    </row>
    <row r="141" spans="1:2" x14ac:dyDescent="0.3">
      <c r="A141" s="1">
        <v>566</v>
      </c>
      <c r="B141" s="1" t="s">
        <v>1237</v>
      </c>
    </row>
    <row r="142" spans="1:2" x14ac:dyDescent="0.3">
      <c r="A142" s="1">
        <v>567</v>
      </c>
      <c r="B142" s="1" t="s">
        <v>1237</v>
      </c>
    </row>
    <row r="143" spans="1:2" x14ac:dyDescent="0.3">
      <c r="A143" s="1">
        <v>572</v>
      </c>
      <c r="B143" s="1" t="s">
        <v>1237</v>
      </c>
    </row>
    <row r="144" spans="1:2" x14ac:dyDescent="0.3">
      <c r="A144" s="1">
        <v>581</v>
      </c>
      <c r="B144" s="1" t="s">
        <v>1347</v>
      </c>
    </row>
    <row r="145" spans="1:2" x14ac:dyDescent="0.3">
      <c r="A145" s="1">
        <v>583</v>
      </c>
      <c r="B145" s="1" t="s">
        <v>1237</v>
      </c>
    </row>
    <row r="146" spans="1:2" x14ac:dyDescent="0.3">
      <c r="A146" s="1">
        <v>584</v>
      </c>
      <c r="B146" s="1" t="s">
        <v>1237</v>
      </c>
    </row>
    <row r="147" spans="1:2" x14ac:dyDescent="0.3">
      <c r="A147" s="1">
        <v>601</v>
      </c>
      <c r="B147" s="1" t="s">
        <v>1237</v>
      </c>
    </row>
    <row r="148" spans="1:2" x14ac:dyDescent="0.3">
      <c r="A148" s="1">
        <v>602</v>
      </c>
      <c r="B148" s="1" t="s">
        <v>1237</v>
      </c>
    </row>
    <row r="149" spans="1:2" x14ac:dyDescent="0.3">
      <c r="A149" s="1">
        <v>603</v>
      </c>
      <c r="B149" s="1" t="s">
        <v>1237</v>
      </c>
    </row>
    <row r="150" spans="1:2" x14ac:dyDescent="0.3">
      <c r="A150" s="1">
        <v>604</v>
      </c>
      <c r="B150" s="1" t="s">
        <v>1237</v>
      </c>
    </row>
    <row r="151" spans="1:2" x14ac:dyDescent="0.3">
      <c r="A151" s="1">
        <v>605</v>
      </c>
      <c r="B151" s="1" t="s">
        <v>1237</v>
      </c>
    </row>
    <row r="152" spans="1:2" x14ac:dyDescent="0.3">
      <c r="A152" s="1">
        <v>609</v>
      </c>
      <c r="B152" s="1" t="s">
        <v>1237</v>
      </c>
    </row>
    <row r="153" spans="1:2" x14ac:dyDescent="0.3">
      <c r="A153" s="1">
        <v>610</v>
      </c>
      <c r="B153" s="1" t="s">
        <v>1237</v>
      </c>
    </row>
    <row r="154" spans="1:2" x14ac:dyDescent="0.3">
      <c r="A154" s="1">
        <v>612</v>
      </c>
      <c r="B154" s="1" t="s">
        <v>1237</v>
      </c>
    </row>
    <row r="155" spans="1:2" x14ac:dyDescent="0.3">
      <c r="A155" s="1">
        <v>614</v>
      </c>
      <c r="B155" s="1" t="s">
        <v>1237</v>
      </c>
    </row>
    <row r="156" spans="1:2" x14ac:dyDescent="0.3">
      <c r="A156" s="67">
        <v>616</v>
      </c>
      <c r="B156" s="67" t="s">
        <v>1405</v>
      </c>
    </row>
    <row r="157" spans="1:2" x14ac:dyDescent="0.3">
      <c r="A157" s="1">
        <v>617</v>
      </c>
      <c r="B157" s="1" t="s">
        <v>1237</v>
      </c>
    </row>
    <row r="158" spans="1:2" x14ac:dyDescent="0.3">
      <c r="A158" s="1">
        <v>618</v>
      </c>
      <c r="B158" s="1" t="s">
        <v>1348</v>
      </c>
    </row>
    <row r="159" spans="1:2" x14ac:dyDescent="0.3">
      <c r="A159" s="1">
        <v>624</v>
      </c>
      <c r="B159" s="1" t="s">
        <v>1237</v>
      </c>
    </row>
    <row r="160" spans="1:2" x14ac:dyDescent="0.3">
      <c r="A160" s="1">
        <v>626</v>
      </c>
      <c r="B160" s="1" t="s">
        <v>1348</v>
      </c>
    </row>
    <row r="161" spans="1:2" x14ac:dyDescent="0.3">
      <c r="A161" s="1">
        <v>638</v>
      </c>
      <c r="B161" s="1" t="s">
        <v>1237</v>
      </c>
    </row>
    <row r="162" spans="1:2" x14ac:dyDescent="0.3">
      <c r="A162" s="71">
        <v>655</v>
      </c>
      <c r="B162" s="71" t="s">
        <v>1372</v>
      </c>
    </row>
    <row r="163" spans="1:2" x14ac:dyDescent="0.3">
      <c r="A163" s="51">
        <v>657</v>
      </c>
      <c r="B163" s="51" t="s">
        <v>1351</v>
      </c>
    </row>
    <row r="164" spans="1:2" x14ac:dyDescent="0.3">
      <c r="A164" s="6">
        <v>660</v>
      </c>
      <c r="B164" s="1" t="s">
        <v>1237</v>
      </c>
    </row>
    <row r="165" spans="1:2" x14ac:dyDescent="0.3">
      <c r="A165" s="6">
        <v>662</v>
      </c>
      <c r="B165" s="1" t="s">
        <v>1348</v>
      </c>
    </row>
    <row r="166" spans="1:2" x14ac:dyDescent="0.3">
      <c r="A166" s="51">
        <v>670</v>
      </c>
      <c r="B166" s="51" t="s">
        <v>1351</v>
      </c>
    </row>
    <row r="167" spans="1:2" x14ac:dyDescent="0.3">
      <c r="A167" s="71">
        <v>670</v>
      </c>
      <c r="B167" s="71" t="s">
        <v>1422</v>
      </c>
    </row>
    <row r="168" spans="1:2" x14ac:dyDescent="0.3">
      <c r="A168" s="51">
        <v>678</v>
      </c>
      <c r="B168" s="51" t="s">
        <v>1350</v>
      </c>
    </row>
    <row r="169" spans="1:2" x14ac:dyDescent="0.3">
      <c r="A169" s="1">
        <v>686</v>
      </c>
      <c r="B169" s="1" t="s">
        <v>1348</v>
      </c>
    </row>
    <row r="170" spans="1:2" x14ac:dyDescent="0.3">
      <c r="A170" s="1">
        <v>689</v>
      </c>
      <c r="B170" s="1" t="s">
        <v>1347</v>
      </c>
    </row>
    <row r="171" spans="1:2" x14ac:dyDescent="0.3">
      <c r="A171" s="1">
        <v>705</v>
      </c>
      <c r="B171" s="1" t="s">
        <v>1237</v>
      </c>
    </row>
    <row r="172" spans="1:2" x14ac:dyDescent="0.3">
      <c r="A172" s="1">
        <v>706</v>
      </c>
      <c r="B172" s="1" t="s">
        <v>1237</v>
      </c>
    </row>
    <row r="173" spans="1:2" x14ac:dyDescent="0.3">
      <c r="A173" s="1">
        <v>707</v>
      </c>
      <c r="B173" s="1" t="s">
        <v>1237</v>
      </c>
    </row>
    <row r="174" spans="1:2" x14ac:dyDescent="0.3">
      <c r="A174" s="1">
        <v>708</v>
      </c>
      <c r="B174" s="1" t="s">
        <v>1237</v>
      </c>
    </row>
    <row r="175" spans="1:2" x14ac:dyDescent="0.3">
      <c r="A175" s="1">
        <v>713</v>
      </c>
      <c r="B175" s="1" t="s">
        <v>1348</v>
      </c>
    </row>
    <row r="176" spans="1:2" x14ac:dyDescent="0.3">
      <c r="A176" s="71">
        <v>714</v>
      </c>
      <c r="B176" s="71" t="s">
        <v>1351</v>
      </c>
    </row>
    <row r="177" spans="1:2" x14ac:dyDescent="0.3">
      <c r="A177" s="1">
        <v>716</v>
      </c>
      <c r="B177" s="1" t="s">
        <v>1237</v>
      </c>
    </row>
    <row r="178" spans="1:2" x14ac:dyDescent="0.3">
      <c r="A178" s="1">
        <v>724</v>
      </c>
      <c r="B178" s="1" t="s">
        <v>1347</v>
      </c>
    </row>
    <row r="179" spans="1:2" x14ac:dyDescent="0.3">
      <c r="A179" s="71">
        <v>728</v>
      </c>
      <c r="B179" s="71" t="s">
        <v>1422</v>
      </c>
    </row>
    <row r="180" spans="1:2" x14ac:dyDescent="0.3">
      <c r="A180" s="1">
        <v>729</v>
      </c>
      <c r="B180" s="1" t="s">
        <v>1348</v>
      </c>
    </row>
    <row r="181" spans="1:2" x14ac:dyDescent="0.3">
      <c r="A181" s="1">
        <v>740</v>
      </c>
      <c r="B181" s="1" t="s">
        <v>1347</v>
      </c>
    </row>
    <row r="182" spans="1:2" x14ac:dyDescent="0.3">
      <c r="A182" s="1">
        <v>745</v>
      </c>
      <c r="B182" s="1" t="s">
        <v>1346</v>
      </c>
    </row>
    <row r="183" spans="1:2" x14ac:dyDescent="0.3">
      <c r="A183" s="1">
        <v>746</v>
      </c>
      <c r="B183" s="1" t="s">
        <v>1237</v>
      </c>
    </row>
    <row r="184" spans="1:2" x14ac:dyDescent="0.3">
      <c r="A184" s="1">
        <v>761</v>
      </c>
      <c r="B184" s="1" t="s">
        <v>1348</v>
      </c>
    </row>
    <row r="185" spans="1:2" x14ac:dyDescent="0.3">
      <c r="A185" s="67">
        <v>788</v>
      </c>
      <c r="B185" s="67" t="s">
        <v>1405</v>
      </c>
    </row>
    <row r="186" spans="1:2" x14ac:dyDescent="0.3">
      <c r="A186" s="71">
        <v>792</v>
      </c>
      <c r="B186" s="71" t="s">
        <v>1422</v>
      </c>
    </row>
    <row r="187" spans="1:2" x14ac:dyDescent="0.3">
      <c r="A187" s="51">
        <v>793</v>
      </c>
      <c r="B187" s="51" t="s">
        <v>1350</v>
      </c>
    </row>
    <row r="188" spans="1:2" x14ac:dyDescent="0.3">
      <c r="A188" s="1">
        <v>796</v>
      </c>
      <c r="B188" s="1" t="s">
        <v>1347</v>
      </c>
    </row>
    <row r="189" spans="1:2" x14ac:dyDescent="0.3">
      <c r="A189" s="1">
        <v>802</v>
      </c>
      <c r="B189" s="1" t="s">
        <v>1346</v>
      </c>
    </row>
    <row r="190" spans="1:2" x14ac:dyDescent="0.3">
      <c r="A190" s="71">
        <v>807</v>
      </c>
      <c r="B190" s="71" t="s">
        <v>1421</v>
      </c>
    </row>
    <row r="191" spans="1:2" x14ac:dyDescent="0.3">
      <c r="A191" s="1">
        <v>810</v>
      </c>
      <c r="B191" s="1" t="s">
        <v>1346</v>
      </c>
    </row>
    <row r="192" spans="1:2" x14ac:dyDescent="0.3">
      <c r="A192" s="51">
        <v>813</v>
      </c>
      <c r="B192" s="51" t="s">
        <v>1351</v>
      </c>
    </row>
    <row r="193" spans="1:2" x14ac:dyDescent="0.3">
      <c r="A193" s="51">
        <v>818</v>
      </c>
      <c r="B193" s="51" t="s">
        <v>1350</v>
      </c>
    </row>
    <row r="194" spans="1:2" x14ac:dyDescent="0.3">
      <c r="A194" s="51">
        <v>826</v>
      </c>
      <c r="B194" s="51" t="s">
        <v>1349</v>
      </c>
    </row>
    <row r="195" spans="1:2" x14ac:dyDescent="0.3">
      <c r="A195" s="51">
        <v>829</v>
      </c>
      <c r="B195" s="51" t="s">
        <v>1349</v>
      </c>
    </row>
    <row r="196" spans="1:2" x14ac:dyDescent="0.3">
      <c r="A196" s="51">
        <v>848</v>
      </c>
      <c r="B196" s="51" t="s">
        <v>1350</v>
      </c>
    </row>
    <row r="197" spans="1:2" x14ac:dyDescent="0.3">
      <c r="A197" s="51">
        <v>852</v>
      </c>
      <c r="B197" s="51" t="s">
        <v>1349</v>
      </c>
    </row>
    <row r="198" spans="1:2" x14ac:dyDescent="0.3">
      <c r="A198" s="71">
        <v>855</v>
      </c>
      <c r="B198" s="71" t="s">
        <v>1422</v>
      </c>
    </row>
    <row r="199" spans="1:2" x14ac:dyDescent="0.3">
      <c r="A199" s="71">
        <v>856</v>
      </c>
      <c r="B199" s="71" t="s">
        <v>1421</v>
      </c>
    </row>
    <row r="200" spans="1:2" x14ac:dyDescent="0.3">
      <c r="A200" s="51">
        <v>860</v>
      </c>
      <c r="B200" s="51" t="s">
        <v>1349</v>
      </c>
    </row>
    <row r="201" spans="1:2" x14ac:dyDescent="0.3">
      <c r="A201" s="51">
        <v>864</v>
      </c>
      <c r="B201" s="51" t="s">
        <v>1350</v>
      </c>
    </row>
    <row r="202" spans="1:2" x14ac:dyDescent="0.3">
      <c r="A202" s="67">
        <v>866</v>
      </c>
      <c r="B202" s="67" t="s">
        <v>1405</v>
      </c>
    </row>
    <row r="203" spans="1:2" x14ac:dyDescent="0.3">
      <c r="A203" s="55">
        <v>868</v>
      </c>
      <c r="B203" s="55" t="s">
        <v>1371</v>
      </c>
    </row>
    <row r="204" spans="1:2" x14ac:dyDescent="0.3">
      <c r="A204" s="67">
        <v>869</v>
      </c>
      <c r="B204" s="67" t="s">
        <v>1423</v>
      </c>
    </row>
    <row r="205" spans="1:2" x14ac:dyDescent="0.3">
      <c r="A205" s="51">
        <v>873</v>
      </c>
      <c r="B205" s="51" t="s">
        <v>1350</v>
      </c>
    </row>
    <row r="206" spans="1:2" x14ac:dyDescent="0.3">
      <c r="A206" s="55">
        <v>875</v>
      </c>
      <c r="B206" s="55" t="s">
        <v>1372</v>
      </c>
    </row>
    <row r="207" spans="1:2" x14ac:dyDescent="0.3">
      <c r="A207" s="67">
        <v>878</v>
      </c>
      <c r="B207" s="67" t="s">
        <v>1406</v>
      </c>
    </row>
    <row r="208" spans="1:2" x14ac:dyDescent="0.3">
      <c r="A208" s="61">
        <v>881</v>
      </c>
      <c r="B208" s="61" t="s">
        <v>1347</v>
      </c>
    </row>
    <row r="209" spans="1:2" x14ac:dyDescent="0.3">
      <c r="A209" s="67">
        <v>898</v>
      </c>
      <c r="B209" s="67" t="s">
        <v>1406</v>
      </c>
    </row>
    <row r="210" spans="1:2" x14ac:dyDescent="0.3">
      <c r="A210" s="67">
        <v>900</v>
      </c>
      <c r="B210" s="67" t="s">
        <v>1423</v>
      </c>
    </row>
    <row r="211" spans="1:2" x14ac:dyDescent="0.3">
      <c r="A211" s="67">
        <v>907</v>
      </c>
      <c r="B211" s="67" t="s">
        <v>1406</v>
      </c>
    </row>
    <row r="212" spans="1:2" x14ac:dyDescent="0.3">
      <c r="A212" s="67">
        <v>908</v>
      </c>
      <c r="B212" s="67" t="s">
        <v>1405</v>
      </c>
    </row>
    <row r="213" spans="1:2" x14ac:dyDescent="0.3">
      <c r="A213" s="67">
        <v>911</v>
      </c>
      <c r="B213" s="67" t="s">
        <v>1405</v>
      </c>
    </row>
    <row r="214" spans="1:2" x14ac:dyDescent="0.3">
      <c r="A214" s="55">
        <v>918</v>
      </c>
      <c r="B214" s="55" t="s">
        <v>1370</v>
      </c>
    </row>
    <row r="215" spans="1:2" x14ac:dyDescent="0.3">
      <c r="A215" s="55">
        <v>922</v>
      </c>
      <c r="B215" s="55" t="s">
        <v>1372</v>
      </c>
    </row>
    <row r="216" spans="1:2" x14ac:dyDescent="0.3">
      <c r="A216" s="55">
        <v>924</v>
      </c>
      <c r="B216" s="55" t="s">
        <v>1372</v>
      </c>
    </row>
    <row r="217" spans="1:2" x14ac:dyDescent="0.3">
      <c r="A217" s="55">
        <v>925</v>
      </c>
      <c r="B217" s="55" t="s">
        <v>1372</v>
      </c>
    </row>
    <row r="218" spans="1:2" x14ac:dyDescent="0.3">
      <c r="A218" s="55">
        <v>926</v>
      </c>
      <c r="B218" s="55" t="s">
        <v>1372</v>
      </c>
    </row>
    <row r="219" spans="1:2" x14ac:dyDescent="0.3">
      <c r="A219" s="55">
        <v>934</v>
      </c>
      <c r="B219" s="55" t="s">
        <v>1372</v>
      </c>
    </row>
    <row r="220" spans="1:2" x14ac:dyDescent="0.3">
      <c r="A220" s="67">
        <v>938</v>
      </c>
      <c r="B220" s="67" t="s">
        <v>1405</v>
      </c>
    </row>
    <row r="221" spans="1:2" x14ac:dyDescent="0.3">
      <c r="A221" s="55">
        <v>940</v>
      </c>
      <c r="B221" s="55" t="s">
        <v>1351</v>
      </c>
    </row>
    <row r="222" spans="1:2" x14ac:dyDescent="0.3">
      <c r="A222" s="55">
        <v>946</v>
      </c>
      <c r="B222" s="55" t="s">
        <v>1349</v>
      </c>
    </row>
    <row r="223" spans="1:2" x14ac:dyDescent="0.3">
      <c r="A223" s="55">
        <v>947</v>
      </c>
      <c r="B223" s="55" t="s">
        <v>1349</v>
      </c>
    </row>
    <row r="224" spans="1:2" x14ac:dyDescent="0.3">
      <c r="A224" s="71">
        <v>956</v>
      </c>
      <c r="B224" s="71" t="s">
        <v>1450</v>
      </c>
    </row>
    <row r="225" spans="1:2" x14ac:dyDescent="0.3">
      <c r="A225" s="76">
        <v>956</v>
      </c>
      <c r="B225" s="76" t="s">
        <v>1448</v>
      </c>
    </row>
    <row r="226" spans="1:2" x14ac:dyDescent="0.3">
      <c r="A226" s="76">
        <v>963</v>
      </c>
      <c r="B226" s="76" t="s">
        <v>1447</v>
      </c>
    </row>
    <row r="227" spans="1:2" x14ac:dyDescent="0.3">
      <c r="A227" s="55">
        <v>966</v>
      </c>
      <c r="B227" s="55" t="s">
        <v>1349</v>
      </c>
    </row>
    <row r="228" spans="1:2" x14ac:dyDescent="0.3">
      <c r="A228" s="71">
        <v>967</v>
      </c>
      <c r="B228" s="71" t="s">
        <v>1450</v>
      </c>
    </row>
    <row r="229" spans="1:2" x14ac:dyDescent="0.3">
      <c r="A229" s="76">
        <v>967</v>
      </c>
      <c r="B229" s="76" t="s">
        <v>1448</v>
      </c>
    </row>
    <row r="230" spans="1:2" x14ac:dyDescent="0.3">
      <c r="A230" s="55">
        <v>972</v>
      </c>
      <c r="B230" s="55" t="s">
        <v>1371</v>
      </c>
    </row>
    <row r="231" spans="1:2" x14ac:dyDescent="0.3">
      <c r="A231" s="55">
        <v>973</v>
      </c>
      <c r="B231" s="55" t="s">
        <v>1370</v>
      </c>
    </row>
    <row r="232" spans="1:2" x14ac:dyDescent="0.3">
      <c r="A232" s="55">
        <v>974</v>
      </c>
      <c r="B232" s="55" t="s">
        <v>1371</v>
      </c>
    </row>
    <row r="233" spans="1:2" x14ac:dyDescent="0.3">
      <c r="A233" s="55">
        <v>976</v>
      </c>
      <c r="B233" s="55" t="s">
        <v>1370</v>
      </c>
    </row>
    <row r="234" spans="1:2" x14ac:dyDescent="0.3">
      <c r="A234" s="55">
        <v>977</v>
      </c>
      <c r="B234" s="55" t="s">
        <v>1372</v>
      </c>
    </row>
    <row r="235" spans="1:2" x14ac:dyDescent="0.3">
      <c r="A235" s="55">
        <v>979</v>
      </c>
      <c r="B235" s="55" t="s">
        <v>1349</v>
      </c>
    </row>
    <row r="236" spans="1:2" x14ac:dyDescent="0.3">
      <c r="A236" s="55">
        <v>980</v>
      </c>
      <c r="B236" s="55" t="s">
        <v>1350</v>
      </c>
    </row>
    <row r="237" spans="1:2" x14ac:dyDescent="0.3">
      <c r="A237" s="55">
        <v>982</v>
      </c>
      <c r="B237" s="55" t="s">
        <v>1349</v>
      </c>
    </row>
    <row r="238" spans="1:2" x14ac:dyDescent="0.3">
      <c r="A238" s="55">
        <v>983</v>
      </c>
      <c r="B238" s="55" t="s">
        <v>1370</v>
      </c>
    </row>
    <row r="239" spans="1:2" x14ac:dyDescent="0.3">
      <c r="A239" s="55">
        <v>984</v>
      </c>
      <c r="B239" s="55" t="s">
        <v>1370</v>
      </c>
    </row>
    <row r="240" spans="1:2" x14ac:dyDescent="0.3">
      <c r="A240" s="55">
        <v>985</v>
      </c>
      <c r="B240" s="55" t="s">
        <v>1370</v>
      </c>
    </row>
    <row r="241" spans="1:2" x14ac:dyDescent="0.3">
      <c r="A241" s="55">
        <v>986</v>
      </c>
      <c r="B241" s="55" t="s">
        <v>1370</v>
      </c>
    </row>
    <row r="242" spans="1:2" x14ac:dyDescent="0.3">
      <c r="A242" s="55">
        <v>987</v>
      </c>
      <c r="B242" s="55" t="s">
        <v>1370</v>
      </c>
    </row>
    <row r="243" spans="1:2" x14ac:dyDescent="0.3">
      <c r="A243" s="55">
        <v>988</v>
      </c>
      <c r="B243" s="55" t="s">
        <v>1370</v>
      </c>
    </row>
    <row r="244" spans="1:2" x14ac:dyDescent="0.3">
      <c r="A244" s="55">
        <v>989</v>
      </c>
      <c r="B244" s="55" t="s">
        <v>1370</v>
      </c>
    </row>
    <row r="245" spans="1:2" x14ac:dyDescent="0.3">
      <c r="A245" s="55">
        <v>990</v>
      </c>
      <c r="B245" s="55" t="s">
        <v>1370</v>
      </c>
    </row>
    <row r="246" spans="1:2" x14ac:dyDescent="0.3">
      <c r="A246" s="55">
        <v>993</v>
      </c>
      <c r="B246" s="55" t="s">
        <v>1349</v>
      </c>
    </row>
    <row r="247" spans="1:2" x14ac:dyDescent="0.3">
      <c r="A247" s="67">
        <v>1000</v>
      </c>
      <c r="B247" s="67" t="s">
        <v>1423</v>
      </c>
    </row>
    <row r="248" spans="1:2" x14ac:dyDescent="0.3">
      <c r="A248" s="67">
        <v>1001</v>
      </c>
      <c r="B248" s="67" t="s">
        <v>1405</v>
      </c>
    </row>
    <row r="249" spans="1:2" x14ac:dyDescent="0.3">
      <c r="A249" s="67">
        <v>1003</v>
      </c>
      <c r="B249" s="67" t="s">
        <v>1237</v>
      </c>
    </row>
    <row r="250" spans="1:2" x14ac:dyDescent="0.3">
      <c r="A250" s="55">
        <v>1004</v>
      </c>
      <c r="B250" s="55" t="s">
        <v>1370</v>
      </c>
    </row>
    <row r="251" spans="1:2" x14ac:dyDescent="0.3">
      <c r="A251" s="76">
        <v>1007</v>
      </c>
      <c r="B251" s="76" t="s">
        <v>1449</v>
      </c>
    </row>
    <row r="252" spans="1:2" x14ac:dyDescent="0.3">
      <c r="A252" s="67">
        <v>1009</v>
      </c>
      <c r="B252" s="67" t="s">
        <v>1423</v>
      </c>
    </row>
    <row r="253" spans="1:2" x14ac:dyDescent="0.3">
      <c r="A253" s="67">
        <v>1011</v>
      </c>
      <c r="B253" s="67" t="s">
        <v>1372</v>
      </c>
    </row>
    <row r="254" spans="1:2" x14ac:dyDescent="0.3">
      <c r="A254" s="67">
        <v>1012</v>
      </c>
      <c r="B254" s="67" t="s">
        <v>1372</v>
      </c>
    </row>
    <row r="255" spans="1:2" x14ac:dyDescent="0.3">
      <c r="A255" s="77">
        <v>1012</v>
      </c>
      <c r="B255" s="77" t="s">
        <v>1476</v>
      </c>
    </row>
    <row r="256" spans="1:2" x14ac:dyDescent="0.3">
      <c r="A256" s="67">
        <v>1013</v>
      </c>
      <c r="B256" s="67" t="s">
        <v>1351</v>
      </c>
    </row>
    <row r="257" spans="1:2" x14ac:dyDescent="0.3">
      <c r="A257" s="67">
        <v>1015</v>
      </c>
      <c r="B257" s="67" t="s">
        <v>1405</v>
      </c>
    </row>
    <row r="258" spans="1:2" x14ac:dyDescent="0.3">
      <c r="A258" s="76">
        <v>1018</v>
      </c>
      <c r="B258" s="76" t="s">
        <v>1448</v>
      </c>
    </row>
    <row r="259" spans="1:2" x14ac:dyDescent="0.3">
      <c r="A259" s="77">
        <v>1018</v>
      </c>
      <c r="B259" s="77" t="s">
        <v>1475</v>
      </c>
    </row>
    <row r="260" spans="1:2" x14ac:dyDescent="0.3">
      <c r="A260" s="71">
        <v>1019</v>
      </c>
      <c r="B260" s="71" t="s">
        <v>1450</v>
      </c>
    </row>
    <row r="261" spans="1:2" x14ac:dyDescent="0.3">
      <c r="A261" s="67">
        <v>1024</v>
      </c>
      <c r="B261" s="67" t="s">
        <v>1405</v>
      </c>
    </row>
    <row r="262" spans="1:2" x14ac:dyDescent="0.3">
      <c r="A262" s="67">
        <v>1026</v>
      </c>
      <c r="B262" s="67" t="s">
        <v>1405</v>
      </c>
    </row>
    <row r="263" spans="1:2" x14ac:dyDescent="0.3">
      <c r="A263" s="67">
        <v>1034</v>
      </c>
      <c r="B263" s="67" t="s">
        <v>1423</v>
      </c>
    </row>
    <row r="264" spans="1:2" x14ac:dyDescent="0.3">
      <c r="A264" s="67">
        <v>1035</v>
      </c>
      <c r="B264" s="67" t="s">
        <v>1349</v>
      </c>
    </row>
    <row r="265" spans="1:2" x14ac:dyDescent="0.3">
      <c r="A265" s="67">
        <v>1037</v>
      </c>
      <c r="B265" s="67" t="s">
        <v>1347</v>
      </c>
    </row>
    <row r="266" spans="1:2" x14ac:dyDescent="0.3">
      <c r="A266" s="67">
        <v>1039</v>
      </c>
      <c r="B266" s="67" t="s">
        <v>1349</v>
      </c>
    </row>
    <row r="267" spans="1:2" x14ac:dyDescent="0.3">
      <c r="A267" s="67">
        <v>1043</v>
      </c>
      <c r="B267" s="67" t="s">
        <v>1347</v>
      </c>
    </row>
    <row r="268" spans="1:2" x14ac:dyDescent="0.3">
      <c r="A268" s="67">
        <v>1046</v>
      </c>
      <c r="B268" s="67" t="s">
        <v>1405</v>
      </c>
    </row>
    <row r="269" spans="1:2" x14ac:dyDescent="0.3">
      <c r="A269" s="67">
        <v>1047</v>
      </c>
      <c r="B269" s="67" t="s">
        <v>1349</v>
      </c>
    </row>
    <row r="270" spans="1:2" x14ac:dyDescent="0.3">
      <c r="A270" s="77">
        <v>1049</v>
      </c>
      <c r="B270" s="77" t="s">
        <v>1474</v>
      </c>
    </row>
    <row r="271" spans="1:2" x14ac:dyDescent="0.3">
      <c r="A271" s="77">
        <v>1049</v>
      </c>
      <c r="B271" s="77" t="s">
        <v>1476</v>
      </c>
    </row>
    <row r="272" spans="1:2" x14ac:dyDescent="0.3">
      <c r="A272" s="71">
        <v>1050</v>
      </c>
      <c r="B272" s="71" t="s">
        <v>1349</v>
      </c>
    </row>
    <row r="273" spans="1:2" x14ac:dyDescent="0.3">
      <c r="A273" s="71">
        <v>1052</v>
      </c>
      <c r="B273" s="71" t="s">
        <v>1422</v>
      </c>
    </row>
    <row r="274" spans="1:2" x14ac:dyDescent="0.3">
      <c r="A274" s="71">
        <v>1054</v>
      </c>
      <c r="B274" s="71" t="s">
        <v>1372</v>
      </c>
    </row>
    <row r="275" spans="1:2" x14ac:dyDescent="0.3">
      <c r="A275" s="76">
        <v>1054</v>
      </c>
      <c r="B275" s="76" t="s">
        <v>1446</v>
      </c>
    </row>
    <row r="276" spans="1:2" x14ac:dyDescent="0.3">
      <c r="A276" s="71">
        <v>1055</v>
      </c>
      <c r="B276" s="71" t="s">
        <v>1370</v>
      </c>
    </row>
    <row r="277" spans="1:2" x14ac:dyDescent="0.3">
      <c r="A277" s="71">
        <v>1056</v>
      </c>
      <c r="B277" s="71" t="s">
        <v>1405</v>
      </c>
    </row>
    <row r="278" spans="1:2" x14ac:dyDescent="0.3">
      <c r="A278" s="76">
        <v>1061</v>
      </c>
      <c r="B278" s="76" t="s">
        <v>1349</v>
      </c>
    </row>
    <row r="279" spans="1:2" x14ac:dyDescent="0.3">
      <c r="A279" s="71">
        <v>1062</v>
      </c>
      <c r="B279" s="71" t="s">
        <v>1372</v>
      </c>
    </row>
    <row r="280" spans="1:2" x14ac:dyDescent="0.3">
      <c r="A280" s="71">
        <v>1066</v>
      </c>
      <c r="B280" s="71" t="s">
        <v>1349</v>
      </c>
    </row>
    <row r="281" spans="1:2" x14ac:dyDescent="0.3">
      <c r="A281" s="71">
        <v>1068</v>
      </c>
      <c r="B281" s="71" t="s">
        <v>1372</v>
      </c>
    </row>
    <row r="282" spans="1:2" x14ac:dyDescent="0.3">
      <c r="A282" s="71">
        <v>1069</v>
      </c>
      <c r="B282" s="71" t="s">
        <v>1423</v>
      </c>
    </row>
    <row r="283" spans="1:2" x14ac:dyDescent="0.3">
      <c r="A283" s="71">
        <v>1072</v>
      </c>
      <c r="B283" s="71" t="s">
        <v>1372</v>
      </c>
    </row>
    <row r="284" spans="1:2" x14ac:dyDescent="0.3">
      <c r="A284" s="71">
        <v>1074</v>
      </c>
      <c r="B284" s="71" t="s">
        <v>1349</v>
      </c>
    </row>
    <row r="285" spans="1:2" x14ac:dyDescent="0.3">
      <c r="A285" s="71">
        <v>1075</v>
      </c>
      <c r="B285" s="71" t="s">
        <v>1350</v>
      </c>
    </row>
    <row r="286" spans="1:2" x14ac:dyDescent="0.3">
      <c r="A286" s="71">
        <v>1076</v>
      </c>
      <c r="B286" s="71" t="s">
        <v>1406</v>
      </c>
    </row>
    <row r="287" spans="1:2" x14ac:dyDescent="0.3">
      <c r="A287" s="76">
        <v>1077</v>
      </c>
      <c r="B287" s="76" t="s">
        <v>1446</v>
      </c>
    </row>
    <row r="288" spans="1:2" x14ac:dyDescent="0.3">
      <c r="A288" s="76">
        <v>1079</v>
      </c>
      <c r="B288" s="76" t="s">
        <v>1447</v>
      </c>
    </row>
    <row r="289" spans="1:2" x14ac:dyDescent="0.3">
      <c r="A289" s="71">
        <v>1083</v>
      </c>
      <c r="B289" s="71" t="s">
        <v>1349</v>
      </c>
    </row>
    <row r="290" spans="1:2" x14ac:dyDescent="0.3">
      <c r="A290" s="71">
        <v>1084</v>
      </c>
      <c r="B290" s="71" t="s">
        <v>1349</v>
      </c>
    </row>
    <row r="291" spans="1:2" x14ac:dyDescent="0.3">
      <c r="A291" s="71">
        <v>1089</v>
      </c>
      <c r="B291" s="71" t="s">
        <v>1349</v>
      </c>
    </row>
    <row r="292" spans="1:2" x14ac:dyDescent="0.3">
      <c r="A292" s="71">
        <v>1093</v>
      </c>
      <c r="B292" s="71" t="s">
        <v>1405</v>
      </c>
    </row>
    <row r="293" spans="1:2" x14ac:dyDescent="0.3">
      <c r="A293" s="71">
        <v>1094</v>
      </c>
      <c r="B293" s="71" t="s">
        <v>1421</v>
      </c>
    </row>
    <row r="294" spans="1:2" x14ac:dyDescent="0.3">
      <c r="A294" s="71">
        <v>1096</v>
      </c>
      <c r="B294" s="71" t="s">
        <v>1405</v>
      </c>
    </row>
    <row r="295" spans="1:2" x14ac:dyDescent="0.3">
      <c r="A295" s="71">
        <v>1097</v>
      </c>
      <c r="B295" s="71" t="s">
        <v>1351</v>
      </c>
    </row>
    <row r="296" spans="1:2" x14ac:dyDescent="0.3">
      <c r="A296" s="71">
        <v>1098</v>
      </c>
      <c r="B296" s="71" t="s">
        <v>1348</v>
      </c>
    </row>
    <row r="297" spans="1:2" x14ac:dyDescent="0.3">
      <c r="A297" s="71">
        <v>1100</v>
      </c>
      <c r="B297" s="71" t="s">
        <v>1372</v>
      </c>
    </row>
    <row r="298" spans="1:2" x14ac:dyDescent="0.3">
      <c r="A298" s="71">
        <v>1101</v>
      </c>
      <c r="B298" s="71" t="s">
        <v>1372</v>
      </c>
    </row>
    <row r="299" spans="1:2" x14ac:dyDescent="0.3">
      <c r="A299" s="71">
        <v>1104</v>
      </c>
      <c r="B299" s="71" t="s">
        <v>1450</v>
      </c>
    </row>
    <row r="300" spans="1:2" x14ac:dyDescent="0.3">
      <c r="A300" s="76">
        <v>1104</v>
      </c>
      <c r="B300" s="76" t="s">
        <v>1448</v>
      </c>
    </row>
    <row r="301" spans="1:2" x14ac:dyDescent="0.3">
      <c r="A301" s="71">
        <v>1106</v>
      </c>
      <c r="B301" s="71" t="s">
        <v>1372</v>
      </c>
    </row>
    <row r="302" spans="1:2" x14ac:dyDescent="0.3">
      <c r="A302" s="76">
        <v>1106</v>
      </c>
      <c r="B302" s="76" t="s">
        <v>1447</v>
      </c>
    </row>
    <row r="303" spans="1:2" x14ac:dyDescent="0.3">
      <c r="A303" s="71">
        <v>1107</v>
      </c>
      <c r="B303" s="71" t="s">
        <v>1349</v>
      </c>
    </row>
    <row r="304" spans="1:2" x14ac:dyDescent="0.3">
      <c r="A304" s="71">
        <v>1108</v>
      </c>
      <c r="B304" s="71" t="s">
        <v>1349</v>
      </c>
    </row>
    <row r="305" spans="1:2" x14ac:dyDescent="0.3">
      <c r="A305" s="71">
        <v>1110</v>
      </c>
      <c r="B305" s="71" t="s">
        <v>1349</v>
      </c>
    </row>
    <row r="306" spans="1:2" x14ac:dyDescent="0.3">
      <c r="A306" s="71">
        <v>1111</v>
      </c>
      <c r="B306" s="71" t="s">
        <v>1349</v>
      </c>
    </row>
    <row r="307" spans="1:2" x14ac:dyDescent="0.3">
      <c r="A307" s="71">
        <v>1112</v>
      </c>
      <c r="B307" s="71" t="s">
        <v>1349</v>
      </c>
    </row>
    <row r="308" spans="1:2" x14ac:dyDescent="0.3">
      <c r="A308" s="71">
        <v>1113</v>
      </c>
      <c r="B308" s="71" t="s">
        <v>1372</v>
      </c>
    </row>
    <row r="309" spans="1:2" x14ac:dyDescent="0.3">
      <c r="A309" s="76">
        <v>1115</v>
      </c>
      <c r="B309" s="76" t="s">
        <v>1449</v>
      </c>
    </row>
    <row r="310" spans="1:2" x14ac:dyDescent="0.3">
      <c r="A310" s="76">
        <v>1117</v>
      </c>
      <c r="B310" s="76" t="s">
        <v>1349</v>
      </c>
    </row>
    <row r="311" spans="1:2" x14ac:dyDescent="0.3">
      <c r="A311" s="76">
        <v>1118</v>
      </c>
      <c r="B311" s="76" t="s">
        <v>1349</v>
      </c>
    </row>
    <row r="312" spans="1:2" x14ac:dyDescent="0.3">
      <c r="A312" s="76">
        <v>1119</v>
      </c>
      <c r="B312" s="76" t="s">
        <v>1349</v>
      </c>
    </row>
    <row r="313" spans="1:2" x14ac:dyDescent="0.3">
      <c r="A313" s="76">
        <v>1120</v>
      </c>
      <c r="B313" s="76" t="s">
        <v>1450</v>
      </c>
    </row>
    <row r="314" spans="1:2" x14ac:dyDescent="0.3">
      <c r="A314" s="76">
        <v>1124</v>
      </c>
      <c r="B314" s="76" t="s">
        <v>1446</v>
      </c>
    </row>
    <row r="315" spans="1:2" x14ac:dyDescent="0.3">
      <c r="A315" s="76">
        <v>1124</v>
      </c>
      <c r="B315" s="76" t="s">
        <v>1450</v>
      </c>
    </row>
    <row r="316" spans="1:2" x14ac:dyDescent="0.3">
      <c r="A316" s="76">
        <v>1126</v>
      </c>
      <c r="B316" s="76" t="s">
        <v>1349</v>
      </c>
    </row>
    <row r="317" spans="1:2" x14ac:dyDescent="0.3">
      <c r="A317" s="76">
        <v>1127</v>
      </c>
      <c r="B317" s="76" t="s">
        <v>1405</v>
      </c>
    </row>
    <row r="318" spans="1:2" x14ac:dyDescent="0.3">
      <c r="A318" s="76">
        <v>1135</v>
      </c>
      <c r="B318" s="76" t="s">
        <v>1349</v>
      </c>
    </row>
    <row r="319" spans="1:2" x14ac:dyDescent="0.3">
      <c r="A319" s="76">
        <v>1138</v>
      </c>
      <c r="B319" s="76" t="s">
        <v>1349</v>
      </c>
    </row>
    <row r="320" spans="1:2" x14ac:dyDescent="0.3">
      <c r="A320" s="77">
        <v>1140</v>
      </c>
      <c r="B320" s="77" t="s">
        <v>1474</v>
      </c>
    </row>
    <row r="321" spans="1:2" x14ac:dyDescent="0.3">
      <c r="A321" s="77">
        <v>1144</v>
      </c>
      <c r="B321" s="77" t="s">
        <v>1475</v>
      </c>
    </row>
    <row r="322" spans="1:2" x14ac:dyDescent="0.3">
      <c r="A322" s="76">
        <v>1145</v>
      </c>
      <c r="B322" s="76" t="s">
        <v>1349</v>
      </c>
    </row>
    <row r="323" spans="1:2" x14ac:dyDescent="0.3">
      <c r="A323" s="76">
        <v>1148</v>
      </c>
      <c r="B323" s="76" t="s">
        <v>1447</v>
      </c>
    </row>
    <row r="324" spans="1:2" x14ac:dyDescent="0.3">
      <c r="A324" s="76">
        <v>1149</v>
      </c>
      <c r="B324" s="76" t="s">
        <v>1450</v>
      </c>
    </row>
    <row r="325" spans="1:2" x14ac:dyDescent="0.3">
      <c r="A325" s="76">
        <v>1150</v>
      </c>
      <c r="B325" s="76" t="s">
        <v>1447</v>
      </c>
    </row>
    <row r="326" spans="1:2" x14ac:dyDescent="0.3">
      <c r="A326" s="76">
        <v>1153</v>
      </c>
      <c r="B326" s="76" t="s">
        <v>1349</v>
      </c>
    </row>
    <row r="327" spans="1:2" x14ac:dyDescent="0.3">
      <c r="A327" s="76">
        <v>1155</v>
      </c>
      <c r="B327" s="76" t="s">
        <v>1349</v>
      </c>
    </row>
    <row r="328" spans="1:2" x14ac:dyDescent="0.3">
      <c r="A328" s="76">
        <v>1156</v>
      </c>
      <c r="B328" s="76" t="s">
        <v>1349</v>
      </c>
    </row>
    <row r="329" spans="1:2" x14ac:dyDescent="0.3">
      <c r="A329" s="76">
        <v>1158</v>
      </c>
      <c r="B329" s="76" t="s">
        <v>1406</v>
      </c>
    </row>
    <row r="330" spans="1:2" x14ac:dyDescent="0.3">
      <c r="A330" s="76">
        <v>1171</v>
      </c>
      <c r="B330" s="76" t="s">
        <v>1349</v>
      </c>
    </row>
    <row r="331" spans="1:2" x14ac:dyDescent="0.3">
      <c r="A331" s="76">
        <v>1172</v>
      </c>
      <c r="B331" s="76" t="s">
        <v>1406</v>
      </c>
    </row>
    <row r="332" spans="1:2" x14ac:dyDescent="0.3">
      <c r="A332" s="76">
        <v>1173</v>
      </c>
      <c r="B332" s="76" t="s">
        <v>1349</v>
      </c>
    </row>
    <row r="333" spans="1:2" x14ac:dyDescent="0.3">
      <c r="A333" s="76">
        <v>1174</v>
      </c>
      <c r="B333" s="76" t="s">
        <v>1349</v>
      </c>
    </row>
    <row r="334" spans="1:2" x14ac:dyDescent="0.3">
      <c r="A334" s="76">
        <v>1176</v>
      </c>
      <c r="B334" s="76" t="s">
        <v>1372</v>
      </c>
    </row>
    <row r="335" spans="1:2" x14ac:dyDescent="0.3">
      <c r="A335" s="76">
        <v>1180</v>
      </c>
      <c r="B335" s="76" t="s">
        <v>1405</v>
      </c>
    </row>
    <row r="336" spans="1:2" x14ac:dyDescent="0.3">
      <c r="A336" s="77">
        <v>1183</v>
      </c>
      <c r="B336" s="77" t="s">
        <v>1476</v>
      </c>
    </row>
    <row r="337" spans="1:2" x14ac:dyDescent="0.3">
      <c r="A337" s="77">
        <v>1184</v>
      </c>
      <c r="B337" s="77" t="s">
        <v>1476</v>
      </c>
    </row>
    <row r="338" spans="1:2" x14ac:dyDescent="0.3">
      <c r="A338" s="76">
        <v>1185</v>
      </c>
      <c r="B338" s="76" t="s">
        <v>1349</v>
      </c>
    </row>
    <row r="339" spans="1:2" x14ac:dyDescent="0.3">
      <c r="A339" s="76">
        <v>1186</v>
      </c>
      <c r="B339" s="76" t="s">
        <v>1349</v>
      </c>
    </row>
    <row r="340" spans="1:2" x14ac:dyDescent="0.3">
      <c r="A340" s="76">
        <v>1187</v>
      </c>
      <c r="B340" s="76" t="s">
        <v>1349</v>
      </c>
    </row>
    <row r="341" spans="1:2" x14ac:dyDescent="0.3">
      <c r="A341" s="76">
        <v>1188</v>
      </c>
      <c r="B341" s="76" t="s">
        <v>1405</v>
      </c>
    </row>
    <row r="342" spans="1:2" x14ac:dyDescent="0.3">
      <c r="A342" s="76">
        <v>1189</v>
      </c>
      <c r="B342" s="76" t="s">
        <v>1405</v>
      </c>
    </row>
    <row r="343" spans="1:2" x14ac:dyDescent="0.3">
      <c r="A343" s="77">
        <v>1191</v>
      </c>
      <c r="B343" s="77" t="s">
        <v>1450</v>
      </c>
    </row>
    <row r="344" spans="1:2" x14ac:dyDescent="0.3">
      <c r="A344" s="77">
        <v>1193</v>
      </c>
      <c r="B344" s="77" t="s">
        <v>1474</v>
      </c>
    </row>
    <row r="345" spans="1:2" x14ac:dyDescent="0.3">
      <c r="A345" s="77">
        <v>1194</v>
      </c>
      <c r="B345" s="77" t="s">
        <v>1372</v>
      </c>
    </row>
    <row r="346" spans="1:2" x14ac:dyDescent="0.3">
      <c r="A346" s="77">
        <v>1195</v>
      </c>
      <c r="B346" s="77" t="s">
        <v>1447</v>
      </c>
    </row>
    <row r="347" spans="1:2" x14ac:dyDescent="0.3">
      <c r="A347" s="77">
        <v>1199</v>
      </c>
      <c r="B347" s="77" t="s">
        <v>1405</v>
      </c>
    </row>
    <row r="348" spans="1:2" x14ac:dyDescent="0.3">
      <c r="A348" s="77">
        <v>1200</v>
      </c>
      <c r="B348" s="77" t="s">
        <v>1405</v>
      </c>
    </row>
    <row r="349" spans="1:2" x14ac:dyDescent="0.3">
      <c r="A349" s="77">
        <v>1201</v>
      </c>
      <c r="B349" s="77" t="s">
        <v>1405</v>
      </c>
    </row>
    <row r="350" spans="1:2" x14ac:dyDescent="0.3">
      <c r="A350" s="77">
        <v>1202</v>
      </c>
      <c r="B350" s="77" t="s">
        <v>1372</v>
      </c>
    </row>
    <row r="351" spans="1:2" x14ac:dyDescent="0.3">
      <c r="A351" s="77">
        <v>1209</v>
      </c>
      <c r="B351" s="77" t="s">
        <v>1405</v>
      </c>
    </row>
    <row r="352" spans="1:2" x14ac:dyDescent="0.3">
      <c r="A352" s="77">
        <v>1213</v>
      </c>
      <c r="B352" s="77" t="s">
        <v>1349</v>
      </c>
    </row>
    <row r="353" spans="1:2" x14ac:dyDescent="0.3">
      <c r="A353" s="77">
        <v>1216</v>
      </c>
      <c r="B353" s="77" t="s">
        <v>1372</v>
      </c>
    </row>
    <row r="354" spans="1:2" x14ac:dyDescent="0.3">
      <c r="A354" s="77">
        <v>1218</v>
      </c>
      <c r="B354" s="77" t="s">
        <v>1372</v>
      </c>
    </row>
    <row r="355" spans="1:2" x14ac:dyDescent="0.3">
      <c r="A355" s="77">
        <v>1219</v>
      </c>
      <c r="B355" s="77" t="s">
        <v>1405</v>
      </c>
    </row>
    <row r="356" spans="1:2" x14ac:dyDescent="0.3">
      <c r="A356" s="77">
        <v>1222</v>
      </c>
      <c r="B356" s="77" t="s">
        <v>1349</v>
      </c>
    </row>
    <row r="357" spans="1:2" x14ac:dyDescent="0.3">
      <c r="A357" s="77">
        <v>1223</v>
      </c>
      <c r="B357" s="77" t="s">
        <v>1349</v>
      </c>
    </row>
    <row r="358" spans="1:2" x14ac:dyDescent="0.3">
      <c r="A358" s="77">
        <v>1224</v>
      </c>
      <c r="B358" s="77" t="s">
        <v>1349</v>
      </c>
    </row>
    <row r="359" spans="1:2" x14ac:dyDescent="0.3">
      <c r="A359" s="77">
        <v>1225</v>
      </c>
      <c r="B359" s="77" t="s">
        <v>1349</v>
      </c>
    </row>
    <row r="360" spans="1:2" x14ac:dyDescent="0.3">
      <c r="A360" s="77">
        <v>1226</v>
      </c>
      <c r="B360" s="77" t="s">
        <v>1474</v>
      </c>
    </row>
    <row r="361" spans="1:2" x14ac:dyDescent="0.3">
      <c r="A361" s="77">
        <v>1226</v>
      </c>
      <c r="B361" s="77" t="s">
        <v>1450</v>
      </c>
    </row>
    <row r="362" spans="1:2" x14ac:dyDescent="0.3">
      <c r="A362" s="77">
        <v>1236</v>
      </c>
      <c r="B362" s="77" t="s">
        <v>1349</v>
      </c>
    </row>
    <row r="363" spans="1:2" x14ac:dyDescent="0.3">
      <c r="A363" s="77">
        <v>1238</v>
      </c>
      <c r="B363" s="77" t="s">
        <v>1372</v>
      </c>
    </row>
    <row r="364" spans="1:2" x14ac:dyDescent="0.3">
      <c r="A364" s="77">
        <v>1251</v>
      </c>
      <c r="B364" s="77" t="s">
        <v>1372</v>
      </c>
    </row>
    <row r="365" spans="1:2" x14ac:dyDescent="0.3">
      <c r="A365" s="77">
        <v>1252</v>
      </c>
      <c r="B365" s="77" t="s">
        <v>1372</v>
      </c>
    </row>
    <row r="366" spans="1:2" x14ac:dyDescent="0.3">
      <c r="A366" s="77">
        <v>1253</v>
      </c>
      <c r="B366" s="77" t="s">
        <v>1372</v>
      </c>
    </row>
    <row r="367" spans="1:2" x14ac:dyDescent="0.3">
      <c r="A367" s="77">
        <v>1254</v>
      </c>
      <c r="B367" s="77" t="s">
        <v>1447</v>
      </c>
    </row>
    <row r="368" spans="1:2" x14ac:dyDescent="0.3">
      <c r="A368" s="77">
        <v>1255</v>
      </c>
      <c r="B368" s="77" t="s">
        <v>1372</v>
      </c>
    </row>
    <row r="369" spans="1:2" x14ac:dyDescent="0.3">
      <c r="A369" s="77">
        <v>1256</v>
      </c>
      <c r="B369" s="77" t="s">
        <v>1372</v>
      </c>
    </row>
    <row r="370" spans="1:2" x14ac:dyDescent="0.3">
      <c r="A370" s="77">
        <v>1259</v>
      </c>
      <c r="B370" s="77" t="s">
        <v>1405</v>
      </c>
    </row>
    <row r="371" spans="1:2" x14ac:dyDescent="0.3">
      <c r="A371" s="77">
        <v>1260</v>
      </c>
      <c r="B371" s="77" t="s">
        <v>1405</v>
      </c>
    </row>
    <row r="372" spans="1:2" x14ac:dyDescent="0.3">
      <c r="A372" s="77">
        <v>1267</v>
      </c>
      <c r="B372" s="77" t="s">
        <v>1446</v>
      </c>
    </row>
    <row r="373" spans="1:2" x14ac:dyDescent="0.3">
      <c r="A373" s="77">
        <v>1270</v>
      </c>
      <c r="B373" s="77" t="s">
        <v>1406</v>
      </c>
    </row>
    <row r="374" spans="1:2" x14ac:dyDescent="0.3">
      <c r="A374" s="77">
        <v>1273</v>
      </c>
      <c r="B374" s="77" t="s">
        <v>1447</v>
      </c>
    </row>
    <row r="375" spans="1:2" x14ac:dyDescent="0.3">
      <c r="A375" s="77">
        <v>1273</v>
      </c>
      <c r="B375" s="77" t="s">
        <v>1450</v>
      </c>
    </row>
    <row r="376" spans="1:2" x14ac:dyDescent="0.3">
      <c r="A376" s="77">
        <v>1275</v>
      </c>
      <c r="B376" s="77" t="s">
        <v>1349</v>
      </c>
    </row>
    <row r="377" spans="1:2" x14ac:dyDescent="0.3">
      <c r="A377" s="77">
        <v>1277</v>
      </c>
      <c r="B377" s="77" t="s">
        <v>1405</v>
      </c>
    </row>
    <row r="378" spans="1:2" x14ac:dyDescent="0.3">
      <c r="A378" s="77">
        <v>1279</v>
      </c>
      <c r="B378" s="77" t="s">
        <v>1349</v>
      </c>
    </row>
    <row r="379" spans="1:2" x14ac:dyDescent="0.3">
      <c r="A379" s="77">
        <v>1280</v>
      </c>
      <c r="B379" s="77" t="s">
        <v>1349</v>
      </c>
    </row>
    <row r="380" spans="1:2" x14ac:dyDescent="0.3">
      <c r="A380" s="77">
        <v>1282</v>
      </c>
      <c r="B380" s="77" t="s">
        <v>1405</v>
      </c>
    </row>
    <row r="381" spans="1:2" x14ac:dyDescent="0.3">
      <c r="A381" s="77">
        <v>1283</v>
      </c>
      <c r="B381" s="77" t="s">
        <v>1349</v>
      </c>
    </row>
    <row r="382" spans="1:2" x14ac:dyDescent="0.3">
      <c r="A382" s="77">
        <v>1284</v>
      </c>
      <c r="B382" s="77" t="s">
        <v>1349</v>
      </c>
    </row>
    <row r="383" spans="1:2" x14ac:dyDescent="0.3">
      <c r="A383" s="77">
        <v>1285</v>
      </c>
      <c r="B383" s="77" t="s">
        <v>1349</v>
      </c>
    </row>
    <row r="384" spans="1:2" x14ac:dyDescent="0.3">
      <c r="A384" s="77">
        <v>1286</v>
      </c>
      <c r="B384" s="77" t="s">
        <v>1349</v>
      </c>
    </row>
    <row r="385" spans="1:2" x14ac:dyDescent="0.3">
      <c r="A385" s="77">
        <v>1287</v>
      </c>
      <c r="B385" s="77" t="s">
        <v>1349</v>
      </c>
    </row>
    <row r="386" spans="1:2" x14ac:dyDescent="0.3">
      <c r="A386" s="77">
        <v>1288</v>
      </c>
      <c r="B386" s="77" t="s">
        <v>1349</v>
      </c>
    </row>
    <row r="387" spans="1:2" x14ac:dyDescent="0.3">
      <c r="A387" s="77">
        <v>1289</v>
      </c>
      <c r="B387" s="77" t="s">
        <v>1349</v>
      </c>
    </row>
    <row r="388" spans="1:2" x14ac:dyDescent="0.3">
      <c r="A388" s="77">
        <v>1290</v>
      </c>
      <c r="B388" s="77" t="s">
        <v>1349</v>
      </c>
    </row>
    <row r="389" spans="1:2" x14ac:dyDescent="0.3">
      <c r="A389" s="77">
        <v>1291</v>
      </c>
      <c r="B389" s="77" t="s">
        <v>1349</v>
      </c>
    </row>
    <row r="390" spans="1:2" x14ac:dyDescent="0.3">
      <c r="A390" s="77">
        <v>1292</v>
      </c>
      <c r="B390" s="77" t="s">
        <v>1349</v>
      </c>
    </row>
    <row r="391" spans="1:2" x14ac:dyDescent="0.3">
      <c r="A391" s="77">
        <v>1293</v>
      </c>
      <c r="B391" s="77" t="s">
        <v>1349</v>
      </c>
    </row>
    <row r="392" spans="1:2" x14ac:dyDescent="0.3">
      <c r="A392" s="77">
        <v>1299</v>
      </c>
      <c r="B392" s="77" t="s">
        <v>1474</v>
      </c>
    </row>
    <row r="393" spans="1:2" x14ac:dyDescent="0.3">
      <c r="A393" s="77">
        <v>1300</v>
      </c>
      <c r="B393" s="77" t="s">
        <v>1349</v>
      </c>
    </row>
    <row r="394" spans="1:2" x14ac:dyDescent="0.3">
      <c r="A394" s="77">
        <v>1302</v>
      </c>
      <c r="B394" s="77" t="s">
        <v>1349</v>
      </c>
    </row>
  </sheetData>
  <sortState ref="A2:B420">
    <sortCondition ref="A2:A42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C153" workbookViewId="0">
      <selection activeCell="L161" sqref="L161"/>
    </sheetView>
  </sheetViews>
  <sheetFormatPr defaultRowHeight="14.4" x14ac:dyDescent="0.3"/>
  <cols>
    <col min="2" max="2" width="64.88671875" customWidth="1"/>
    <col min="9" max="9" width="16" bestFit="1" customWidth="1"/>
  </cols>
  <sheetData>
    <row r="1" spans="1:12" x14ac:dyDescent="0.3">
      <c r="A1" t="s">
        <v>460</v>
      </c>
      <c r="B1" t="s">
        <v>461</v>
      </c>
      <c r="C1" t="s">
        <v>462</v>
      </c>
      <c r="D1" t="s">
        <v>463</v>
      </c>
      <c r="E1" t="s">
        <v>464</v>
      </c>
      <c r="F1" t="s">
        <v>465</v>
      </c>
      <c r="G1" t="s">
        <v>466</v>
      </c>
      <c r="H1" t="s">
        <v>467</v>
      </c>
      <c r="I1" t="s">
        <v>468</v>
      </c>
      <c r="J1" t="s">
        <v>469</v>
      </c>
      <c r="K1" t="s">
        <v>470</v>
      </c>
      <c r="L1" t="s">
        <v>471</v>
      </c>
    </row>
    <row r="2" spans="1:12" x14ac:dyDescent="0.3">
      <c r="A2">
        <v>1</v>
      </c>
      <c r="B2" t="s">
        <v>472</v>
      </c>
      <c r="C2">
        <v>66</v>
      </c>
      <c r="D2" t="s">
        <v>93</v>
      </c>
      <c r="E2" t="s">
        <v>473</v>
      </c>
      <c r="F2" t="s">
        <v>474</v>
      </c>
      <c r="G2">
        <v>3</v>
      </c>
      <c r="H2">
        <v>26</v>
      </c>
      <c r="I2" t="s">
        <v>475</v>
      </c>
      <c r="J2" t="s">
        <v>476</v>
      </c>
      <c r="K2" t="s">
        <v>477</v>
      </c>
      <c r="L2" t="b">
        <v>1</v>
      </c>
    </row>
    <row r="3" spans="1:12" x14ac:dyDescent="0.3">
      <c r="A3">
        <v>2</v>
      </c>
      <c r="B3" t="s">
        <v>478</v>
      </c>
      <c r="C3">
        <v>53</v>
      </c>
      <c r="D3" t="s">
        <v>94</v>
      </c>
      <c r="E3" t="s">
        <v>473</v>
      </c>
      <c r="F3" t="s">
        <v>474</v>
      </c>
      <c r="G3">
        <v>3</v>
      </c>
      <c r="H3">
        <v>14</v>
      </c>
      <c r="I3" t="s">
        <v>475</v>
      </c>
      <c r="J3" t="s">
        <v>479</v>
      </c>
      <c r="K3" t="s">
        <v>480</v>
      </c>
      <c r="L3" t="b">
        <v>1</v>
      </c>
    </row>
    <row r="4" spans="1:12" x14ac:dyDescent="0.3">
      <c r="A4">
        <v>3</v>
      </c>
      <c r="B4" t="s">
        <v>481</v>
      </c>
      <c r="C4">
        <v>37</v>
      </c>
      <c r="D4" t="s">
        <v>93</v>
      </c>
      <c r="E4" t="s">
        <v>473</v>
      </c>
      <c r="F4" t="s">
        <v>474</v>
      </c>
      <c r="G4">
        <v>1</v>
      </c>
      <c r="H4">
        <v>27</v>
      </c>
      <c r="I4" t="s">
        <v>476</v>
      </c>
      <c r="J4" t="s">
        <v>479</v>
      </c>
      <c r="K4" t="s">
        <v>482</v>
      </c>
      <c r="L4" t="b">
        <v>1</v>
      </c>
    </row>
    <row r="5" spans="1:12" x14ac:dyDescent="0.3">
      <c r="A5">
        <v>4</v>
      </c>
      <c r="B5" t="s">
        <v>483</v>
      </c>
      <c r="C5">
        <v>36</v>
      </c>
      <c r="D5" t="s">
        <v>93</v>
      </c>
      <c r="E5" t="s">
        <v>473</v>
      </c>
      <c r="F5" t="s">
        <v>474</v>
      </c>
      <c r="G5">
        <v>3</v>
      </c>
      <c r="H5">
        <v>17</v>
      </c>
      <c r="I5" t="s">
        <v>476</v>
      </c>
      <c r="J5" t="s">
        <v>484</v>
      </c>
      <c r="K5" t="s">
        <v>485</v>
      </c>
      <c r="L5" t="b">
        <v>1</v>
      </c>
    </row>
    <row r="6" spans="1:12" x14ac:dyDescent="0.3">
      <c r="A6">
        <v>5</v>
      </c>
      <c r="B6" t="s">
        <v>486</v>
      </c>
      <c r="C6">
        <v>56</v>
      </c>
      <c r="D6" t="s">
        <v>94</v>
      </c>
      <c r="E6" t="s">
        <v>473</v>
      </c>
      <c r="F6" t="s">
        <v>474</v>
      </c>
      <c r="G6">
        <v>4</v>
      </c>
      <c r="H6">
        <v>21</v>
      </c>
      <c r="I6" t="s">
        <v>479</v>
      </c>
      <c r="J6" t="s">
        <v>487</v>
      </c>
      <c r="K6" t="s">
        <v>488</v>
      </c>
      <c r="L6" t="b">
        <v>1</v>
      </c>
    </row>
    <row r="7" spans="1:12" x14ac:dyDescent="0.3">
      <c r="A7">
        <v>6</v>
      </c>
      <c r="B7" t="s">
        <v>489</v>
      </c>
      <c r="C7">
        <v>56</v>
      </c>
      <c r="D7" t="s">
        <v>93</v>
      </c>
      <c r="E7" t="s">
        <v>473</v>
      </c>
      <c r="F7" t="s">
        <v>474</v>
      </c>
      <c r="G7">
        <v>3</v>
      </c>
      <c r="H7">
        <v>23</v>
      </c>
      <c r="I7" t="s">
        <v>484</v>
      </c>
      <c r="J7" t="s">
        <v>487</v>
      </c>
      <c r="K7" t="s">
        <v>490</v>
      </c>
      <c r="L7" t="b">
        <v>1</v>
      </c>
    </row>
    <row r="8" spans="1:12" x14ac:dyDescent="0.3">
      <c r="A8">
        <v>7</v>
      </c>
      <c r="B8" t="s">
        <v>491</v>
      </c>
      <c r="C8">
        <v>35</v>
      </c>
      <c r="D8" t="s">
        <v>93</v>
      </c>
      <c r="E8" t="s">
        <v>473</v>
      </c>
      <c r="F8" t="s">
        <v>474</v>
      </c>
      <c r="G8">
        <v>4</v>
      </c>
      <c r="H8">
        <v>7</v>
      </c>
      <c r="I8" t="s">
        <v>479</v>
      </c>
      <c r="J8" t="s">
        <v>487</v>
      </c>
      <c r="K8" t="s">
        <v>492</v>
      </c>
      <c r="L8" t="b">
        <v>1</v>
      </c>
    </row>
    <row r="9" spans="1:12" x14ac:dyDescent="0.3">
      <c r="A9">
        <v>8</v>
      </c>
      <c r="B9" t="s">
        <v>486</v>
      </c>
      <c r="C9">
        <v>56</v>
      </c>
      <c r="D9" t="s">
        <v>94</v>
      </c>
      <c r="E9" t="s">
        <v>473</v>
      </c>
      <c r="F9" t="s">
        <v>474</v>
      </c>
      <c r="G9">
        <v>5</v>
      </c>
      <c r="H9">
        <v>20</v>
      </c>
      <c r="I9" t="s">
        <v>479</v>
      </c>
      <c r="J9" t="s">
        <v>493</v>
      </c>
      <c r="K9" t="s">
        <v>488</v>
      </c>
      <c r="L9" t="b">
        <v>1</v>
      </c>
    </row>
    <row r="10" spans="1:12" x14ac:dyDescent="0.3">
      <c r="A10">
        <v>9</v>
      </c>
      <c r="B10" t="s">
        <v>489</v>
      </c>
      <c r="C10">
        <v>56</v>
      </c>
      <c r="D10" t="s">
        <v>93</v>
      </c>
      <c r="E10" t="s">
        <v>473</v>
      </c>
      <c r="F10" t="s">
        <v>474</v>
      </c>
      <c r="G10">
        <v>6</v>
      </c>
      <c r="H10">
        <v>25</v>
      </c>
      <c r="I10" t="s">
        <v>479</v>
      </c>
      <c r="J10" t="s">
        <v>494</v>
      </c>
      <c r="K10" t="s">
        <v>495</v>
      </c>
      <c r="L10" t="b">
        <v>1</v>
      </c>
    </row>
    <row r="11" spans="1:12" x14ac:dyDescent="0.3">
      <c r="A11">
        <v>10</v>
      </c>
      <c r="B11" t="s">
        <v>489</v>
      </c>
      <c r="C11">
        <v>56</v>
      </c>
      <c r="D11" t="s">
        <v>93</v>
      </c>
      <c r="E11" t="s">
        <v>473</v>
      </c>
      <c r="F11" t="s">
        <v>474</v>
      </c>
      <c r="G11">
        <v>9</v>
      </c>
      <c r="H11">
        <v>10</v>
      </c>
      <c r="I11" t="s">
        <v>475</v>
      </c>
      <c r="J11" t="s">
        <v>494</v>
      </c>
      <c r="K11" t="s">
        <v>496</v>
      </c>
      <c r="L11" t="b">
        <v>1</v>
      </c>
    </row>
    <row r="12" spans="1:12" x14ac:dyDescent="0.3">
      <c r="A12">
        <v>11</v>
      </c>
      <c r="B12" t="s">
        <v>497</v>
      </c>
      <c r="C12">
        <v>31</v>
      </c>
      <c r="D12" t="s">
        <v>94</v>
      </c>
      <c r="E12" t="s">
        <v>473</v>
      </c>
      <c r="F12" t="s">
        <v>474</v>
      </c>
      <c r="G12">
        <v>3</v>
      </c>
      <c r="H12">
        <v>11</v>
      </c>
      <c r="I12" t="s">
        <v>487</v>
      </c>
      <c r="J12" t="s">
        <v>494</v>
      </c>
      <c r="K12" t="s">
        <v>498</v>
      </c>
      <c r="L12" t="b">
        <v>1</v>
      </c>
    </row>
    <row r="13" spans="1:12" x14ac:dyDescent="0.3">
      <c r="A13">
        <v>12</v>
      </c>
      <c r="B13" t="s">
        <v>499</v>
      </c>
      <c r="C13">
        <v>37</v>
      </c>
      <c r="D13" t="s">
        <v>94</v>
      </c>
      <c r="E13" t="s">
        <v>473</v>
      </c>
      <c r="F13" t="s">
        <v>474</v>
      </c>
      <c r="G13">
        <v>4</v>
      </c>
      <c r="H13">
        <v>13</v>
      </c>
      <c r="I13" t="s">
        <v>500</v>
      </c>
      <c r="J13" t="s">
        <v>494</v>
      </c>
      <c r="K13" t="s">
        <v>485</v>
      </c>
      <c r="L13" t="b">
        <v>1</v>
      </c>
    </row>
    <row r="14" spans="1:12" x14ac:dyDescent="0.3">
      <c r="A14">
        <v>13</v>
      </c>
      <c r="B14" t="s">
        <v>501</v>
      </c>
      <c r="C14">
        <v>73</v>
      </c>
      <c r="D14" t="s">
        <v>94</v>
      </c>
      <c r="E14" t="s">
        <v>473</v>
      </c>
      <c r="F14" t="s">
        <v>474</v>
      </c>
      <c r="G14">
        <v>3</v>
      </c>
      <c r="H14">
        <v>9</v>
      </c>
      <c r="I14" t="s">
        <v>493</v>
      </c>
      <c r="J14" t="s">
        <v>502</v>
      </c>
      <c r="K14" t="s">
        <v>496</v>
      </c>
      <c r="L14" t="b">
        <v>1</v>
      </c>
    </row>
    <row r="15" spans="1:12" x14ac:dyDescent="0.3">
      <c r="A15">
        <v>14</v>
      </c>
      <c r="B15" t="s">
        <v>656</v>
      </c>
      <c r="C15">
        <v>31</v>
      </c>
      <c r="D15" t="s">
        <v>93</v>
      </c>
      <c r="E15" t="s">
        <v>503</v>
      </c>
      <c r="F15" t="s">
        <v>474</v>
      </c>
      <c r="G15">
        <v>3</v>
      </c>
      <c r="H15">
        <v>17</v>
      </c>
      <c r="I15" t="s">
        <v>493</v>
      </c>
      <c r="J15" t="s">
        <v>502</v>
      </c>
      <c r="K15" t="s">
        <v>504</v>
      </c>
      <c r="L15" t="b">
        <v>1</v>
      </c>
    </row>
    <row r="16" spans="1:12" x14ac:dyDescent="0.3">
      <c r="A16">
        <v>15</v>
      </c>
      <c r="B16" t="s">
        <v>505</v>
      </c>
      <c r="C16">
        <v>47</v>
      </c>
      <c r="D16" t="s">
        <v>94</v>
      </c>
      <c r="E16" t="s">
        <v>503</v>
      </c>
      <c r="F16" t="s">
        <v>474</v>
      </c>
      <c r="G16">
        <v>1</v>
      </c>
      <c r="H16">
        <v>16</v>
      </c>
      <c r="I16" t="s">
        <v>502</v>
      </c>
      <c r="J16" t="s">
        <v>502</v>
      </c>
      <c r="K16" t="s">
        <v>506</v>
      </c>
      <c r="L16" t="b">
        <v>1</v>
      </c>
    </row>
    <row r="17" spans="1:12" x14ac:dyDescent="0.3">
      <c r="A17">
        <v>16</v>
      </c>
      <c r="B17" t="s">
        <v>507</v>
      </c>
      <c r="C17">
        <v>38</v>
      </c>
      <c r="D17" t="s">
        <v>93</v>
      </c>
      <c r="E17" t="s">
        <v>473</v>
      </c>
      <c r="F17" t="s">
        <v>474</v>
      </c>
      <c r="G17">
        <v>8</v>
      </c>
      <c r="H17">
        <v>20</v>
      </c>
      <c r="I17" t="s">
        <v>476</v>
      </c>
      <c r="J17" t="s">
        <v>502</v>
      </c>
      <c r="K17" t="s">
        <v>490</v>
      </c>
      <c r="L17" t="b">
        <v>1</v>
      </c>
    </row>
    <row r="18" spans="1:12" x14ac:dyDescent="0.3">
      <c r="A18">
        <v>17</v>
      </c>
      <c r="B18" t="s">
        <v>505</v>
      </c>
      <c r="C18">
        <v>47</v>
      </c>
      <c r="D18" t="s">
        <v>94</v>
      </c>
      <c r="E18" t="s">
        <v>503</v>
      </c>
      <c r="F18" t="s">
        <v>474</v>
      </c>
      <c r="G18">
        <v>1</v>
      </c>
      <c r="H18">
        <v>10</v>
      </c>
      <c r="I18" t="s">
        <v>502</v>
      </c>
      <c r="J18" t="s">
        <v>508</v>
      </c>
      <c r="K18" t="s">
        <v>509</v>
      </c>
      <c r="L18" t="b">
        <v>1</v>
      </c>
    </row>
    <row r="19" spans="1:12" x14ac:dyDescent="0.3">
      <c r="A19">
        <v>18</v>
      </c>
      <c r="B19" t="s">
        <v>510</v>
      </c>
      <c r="C19">
        <v>31</v>
      </c>
      <c r="D19" t="s">
        <v>94</v>
      </c>
      <c r="E19" t="s">
        <v>473</v>
      </c>
      <c r="F19" t="s">
        <v>474</v>
      </c>
      <c r="G19">
        <v>3</v>
      </c>
      <c r="H19">
        <v>25</v>
      </c>
      <c r="I19" t="s">
        <v>502</v>
      </c>
      <c r="J19" t="s">
        <v>511</v>
      </c>
      <c r="K19" t="s">
        <v>512</v>
      </c>
      <c r="L19" t="b">
        <v>1</v>
      </c>
    </row>
    <row r="20" spans="1:12" x14ac:dyDescent="0.3">
      <c r="A20">
        <v>19</v>
      </c>
      <c r="B20" t="s">
        <v>513</v>
      </c>
      <c r="C20">
        <v>28</v>
      </c>
      <c r="D20" t="s">
        <v>94</v>
      </c>
      <c r="E20" t="s">
        <v>503</v>
      </c>
      <c r="F20" t="s">
        <v>474</v>
      </c>
      <c r="G20">
        <v>6</v>
      </c>
      <c r="H20">
        <v>18</v>
      </c>
      <c r="I20" t="s">
        <v>494</v>
      </c>
      <c r="J20" t="s">
        <v>514</v>
      </c>
      <c r="K20" t="s">
        <v>515</v>
      </c>
      <c r="L20" t="b">
        <v>1</v>
      </c>
    </row>
    <row r="21" spans="1:12" x14ac:dyDescent="0.3">
      <c r="A21">
        <v>20</v>
      </c>
      <c r="B21" t="s">
        <v>516</v>
      </c>
      <c r="C21">
        <v>48</v>
      </c>
      <c r="D21" t="s">
        <v>94</v>
      </c>
      <c r="E21" t="s">
        <v>503</v>
      </c>
      <c r="F21" t="s">
        <v>474</v>
      </c>
      <c r="G21">
        <v>10</v>
      </c>
      <c r="H21">
        <v>25</v>
      </c>
      <c r="I21" t="s">
        <v>484</v>
      </c>
      <c r="J21" t="s">
        <v>492</v>
      </c>
      <c r="K21" t="s">
        <v>517</v>
      </c>
      <c r="L21" t="b">
        <v>1</v>
      </c>
    </row>
    <row r="22" spans="1:12" x14ac:dyDescent="0.3">
      <c r="A22">
        <v>21</v>
      </c>
      <c r="B22" t="s">
        <v>518</v>
      </c>
      <c r="C22">
        <v>44</v>
      </c>
      <c r="D22" t="s">
        <v>94</v>
      </c>
      <c r="E22" t="s">
        <v>519</v>
      </c>
      <c r="F22" t="s">
        <v>474</v>
      </c>
      <c r="G22">
        <v>2</v>
      </c>
      <c r="H22">
        <v>13</v>
      </c>
      <c r="I22" t="s">
        <v>520</v>
      </c>
      <c r="J22" t="s">
        <v>492</v>
      </c>
      <c r="K22" t="s">
        <v>488</v>
      </c>
      <c r="L22" t="b">
        <v>1</v>
      </c>
    </row>
    <row r="23" spans="1:12" x14ac:dyDescent="0.3">
      <c r="A23">
        <v>22</v>
      </c>
      <c r="B23" t="s">
        <v>521</v>
      </c>
      <c r="C23">
        <v>41</v>
      </c>
      <c r="D23" t="s">
        <v>93</v>
      </c>
      <c r="E23" t="s">
        <v>503</v>
      </c>
      <c r="F23" t="s">
        <v>474</v>
      </c>
      <c r="G23" t="s">
        <v>522</v>
      </c>
      <c r="H23">
        <v>6</v>
      </c>
      <c r="I23" t="s">
        <v>522</v>
      </c>
      <c r="J23" t="s">
        <v>514</v>
      </c>
      <c r="K23" t="s">
        <v>496</v>
      </c>
      <c r="L23" t="b">
        <v>0</v>
      </c>
    </row>
    <row r="24" spans="1:12" x14ac:dyDescent="0.3">
      <c r="A24">
        <v>23</v>
      </c>
      <c r="B24" t="s">
        <v>523</v>
      </c>
      <c r="C24">
        <v>17</v>
      </c>
      <c r="D24" t="s">
        <v>93</v>
      </c>
      <c r="E24" t="s">
        <v>503</v>
      </c>
      <c r="F24" t="s">
        <v>474</v>
      </c>
      <c r="G24" t="s">
        <v>522</v>
      </c>
      <c r="H24">
        <v>18</v>
      </c>
      <c r="I24" t="s">
        <v>522</v>
      </c>
      <c r="J24" t="s">
        <v>514</v>
      </c>
      <c r="K24" t="s">
        <v>482</v>
      </c>
      <c r="L24" t="b">
        <v>0</v>
      </c>
    </row>
    <row r="25" spans="1:12" x14ac:dyDescent="0.3">
      <c r="A25">
        <v>24</v>
      </c>
      <c r="B25" t="s">
        <v>524</v>
      </c>
      <c r="C25">
        <v>32</v>
      </c>
      <c r="D25" t="s">
        <v>94</v>
      </c>
      <c r="E25" t="s">
        <v>503</v>
      </c>
      <c r="F25" t="s">
        <v>474</v>
      </c>
      <c r="G25">
        <v>5</v>
      </c>
      <c r="H25">
        <v>11</v>
      </c>
      <c r="I25" t="s">
        <v>502</v>
      </c>
      <c r="J25" t="s">
        <v>514</v>
      </c>
      <c r="K25" t="s">
        <v>525</v>
      </c>
      <c r="L25" t="b">
        <v>1</v>
      </c>
    </row>
    <row r="26" spans="1:12" x14ac:dyDescent="0.3">
      <c r="A26">
        <v>25</v>
      </c>
      <c r="B26" t="s">
        <v>526</v>
      </c>
      <c r="C26">
        <v>40</v>
      </c>
      <c r="D26" t="s">
        <v>93</v>
      </c>
      <c r="E26" t="s">
        <v>503</v>
      </c>
      <c r="F26" t="s">
        <v>474</v>
      </c>
      <c r="G26">
        <v>12</v>
      </c>
      <c r="H26">
        <v>7</v>
      </c>
      <c r="I26" t="s">
        <v>479</v>
      </c>
      <c r="J26" t="s">
        <v>492</v>
      </c>
      <c r="K26" t="s">
        <v>485</v>
      </c>
      <c r="L26" t="b">
        <v>1</v>
      </c>
    </row>
    <row r="27" spans="1:12" x14ac:dyDescent="0.3">
      <c r="A27">
        <v>26</v>
      </c>
      <c r="B27" t="s">
        <v>527</v>
      </c>
      <c r="C27">
        <v>42</v>
      </c>
      <c r="D27" t="s">
        <v>94</v>
      </c>
      <c r="E27" t="s">
        <v>473</v>
      </c>
      <c r="F27" t="s">
        <v>474</v>
      </c>
      <c r="G27">
        <v>8</v>
      </c>
      <c r="H27">
        <v>4</v>
      </c>
      <c r="I27" t="s">
        <v>493</v>
      </c>
      <c r="J27" t="s">
        <v>492</v>
      </c>
      <c r="K27" t="s">
        <v>496</v>
      </c>
      <c r="L27" t="b">
        <v>1</v>
      </c>
    </row>
    <row r="28" spans="1:12" x14ac:dyDescent="0.3">
      <c r="A28">
        <v>27</v>
      </c>
      <c r="B28" t="s">
        <v>528</v>
      </c>
      <c r="C28">
        <v>45</v>
      </c>
      <c r="D28" t="s">
        <v>93</v>
      </c>
      <c r="E28" t="s">
        <v>503</v>
      </c>
      <c r="F28" t="s">
        <v>474</v>
      </c>
      <c r="G28">
        <v>5</v>
      </c>
      <c r="H28">
        <v>15</v>
      </c>
      <c r="I28" t="s">
        <v>511</v>
      </c>
      <c r="J28" t="s">
        <v>529</v>
      </c>
      <c r="K28" t="s">
        <v>482</v>
      </c>
      <c r="L28" t="b">
        <v>1</v>
      </c>
    </row>
    <row r="29" spans="1:12" x14ac:dyDescent="0.3">
      <c r="A29">
        <v>28</v>
      </c>
      <c r="B29" t="s">
        <v>530</v>
      </c>
      <c r="C29">
        <v>1</v>
      </c>
      <c r="D29" t="s">
        <v>93</v>
      </c>
      <c r="E29" t="s">
        <v>503</v>
      </c>
      <c r="F29" t="s">
        <v>474</v>
      </c>
      <c r="G29" t="s">
        <v>522</v>
      </c>
      <c r="H29">
        <v>16</v>
      </c>
      <c r="I29" t="s">
        <v>522</v>
      </c>
      <c r="J29" t="s">
        <v>529</v>
      </c>
      <c r="K29" t="s">
        <v>515</v>
      </c>
      <c r="L29" t="b">
        <v>1</v>
      </c>
    </row>
    <row r="30" spans="1:12" x14ac:dyDescent="0.3">
      <c r="A30">
        <v>29</v>
      </c>
      <c r="B30" t="s">
        <v>521</v>
      </c>
      <c r="C30">
        <v>41</v>
      </c>
      <c r="D30" t="s">
        <v>93</v>
      </c>
      <c r="E30" t="s">
        <v>503</v>
      </c>
      <c r="F30" t="s">
        <v>474</v>
      </c>
      <c r="G30">
        <v>9</v>
      </c>
      <c r="H30">
        <v>6</v>
      </c>
      <c r="I30" t="s">
        <v>493</v>
      </c>
      <c r="J30" t="s">
        <v>529</v>
      </c>
      <c r="K30" t="s">
        <v>485</v>
      </c>
      <c r="L30" t="b">
        <v>1</v>
      </c>
    </row>
    <row r="31" spans="1:12" x14ac:dyDescent="0.3">
      <c r="A31">
        <v>30</v>
      </c>
      <c r="B31" t="s">
        <v>531</v>
      </c>
      <c r="C31">
        <v>27</v>
      </c>
      <c r="D31" t="s">
        <v>93</v>
      </c>
      <c r="E31" t="s">
        <v>503</v>
      </c>
      <c r="F31" t="s">
        <v>474</v>
      </c>
      <c r="G31">
        <v>17</v>
      </c>
      <c r="H31">
        <v>7</v>
      </c>
      <c r="I31" t="s">
        <v>475</v>
      </c>
      <c r="J31" t="s">
        <v>532</v>
      </c>
      <c r="K31" t="s">
        <v>533</v>
      </c>
      <c r="L31" t="b">
        <v>1</v>
      </c>
    </row>
    <row r="32" spans="1:12" x14ac:dyDescent="0.3">
      <c r="A32">
        <v>31</v>
      </c>
      <c r="B32" t="s">
        <v>534</v>
      </c>
      <c r="C32">
        <v>53</v>
      </c>
      <c r="D32" t="s">
        <v>93</v>
      </c>
      <c r="E32" t="s">
        <v>503</v>
      </c>
      <c r="F32" t="s">
        <v>474</v>
      </c>
      <c r="G32">
        <v>15</v>
      </c>
      <c r="H32">
        <v>10</v>
      </c>
      <c r="I32" t="s">
        <v>476</v>
      </c>
      <c r="J32" t="s">
        <v>532</v>
      </c>
      <c r="K32" t="s">
        <v>504</v>
      </c>
      <c r="L32" t="b">
        <v>1</v>
      </c>
    </row>
    <row r="33" spans="1:12" x14ac:dyDescent="0.3">
      <c r="A33">
        <v>32</v>
      </c>
      <c r="B33" t="s">
        <v>535</v>
      </c>
      <c r="C33">
        <v>42</v>
      </c>
      <c r="D33" t="s">
        <v>94</v>
      </c>
      <c r="E33" t="s">
        <v>503</v>
      </c>
      <c r="F33" t="s">
        <v>474</v>
      </c>
      <c r="G33">
        <v>5</v>
      </c>
      <c r="H33">
        <v>12</v>
      </c>
      <c r="I33" t="s">
        <v>520</v>
      </c>
      <c r="J33" t="s">
        <v>532</v>
      </c>
      <c r="K33" t="s">
        <v>477</v>
      </c>
      <c r="L33" t="b">
        <v>1</v>
      </c>
    </row>
    <row r="34" spans="1:12" x14ac:dyDescent="0.3">
      <c r="A34">
        <v>33</v>
      </c>
      <c r="B34" t="s">
        <v>536</v>
      </c>
      <c r="C34">
        <v>39</v>
      </c>
      <c r="D34" t="s">
        <v>94</v>
      </c>
      <c r="E34" t="s">
        <v>503</v>
      </c>
      <c r="F34" t="s">
        <v>474</v>
      </c>
      <c r="G34">
        <v>8</v>
      </c>
      <c r="H34">
        <v>12</v>
      </c>
      <c r="I34" t="s">
        <v>502</v>
      </c>
      <c r="J34" t="s">
        <v>532</v>
      </c>
      <c r="K34" t="s">
        <v>477</v>
      </c>
      <c r="L34" t="b">
        <v>1</v>
      </c>
    </row>
    <row r="35" spans="1:12" x14ac:dyDescent="0.3">
      <c r="A35">
        <v>34</v>
      </c>
      <c r="B35" t="s">
        <v>537</v>
      </c>
      <c r="C35">
        <v>40</v>
      </c>
      <c r="D35" t="s">
        <v>94</v>
      </c>
      <c r="E35" t="s">
        <v>503</v>
      </c>
      <c r="F35" t="s">
        <v>474</v>
      </c>
      <c r="G35">
        <v>12</v>
      </c>
      <c r="H35">
        <v>4</v>
      </c>
      <c r="I35" t="s">
        <v>487</v>
      </c>
      <c r="J35" t="s">
        <v>480</v>
      </c>
      <c r="K35" t="s">
        <v>485</v>
      </c>
      <c r="L35" t="b">
        <v>1</v>
      </c>
    </row>
    <row r="36" spans="1:12" x14ac:dyDescent="0.3">
      <c r="A36">
        <v>35</v>
      </c>
      <c r="B36" t="s">
        <v>538</v>
      </c>
      <c r="C36">
        <v>64</v>
      </c>
      <c r="D36" t="s">
        <v>93</v>
      </c>
      <c r="E36" t="s">
        <v>503</v>
      </c>
      <c r="F36" t="s">
        <v>539</v>
      </c>
      <c r="G36">
        <v>9</v>
      </c>
      <c r="H36" t="s">
        <v>522</v>
      </c>
      <c r="I36" t="s">
        <v>502</v>
      </c>
      <c r="J36" t="s">
        <v>480</v>
      </c>
      <c r="K36" t="s">
        <v>522</v>
      </c>
      <c r="L36" t="b">
        <v>1</v>
      </c>
    </row>
    <row r="37" spans="1:12" x14ac:dyDescent="0.3">
      <c r="A37">
        <v>36</v>
      </c>
      <c r="B37" t="s">
        <v>540</v>
      </c>
      <c r="C37">
        <v>38</v>
      </c>
      <c r="D37" t="s">
        <v>94</v>
      </c>
      <c r="E37" t="s">
        <v>503</v>
      </c>
      <c r="F37" t="s">
        <v>474</v>
      </c>
      <c r="G37">
        <v>15</v>
      </c>
      <c r="H37">
        <v>3</v>
      </c>
      <c r="I37" t="s">
        <v>479</v>
      </c>
      <c r="J37" t="s">
        <v>480</v>
      </c>
      <c r="K37" t="s">
        <v>509</v>
      </c>
      <c r="L37" t="b">
        <v>1</v>
      </c>
    </row>
    <row r="38" spans="1:12" x14ac:dyDescent="0.3">
      <c r="A38">
        <v>37</v>
      </c>
      <c r="B38" t="s">
        <v>541</v>
      </c>
      <c r="C38">
        <v>53</v>
      </c>
      <c r="D38" t="s">
        <v>93</v>
      </c>
      <c r="E38" t="s">
        <v>503</v>
      </c>
      <c r="F38" t="s">
        <v>474</v>
      </c>
      <c r="G38">
        <v>9</v>
      </c>
      <c r="H38">
        <v>23</v>
      </c>
      <c r="I38" t="s">
        <v>502</v>
      </c>
      <c r="J38" t="s">
        <v>480</v>
      </c>
      <c r="K38" t="s">
        <v>542</v>
      </c>
      <c r="L38" t="b">
        <v>1</v>
      </c>
    </row>
    <row r="39" spans="1:12" x14ac:dyDescent="0.3">
      <c r="A39">
        <v>38</v>
      </c>
      <c r="B39" t="s">
        <v>543</v>
      </c>
      <c r="C39">
        <v>52</v>
      </c>
      <c r="D39" t="s">
        <v>94</v>
      </c>
      <c r="E39" t="s">
        <v>503</v>
      </c>
      <c r="F39" t="s">
        <v>474</v>
      </c>
      <c r="G39">
        <v>5</v>
      </c>
      <c r="H39">
        <v>10</v>
      </c>
      <c r="I39" t="s">
        <v>514</v>
      </c>
      <c r="J39" t="s">
        <v>544</v>
      </c>
      <c r="K39" t="s">
        <v>488</v>
      </c>
      <c r="L39" t="b">
        <v>1</v>
      </c>
    </row>
    <row r="40" spans="1:12" x14ac:dyDescent="0.3">
      <c r="A40">
        <v>39</v>
      </c>
      <c r="B40" t="s">
        <v>545</v>
      </c>
      <c r="C40">
        <v>51</v>
      </c>
      <c r="D40" t="s">
        <v>93</v>
      </c>
      <c r="E40" t="s">
        <v>503</v>
      </c>
      <c r="F40" t="s">
        <v>474</v>
      </c>
      <c r="G40">
        <v>10</v>
      </c>
      <c r="H40">
        <v>8</v>
      </c>
      <c r="I40" t="s">
        <v>494</v>
      </c>
      <c r="J40" t="s">
        <v>544</v>
      </c>
      <c r="K40" t="s">
        <v>506</v>
      </c>
      <c r="L40" t="b">
        <v>1</v>
      </c>
    </row>
    <row r="41" spans="1:12" x14ac:dyDescent="0.3">
      <c r="A41">
        <v>40</v>
      </c>
      <c r="B41" t="s">
        <v>546</v>
      </c>
      <c r="C41">
        <v>36</v>
      </c>
      <c r="D41" t="s">
        <v>93</v>
      </c>
      <c r="E41" t="s">
        <v>503</v>
      </c>
      <c r="F41" t="s">
        <v>474</v>
      </c>
      <c r="G41">
        <v>9</v>
      </c>
      <c r="H41">
        <v>4</v>
      </c>
      <c r="I41" t="s">
        <v>502</v>
      </c>
      <c r="J41" t="s">
        <v>544</v>
      </c>
      <c r="K41" t="s">
        <v>485</v>
      </c>
      <c r="L41" t="b">
        <v>1</v>
      </c>
    </row>
    <row r="42" spans="1:12" x14ac:dyDescent="0.3">
      <c r="A42">
        <v>41</v>
      </c>
      <c r="B42" t="s">
        <v>547</v>
      </c>
      <c r="C42">
        <v>71</v>
      </c>
      <c r="D42" t="s">
        <v>93</v>
      </c>
      <c r="E42" t="s">
        <v>503</v>
      </c>
      <c r="F42" t="s">
        <v>539</v>
      </c>
      <c r="G42">
        <v>8</v>
      </c>
      <c r="H42" t="s">
        <v>522</v>
      </c>
      <c r="I42" t="s">
        <v>511</v>
      </c>
      <c r="J42" t="s">
        <v>544</v>
      </c>
      <c r="K42" t="s">
        <v>522</v>
      </c>
      <c r="L42" t="b">
        <v>1</v>
      </c>
    </row>
    <row r="43" spans="1:12" x14ac:dyDescent="0.3">
      <c r="A43">
        <v>42</v>
      </c>
      <c r="B43" t="s">
        <v>657</v>
      </c>
      <c r="C43">
        <v>39</v>
      </c>
      <c r="D43" t="s">
        <v>93</v>
      </c>
      <c r="E43" t="s">
        <v>548</v>
      </c>
      <c r="F43" t="s">
        <v>539</v>
      </c>
      <c r="G43">
        <v>8</v>
      </c>
      <c r="H43" t="s">
        <v>522</v>
      </c>
      <c r="I43" t="s">
        <v>511</v>
      </c>
      <c r="J43" t="s">
        <v>544</v>
      </c>
      <c r="K43" t="s">
        <v>522</v>
      </c>
      <c r="L43" t="b">
        <v>1</v>
      </c>
    </row>
    <row r="44" spans="1:12" x14ac:dyDescent="0.3">
      <c r="A44">
        <v>43</v>
      </c>
      <c r="B44" t="s">
        <v>549</v>
      </c>
      <c r="C44">
        <v>54</v>
      </c>
      <c r="D44" t="s">
        <v>93</v>
      </c>
      <c r="E44" t="s">
        <v>503</v>
      </c>
      <c r="F44" t="s">
        <v>474</v>
      </c>
      <c r="G44">
        <v>9</v>
      </c>
      <c r="H44">
        <v>27</v>
      </c>
      <c r="I44" t="s">
        <v>502</v>
      </c>
      <c r="J44" t="s">
        <v>544</v>
      </c>
      <c r="K44" t="s">
        <v>550</v>
      </c>
      <c r="L44" t="b">
        <v>1</v>
      </c>
    </row>
    <row r="45" spans="1:12" x14ac:dyDescent="0.3">
      <c r="A45">
        <v>44</v>
      </c>
      <c r="B45" t="s">
        <v>551</v>
      </c>
      <c r="C45">
        <v>37</v>
      </c>
      <c r="D45" t="s">
        <v>93</v>
      </c>
      <c r="E45" t="s">
        <v>503</v>
      </c>
      <c r="F45" t="s">
        <v>474</v>
      </c>
      <c r="G45">
        <v>10</v>
      </c>
      <c r="H45">
        <v>9</v>
      </c>
      <c r="I45" t="s">
        <v>508</v>
      </c>
      <c r="J45" t="s">
        <v>496</v>
      </c>
      <c r="K45" t="s">
        <v>477</v>
      </c>
      <c r="L45" t="b">
        <v>1</v>
      </c>
    </row>
    <row r="46" spans="1:12" x14ac:dyDescent="0.3">
      <c r="A46">
        <v>45</v>
      </c>
      <c r="B46" t="s">
        <v>552</v>
      </c>
      <c r="C46">
        <v>2</v>
      </c>
      <c r="D46" t="s">
        <v>94</v>
      </c>
      <c r="E46" t="s">
        <v>503</v>
      </c>
      <c r="F46" t="s">
        <v>474</v>
      </c>
      <c r="G46" t="s">
        <v>522</v>
      </c>
      <c r="H46">
        <v>4</v>
      </c>
      <c r="I46" t="s">
        <v>522</v>
      </c>
      <c r="J46" t="s">
        <v>498</v>
      </c>
      <c r="K46" t="s">
        <v>533</v>
      </c>
      <c r="L46" t="b">
        <v>0</v>
      </c>
    </row>
    <row r="47" spans="1:12" x14ac:dyDescent="0.3">
      <c r="A47">
        <v>46</v>
      </c>
      <c r="B47" t="s">
        <v>553</v>
      </c>
      <c r="C47">
        <v>35</v>
      </c>
      <c r="D47" t="s">
        <v>93</v>
      </c>
      <c r="E47" t="s">
        <v>503</v>
      </c>
      <c r="F47" t="s">
        <v>474</v>
      </c>
      <c r="G47">
        <v>5</v>
      </c>
      <c r="H47">
        <v>14</v>
      </c>
      <c r="I47" t="s">
        <v>529</v>
      </c>
      <c r="J47" t="s">
        <v>498</v>
      </c>
      <c r="K47" t="s">
        <v>554</v>
      </c>
      <c r="L47" t="b">
        <v>1</v>
      </c>
    </row>
    <row r="48" spans="1:12" x14ac:dyDescent="0.3">
      <c r="A48">
        <v>47</v>
      </c>
      <c r="B48" t="s">
        <v>658</v>
      </c>
      <c r="C48">
        <v>39</v>
      </c>
      <c r="D48" t="s">
        <v>93</v>
      </c>
      <c r="E48" t="s">
        <v>548</v>
      </c>
      <c r="F48" t="s">
        <v>474</v>
      </c>
      <c r="G48">
        <v>4</v>
      </c>
      <c r="H48">
        <v>26</v>
      </c>
      <c r="I48" t="s">
        <v>532</v>
      </c>
      <c r="J48" t="s">
        <v>498</v>
      </c>
      <c r="K48" t="s">
        <v>550</v>
      </c>
      <c r="L48" t="b">
        <v>1</v>
      </c>
    </row>
    <row r="49" spans="1:12" x14ac:dyDescent="0.3">
      <c r="A49">
        <v>48</v>
      </c>
      <c r="B49" t="s">
        <v>555</v>
      </c>
      <c r="C49">
        <v>34</v>
      </c>
      <c r="D49" t="s">
        <v>93</v>
      </c>
      <c r="E49" t="s">
        <v>503</v>
      </c>
      <c r="F49" t="s">
        <v>474</v>
      </c>
      <c r="G49">
        <v>11</v>
      </c>
      <c r="H49">
        <v>5</v>
      </c>
      <c r="I49" t="s">
        <v>511</v>
      </c>
      <c r="J49" t="s">
        <v>509</v>
      </c>
      <c r="K49" t="s">
        <v>504</v>
      </c>
      <c r="L49" t="b">
        <v>1</v>
      </c>
    </row>
    <row r="50" spans="1:12" x14ac:dyDescent="0.3">
      <c r="A50">
        <v>49</v>
      </c>
      <c r="B50" t="s">
        <v>556</v>
      </c>
      <c r="C50">
        <v>46</v>
      </c>
      <c r="D50" t="s">
        <v>93</v>
      </c>
      <c r="E50" t="s">
        <v>503</v>
      </c>
      <c r="F50" t="s">
        <v>474</v>
      </c>
      <c r="G50">
        <v>9</v>
      </c>
      <c r="H50">
        <v>14</v>
      </c>
      <c r="I50" t="s">
        <v>514</v>
      </c>
      <c r="J50" t="s">
        <v>509</v>
      </c>
      <c r="K50" t="s">
        <v>557</v>
      </c>
      <c r="L50" t="b">
        <v>1</v>
      </c>
    </row>
    <row r="51" spans="1:12" x14ac:dyDescent="0.3">
      <c r="A51">
        <v>50</v>
      </c>
      <c r="B51" t="s">
        <v>558</v>
      </c>
      <c r="C51">
        <v>62</v>
      </c>
      <c r="D51" t="s">
        <v>93</v>
      </c>
      <c r="E51" t="s">
        <v>503</v>
      </c>
      <c r="F51" t="s">
        <v>474</v>
      </c>
      <c r="G51">
        <v>5</v>
      </c>
      <c r="H51">
        <v>9</v>
      </c>
      <c r="I51" t="s">
        <v>480</v>
      </c>
      <c r="J51" t="s">
        <v>485</v>
      </c>
      <c r="K51" t="s">
        <v>482</v>
      </c>
      <c r="L51" t="b">
        <v>1</v>
      </c>
    </row>
    <row r="52" spans="1:12" x14ac:dyDescent="0.3">
      <c r="A52">
        <v>51</v>
      </c>
      <c r="B52" t="s">
        <v>559</v>
      </c>
      <c r="C52">
        <v>48</v>
      </c>
      <c r="D52" t="s">
        <v>93</v>
      </c>
      <c r="E52" t="s">
        <v>503</v>
      </c>
      <c r="F52" t="s">
        <v>474</v>
      </c>
      <c r="G52">
        <v>9</v>
      </c>
      <c r="H52">
        <v>8</v>
      </c>
      <c r="I52" t="s">
        <v>492</v>
      </c>
      <c r="J52" t="s">
        <v>485</v>
      </c>
      <c r="K52" t="s">
        <v>482</v>
      </c>
      <c r="L52" t="b">
        <v>1</v>
      </c>
    </row>
    <row r="53" spans="1:12" x14ac:dyDescent="0.3">
      <c r="A53">
        <v>52</v>
      </c>
      <c r="B53" t="s">
        <v>560</v>
      </c>
      <c r="C53">
        <v>37</v>
      </c>
      <c r="D53" t="s">
        <v>93</v>
      </c>
      <c r="E53" t="s">
        <v>548</v>
      </c>
      <c r="F53" t="s">
        <v>474</v>
      </c>
      <c r="G53">
        <v>6</v>
      </c>
      <c r="H53">
        <v>15</v>
      </c>
      <c r="I53" t="s">
        <v>480</v>
      </c>
      <c r="J53" t="s">
        <v>485</v>
      </c>
      <c r="K53" t="s">
        <v>561</v>
      </c>
      <c r="L53" t="b">
        <v>1</v>
      </c>
    </row>
    <row r="54" spans="1:12" x14ac:dyDescent="0.3">
      <c r="A54">
        <v>53</v>
      </c>
      <c r="B54" t="s">
        <v>549</v>
      </c>
      <c r="C54">
        <v>54</v>
      </c>
      <c r="D54" t="s">
        <v>93</v>
      </c>
      <c r="E54" t="s">
        <v>503</v>
      </c>
      <c r="F54" t="s">
        <v>539</v>
      </c>
      <c r="G54">
        <v>6</v>
      </c>
      <c r="H54" t="s">
        <v>522</v>
      </c>
      <c r="I54" t="s">
        <v>480</v>
      </c>
      <c r="J54" t="s">
        <v>485</v>
      </c>
      <c r="K54" t="s">
        <v>522</v>
      </c>
      <c r="L54" t="b">
        <v>1</v>
      </c>
    </row>
    <row r="55" spans="1:12" x14ac:dyDescent="0.3">
      <c r="A55">
        <v>54</v>
      </c>
      <c r="B55" t="s">
        <v>562</v>
      </c>
      <c r="C55">
        <v>55</v>
      </c>
      <c r="D55" t="s">
        <v>94</v>
      </c>
      <c r="E55" t="s">
        <v>503</v>
      </c>
      <c r="F55" t="s">
        <v>474</v>
      </c>
      <c r="G55">
        <v>3</v>
      </c>
      <c r="H55">
        <v>17</v>
      </c>
      <c r="I55" t="s">
        <v>498</v>
      </c>
      <c r="J55" t="s">
        <v>563</v>
      </c>
      <c r="K55" t="s">
        <v>564</v>
      </c>
      <c r="L55" t="b">
        <v>1</v>
      </c>
    </row>
    <row r="56" spans="1:12" x14ac:dyDescent="0.3">
      <c r="A56">
        <v>55</v>
      </c>
      <c r="B56" t="s">
        <v>565</v>
      </c>
      <c r="C56">
        <v>30</v>
      </c>
      <c r="D56" t="s">
        <v>93</v>
      </c>
      <c r="E56" t="s">
        <v>503</v>
      </c>
      <c r="F56" t="s">
        <v>474</v>
      </c>
      <c r="G56">
        <v>14</v>
      </c>
      <c r="H56">
        <v>6</v>
      </c>
      <c r="I56" t="s">
        <v>502</v>
      </c>
      <c r="J56" t="s">
        <v>563</v>
      </c>
      <c r="K56" t="s">
        <v>477</v>
      </c>
      <c r="L56" t="b">
        <v>1</v>
      </c>
    </row>
    <row r="57" spans="1:12" x14ac:dyDescent="0.3">
      <c r="A57">
        <v>56</v>
      </c>
      <c r="B57" t="s">
        <v>566</v>
      </c>
      <c r="C57">
        <v>30</v>
      </c>
      <c r="D57" t="s">
        <v>93</v>
      </c>
      <c r="E57" t="s">
        <v>548</v>
      </c>
      <c r="F57" t="s">
        <v>474</v>
      </c>
      <c r="G57">
        <v>1</v>
      </c>
      <c r="H57">
        <v>13</v>
      </c>
      <c r="I57" t="s">
        <v>485</v>
      </c>
      <c r="J57" t="s">
        <v>563</v>
      </c>
      <c r="K57" t="s">
        <v>557</v>
      </c>
      <c r="L57" t="b">
        <v>1</v>
      </c>
    </row>
    <row r="58" spans="1:12" x14ac:dyDescent="0.3">
      <c r="A58">
        <v>57</v>
      </c>
      <c r="B58" t="s">
        <v>567</v>
      </c>
      <c r="C58">
        <v>26</v>
      </c>
      <c r="D58" t="s">
        <v>93</v>
      </c>
      <c r="E58" t="s">
        <v>503</v>
      </c>
      <c r="F58" t="s">
        <v>474</v>
      </c>
      <c r="G58">
        <v>2</v>
      </c>
      <c r="H58">
        <v>8</v>
      </c>
      <c r="I58" t="s">
        <v>509</v>
      </c>
      <c r="J58" t="s">
        <v>563</v>
      </c>
      <c r="K58" t="s">
        <v>482</v>
      </c>
      <c r="L58" t="b">
        <v>1</v>
      </c>
    </row>
    <row r="59" spans="1:12" x14ac:dyDescent="0.3">
      <c r="A59">
        <v>58</v>
      </c>
      <c r="B59" t="s">
        <v>568</v>
      </c>
      <c r="C59">
        <v>55</v>
      </c>
      <c r="D59" t="s">
        <v>93</v>
      </c>
      <c r="E59" t="s">
        <v>503</v>
      </c>
      <c r="F59" t="s">
        <v>474</v>
      </c>
      <c r="G59">
        <v>3</v>
      </c>
      <c r="H59">
        <v>12</v>
      </c>
      <c r="I59" t="s">
        <v>498</v>
      </c>
      <c r="J59" t="s">
        <v>563</v>
      </c>
      <c r="K59" t="s">
        <v>569</v>
      </c>
      <c r="L59" t="b">
        <v>1</v>
      </c>
    </row>
    <row r="60" spans="1:12" x14ac:dyDescent="0.3">
      <c r="A60">
        <v>59</v>
      </c>
      <c r="B60" t="s">
        <v>570</v>
      </c>
      <c r="C60">
        <v>61</v>
      </c>
      <c r="D60" t="s">
        <v>93</v>
      </c>
      <c r="E60" t="s">
        <v>503</v>
      </c>
      <c r="F60" t="s">
        <v>474</v>
      </c>
      <c r="G60">
        <v>7</v>
      </c>
      <c r="H60">
        <v>12</v>
      </c>
      <c r="I60" t="s">
        <v>480</v>
      </c>
      <c r="J60" t="s">
        <v>563</v>
      </c>
      <c r="K60" t="s">
        <v>557</v>
      </c>
      <c r="L60" t="b">
        <v>1</v>
      </c>
    </row>
    <row r="61" spans="1:12" x14ac:dyDescent="0.3">
      <c r="A61">
        <v>60</v>
      </c>
      <c r="B61" t="s">
        <v>571</v>
      </c>
      <c r="C61">
        <v>51</v>
      </c>
      <c r="D61" t="s">
        <v>94</v>
      </c>
      <c r="E61" t="s">
        <v>503</v>
      </c>
      <c r="F61" t="s">
        <v>474</v>
      </c>
      <c r="G61">
        <v>6</v>
      </c>
      <c r="H61">
        <v>16</v>
      </c>
      <c r="I61" t="s">
        <v>544</v>
      </c>
      <c r="J61" t="s">
        <v>563</v>
      </c>
      <c r="K61" t="s">
        <v>564</v>
      </c>
      <c r="L61" t="b">
        <v>1</v>
      </c>
    </row>
    <row r="62" spans="1:12" x14ac:dyDescent="0.3">
      <c r="A62">
        <v>61</v>
      </c>
      <c r="B62" t="s">
        <v>572</v>
      </c>
      <c r="C62">
        <v>57</v>
      </c>
      <c r="D62" t="s">
        <v>93</v>
      </c>
      <c r="E62" t="s">
        <v>503</v>
      </c>
      <c r="F62" t="s">
        <v>474</v>
      </c>
      <c r="G62">
        <v>8</v>
      </c>
      <c r="H62">
        <v>19</v>
      </c>
      <c r="I62" t="s">
        <v>532</v>
      </c>
      <c r="J62" t="s">
        <v>563</v>
      </c>
      <c r="K62" t="s">
        <v>573</v>
      </c>
      <c r="L62" t="b">
        <v>1</v>
      </c>
    </row>
    <row r="63" spans="1:12" x14ac:dyDescent="0.3">
      <c r="A63">
        <v>62</v>
      </c>
      <c r="B63" t="s">
        <v>574</v>
      </c>
      <c r="C63">
        <v>44</v>
      </c>
      <c r="D63" t="s">
        <v>94</v>
      </c>
      <c r="E63" t="s">
        <v>503</v>
      </c>
      <c r="F63" t="s">
        <v>474</v>
      </c>
      <c r="G63">
        <v>5</v>
      </c>
      <c r="H63">
        <v>11</v>
      </c>
      <c r="I63" t="s">
        <v>496</v>
      </c>
      <c r="J63" t="s">
        <v>563</v>
      </c>
      <c r="K63" t="s">
        <v>569</v>
      </c>
      <c r="L63" t="b">
        <v>1</v>
      </c>
    </row>
    <row r="64" spans="1:12" x14ac:dyDescent="0.3">
      <c r="A64">
        <v>63</v>
      </c>
      <c r="B64" t="s">
        <v>575</v>
      </c>
      <c r="C64">
        <v>54</v>
      </c>
      <c r="D64" t="s">
        <v>94</v>
      </c>
      <c r="E64" t="s">
        <v>503</v>
      </c>
      <c r="F64" t="s">
        <v>474</v>
      </c>
      <c r="G64">
        <v>4</v>
      </c>
      <c r="H64">
        <v>7</v>
      </c>
      <c r="I64" t="s">
        <v>498</v>
      </c>
      <c r="J64" t="s">
        <v>533</v>
      </c>
      <c r="K64" t="s">
        <v>482</v>
      </c>
      <c r="L64" t="b">
        <v>1</v>
      </c>
    </row>
    <row r="65" spans="1:12" x14ac:dyDescent="0.3">
      <c r="A65">
        <v>64</v>
      </c>
      <c r="B65" t="s">
        <v>576</v>
      </c>
      <c r="C65">
        <v>50</v>
      </c>
      <c r="D65" t="s">
        <v>93</v>
      </c>
      <c r="E65" t="s">
        <v>503</v>
      </c>
      <c r="F65" t="s">
        <v>474</v>
      </c>
      <c r="G65">
        <v>11</v>
      </c>
      <c r="H65">
        <v>9</v>
      </c>
      <c r="I65" t="s">
        <v>514</v>
      </c>
      <c r="J65" t="s">
        <v>533</v>
      </c>
      <c r="K65" t="s">
        <v>495</v>
      </c>
      <c r="L65" t="b">
        <v>1</v>
      </c>
    </row>
    <row r="66" spans="1:12" x14ac:dyDescent="0.3">
      <c r="A66">
        <v>65</v>
      </c>
      <c r="B66" t="s">
        <v>577</v>
      </c>
      <c r="C66">
        <v>61</v>
      </c>
      <c r="D66" t="s">
        <v>94</v>
      </c>
      <c r="E66" t="s">
        <v>503</v>
      </c>
      <c r="F66" t="s">
        <v>474</v>
      </c>
      <c r="G66">
        <v>2</v>
      </c>
      <c r="H66">
        <v>3</v>
      </c>
      <c r="I66" t="s">
        <v>485</v>
      </c>
      <c r="J66" t="s">
        <v>533</v>
      </c>
      <c r="K66" t="s">
        <v>504</v>
      </c>
      <c r="L66" t="b">
        <v>1</v>
      </c>
    </row>
    <row r="67" spans="1:12" x14ac:dyDescent="0.3">
      <c r="A67">
        <v>66</v>
      </c>
      <c r="B67" t="s">
        <v>578</v>
      </c>
      <c r="C67">
        <v>28</v>
      </c>
      <c r="D67" t="s">
        <v>93</v>
      </c>
      <c r="E67" t="s">
        <v>503</v>
      </c>
      <c r="F67" t="s">
        <v>474</v>
      </c>
      <c r="G67">
        <v>16</v>
      </c>
      <c r="H67">
        <v>6</v>
      </c>
      <c r="I67" t="s">
        <v>494</v>
      </c>
      <c r="J67" t="s">
        <v>533</v>
      </c>
      <c r="K67" t="s">
        <v>490</v>
      </c>
      <c r="L67" t="b">
        <v>1</v>
      </c>
    </row>
    <row r="68" spans="1:12" x14ac:dyDescent="0.3">
      <c r="A68">
        <v>67</v>
      </c>
      <c r="B68" t="s">
        <v>579</v>
      </c>
      <c r="C68">
        <v>56</v>
      </c>
      <c r="D68" t="s">
        <v>94</v>
      </c>
      <c r="E68" t="s">
        <v>503</v>
      </c>
      <c r="F68" t="s">
        <v>474</v>
      </c>
      <c r="G68">
        <v>5</v>
      </c>
      <c r="H68">
        <v>17</v>
      </c>
      <c r="I68" t="s">
        <v>496</v>
      </c>
      <c r="J68" t="s">
        <v>533</v>
      </c>
      <c r="K68" t="s">
        <v>542</v>
      </c>
      <c r="L68" t="b">
        <v>1</v>
      </c>
    </row>
    <row r="69" spans="1:12" x14ac:dyDescent="0.3">
      <c r="A69">
        <v>68</v>
      </c>
      <c r="B69" t="s">
        <v>580</v>
      </c>
      <c r="C69">
        <v>79</v>
      </c>
      <c r="D69" t="s">
        <v>94</v>
      </c>
      <c r="E69" t="s">
        <v>503</v>
      </c>
      <c r="F69" t="s">
        <v>474</v>
      </c>
      <c r="G69">
        <v>16</v>
      </c>
      <c r="H69">
        <v>14</v>
      </c>
      <c r="I69" t="s">
        <v>502</v>
      </c>
      <c r="J69" t="s">
        <v>533</v>
      </c>
      <c r="K69" t="s">
        <v>517</v>
      </c>
      <c r="L69" t="b">
        <v>1</v>
      </c>
    </row>
    <row r="70" spans="1:12" x14ac:dyDescent="0.3">
      <c r="A70">
        <v>69</v>
      </c>
      <c r="B70" t="s">
        <v>659</v>
      </c>
      <c r="C70">
        <v>26</v>
      </c>
      <c r="D70" t="s">
        <v>93</v>
      </c>
      <c r="E70" t="s">
        <v>548</v>
      </c>
      <c r="F70" t="s">
        <v>474</v>
      </c>
      <c r="G70">
        <v>1</v>
      </c>
      <c r="H70">
        <v>16</v>
      </c>
      <c r="I70" t="s">
        <v>533</v>
      </c>
      <c r="J70" t="s">
        <v>525</v>
      </c>
      <c r="K70" t="s">
        <v>542</v>
      </c>
      <c r="L70" t="b">
        <v>1</v>
      </c>
    </row>
    <row r="71" spans="1:12" x14ac:dyDescent="0.3">
      <c r="A71">
        <v>70</v>
      </c>
      <c r="B71" t="s">
        <v>581</v>
      </c>
      <c r="C71">
        <v>27</v>
      </c>
      <c r="D71" t="s">
        <v>94</v>
      </c>
      <c r="E71" t="s">
        <v>503</v>
      </c>
      <c r="F71" t="s">
        <v>474</v>
      </c>
      <c r="G71">
        <v>12</v>
      </c>
      <c r="H71">
        <v>6</v>
      </c>
      <c r="I71" t="s">
        <v>514</v>
      </c>
      <c r="J71" t="s">
        <v>525</v>
      </c>
      <c r="K71" t="s">
        <v>482</v>
      </c>
      <c r="L71" t="b">
        <v>1</v>
      </c>
    </row>
    <row r="72" spans="1:12" x14ac:dyDescent="0.3">
      <c r="A72">
        <v>71</v>
      </c>
      <c r="B72" t="s">
        <v>582</v>
      </c>
      <c r="C72">
        <v>25</v>
      </c>
      <c r="D72" t="s">
        <v>93</v>
      </c>
      <c r="E72" t="s">
        <v>503</v>
      </c>
      <c r="F72" t="s">
        <v>474</v>
      </c>
      <c r="G72">
        <v>14</v>
      </c>
      <c r="H72">
        <v>19</v>
      </c>
      <c r="I72" t="s">
        <v>511</v>
      </c>
      <c r="J72" t="s">
        <v>525</v>
      </c>
      <c r="K72" t="s">
        <v>583</v>
      </c>
      <c r="L72" t="b">
        <v>1</v>
      </c>
    </row>
    <row r="73" spans="1:12" x14ac:dyDescent="0.3">
      <c r="A73">
        <v>72</v>
      </c>
      <c r="B73" t="s">
        <v>660</v>
      </c>
      <c r="C73">
        <v>40</v>
      </c>
      <c r="D73" t="s">
        <v>93</v>
      </c>
      <c r="E73" t="s">
        <v>473</v>
      </c>
      <c r="F73" t="s">
        <v>474</v>
      </c>
      <c r="G73">
        <v>5</v>
      </c>
      <c r="H73">
        <v>12</v>
      </c>
      <c r="I73" t="s">
        <v>498</v>
      </c>
      <c r="J73" t="s">
        <v>525</v>
      </c>
      <c r="K73" t="s">
        <v>512</v>
      </c>
      <c r="L73" t="b">
        <v>1</v>
      </c>
    </row>
    <row r="74" spans="1:12" x14ac:dyDescent="0.3">
      <c r="A74">
        <v>73</v>
      </c>
      <c r="B74" t="s">
        <v>584</v>
      </c>
      <c r="C74">
        <v>43</v>
      </c>
      <c r="D74" t="s">
        <v>93</v>
      </c>
      <c r="E74" t="s">
        <v>503</v>
      </c>
      <c r="F74" t="s">
        <v>474</v>
      </c>
      <c r="G74">
        <v>7</v>
      </c>
      <c r="H74">
        <v>10</v>
      </c>
      <c r="I74" t="s">
        <v>496</v>
      </c>
      <c r="J74" t="s">
        <v>525</v>
      </c>
      <c r="K74" t="s">
        <v>557</v>
      </c>
      <c r="L74" t="b">
        <v>1</v>
      </c>
    </row>
    <row r="75" spans="1:12" x14ac:dyDescent="0.3">
      <c r="A75">
        <v>74</v>
      </c>
      <c r="B75" t="s">
        <v>585</v>
      </c>
      <c r="C75">
        <v>29</v>
      </c>
      <c r="D75" t="s">
        <v>93</v>
      </c>
      <c r="E75" t="s">
        <v>503</v>
      </c>
      <c r="F75" t="s">
        <v>474</v>
      </c>
      <c r="G75">
        <v>4</v>
      </c>
      <c r="H75">
        <v>20</v>
      </c>
      <c r="I75" t="s">
        <v>485</v>
      </c>
      <c r="J75" t="s">
        <v>525</v>
      </c>
      <c r="K75" t="s">
        <v>550</v>
      </c>
      <c r="L75" t="b">
        <v>1</v>
      </c>
    </row>
    <row r="76" spans="1:12" x14ac:dyDescent="0.3">
      <c r="A76">
        <v>75</v>
      </c>
      <c r="B76" t="s">
        <v>586</v>
      </c>
      <c r="C76">
        <v>71</v>
      </c>
      <c r="D76" t="s">
        <v>94</v>
      </c>
      <c r="E76" t="s">
        <v>503</v>
      </c>
      <c r="F76" t="s">
        <v>474</v>
      </c>
      <c r="G76" t="s">
        <v>522</v>
      </c>
      <c r="H76">
        <v>13</v>
      </c>
      <c r="I76" t="s">
        <v>522</v>
      </c>
      <c r="J76" t="s">
        <v>506</v>
      </c>
      <c r="K76" t="s">
        <v>517</v>
      </c>
      <c r="L76" t="b">
        <v>1</v>
      </c>
    </row>
    <row r="77" spans="1:12" x14ac:dyDescent="0.3">
      <c r="A77">
        <v>76</v>
      </c>
      <c r="B77" t="s">
        <v>587</v>
      </c>
      <c r="C77">
        <v>1</v>
      </c>
      <c r="D77" t="s">
        <v>93</v>
      </c>
      <c r="E77" t="s">
        <v>503</v>
      </c>
      <c r="F77" t="s">
        <v>474</v>
      </c>
      <c r="G77" t="s">
        <v>522</v>
      </c>
      <c r="H77">
        <v>1</v>
      </c>
      <c r="I77" t="s">
        <v>522</v>
      </c>
      <c r="J77" t="s">
        <v>506</v>
      </c>
      <c r="K77" t="s">
        <v>488</v>
      </c>
      <c r="L77" t="b">
        <v>0</v>
      </c>
    </row>
    <row r="78" spans="1:12" x14ac:dyDescent="0.3">
      <c r="A78">
        <v>77</v>
      </c>
      <c r="B78" t="s">
        <v>588</v>
      </c>
      <c r="C78">
        <v>35</v>
      </c>
      <c r="D78" t="s">
        <v>93</v>
      </c>
      <c r="E78" t="s">
        <v>503</v>
      </c>
      <c r="F78" t="s">
        <v>474</v>
      </c>
      <c r="G78">
        <v>7</v>
      </c>
      <c r="H78">
        <v>8</v>
      </c>
      <c r="I78" t="s">
        <v>498</v>
      </c>
      <c r="J78" t="s">
        <v>504</v>
      </c>
      <c r="K78" t="s">
        <v>569</v>
      </c>
      <c r="L78" t="b">
        <v>1</v>
      </c>
    </row>
    <row r="79" spans="1:12" x14ac:dyDescent="0.3">
      <c r="A79">
        <v>78</v>
      </c>
      <c r="B79" t="s">
        <v>589</v>
      </c>
      <c r="C79">
        <v>57</v>
      </c>
      <c r="D79" t="s">
        <v>94</v>
      </c>
      <c r="E79" t="s">
        <v>503</v>
      </c>
      <c r="F79" t="s">
        <v>474</v>
      </c>
      <c r="G79">
        <v>8</v>
      </c>
      <c r="H79">
        <v>9</v>
      </c>
      <c r="I79" t="s">
        <v>496</v>
      </c>
      <c r="J79" t="s">
        <v>504</v>
      </c>
      <c r="K79" t="s">
        <v>512</v>
      </c>
      <c r="L79" t="b">
        <v>1</v>
      </c>
    </row>
    <row r="80" spans="1:12" x14ac:dyDescent="0.3">
      <c r="A80">
        <v>79</v>
      </c>
      <c r="B80" t="s">
        <v>590</v>
      </c>
      <c r="C80">
        <v>35</v>
      </c>
      <c r="D80" t="s">
        <v>94</v>
      </c>
      <c r="E80" t="s">
        <v>591</v>
      </c>
      <c r="F80" t="s">
        <v>474</v>
      </c>
      <c r="G80">
        <v>5</v>
      </c>
      <c r="H80">
        <v>10</v>
      </c>
      <c r="I80" t="s">
        <v>485</v>
      </c>
      <c r="J80" t="s">
        <v>504</v>
      </c>
      <c r="K80" t="s">
        <v>561</v>
      </c>
      <c r="L80" t="b">
        <v>1</v>
      </c>
    </row>
    <row r="81" spans="1:12" x14ac:dyDescent="0.3">
      <c r="A81">
        <v>80</v>
      </c>
      <c r="B81" t="s">
        <v>592</v>
      </c>
      <c r="C81">
        <v>38</v>
      </c>
      <c r="D81" t="s">
        <v>94</v>
      </c>
      <c r="E81" t="s">
        <v>503</v>
      </c>
      <c r="F81" t="s">
        <v>474</v>
      </c>
      <c r="G81">
        <v>14</v>
      </c>
      <c r="H81">
        <v>9</v>
      </c>
      <c r="I81" t="s">
        <v>492</v>
      </c>
      <c r="J81" t="s">
        <v>488</v>
      </c>
      <c r="K81" t="s">
        <v>512</v>
      </c>
      <c r="L81" t="b">
        <v>1</v>
      </c>
    </row>
    <row r="82" spans="1:12" x14ac:dyDescent="0.3">
      <c r="A82">
        <v>81</v>
      </c>
      <c r="B82" t="s">
        <v>576</v>
      </c>
      <c r="C82">
        <v>50</v>
      </c>
      <c r="D82" t="s">
        <v>93</v>
      </c>
      <c r="E82" t="s">
        <v>503</v>
      </c>
      <c r="F82" t="s">
        <v>474</v>
      </c>
      <c r="G82">
        <v>2</v>
      </c>
      <c r="H82">
        <v>7</v>
      </c>
      <c r="I82" t="s">
        <v>506</v>
      </c>
      <c r="J82" t="s">
        <v>488</v>
      </c>
      <c r="K82" t="s">
        <v>569</v>
      </c>
      <c r="L82" t="b">
        <v>1</v>
      </c>
    </row>
    <row r="83" spans="1:12" x14ac:dyDescent="0.3">
      <c r="A83">
        <v>82</v>
      </c>
      <c r="B83" t="s">
        <v>589</v>
      </c>
      <c r="C83">
        <v>57</v>
      </c>
      <c r="D83" t="s">
        <v>94</v>
      </c>
      <c r="E83" t="s">
        <v>503</v>
      </c>
      <c r="F83" t="s">
        <v>539</v>
      </c>
      <c r="G83">
        <v>10</v>
      </c>
      <c r="H83" t="s">
        <v>522</v>
      </c>
      <c r="I83" t="s">
        <v>496</v>
      </c>
      <c r="J83" t="s">
        <v>488</v>
      </c>
      <c r="K83" t="s">
        <v>522</v>
      </c>
      <c r="L83" t="b">
        <v>1</v>
      </c>
    </row>
    <row r="84" spans="1:12" x14ac:dyDescent="0.3">
      <c r="A84">
        <v>83</v>
      </c>
      <c r="B84" t="s">
        <v>549</v>
      </c>
      <c r="C84">
        <v>54</v>
      </c>
      <c r="D84" t="s">
        <v>93</v>
      </c>
      <c r="E84" t="s">
        <v>503</v>
      </c>
      <c r="F84" t="s">
        <v>474</v>
      </c>
      <c r="G84">
        <v>22</v>
      </c>
      <c r="H84">
        <v>2</v>
      </c>
      <c r="I84" t="s">
        <v>493</v>
      </c>
      <c r="J84" t="s">
        <v>477</v>
      </c>
      <c r="K84" t="s">
        <v>482</v>
      </c>
      <c r="L84" t="b">
        <v>1</v>
      </c>
    </row>
    <row r="85" spans="1:12" x14ac:dyDescent="0.3">
      <c r="A85">
        <v>84</v>
      </c>
      <c r="B85" t="s">
        <v>593</v>
      </c>
      <c r="C85">
        <v>35</v>
      </c>
      <c r="D85" t="s">
        <v>94</v>
      </c>
      <c r="E85" t="s">
        <v>503</v>
      </c>
      <c r="F85" t="s">
        <v>474</v>
      </c>
      <c r="G85">
        <v>15</v>
      </c>
      <c r="H85">
        <v>2</v>
      </c>
      <c r="I85" t="s">
        <v>492</v>
      </c>
      <c r="J85" t="s">
        <v>477</v>
      </c>
      <c r="K85" t="s">
        <v>482</v>
      </c>
      <c r="L85" t="b">
        <v>1</v>
      </c>
    </row>
    <row r="86" spans="1:12" x14ac:dyDescent="0.3">
      <c r="A86">
        <v>85</v>
      </c>
      <c r="B86" t="s">
        <v>661</v>
      </c>
      <c r="C86">
        <v>36</v>
      </c>
      <c r="D86" t="s">
        <v>93</v>
      </c>
      <c r="E86" t="s">
        <v>473</v>
      </c>
      <c r="F86" t="s">
        <v>474</v>
      </c>
      <c r="G86">
        <v>6</v>
      </c>
      <c r="H86">
        <v>16</v>
      </c>
      <c r="I86" t="s">
        <v>533</v>
      </c>
      <c r="J86" t="s">
        <v>490</v>
      </c>
      <c r="K86" t="s">
        <v>550</v>
      </c>
      <c r="L86" t="b">
        <v>1</v>
      </c>
    </row>
    <row r="87" spans="1:12" x14ac:dyDescent="0.3">
      <c r="A87">
        <v>86</v>
      </c>
      <c r="B87" t="s">
        <v>594</v>
      </c>
      <c r="C87">
        <v>24</v>
      </c>
      <c r="D87" t="s">
        <v>93</v>
      </c>
      <c r="E87" t="s">
        <v>503</v>
      </c>
      <c r="F87" t="s">
        <v>474</v>
      </c>
      <c r="G87">
        <v>7</v>
      </c>
      <c r="H87">
        <v>15</v>
      </c>
      <c r="I87" t="s">
        <v>533</v>
      </c>
      <c r="J87" t="s">
        <v>490</v>
      </c>
      <c r="K87" t="s">
        <v>550</v>
      </c>
      <c r="L87" t="b">
        <v>1</v>
      </c>
    </row>
    <row r="88" spans="1:12" x14ac:dyDescent="0.3">
      <c r="A88">
        <v>87</v>
      </c>
      <c r="B88" t="s">
        <v>595</v>
      </c>
      <c r="C88">
        <v>32</v>
      </c>
      <c r="D88" t="s">
        <v>93</v>
      </c>
      <c r="E88" t="s">
        <v>503</v>
      </c>
      <c r="F88" t="s">
        <v>474</v>
      </c>
      <c r="G88" t="s">
        <v>522</v>
      </c>
      <c r="H88">
        <v>2</v>
      </c>
      <c r="I88" t="s">
        <v>522</v>
      </c>
      <c r="J88" t="s">
        <v>482</v>
      </c>
      <c r="K88" t="s">
        <v>554</v>
      </c>
      <c r="L88" t="b">
        <v>0</v>
      </c>
    </row>
    <row r="89" spans="1:12" x14ac:dyDescent="0.3">
      <c r="A89">
        <v>88</v>
      </c>
      <c r="B89" t="s">
        <v>596</v>
      </c>
      <c r="C89">
        <v>30</v>
      </c>
      <c r="D89" t="s">
        <v>94</v>
      </c>
      <c r="E89" t="s">
        <v>503</v>
      </c>
      <c r="F89" t="s">
        <v>474</v>
      </c>
      <c r="G89">
        <v>6</v>
      </c>
      <c r="H89">
        <v>9</v>
      </c>
      <c r="I89" t="s">
        <v>506</v>
      </c>
      <c r="J89" t="s">
        <v>482</v>
      </c>
      <c r="K89" t="s">
        <v>542</v>
      </c>
      <c r="L89" t="b">
        <v>1</v>
      </c>
    </row>
    <row r="90" spans="1:12" x14ac:dyDescent="0.3">
      <c r="A90">
        <v>89</v>
      </c>
      <c r="B90" t="s">
        <v>597</v>
      </c>
      <c r="C90">
        <v>41</v>
      </c>
      <c r="D90" t="s">
        <v>93</v>
      </c>
      <c r="E90" t="s">
        <v>503</v>
      </c>
      <c r="F90" t="s">
        <v>474</v>
      </c>
      <c r="G90">
        <v>19</v>
      </c>
      <c r="H90">
        <v>6</v>
      </c>
      <c r="I90" t="s">
        <v>514</v>
      </c>
      <c r="J90" t="s">
        <v>515</v>
      </c>
      <c r="K90" t="s">
        <v>561</v>
      </c>
      <c r="L90" t="b">
        <v>1</v>
      </c>
    </row>
    <row r="91" spans="1:12" x14ac:dyDescent="0.3">
      <c r="A91">
        <v>90</v>
      </c>
      <c r="B91" t="s">
        <v>598</v>
      </c>
      <c r="C91">
        <v>75</v>
      </c>
      <c r="D91" t="s">
        <v>94</v>
      </c>
      <c r="E91" t="s">
        <v>503</v>
      </c>
      <c r="F91" t="s">
        <v>539</v>
      </c>
      <c r="G91">
        <v>15</v>
      </c>
      <c r="H91" t="s">
        <v>522</v>
      </c>
      <c r="I91" t="s">
        <v>496</v>
      </c>
      <c r="J91" t="s">
        <v>495</v>
      </c>
      <c r="K91" t="s">
        <v>522</v>
      </c>
      <c r="L91" t="b">
        <v>1</v>
      </c>
    </row>
    <row r="92" spans="1:12" x14ac:dyDescent="0.3">
      <c r="A92">
        <v>91</v>
      </c>
      <c r="B92" t="s">
        <v>599</v>
      </c>
      <c r="C92">
        <v>58</v>
      </c>
      <c r="D92" t="s">
        <v>94</v>
      </c>
      <c r="E92" t="s">
        <v>503</v>
      </c>
      <c r="F92" t="s">
        <v>474</v>
      </c>
      <c r="G92">
        <v>31</v>
      </c>
      <c r="H92">
        <v>2</v>
      </c>
      <c r="I92" t="s">
        <v>476</v>
      </c>
      <c r="J92" t="s">
        <v>515</v>
      </c>
      <c r="K92" t="s">
        <v>569</v>
      </c>
      <c r="L92" t="b">
        <v>1</v>
      </c>
    </row>
    <row r="93" spans="1:12" x14ac:dyDescent="0.3">
      <c r="A93">
        <v>92</v>
      </c>
      <c r="B93" t="s">
        <v>600</v>
      </c>
      <c r="C93">
        <v>47</v>
      </c>
      <c r="D93" t="s">
        <v>93</v>
      </c>
      <c r="E93" t="s">
        <v>503</v>
      </c>
      <c r="F93" t="s">
        <v>539</v>
      </c>
      <c r="G93">
        <v>9</v>
      </c>
      <c r="H93" t="s">
        <v>522</v>
      </c>
      <c r="I93" t="s">
        <v>504</v>
      </c>
      <c r="J93" t="s">
        <v>557</v>
      </c>
      <c r="K93" t="s">
        <v>522</v>
      </c>
      <c r="L93" t="b">
        <v>1</v>
      </c>
    </row>
    <row r="94" spans="1:12" x14ac:dyDescent="0.3">
      <c r="A94">
        <v>93</v>
      </c>
      <c r="B94" t="s">
        <v>600</v>
      </c>
      <c r="C94">
        <v>38</v>
      </c>
      <c r="D94" t="s">
        <v>93</v>
      </c>
      <c r="E94" t="s">
        <v>503</v>
      </c>
      <c r="F94" t="s">
        <v>474</v>
      </c>
      <c r="G94">
        <v>9</v>
      </c>
      <c r="H94">
        <v>10</v>
      </c>
      <c r="I94" t="s">
        <v>504</v>
      </c>
      <c r="J94" t="s">
        <v>557</v>
      </c>
      <c r="K94" t="s">
        <v>550</v>
      </c>
      <c r="L94" t="b">
        <v>1</v>
      </c>
    </row>
    <row r="95" spans="1:12" x14ac:dyDescent="0.3">
      <c r="A95">
        <v>94</v>
      </c>
      <c r="B95" t="s">
        <v>601</v>
      </c>
      <c r="C95">
        <v>64</v>
      </c>
      <c r="D95" t="s">
        <v>94</v>
      </c>
      <c r="E95" t="s">
        <v>503</v>
      </c>
      <c r="F95" t="s">
        <v>539</v>
      </c>
      <c r="G95">
        <v>16</v>
      </c>
      <c r="H95" t="s">
        <v>522</v>
      </c>
      <c r="I95" t="s">
        <v>509</v>
      </c>
      <c r="J95" t="s">
        <v>557</v>
      </c>
      <c r="K95" t="s">
        <v>522</v>
      </c>
      <c r="L95" t="b">
        <v>1</v>
      </c>
    </row>
    <row r="96" spans="1:12" x14ac:dyDescent="0.3">
      <c r="A96">
        <v>95</v>
      </c>
      <c r="B96" t="s">
        <v>602</v>
      </c>
      <c r="C96">
        <v>44</v>
      </c>
      <c r="D96" t="s">
        <v>93</v>
      </c>
      <c r="E96" t="s">
        <v>503</v>
      </c>
      <c r="F96" t="s">
        <v>539</v>
      </c>
      <c r="G96">
        <v>5</v>
      </c>
      <c r="H96" t="s">
        <v>522</v>
      </c>
      <c r="I96" t="s">
        <v>515</v>
      </c>
      <c r="J96" t="s">
        <v>512</v>
      </c>
      <c r="K96" t="s">
        <v>522</v>
      </c>
      <c r="L96" t="b">
        <v>1</v>
      </c>
    </row>
    <row r="97" spans="1:12" x14ac:dyDescent="0.3">
      <c r="A97">
        <v>96</v>
      </c>
      <c r="B97" t="s">
        <v>603</v>
      </c>
      <c r="C97">
        <v>12</v>
      </c>
      <c r="D97" t="s">
        <v>93</v>
      </c>
      <c r="E97" t="s">
        <v>503</v>
      </c>
      <c r="F97" t="s">
        <v>474</v>
      </c>
      <c r="G97">
        <v>7</v>
      </c>
      <c r="H97">
        <v>8</v>
      </c>
      <c r="I97" t="s">
        <v>482</v>
      </c>
      <c r="J97" t="s">
        <v>512</v>
      </c>
      <c r="K97" t="s">
        <v>550</v>
      </c>
      <c r="L97" t="b">
        <v>1</v>
      </c>
    </row>
    <row r="98" spans="1:12" x14ac:dyDescent="0.3">
      <c r="A98">
        <v>97</v>
      </c>
      <c r="B98" t="s">
        <v>604</v>
      </c>
      <c r="C98">
        <v>44</v>
      </c>
      <c r="D98" t="s">
        <v>94</v>
      </c>
      <c r="E98" t="s">
        <v>503</v>
      </c>
      <c r="F98" t="s">
        <v>539</v>
      </c>
      <c r="G98">
        <v>8</v>
      </c>
      <c r="H98" t="s">
        <v>522</v>
      </c>
      <c r="I98" t="s">
        <v>490</v>
      </c>
      <c r="J98" t="s">
        <v>512</v>
      </c>
      <c r="K98" t="s">
        <v>522</v>
      </c>
      <c r="L98" t="b">
        <v>1</v>
      </c>
    </row>
    <row r="99" spans="1:12" x14ac:dyDescent="0.3">
      <c r="A99">
        <v>98</v>
      </c>
      <c r="B99" t="s">
        <v>605</v>
      </c>
      <c r="C99">
        <v>24</v>
      </c>
      <c r="D99" t="s">
        <v>93</v>
      </c>
      <c r="E99" t="s">
        <v>503</v>
      </c>
      <c r="F99" t="s">
        <v>474</v>
      </c>
      <c r="G99">
        <v>1</v>
      </c>
      <c r="H99">
        <v>6</v>
      </c>
      <c r="I99" t="s">
        <v>512</v>
      </c>
      <c r="J99" t="s">
        <v>561</v>
      </c>
      <c r="K99" t="s">
        <v>583</v>
      </c>
      <c r="L99" t="b">
        <v>1</v>
      </c>
    </row>
    <row r="100" spans="1:12" x14ac:dyDescent="0.3">
      <c r="A100">
        <v>99</v>
      </c>
      <c r="B100" t="s">
        <v>531</v>
      </c>
      <c r="C100">
        <v>27</v>
      </c>
      <c r="D100" t="s">
        <v>93</v>
      </c>
      <c r="E100" t="s">
        <v>503</v>
      </c>
      <c r="F100" t="s">
        <v>539</v>
      </c>
      <c r="G100">
        <v>8</v>
      </c>
      <c r="H100" t="s">
        <v>522</v>
      </c>
      <c r="I100" t="s">
        <v>482</v>
      </c>
      <c r="J100" t="s">
        <v>561</v>
      </c>
      <c r="K100" t="s">
        <v>522</v>
      </c>
      <c r="L100" t="b">
        <v>1</v>
      </c>
    </row>
    <row r="101" spans="1:12" x14ac:dyDescent="0.3">
      <c r="A101">
        <v>100</v>
      </c>
      <c r="B101" t="s">
        <v>606</v>
      </c>
      <c r="C101">
        <v>20</v>
      </c>
      <c r="D101" t="s">
        <v>93</v>
      </c>
      <c r="E101" t="s">
        <v>591</v>
      </c>
      <c r="F101" t="s">
        <v>539</v>
      </c>
      <c r="G101">
        <v>2</v>
      </c>
      <c r="H101" t="s">
        <v>522</v>
      </c>
      <c r="I101" t="s">
        <v>512</v>
      </c>
      <c r="J101" t="s">
        <v>561</v>
      </c>
      <c r="K101" t="s">
        <v>522</v>
      </c>
      <c r="L101" t="b">
        <v>1</v>
      </c>
    </row>
    <row r="102" spans="1:12" x14ac:dyDescent="0.3">
      <c r="A102">
        <v>101</v>
      </c>
      <c r="B102" t="s">
        <v>570</v>
      </c>
      <c r="C102">
        <v>61</v>
      </c>
      <c r="D102" t="s">
        <v>93</v>
      </c>
      <c r="E102" t="s">
        <v>503</v>
      </c>
      <c r="F102" t="s">
        <v>539</v>
      </c>
      <c r="G102">
        <v>4</v>
      </c>
      <c r="H102" t="s">
        <v>522</v>
      </c>
      <c r="I102" t="s">
        <v>569</v>
      </c>
      <c r="J102" t="s">
        <v>517</v>
      </c>
      <c r="K102" t="s">
        <v>522</v>
      </c>
      <c r="L102" t="b">
        <v>1</v>
      </c>
    </row>
    <row r="103" spans="1:12" x14ac:dyDescent="0.3">
      <c r="A103">
        <v>102</v>
      </c>
      <c r="B103" t="s">
        <v>607</v>
      </c>
      <c r="C103">
        <v>41</v>
      </c>
      <c r="D103" t="s">
        <v>94</v>
      </c>
      <c r="E103" t="s">
        <v>608</v>
      </c>
      <c r="F103" t="s">
        <v>539</v>
      </c>
      <c r="G103">
        <v>4</v>
      </c>
      <c r="H103" t="s">
        <v>522</v>
      </c>
      <c r="I103" t="s">
        <v>569</v>
      </c>
      <c r="J103" t="s">
        <v>517</v>
      </c>
      <c r="K103" t="s">
        <v>522</v>
      </c>
      <c r="L103" t="b">
        <v>1</v>
      </c>
    </row>
    <row r="104" spans="1:12" x14ac:dyDescent="0.3">
      <c r="A104">
        <v>103</v>
      </c>
      <c r="B104" t="s">
        <v>609</v>
      </c>
      <c r="C104">
        <v>37</v>
      </c>
      <c r="D104" t="s">
        <v>94</v>
      </c>
      <c r="E104" t="s">
        <v>503</v>
      </c>
      <c r="F104" t="s">
        <v>539</v>
      </c>
      <c r="G104">
        <v>10</v>
      </c>
      <c r="H104" t="s">
        <v>522</v>
      </c>
      <c r="I104" t="s">
        <v>490</v>
      </c>
      <c r="J104" t="s">
        <v>564</v>
      </c>
      <c r="K104" t="s">
        <v>522</v>
      </c>
      <c r="L104" t="b">
        <v>1</v>
      </c>
    </row>
    <row r="105" spans="1:12" x14ac:dyDescent="0.3">
      <c r="A105">
        <v>104</v>
      </c>
      <c r="B105" t="s">
        <v>610</v>
      </c>
      <c r="C105">
        <v>25</v>
      </c>
      <c r="D105" t="s">
        <v>94</v>
      </c>
      <c r="E105" t="s">
        <v>611</v>
      </c>
      <c r="F105" t="s">
        <v>539</v>
      </c>
      <c r="G105">
        <v>7</v>
      </c>
      <c r="H105" t="s">
        <v>522</v>
      </c>
      <c r="I105" t="s">
        <v>495</v>
      </c>
      <c r="J105" t="s">
        <v>564</v>
      </c>
      <c r="K105" t="s">
        <v>522</v>
      </c>
      <c r="L105" t="b">
        <v>1</v>
      </c>
    </row>
    <row r="106" spans="1:12" x14ac:dyDescent="0.3">
      <c r="A106">
        <v>105</v>
      </c>
      <c r="B106" t="s">
        <v>612</v>
      </c>
      <c r="C106">
        <v>49</v>
      </c>
      <c r="D106" t="s">
        <v>93</v>
      </c>
      <c r="E106" t="s">
        <v>503</v>
      </c>
      <c r="F106" t="s">
        <v>539</v>
      </c>
      <c r="G106">
        <v>4</v>
      </c>
      <c r="H106" t="s">
        <v>522</v>
      </c>
      <c r="I106" t="s">
        <v>557</v>
      </c>
      <c r="J106" t="s">
        <v>564</v>
      </c>
      <c r="K106" t="s">
        <v>522</v>
      </c>
      <c r="L106" t="b">
        <v>1</v>
      </c>
    </row>
    <row r="107" spans="1:12" x14ac:dyDescent="0.3">
      <c r="A107">
        <v>106</v>
      </c>
      <c r="B107" t="s">
        <v>662</v>
      </c>
      <c r="C107">
        <v>54</v>
      </c>
      <c r="D107" t="s">
        <v>93</v>
      </c>
      <c r="E107" t="s">
        <v>613</v>
      </c>
      <c r="F107" t="s">
        <v>539</v>
      </c>
      <c r="G107">
        <v>7</v>
      </c>
      <c r="H107" t="s">
        <v>522</v>
      </c>
      <c r="I107" t="s">
        <v>495</v>
      </c>
      <c r="J107" t="s">
        <v>564</v>
      </c>
      <c r="K107" t="s">
        <v>522</v>
      </c>
      <c r="L107" t="b">
        <v>1</v>
      </c>
    </row>
    <row r="108" spans="1:12" x14ac:dyDescent="0.3">
      <c r="A108">
        <v>107</v>
      </c>
      <c r="B108" t="s">
        <v>614</v>
      </c>
      <c r="C108">
        <v>68</v>
      </c>
      <c r="D108" t="s">
        <v>94</v>
      </c>
      <c r="E108" t="s">
        <v>503</v>
      </c>
      <c r="F108" t="s">
        <v>474</v>
      </c>
      <c r="G108">
        <v>15</v>
      </c>
      <c r="H108">
        <v>4</v>
      </c>
      <c r="I108" t="s">
        <v>506</v>
      </c>
      <c r="J108" t="s">
        <v>564</v>
      </c>
      <c r="K108" t="s">
        <v>615</v>
      </c>
      <c r="L108" t="b">
        <v>1</v>
      </c>
    </row>
    <row r="109" spans="1:12" x14ac:dyDescent="0.3">
      <c r="A109">
        <v>108</v>
      </c>
      <c r="B109" t="s">
        <v>616</v>
      </c>
      <c r="C109">
        <v>34</v>
      </c>
      <c r="D109" t="s">
        <v>94</v>
      </c>
      <c r="E109" t="s">
        <v>608</v>
      </c>
      <c r="F109" t="s">
        <v>539</v>
      </c>
      <c r="G109">
        <v>6</v>
      </c>
      <c r="H109" t="s">
        <v>522</v>
      </c>
      <c r="I109" t="s">
        <v>569</v>
      </c>
      <c r="J109" t="s">
        <v>542</v>
      </c>
      <c r="K109" t="s">
        <v>522</v>
      </c>
      <c r="L109" t="b">
        <v>1</v>
      </c>
    </row>
    <row r="110" spans="1:12" x14ac:dyDescent="0.3">
      <c r="A110">
        <v>109</v>
      </c>
      <c r="B110" t="s">
        <v>617</v>
      </c>
      <c r="C110">
        <v>70</v>
      </c>
      <c r="D110" t="s">
        <v>93</v>
      </c>
      <c r="E110" t="s">
        <v>503</v>
      </c>
      <c r="F110" t="s">
        <v>539</v>
      </c>
      <c r="G110">
        <v>7</v>
      </c>
      <c r="H110" t="s">
        <v>522</v>
      </c>
      <c r="I110" t="s">
        <v>569</v>
      </c>
      <c r="J110" t="s">
        <v>542</v>
      </c>
      <c r="K110" t="s">
        <v>522</v>
      </c>
      <c r="L110" t="b">
        <v>1</v>
      </c>
    </row>
    <row r="111" spans="1:12" x14ac:dyDescent="0.3">
      <c r="A111">
        <v>110</v>
      </c>
      <c r="B111" t="s">
        <v>618</v>
      </c>
      <c r="C111">
        <v>33</v>
      </c>
      <c r="D111" t="s">
        <v>93</v>
      </c>
      <c r="E111" t="s">
        <v>503</v>
      </c>
      <c r="F111" t="s">
        <v>474</v>
      </c>
      <c r="G111">
        <v>10</v>
      </c>
      <c r="H111">
        <v>4</v>
      </c>
      <c r="I111" t="s">
        <v>515</v>
      </c>
      <c r="J111" t="s">
        <v>542</v>
      </c>
      <c r="K111" t="s">
        <v>550</v>
      </c>
      <c r="L111" t="b">
        <v>1</v>
      </c>
    </row>
    <row r="112" spans="1:12" x14ac:dyDescent="0.3">
      <c r="A112">
        <v>111</v>
      </c>
      <c r="B112" t="s">
        <v>619</v>
      </c>
      <c r="C112">
        <v>43</v>
      </c>
      <c r="D112" t="s">
        <v>93</v>
      </c>
      <c r="E112" t="s">
        <v>503</v>
      </c>
      <c r="F112" t="s">
        <v>539</v>
      </c>
      <c r="G112">
        <v>9</v>
      </c>
      <c r="H112" t="s">
        <v>522</v>
      </c>
      <c r="I112" t="s">
        <v>554</v>
      </c>
      <c r="J112" t="s">
        <v>620</v>
      </c>
      <c r="K112" t="s">
        <v>522</v>
      </c>
      <c r="L112" t="b">
        <v>1</v>
      </c>
    </row>
    <row r="113" spans="1:12" x14ac:dyDescent="0.3">
      <c r="A113">
        <v>112</v>
      </c>
      <c r="B113" t="s">
        <v>621</v>
      </c>
      <c r="C113">
        <v>62</v>
      </c>
      <c r="D113" t="s">
        <v>94</v>
      </c>
      <c r="E113" t="s">
        <v>503</v>
      </c>
      <c r="F113" t="s">
        <v>474</v>
      </c>
      <c r="G113">
        <v>12</v>
      </c>
      <c r="H113">
        <v>5</v>
      </c>
      <c r="I113" t="s">
        <v>482</v>
      </c>
      <c r="J113" t="s">
        <v>573</v>
      </c>
      <c r="K113" t="s">
        <v>622</v>
      </c>
      <c r="L113" t="b">
        <v>1</v>
      </c>
    </row>
    <row r="114" spans="1:12" x14ac:dyDescent="0.3">
      <c r="A114">
        <v>113</v>
      </c>
      <c r="B114" t="s">
        <v>663</v>
      </c>
      <c r="C114">
        <v>42</v>
      </c>
      <c r="D114" t="s">
        <v>93</v>
      </c>
      <c r="E114" t="s">
        <v>623</v>
      </c>
      <c r="F114" t="s">
        <v>539</v>
      </c>
      <c r="G114">
        <v>2</v>
      </c>
      <c r="H114" t="s">
        <v>522</v>
      </c>
      <c r="I114" t="s">
        <v>620</v>
      </c>
      <c r="J114" t="s">
        <v>573</v>
      </c>
      <c r="K114" t="s">
        <v>522</v>
      </c>
      <c r="L114" t="b">
        <v>1</v>
      </c>
    </row>
    <row r="115" spans="1:12" x14ac:dyDescent="0.3">
      <c r="A115">
        <v>114</v>
      </c>
      <c r="B115" t="s">
        <v>558</v>
      </c>
      <c r="C115">
        <v>62</v>
      </c>
      <c r="D115" t="s">
        <v>93</v>
      </c>
      <c r="E115" t="s">
        <v>503</v>
      </c>
      <c r="F115" t="s">
        <v>539</v>
      </c>
      <c r="G115">
        <v>6</v>
      </c>
      <c r="H115" t="s">
        <v>522</v>
      </c>
      <c r="I115" t="s">
        <v>561</v>
      </c>
      <c r="J115" t="s">
        <v>573</v>
      </c>
      <c r="K115" t="s">
        <v>522</v>
      </c>
      <c r="L115" t="b">
        <v>1</v>
      </c>
    </row>
    <row r="116" spans="1:12" x14ac:dyDescent="0.3">
      <c r="A116">
        <v>115</v>
      </c>
      <c r="B116" t="s">
        <v>621</v>
      </c>
      <c r="C116">
        <v>62</v>
      </c>
      <c r="D116" t="s">
        <v>94</v>
      </c>
      <c r="E116" t="s">
        <v>503</v>
      </c>
      <c r="F116" t="s">
        <v>539</v>
      </c>
      <c r="G116" t="s">
        <v>522</v>
      </c>
      <c r="H116" t="s">
        <v>522</v>
      </c>
      <c r="I116" t="s">
        <v>522</v>
      </c>
      <c r="J116" t="s">
        <v>583</v>
      </c>
      <c r="K116" t="s">
        <v>522</v>
      </c>
      <c r="L116" t="b">
        <v>1</v>
      </c>
    </row>
    <row r="117" spans="1:12" x14ac:dyDescent="0.3">
      <c r="A117">
        <v>116</v>
      </c>
      <c r="B117" t="s">
        <v>624</v>
      </c>
      <c r="C117">
        <v>50</v>
      </c>
      <c r="D117" t="s">
        <v>94</v>
      </c>
      <c r="E117" t="s">
        <v>503</v>
      </c>
      <c r="F117" t="s">
        <v>539</v>
      </c>
      <c r="G117">
        <v>5</v>
      </c>
      <c r="H117" t="s">
        <v>522</v>
      </c>
      <c r="I117" t="s">
        <v>517</v>
      </c>
      <c r="J117" t="s">
        <v>583</v>
      </c>
      <c r="K117" t="s">
        <v>522</v>
      </c>
      <c r="L117" t="b">
        <v>1</v>
      </c>
    </row>
    <row r="118" spans="1:12" x14ac:dyDescent="0.3">
      <c r="A118">
        <v>117</v>
      </c>
      <c r="B118" t="s">
        <v>625</v>
      </c>
      <c r="C118">
        <v>52</v>
      </c>
      <c r="D118" t="s">
        <v>94</v>
      </c>
      <c r="E118" t="s">
        <v>503</v>
      </c>
      <c r="F118" t="s">
        <v>539</v>
      </c>
      <c r="G118">
        <v>3</v>
      </c>
      <c r="H118" t="s">
        <v>522</v>
      </c>
      <c r="I118" t="s">
        <v>542</v>
      </c>
      <c r="J118" t="s">
        <v>583</v>
      </c>
      <c r="K118" t="s">
        <v>522</v>
      </c>
      <c r="L118" t="b">
        <v>1</v>
      </c>
    </row>
    <row r="119" spans="1:12" x14ac:dyDescent="0.3">
      <c r="A119">
        <v>118</v>
      </c>
      <c r="B119" t="s">
        <v>626</v>
      </c>
      <c r="C119">
        <v>33</v>
      </c>
      <c r="D119" t="s">
        <v>94</v>
      </c>
      <c r="E119" t="s">
        <v>503</v>
      </c>
      <c r="F119" t="s">
        <v>539</v>
      </c>
      <c r="G119">
        <v>6</v>
      </c>
      <c r="H119" t="s">
        <v>522</v>
      </c>
      <c r="I119" t="s">
        <v>517</v>
      </c>
      <c r="J119" t="s">
        <v>583</v>
      </c>
      <c r="K119" t="s">
        <v>522</v>
      </c>
      <c r="L119" t="b">
        <v>1</v>
      </c>
    </row>
    <row r="120" spans="1:12" x14ac:dyDescent="0.3">
      <c r="A120">
        <v>119</v>
      </c>
      <c r="B120" t="s">
        <v>568</v>
      </c>
      <c r="C120">
        <v>55</v>
      </c>
      <c r="D120" t="s">
        <v>93</v>
      </c>
      <c r="E120" t="s">
        <v>503</v>
      </c>
      <c r="F120" t="s">
        <v>539</v>
      </c>
      <c r="G120">
        <v>8</v>
      </c>
      <c r="H120" t="s">
        <v>522</v>
      </c>
      <c r="I120" t="s">
        <v>512</v>
      </c>
      <c r="J120" t="s">
        <v>583</v>
      </c>
      <c r="K120" t="s">
        <v>522</v>
      </c>
      <c r="L120" t="b">
        <v>1</v>
      </c>
    </row>
    <row r="121" spans="1:12" x14ac:dyDescent="0.3">
      <c r="A121">
        <v>120</v>
      </c>
      <c r="B121" t="s">
        <v>621</v>
      </c>
      <c r="C121">
        <v>62</v>
      </c>
      <c r="D121" t="s">
        <v>94</v>
      </c>
      <c r="E121" t="s">
        <v>503</v>
      </c>
      <c r="F121" t="s">
        <v>539</v>
      </c>
      <c r="G121">
        <v>4</v>
      </c>
      <c r="H121" t="s">
        <v>522</v>
      </c>
      <c r="I121" t="s">
        <v>542</v>
      </c>
      <c r="J121" t="s">
        <v>583</v>
      </c>
      <c r="K121" t="s">
        <v>522</v>
      </c>
      <c r="L121" t="b">
        <v>1</v>
      </c>
    </row>
    <row r="122" spans="1:12" x14ac:dyDescent="0.3">
      <c r="A122">
        <v>121</v>
      </c>
      <c r="B122" t="s">
        <v>575</v>
      </c>
      <c r="C122">
        <v>54</v>
      </c>
      <c r="D122" t="s">
        <v>94</v>
      </c>
      <c r="E122" t="s">
        <v>503</v>
      </c>
      <c r="F122" t="s">
        <v>539</v>
      </c>
      <c r="G122">
        <v>9</v>
      </c>
      <c r="H122" t="s">
        <v>522</v>
      </c>
      <c r="I122" t="s">
        <v>557</v>
      </c>
      <c r="J122" t="s">
        <v>583</v>
      </c>
      <c r="K122" t="s">
        <v>522</v>
      </c>
      <c r="L122" t="b">
        <v>1</v>
      </c>
    </row>
    <row r="123" spans="1:12" x14ac:dyDescent="0.3">
      <c r="A123">
        <v>122</v>
      </c>
      <c r="B123" t="s">
        <v>601</v>
      </c>
      <c r="C123">
        <v>64</v>
      </c>
      <c r="D123" t="s">
        <v>94</v>
      </c>
      <c r="E123" t="s">
        <v>503</v>
      </c>
      <c r="F123" t="s">
        <v>539</v>
      </c>
      <c r="G123">
        <v>3</v>
      </c>
      <c r="H123" t="s">
        <v>522</v>
      </c>
      <c r="I123" t="s">
        <v>620</v>
      </c>
      <c r="J123" t="s">
        <v>583</v>
      </c>
      <c r="K123" t="s">
        <v>522</v>
      </c>
      <c r="L123" t="b">
        <v>1</v>
      </c>
    </row>
    <row r="124" spans="1:12" x14ac:dyDescent="0.3">
      <c r="A124">
        <v>123</v>
      </c>
      <c r="B124" t="s">
        <v>600</v>
      </c>
      <c r="C124">
        <v>47</v>
      </c>
      <c r="D124" t="s">
        <v>93</v>
      </c>
      <c r="E124" t="s">
        <v>503</v>
      </c>
      <c r="F124" t="s">
        <v>539</v>
      </c>
      <c r="G124">
        <v>8</v>
      </c>
      <c r="H124" t="s">
        <v>522</v>
      </c>
      <c r="I124" t="s">
        <v>512</v>
      </c>
      <c r="J124" t="s">
        <v>583</v>
      </c>
      <c r="K124" t="s">
        <v>522</v>
      </c>
      <c r="L124" t="b">
        <v>1</v>
      </c>
    </row>
    <row r="125" spans="1:12" x14ac:dyDescent="0.3">
      <c r="A125">
        <v>124</v>
      </c>
      <c r="B125" t="s">
        <v>627</v>
      </c>
      <c r="C125">
        <v>37</v>
      </c>
      <c r="D125" t="s">
        <v>94</v>
      </c>
      <c r="E125" t="s">
        <v>503</v>
      </c>
      <c r="F125" t="s">
        <v>539</v>
      </c>
      <c r="G125">
        <v>1</v>
      </c>
      <c r="H125" t="s">
        <v>522</v>
      </c>
      <c r="I125" t="s">
        <v>583</v>
      </c>
      <c r="J125" t="s">
        <v>615</v>
      </c>
      <c r="K125" t="s">
        <v>522</v>
      </c>
      <c r="L125" t="b">
        <v>1</v>
      </c>
    </row>
    <row r="126" spans="1:12" x14ac:dyDescent="0.3">
      <c r="A126">
        <v>125</v>
      </c>
      <c r="B126" t="s">
        <v>628</v>
      </c>
      <c r="C126">
        <v>65</v>
      </c>
      <c r="D126" t="s">
        <v>94</v>
      </c>
      <c r="E126" t="s">
        <v>503</v>
      </c>
      <c r="F126" t="s">
        <v>539</v>
      </c>
      <c r="G126">
        <v>1</v>
      </c>
      <c r="H126" t="s">
        <v>522</v>
      </c>
      <c r="I126" t="s">
        <v>583</v>
      </c>
      <c r="J126" t="s">
        <v>615</v>
      </c>
      <c r="K126" t="s">
        <v>522</v>
      </c>
      <c r="L126" t="b">
        <v>1</v>
      </c>
    </row>
    <row r="127" spans="1:12" x14ac:dyDescent="0.3">
      <c r="A127">
        <v>126</v>
      </c>
      <c r="B127" t="s">
        <v>629</v>
      </c>
      <c r="C127">
        <v>77</v>
      </c>
      <c r="D127" t="s">
        <v>93</v>
      </c>
      <c r="E127" t="s">
        <v>503</v>
      </c>
      <c r="F127" t="s">
        <v>539</v>
      </c>
      <c r="G127">
        <v>1</v>
      </c>
      <c r="H127" t="s">
        <v>522</v>
      </c>
      <c r="I127" t="s">
        <v>583</v>
      </c>
      <c r="J127" t="s">
        <v>615</v>
      </c>
      <c r="K127" t="s">
        <v>522</v>
      </c>
      <c r="L127" t="b">
        <v>1</v>
      </c>
    </row>
    <row r="128" spans="1:12" x14ac:dyDescent="0.3">
      <c r="A128">
        <v>127</v>
      </c>
      <c r="B128" t="s">
        <v>601</v>
      </c>
      <c r="C128">
        <v>64</v>
      </c>
      <c r="D128" t="s">
        <v>94</v>
      </c>
      <c r="E128" t="s">
        <v>503</v>
      </c>
      <c r="F128" t="s">
        <v>539</v>
      </c>
      <c r="G128">
        <v>1</v>
      </c>
      <c r="H128" t="s">
        <v>522</v>
      </c>
      <c r="I128" t="s">
        <v>583</v>
      </c>
      <c r="J128" t="s">
        <v>583</v>
      </c>
      <c r="K128" t="s">
        <v>522</v>
      </c>
      <c r="L128" t="b">
        <v>1</v>
      </c>
    </row>
    <row r="129" spans="1:12" x14ac:dyDescent="0.3">
      <c r="A129">
        <v>128</v>
      </c>
      <c r="B129" t="s">
        <v>630</v>
      </c>
      <c r="C129">
        <v>70</v>
      </c>
      <c r="D129" t="s">
        <v>93</v>
      </c>
      <c r="E129" t="s">
        <v>503</v>
      </c>
      <c r="F129" t="s">
        <v>539</v>
      </c>
      <c r="G129">
        <v>1</v>
      </c>
      <c r="H129" t="s">
        <v>522</v>
      </c>
      <c r="I129" t="s">
        <v>583</v>
      </c>
      <c r="J129" t="s">
        <v>615</v>
      </c>
      <c r="K129" t="s">
        <v>522</v>
      </c>
      <c r="L129" t="b">
        <v>1</v>
      </c>
    </row>
    <row r="130" spans="1:12" x14ac:dyDescent="0.3">
      <c r="A130">
        <v>129</v>
      </c>
      <c r="B130" t="s">
        <v>614</v>
      </c>
      <c r="C130">
        <v>68</v>
      </c>
      <c r="D130" t="s">
        <v>94</v>
      </c>
      <c r="E130" t="s">
        <v>503</v>
      </c>
      <c r="F130" t="s">
        <v>539</v>
      </c>
      <c r="G130" t="s">
        <v>522</v>
      </c>
      <c r="H130" t="s">
        <v>522</v>
      </c>
      <c r="I130" t="s">
        <v>522</v>
      </c>
      <c r="J130" t="s">
        <v>615</v>
      </c>
      <c r="K130" t="s">
        <v>522</v>
      </c>
      <c r="L130" t="b">
        <v>1</v>
      </c>
    </row>
    <row r="131" spans="1:12" x14ac:dyDescent="0.3">
      <c r="A131">
        <v>130</v>
      </c>
      <c r="B131" t="s">
        <v>631</v>
      </c>
      <c r="C131">
        <v>66</v>
      </c>
      <c r="D131" t="s">
        <v>93</v>
      </c>
      <c r="E131" t="s">
        <v>503</v>
      </c>
      <c r="F131" t="s">
        <v>539</v>
      </c>
      <c r="G131" t="s">
        <v>522</v>
      </c>
      <c r="H131" t="s">
        <v>522</v>
      </c>
      <c r="I131" t="s">
        <v>522</v>
      </c>
      <c r="J131" t="s">
        <v>615</v>
      </c>
      <c r="K131" t="s">
        <v>522</v>
      </c>
      <c r="L131" t="b">
        <v>1</v>
      </c>
    </row>
    <row r="132" spans="1:12" x14ac:dyDescent="0.3">
      <c r="A132">
        <v>131</v>
      </c>
      <c r="B132" t="s">
        <v>631</v>
      </c>
      <c r="C132">
        <v>66</v>
      </c>
      <c r="D132" t="s">
        <v>93</v>
      </c>
      <c r="E132" t="s">
        <v>503</v>
      </c>
      <c r="F132" t="s">
        <v>539</v>
      </c>
      <c r="G132">
        <v>5</v>
      </c>
      <c r="H132" t="s">
        <v>522</v>
      </c>
      <c r="I132" t="s">
        <v>542</v>
      </c>
      <c r="J132" t="s">
        <v>615</v>
      </c>
      <c r="K132" t="s">
        <v>522</v>
      </c>
      <c r="L132" t="b">
        <v>1</v>
      </c>
    </row>
    <row r="133" spans="1:12" x14ac:dyDescent="0.3">
      <c r="A133">
        <v>132</v>
      </c>
      <c r="B133" t="s">
        <v>627</v>
      </c>
      <c r="C133">
        <v>37</v>
      </c>
      <c r="D133" t="s">
        <v>94</v>
      </c>
      <c r="E133" t="s">
        <v>503</v>
      </c>
      <c r="F133" t="s">
        <v>539</v>
      </c>
      <c r="G133">
        <v>7</v>
      </c>
      <c r="H133" t="s">
        <v>522</v>
      </c>
      <c r="I133" t="s">
        <v>517</v>
      </c>
      <c r="J133" t="s">
        <v>615</v>
      </c>
      <c r="K133" t="s">
        <v>522</v>
      </c>
      <c r="L133" t="b">
        <v>1</v>
      </c>
    </row>
    <row r="134" spans="1:12" x14ac:dyDescent="0.3">
      <c r="A134">
        <v>133</v>
      </c>
      <c r="B134" t="s">
        <v>632</v>
      </c>
      <c r="C134">
        <v>62</v>
      </c>
      <c r="D134" t="s">
        <v>94</v>
      </c>
      <c r="E134" t="s">
        <v>519</v>
      </c>
      <c r="F134" t="s">
        <v>539</v>
      </c>
      <c r="G134">
        <v>7</v>
      </c>
      <c r="H134" t="s">
        <v>522</v>
      </c>
      <c r="I134" t="s">
        <v>517</v>
      </c>
      <c r="J134" t="s">
        <v>615</v>
      </c>
      <c r="K134" t="s">
        <v>522</v>
      </c>
      <c r="L134" t="b">
        <v>1</v>
      </c>
    </row>
    <row r="135" spans="1:12" x14ac:dyDescent="0.3">
      <c r="A135">
        <v>134</v>
      </c>
      <c r="B135" t="s">
        <v>633</v>
      </c>
      <c r="C135">
        <v>56</v>
      </c>
      <c r="D135" t="s">
        <v>94</v>
      </c>
      <c r="E135" t="s">
        <v>503</v>
      </c>
      <c r="F135" t="s">
        <v>539</v>
      </c>
      <c r="G135">
        <v>8</v>
      </c>
      <c r="H135" t="s">
        <v>522</v>
      </c>
      <c r="I135" t="s">
        <v>561</v>
      </c>
      <c r="J135" t="s">
        <v>615</v>
      </c>
      <c r="K135" t="s">
        <v>522</v>
      </c>
      <c r="L135" t="b">
        <v>1</v>
      </c>
    </row>
    <row r="136" spans="1:12" x14ac:dyDescent="0.3">
      <c r="A136">
        <v>135</v>
      </c>
      <c r="B136" t="s">
        <v>634</v>
      </c>
      <c r="C136">
        <v>40</v>
      </c>
      <c r="D136" t="s">
        <v>93</v>
      </c>
      <c r="E136" t="s">
        <v>503</v>
      </c>
      <c r="F136" t="s">
        <v>539</v>
      </c>
      <c r="G136">
        <v>10</v>
      </c>
      <c r="H136" t="s">
        <v>522</v>
      </c>
      <c r="I136" t="s">
        <v>557</v>
      </c>
      <c r="J136" t="s">
        <v>615</v>
      </c>
      <c r="K136" t="s">
        <v>522</v>
      </c>
      <c r="L136" t="b">
        <v>1</v>
      </c>
    </row>
    <row r="137" spans="1:12" x14ac:dyDescent="0.3">
      <c r="A137">
        <v>136</v>
      </c>
      <c r="B137" t="s">
        <v>664</v>
      </c>
      <c r="C137">
        <v>36</v>
      </c>
      <c r="D137" t="s">
        <v>93</v>
      </c>
      <c r="E137" t="s">
        <v>635</v>
      </c>
      <c r="F137" t="s">
        <v>539</v>
      </c>
      <c r="G137">
        <v>6</v>
      </c>
      <c r="H137" t="s">
        <v>522</v>
      </c>
      <c r="I137" t="s">
        <v>564</v>
      </c>
      <c r="J137" t="s">
        <v>615</v>
      </c>
      <c r="K137" t="s">
        <v>522</v>
      </c>
      <c r="L137" t="b">
        <v>1</v>
      </c>
    </row>
    <row r="138" spans="1:12" x14ac:dyDescent="0.3">
      <c r="A138">
        <v>137</v>
      </c>
      <c r="B138" t="s">
        <v>636</v>
      </c>
      <c r="C138">
        <v>60</v>
      </c>
      <c r="D138" t="s">
        <v>93</v>
      </c>
      <c r="E138" t="s">
        <v>503</v>
      </c>
      <c r="F138" t="s">
        <v>539</v>
      </c>
      <c r="G138">
        <v>1</v>
      </c>
      <c r="H138" t="s">
        <v>522</v>
      </c>
      <c r="I138" t="s">
        <v>583</v>
      </c>
      <c r="J138" t="s">
        <v>615</v>
      </c>
      <c r="K138" t="s">
        <v>522</v>
      </c>
      <c r="L138" t="b">
        <v>1</v>
      </c>
    </row>
    <row r="139" spans="1:12" x14ac:dyDescent="0.3">
      <c r="A139">
        <v>138</v>
      </c>
      <c r="B139" t="s">
        <v>567</v>
      </c>
      <c r="C139">
        <v>26</v>
      </c>
      <c r="D139" t="s">
        <v>93</v>
      </c>
      <c r="E139" t="s">
        <v>503</v>
      </c>
      <c r="F139" t="s">
        <v>474</v>
      </c>
      <c r="G139" t="s">
        <v>522</v>
      </c>
      <c r="H139">
        <v>2</v>
      </c>
      <c r="I139" t="s">
        <v>522</v>
      </c>
      <c r="J139" t="s">
        <v>615</v>
      </c>
      <c r="K139" t="s">
        <v>622</v>
      </c>
      <c r="L139" t="b">
        <v>0</v>
      </c>
    </row>
    <row r="140" spans="1:12" x14ac:dyDescent="0.3">
      <c r="A140">
        <v>139</v>
      </c>
      <c r="B140" t="s">
        <v>637</v>
      </c>
      <c r="C140">
        <v>71</v>
      </c>
      <c r="D140" t="s">
        <v>93</v>
      </c>
      <c r="E140" t="s">
        <v>503</v>
      </c>
      <c r="F140" t="s">
        <v>539</v>
      </c>
      <c r="G140">
        <v>5</v>
      </c>
      <c r="H140" t="s">
        <v>522</v>
      </c>
      <c r="I140" t="s">
        <v>620</v>
      </c>
      <c r="J140" t="s">
        <v>550</v>
      </c>
      <c r="K140" t="s">
        <v>522</v>
      </c>
      <c r="L140" t="b">
        <v>1</v>
      </c>
    </row>
    <row r="141" spans="1:12" x14ac:dyDescent="0.3">
      <c r="A141">
        <v>140</v>
      </c>
      <c r="B141" t="s">
        <v>621</v>
      </c>
      <c r="C141">
        <v>62</v>
      </c>
      <c r="D141" t="s">
        <v>94</v>
      </c>
      <c r="E141" t="s">
        <v>503</v>
      </c>
      <c r="F141" t="s">
        <v>539</v>
      </c>
      <c r="G141">
        <v>9</v>
      </c>
      <c r="H141" t="s">
        <v>522</v>
      </c>
      <c r="I141" t="s">
        <v>561</v>
      </c>
      <c r="J141" t="s">
        <v>550</v>
      </c>
      <c r="K141" t="s">
        <v>522</v>
      </c>
      <c r="L141" t="b">
        <v>1</v>
      </c>
    </row>
    <row r="142" spans="1:12" x14ac:dyDescent="0.3">
      <c r="A142">
        <v>141</v>
      </c>
      <c r="B142" t="s">
        <v>638</v>
      </c>
      <c r="C142">
        <v>69</v>
      </c>
      <c r="D142" t="s">
        <v>93</v>
      </c>
      <c r="E142" t="s">
        <v>503</v>
      </c>
      <c r="F142" t="s">
        <v>539</v>
      </c>
      <c r="G142">
        <v>7</v>
      </c>
      <c r="H142" t="s">
        <v>522</v>
      </c>
      <c r="I142" t="s">
        <v>564</v>
      </c>
      <c r="J142" t="s">
        <v>550</v>
      </c>
      <c r="K142" t="s">
        <v>522</v>
      </c>
      <c r="L142" t="b">
        <v>1</v>
      </c>
    </row>
    <row r="143" spans="1:12" x14ac:dyDescent="0.3">
      <c r="A143">
        <v>142</v>
      </c>
      <c r="B143" t="s">
        <v>567</v>
      </c>
      <c r="C143">
        <v>26</v>
      </c>
      <c r="D143" t="s">
        <v>93</v>
      </c>
      <c r="E143" t="s">
        <v>503</v>
      </c>
      <c r="F143" t="s">
        <v>539</v>
      </c>
      <c r="G143">
        <v>3</v>
      </c>
      <c r="H143" t="s">
        <v>522</v>
      </c>
      <c r="I143" t="s">
        <v>583</v>
      </c>
      <c r="J143" t="s">
        <v>550</v>
      </c>
      <c r="K143" t="s">
        <v>522</v>
      </c>
      <c r="L143" t="b">
        <v>1</v>
      </c>
    </row>
    <row r="144" spans="1:12" x14ac:dyDescent="0.3">
      <c r="A144">
        <v>143</v>
      </c>
      <c r="B144" t="s">
        <v>639</v>
      </c>
      <c r="C144">
        <v>42</v>
      </c>
      <c r="D144" t="s">
        <v>93</v>
      </c>
      <c r="E144" t="s">
        <v>503</v>
      </c>
      <c r="F144" t="s">
        <v>539</v>
      </c>
      <c r="G144">
        <v>3</v>
      </c>
      <c r="H144" t="s">
        <v>522</v>
      </c>
      <c r="I144" t="s">
        <v>583</v>
      </c>
      <c r="J144" t="s">
        <v>550</v>
      </c>
      <c r="K144" t="s">
        <v>522</v>
      </c>
      <c r="L144" t="b">
        <v>1</v>
      </c>
    </row>
    <row r="145" spans="1:12" x14ac:dyDescent="0.3">
      <c r="A145">
        <v>144</v>
      </c>
      <c r="B145" t="s">
        <v>599</v>
      </c>
      <c r="C145">
        <v>58</v>
      </c>
      <c r="D145" t="s">
        <v>94</v>
      </c>
      <c r="E145" t="s">
        <v>503</v>
      </c>
      <c r="F145" t="s">
        <v>539</v>
      </c>
      <c r="G145">
        <v>5</v>
      </c>
      <c r="H145" t="s">
        <v>522</v>
      </c>
      <c r="I145" t="s">
        <v>620</v>
      </c>
      <c r="J145" t="s">
        <v>550</v>
      </c>
      <c r="K145" t="s">
        <v>522</v>
      </c>
      <c r="L145" t="b">
        <v>1</v>
      </c>
    </row>
    <row r="146" spans="1:12" x14ac:dyDescent="0.3">
      <c r="A146">
        <v>145</v>
      </c>
      <c r="B146" t="s">
        <v>640</v>
      </c>
      <c r="C146">
        <v>67</v>
      </c>
      <c r="D146" t="s">
        <v>94</v>
      </c>
      <c r="E146" t="s">
        <v>503</v>
      </c>
      <c r="F146" t="s">
        <v>539</v>
      </c>
      <c r="G146">
        <v>8</v>
      </c>
      <c r="H146" t="s">
        <v>522</v>
      </c>
      <c r="I146" t="s">
        <v>517</v>
      </c>
      <c r="J146" t="s">
        <v>641</v>
      </c>
      <c r="K146" t="s">
        <v>522</v>
      </c>
      <c r="L146" t="b">
        <v>1</v>
      </c>
    </row>
    <row r="147" spans="1:12" x14ac:dyDescent="0.3">
      <c r="A147">
        <v>146</v>
      </c>
      <c r="B147" t="s">
        <v>601</v>
      </c>
      <c r="C147">
        <v>64</v>
      </c>
      <c r="D147" t="s">
        <v>94</v>
      </c>
      <c r="E147" t="s">
        <v>503</v>
      </c>
      <c r="F147" t="s">
        <v>539</v>
      </c>
      <c r="G147">
        <v>4</v>
      </c>
      <c r="H147" t="s">
        <v>522</v>
      </c>
      <c r="I147" t="s">
        <v>573</v>
      </c>
      <c r="J147" t="s">
        <v>641</v>
      </c>
      <c r="K147" t="s">
        <v>522</v>
      </c>
      <c r="L147" t="b">
        <v>1</v>
      </c>
    </row>
    <row r="148" spans="1:12" x14ac:dyDescent="0.3">
      <c r="A148">
        <v>147</v>
      </c>
      <c r="B148" t="s">
        <v>642</v>
      </c>
      <c r="C148">
        <v>64</v>
      </c>
      <c r="D148" t="s">
        <v>93</v>
      </c>
      <c r="E148" t="s">
        <v>503</v>
      </c>
      <c r="F148" t="s">
        <v>539</v>
      </c>
      <c r="G148">
        <v>5</v>
      </c>
      <c r="H148" t="s">
        <v>522</v>
      </c>
      <c r="I148" t="s">
        <v>620</v>
      </c>
      <c r="J148" t="s">
        <v>641</v>
      </c>
      <c r="K148" t="s">
        <v>522</v>
      </c>
      <c r="L148" t="b">
        <v>1</v>
      </c>
    </row>
    <row r="149" spans="1:12" x14ac:dyDescent="0.3">
      <c r="A149">
        <v>148</v>
      </c>
      <c r="B149" t="s">
        <v>643</v>
      </c>
      <c r="C149">
        <v>67</v>
      </c>
      <c r="D149" t="s">
        <v>94</v>
      </c>
      <c r="E149" t="s">
        <v>503</v>
      </c>
      <c r="F149" t="s">
        <v>539</v>
      </c>
      <c r="G149">
        <v>13</v>
      </c>
      <c r="H149" t="s">
        <v>522</v>
      </c>
      <c r="I149" t="s">
        <v>554</v>
      </c>
      <c r="J149" t="s">
        <v>641</v>
      </c>
      <c r="K149" t="s">
        <v>522</v>
      </c>
      <c r="L149" t="b">
        <v>1</v>
      </c>
    </row>
    <row r="150" spans="1:12" x14ac:dyDescent="0.3">
      <c r="A150">
        <v>149</v>
      </c>
      <c r="B150" t="s">
        <v>644</v>
      </c>
      <c r="C150">
        <v>62</v>
      </c>
      <c r="D150" t="s">
        <v>93</v>
      </c>
      <c r="E150" t="s">
        <v>503</v>
      </c>
      <c r="F150" t="s">
        <v>539</v>
      </c>
      <c r="G150">
        <v>14</v>
      </c>
      <c r="H150" t="s">
        <v>522</v>
      </c>
      <c r="I150" t="s">
        <v>495</v>
      </c>
      <c r="J150" t="s">
        <v>641</v>
      </c>
      <c r="K150" t="s">
        <v>522</v>
      </c>
      <c r="L150" t="b">
        <v>1</v>
      </c>
    </row>
    <row r="151" spans="1:12" x14ac:dyDescent="0.3">
      <c r="A151">
        <v>150</v>
      </c>
      <c r="B151" t="s">
        <v>645</v>
      </c>
      <c r="C151">
        <v>53</v>
      </c>
      <c r="D151" t="s">
        <v>94</v>
      </c>
      <c r="E151" t="s">
        <v>503</v>
      </c>
      <c r="F151" t="s">
        <v>539</v>
      </c>
      <c r="G151">
        <v>8</v>
      </c>
      <c r="H151" t="s">
        <v>522</v>
      </c>
      <c r="I151" t="s">
        <v>517</v>
      </c>
      <c r="J151" t="s">
        <v>641</v>
      </c>
      <c r="K151" t="s">
        <v>522</v>
      </c>
      <c r="L151" t="b">
        <v>1</v>
      </c>
    </row>
    <row r="152" spans="1:12" x14ac:dyDescent="0.3">
      <c r="A152">
        <v>151</v>
      </c>
      <c r="B152" t="s">
        <v>646</v>
      </c>
      <c r="C152">
        <v>51</v>
      </c>
      <c r="D152" t="s">
        <v>93</v>
      </c>
      <c r="E152" t="s">
        <v>503</v>
      </c>
      <c r="F152" t="s">
        <v>474</v>
      </c>
      <c r="G152">
        <v>33</v>
      </c>
      <c r="H152">
        <v>0</v>
      </c>
      <c r="I152" t="s">
        <v>492</v>
      </c>
      <c r="J152" t="s">
        <v>641</v>
      </c>
      <c r="K152" t="s">
        <v>641</v>
      </c>
      <c r="L152" t="b">
        <v>1</v>
      </c>
    </row>
    <row r="153" spans="1:12" x14ac:dyDescent="0.3">
      <c r="A153">
        <v>152</v>
      </c>
      <c r="B153" t="s">
        <v>647</v>
      </c>
      <c r="C153">
        <v>65</v>
      </c>
      <c r="D153" t="s">
        <v>93</v>
      </c>
      <c r="E153" t="s">
        <v>519</v>
      </c>
      <c r="F153" t="s">
        <v>539</v>
      </c>
      <c r="G153">
        <v>9</v>
      </c>
      <c r="H153" t="s">
        <v>522</v>
      </c>
      <c r="I153" t="s">
        <v>561</v>
      </c>
      <c r="J153" t="s">
        <v>641</v>
      </c>
      <c r="K153" t="s">
        <v>522</v>
      </c>
      <c r="L153" t="b">
        <v>1</v>
      </c>
    </row>
    <row r="154" spans="1:12" x14ac:dyDescent="0.3">
      <c r="A154">
        <v>153</v>
      </c>
      <c r="B154" t="s">
        <v>648</v>
      </c>
      <c r="C154">
        <v>65</v>
      </c>
      <c r="D154" t="s">
        <v>94</v>
      </c>
      <c r="E154" t="s">
        <v>503</v>
      </c>
      <c r="F154" t="s">
        <v>539</v>
      </c>
      <c r="G154">
        <v>5</v>
      </c>
      <c r="H154" t="s">
        <v>522</v>
      </c>
      <c r="I154" t="s">
        <v>620</v>
      </c>
      <c r="J154" t="s">
        <v>641</v>
      </c>
      <c r="K154" t="s">
        <v>522</v>
      </c>
      <c r="L154" t="b">
        <v>1</v>
      </c>
    </row>
    <row r="155" spans="1:12" x14ac:dyDescent="0.3">
      <c r="A155">
        <v>154</v>
      </c>
      <c r="B155" t="s">
        <v>649</v>
      </c>
      <c r="C155">
        <v>52</v>
      </c>
      <c r="D155" t="s">
        <v>93</v>
      </c>
      <c r="E155" t="s">
        <v>650</v>
      </c>
      <c r="F155" t="s">
        <v>539</v>
      </c>
      <c r="G155" t="s">
        <v>522</v>
      </c>
      <c r="H155" t="s">
        <v>522</v>
      </c>
      <c r="I155" t="s">
        <v>522</v>
      </c>
      <c r="J155" t="s">
        <v>622</v>
      </c>
      <c r="K155" t="s">
        <v>522</v>
      </c>
      <c r="L155" t="b">
        <v>1</v>
      </c>
    </row>
    <row r="156" spans="1:12" x14ac:dyDescent="0.3">
      <c r="A156">
        <v>155</v>
      </c>
      <c r="B156" t="s">
        <v>665</v>
      </c>
      <c r="C156">
        <v>47</v>
      </c>
      <c r="D156" t="s">
        <v>94</v>
      </c>
      <c r="E156" t="s">
        <v>591</v>
      </c>
      <c r="F156" t="s">
        <v>539</v>
      </c>
      <c r="G156" t="s">
        <v>522</v>
      </c>
      <c r="H156" t="s">
        <v>522</v>
      </c>
      <c r="I156" t="s">
        <v>522</v>
      </c>
      <c r="J156" t="s">
        <v>622</v>
      </c>
      <c r="K156" t="s">
        <v>522</v>
      </c>
      <c r="L156" t="b">
        <v>1</v>
      </c>
    </row>
    <row r="157" spans="1:12" x14ac:dyDescent="0.3">
      <c r="A157">
        <v>156</v>
      </c>
      <c r="B157" t="s">
        <v>651</v>
      </c>
      <c r="C157">
        <v>50</v>
      </c>
      <c r="D157" t="s">
        <v>94</v>
      </c>
      <c r="E157" t="s">
        <v>503</v>
      </c>
      <c r="F157" t="s">
        <v>539</v>
      </c>
      <c r="G157" t="s">
        <v>522</v>
      </c>
      <c r="H157" t="s">
        <v>522</v>
      </c>
      <c r="I157" t="s">
        <v>522</v>
      </c>
      <c r="J157" t="s">
        <v>622</v>
      </c>
      <c r="K157" t="s">
        <v>522</v>
      </c>
      <c r="L157" t="b">
        <v>1</v>
      </c>
    </row>
    <row r="158" spans="1:12" x14ac:dyDescent="0.3">
      <c r="A158">
        <v>157</v>
      </c>
      <c r="B158" t="s">
        <v>652</v>
      </c>
      <c r="C158">
        <v>54</v>
      </c>
      <c r="D158" t="s">
        <v>93</v>
      </c>
      <c r="E158" t="s">
        <v>503</v>
      </c>
      <c r="F158" t="s">
        <v>539</v>
      </c>
      <c r="G158" t="s">
        <v>522</v>
      </c>
      <c r="H158" t="s">
        <v>522</v>
      </c>
      <c r="I158" t="s">
        <v>522</v>
      </c>
      <c r="J158" t="s">
        <v>622</v>
      </c>
      <c r="K158" t="s">
        <v>522</v>
      </c>
      <c r="L158" t="b">
        <v>1</v>
      </c>
    </row>
    <row r="159" spans="1:12" x14ac:dyDescent="0.3">
      <c r="A159">
        <v>158</v>
      </c>
      <c r="B159" t="s">
        <v>653</v>
      </c>
      <c r="C159">
        <v>53</v>
      </c>
      <c r="D159" t="s">
        <v>94</v>
      </c>
      <c r="E159" t="s">
        <v>503</v>
      </c>
      <c r="F159" t="s">
        <v>539</v>
      </c>
      <c r="G159" t="s">
        <v>522</v>
      </c>
      <c r="H159" t="s">
        <v>522</v>
      </c>
      <c r="I159" t="s">
        <v>522</v>
      </c>
      <c r="J159" t="s">
        <v>622</v>
      </c>
      <c r="K159" t="s">
        <v>522</v>
      </c>
      <c r="L159" t="b">
        <v>1</v>
      </c>
    </row>
    <row r="160" spans="1:12" x14ac:dyDescent="0.3">
      <c r="A160">
        <v>159</v>
      </c>
      <c r="B160" t="s">
        <v>654</v>
      </c>
      <c r="C160">
        <v>59</v>
      </c>
      <c r="D160" t="s">
        <v>93</v>
      </c>
      <c r="E160" t="s">
        <v>503</v>
      </c>
      <c r="F160" t="s">
        <v>539</v>
      </c>
      <c r="G160" t="s">
        <v>522</v>
      </c>
      <c r="H160" t="s">
        <v>522</v>
      </c>
      <c r="I160" t="s">
        <v>522</v>
      </c>
      <c r="J160" t="s">
        <v>622</v>
      </c>
      <c r="K160" t="s">
        <v>522</v>
      </c>
      <c r="L160" t="b">
        <v>1</v>
      </c>
    </row>
    <row r="161" spans="1:12" x14ac:dyDescent="0.3">
      <c r="A161">
        <v>160</v>
      </c>
      <c r="B161" t="s">
        <v>655</v>
      </c>
      <c r="C161">
        <v>5</v>
      </c>
      <c r="D161" t="s">
        <v>93</v>
      </c>
      <c r="E161" t="s">
        <v>503</v>
      </c>
      <c r="F161" t="s">
        <v>539</v>
      </c>
      <c r="G161" t="s">
        <v>522</v>
      </c>
      <c r="H161" t="s">
        <v>522</v>
      </c>
      <c r="I161" t="s">
        <v>522</v>
      </c>
      <c r="J161" t="s">
        <v>622</v>
      </c>
      <c r="K161" t="s">
        <v>522</v>
      </c>
      <c r="L161" t="b">
        <v>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1118"/>
  <sheetViews>
    <sheetView topLeftCell="A1032" workbookViewId="0">
      <selection activeCell="A1045" sqref="A1045:C1118"/>
    </sheetView>
  </sheetViews>
  <sheetFormatPr defaultRowHeight="14.4" x14ac:dyDescent="0.3"/>
  <cols>
    <col min="2" max="2" width="29" bestFit="1" customWidth="1"/>
  </cols>
  <sheetData>
    <row r="1" spans="1:3" x14ac:dyDescent="0.3">
      <c r="A1" s="1" t="s">
        <v>0</v>
      </c>
      <c r="B1" s="1" t="s">
        <v>160</v>
      </c>
      <c r="C1" s="1" t="s">
        <v>159</v>
      </c>
    </row>
    <row r="2" spans="1:3" x14ac:dyDescent="0.3">
      <c r="A2" s="1">
        <v>19</v>
      </c>
      <c r="B2" s="1" t="s">
        <v>164</v>
      </c>
      <c r="C2" s="1" t="s">
        <v>163</v>
      </c>
    </row>
    <row r="3" spans="1:3" x14ac:dyDescent="0.3">
      <c r="A3" s="1">
        <v>19</v>
      </c>
      <c r="B3" s="1" t="s">
        <v>245</v>
      </c>
      <c r="C3" s="1" t="s">
        <v>161</v>
      </c>
    </row>
    <row r="4" spans="1:3" x14ac:dyDescent="0.3">
      <c r="A4" s="1">
        <v>19</v>
      </c>
      <c r="B4" s="1" t="s">
        <v>196</v>
      </c>
      <c r="C4" s="1" t="s">
        <v>161</v>
      </c>
    </row>
    <row r="5" spans="1:3" x14ac:dyDescent="0.3">
      <c r="A5" s="1">
        <v>20</v>
      </c>
      <c r="B5" s="1" t="s">
        <v>165</v>
      </c>
      <c r="C5" s="1" t="s">
        <v>163</v>
      </c>
    </row>
    <row r="6" spans="1:3" x14ac:dyDescent="0.3">
      <c r="A6" s="1">
        <v>21</v>
      </c>
      <c r="B6" s="1" t="s">
        <v>164</v>
      </c>
      <c r="C6" s="1" t="s">
        <v>163</v>
      </c>
    </row>
    <row r="7" spans="1:3" x14ac:dyDescent="0.3">
      <c r="A7" s="1">
        <v>24</v>
      </c>
      <c r="B7" s="1" t="s">
        <v>166</v>
      </c>
      <c r="C7" s="1" t="s">
        <v>163</v>
      </c>
    </row>
    <row r="8" spans="1:3" x14ac:dyDescent="0.3">
      <c r="A8" s="1">
        <v>24</v>
      </c>
      <c r="B8" s="1" t="s">
        <v>168</v>
      </c>
      <c r="C8" s="1" t="s">
        <v>161</v>
      </c>
    </row>
    <row r="9" spans="1:3" x14ac:dyDescent="0.3">
      <c r="A9" s="1">
        <v>24</v>
      </c>
      <c r="B9" s="1" t="s">
        <v>167</v>
      </c>
      <c r="C9" s="1" t="s">
        <v>162</v>
      </c>
    </row>
    <row r="10" spans="1:3" x14ac:dyDescent="0.3">
      <c r="A10" s="1">
        <v>25</v>
      </c>
      <c r="B10" s="1" t="s">
        <v>166</v>
      </c>
      <c r="C10" s="1" t="s">
        <v>163</v>
      </c>
    </row>
    <row r="11" spans="1:3" x14ac:dyDescent="0.3">
      <c r="A11" s="1">
        <v>25</v>
      </c>
      <c r="B11" s="1" t="s">
        <v>246</v>
      </c>
      <c r="C11" s="1" t="s">
        <v>162</v>
      </c>
    </row>
    <row r="12" spans="1:3" x14ac:dyDescent="0.3">
      <c r="A12" s="1">
        <v>25</v>
      </c>
      <c r="B12" s="1" t="s">
        <v>168</v>
      </c>
      <c r="C12" s="1" t="s">
        <v>161</v>
      </c>
    </row>
    <row r="13" spans="1:3" x14ac:dyDescent="0.3">
      <c r="A13" s="1">
        <v>25</v>
      </c>
      <c r="B13" s="1" t="s">
        <v>278</v>
      </c>
      <c r="C13" s="1" t="s">
        <v>161</v>
      </c>
    </row>
    <row r="14" spans="1:3" x14ac:dyDescent="0.3">
      <c r="A14" s="1">
        <v>29</v>
      </c>
      <c r="B14" s="1" t="s">
        <v>247</v>
      </c>
      <c r="C14" s="1" t="s">
        <v>161</v>
      </c>
    </row>
    <row r="15" spans="1:3" x14ac:dyDescent="0.3">
      <c r="A15" s="1">
        <v>30</v>
      </c>
      <c r="B15" s="1" t="s">
        <v>248</v>
      </c>
      <c r="C15" s="1" t="s">
        <v>161</v>
      </c>
    </row>
    <row r="16" spans="1:3" x14ac:dyDescent="0.3">
      <c r="A16" s="1">
        <v>30</v>
      </c>
      <c r="B16" s="1" t="s">
        <v>249</v>
      </c>
      <c r="C16" s="1" t="s">
        <v>161</v>
      </c>
    </row>
    <row r="17" spans="1:3" x14ac:dyDescent="0.3">
      <c r="A17" s="1">
        <v>30</v>
      </c>
      <c r="B17" s="1" t="s">
        <v>169</v>
      </c>
      <c r="C17" s="1" t="s">
        <v>163</v>
      </c>
    </row>
    <row r="18" spans="1:3" x14ac:dyDescent="0.3">
      <c r="A18" s="1">
        <v>31</v>
      </c>
      <c r="B18" s="1" t="s">
        <v>171</v>
      </c>
      <c r="C18" s="1" t="s">
        <v>1129</v>
      </c>
    </row>
    <row r="19" spans="1:3" x14ac:dyDescent="0.3">
      <c r="A19" s="1">
        <v>31</v>
      </c>
      <c r="B19" s="1" t="s">
        <v>170</v>
      </c>
      <c r="C19" s="1" t="s">
        <v>163</v>
      </c>
    </row>
    <row r="20" spans="1:3" x14ac:dyDescent="0.3">
      <c r="A20" s="1">
        <v>32</v>
      </c>
      <c r="B20" s="1" t="s">
        <v>174</v>
      </c>
      <c r="C20" s="1" t="s">
        <v>161</v>
      </c>
    </row>
    <row r="21" spans="1:3" x14ac:dyDescent="0.3">
      <c r="A21" s="1">
        <v>32</v>
      </c>
      <c r="B21" s="1" t="s">
        <v>172</v>
      </c>
      <c r="C21" s="1" t="s">
        <v>161</v>
      </c>
    </row>
    <row r="22" spans="1:3" x14ac:dyDescent="0.3">
      <c r="A22" s="1">
        <v>32</v>
      </c>
      <c r="B22" s="1" t="s">
        <v>175</v>
      </c>
      <c r="C22" s="1" t="s">
        <v>161</v>
      </c>
    </row>
    <row r="23" spans="1:3" x14ac:dyDescent="0.3">
      <c r="A23" s="1">
        <v>32</v>
      </c>
      <c r="B23" s="1" t="s">
        <v>173</v>
      </c>
      <c r="C23" s="1" t="s">
        <v>162</v>
      </c>
    </row>
    <row r="24" spans="1:3" x14ac:dyDescent="0.3">
      <c r="A24" s="1">
        <v>33</v>
      </c>
      <c r="B24" s="1" t="s">
        <v>171</v>
      </c>
      <c r="C24" s="1" t="s">
        <v>1129</v>
      </c>
    </row>
    <row r="25" spans="1:3" x14ac:dyDescent="0.3">
      <c r="A25" s="1">
        <v>34</v>
      </c>
      <c r="B25" s="1" t="s">
        <v>177</v>
      </c>
      <c r="C25" s="1" t="s">
        <v>176</v>
      </c>
    </row>
    <row r="26" spans="1:3" x14ac:dyDescent="0.3">
      <c r="A26" s="1">
        <v>35</v>
      </c>
      <c r="B26" s="1" t="s">
        <v>250</v>
      </c>
      <c r="C26" s="1" t="s">
        <v>161</v>
      </c>
    </row>
    <row r="27" spans="1:3" x14ac:dyDescent="0.3">
      <c r="A27" s="1">
        <v>35</v>
      </c>
      <c r="B27" s="1" t="s">
        <v>178</v>
      </c>
      <c r="C27" s="1" t="s">
        <v>161</v>
      </c>
    </row>
    <row r="28" spans="1:3" x14ac:dyDescent="0.3">
      <c r="A28" s="1">
        <v>35</v>
      </c>
      <c r="B28" s="1" t="s">
        <v>179</v>
      </c>
      <c r="C28" s="1" t="s">
        <v>163</v>
      </c>
    </row>
    <row r="29" spans="1:3" x14ac:dyDescent="0.3">
      <c r="A29" s="1">
        <v>35</v>
      </c>
      <c r="B29" s="1" t="s">
        <v>180</v>
      </c>
      <c r="C29" s="1" t="s">
        <v>161</v>
      </c>
    </row>
    <row r="30" spans="1:3" x14ac:dyDescent="0.3">
      <c r="A30" s="1">
        <v>36</v>
      </c>
      <c r="B30" s="1" t="s">
        <v>181</v>
      </c>
      <c r="C30" s="1" t="s">
        <v>163</v>
      </c>
    </row>
    <row r="31" spans="1:3" x14ac:dyDescent="0.3">
      <c r="A31" s="1">
        <v>36</v>
      </c>
      <c r="B31" s="1" t="s">
        <v>212</v>
      </c>
      <c r="C31" s="1" t="s">
        <v>161</v>
      </c>
    </row>
    <row r="32" spans="1:3" x14ac:dyDescent="0.3">
      <c r="A32" s="1">
        <v>37</v>
      </c>
      <c r="B32" s="1" t="s">
        <v>182</v>
      </c>
      <c r="C32" s="1" t="s">
        <v>163</v>
      </c>
    </row>
    <row r="33" spans="1:3" x14ac:dyDescent="0.3">
      <c r="A33" s="1">
        <v>37</v>
      </c>
      <c r="B33" s="1" t="s">
        <v>212</v>
      </c>
      <c r="C33" s="1" t="s">
        <v>161</v>
      </c>
    </row>
    <row r="34" spans="1:3" x14ac:dyDescent="0.3">
      <c r="A34" s="1">
        <v>38</v>
      </c>
      <c r="B34" s="1" t="s">
        <v>185</v>
      </c>
      <c r="C34" s="1" t="s">
        <v>161</v>
      </c>
    </row>
    <row r="35" spans="1:3" x14ac:dyDescent="0.3">
      <c r="A35" s="1">
        <v>38</v>
      </c>
      <c r="B35" s="1" t="s">
        <v>187</v>
      </c>
      <c r="C35" s="1" t="s">
        <v>163</v>
      </c>
    </row>
    <row r="36" spans="1:3" x14ac:dyDescent="0.3">
      <c r="A36" s="1">
        <v>38</v>
      </c>
      <c r="B36" s="1" t="s">
        <v>183</v>
      </c>
      <c r="C36" s="1" t="s">
        <v>161</v>
      </c>
    </row>
    <row r="37" spans="1:3" x14ac:dyDescent="0.3">
      <c r="A37" s="1">
        <v>38</v>
      </c>
      <c r="B37" s="1" t="s">
        <v>184</v>
      </c>
      <c r="C37" s="1" t="s">
        <v>161</v>
      </c>
    </row>
    <row r="38" spans="1:3" x14ac:dyDescent="0.3">
      <c r="A38" s="1">
        <v>38</v>
      </c>
      <c r="B38" s="1" t="s">
        <v>186</v>
      </c>
      <c r="C38" s="1" t="s">
        <v>161</v>
      </c>
    </row>
    <row r="39" spans="1:3" x14ac:dyDescent="0.3">
      <c r="A39" s="1">
        <v>39</v>
      </c>
      <c r="B39" s="1" t="s">
        <v>188</v>
      </c>
      <c r="C39" s="1" t="s">
        <v>163</v>
      </c>
    </row>
    <row r="40" spans="1:3" x14ac:dyDescent="0.3">
      <c r="A40" s="1">
        <v>39</v>
      </c>
      <c r="B40" s="1" t="s">
        <v>171</v>
      </c>
      <c r="C40" s="1" t="s">
        <v>1129</v>
      </c>
    </row>
    <row r="41" spans="1:3" x14ac:dyDescent="0.3">
      <c r="A41" s="1">
        <v>40</v>
      </c>
      <c r="B41" s="1" t="s">
        <v>189</v>
      </c>
      <c r="C41" s="1" t="s">
        <v>163</v>
      </c>
    </row>
    <row r="42" spans="1:3" x14ac:dyDescent="0.3">
      <c r="A42" s="1">
        <v>41</v>
      </c>
      <c r="B42" s="1" t="s">
        <v>264</v>
      </c>
      <c r="C42" s="1" t="s">
        <v>161</v>
      </c>
    </row>
    <row r="43" spans="1:3" x14ac:dyDescent="0.3">
      <c r="A43" s="1">
        <v>41</v>
      </c>
      <c r="B43" s="1" t="s">
        <v>251</v>
      </c>
      <c r="C43" s="1" t="s">
        <v>161</v>
      </c>
    </row>
    <row r="44" spans="1:3" x14ac:dyDescent="0.3">
      <c r="A44" s="1">
        <v>41</v>
      </c>
      <c r="B44" s="1" t="s">
        <v>279</v>
      </c>
      <c r="C44" s="1" t="s">
        <v>161</v>
      </c>
    </row>
    <row r="45" spans="1:3" x14ac:dyDescent="0.3">
      <c r="A45" s="1">
        <v>41</v>
      </c>
      <c r="B45" s="1" t="s">
        <v>168</v>
      </c>
      <c r="C45" s="1" t="s">
        <v>161</v>
      </c>
    </row>
    <row r="46" spans="1:3" x14ac:dyDescent="0.3">
      <c r="A46" s="1">
        <v>41</v>
      </c>
      <c r="B46" s="1" t="s">
        <v>196</v>
      </c>
      <c r="C46" s="1" t="s">
        <v>161</v>
      </c>
    </row>
    <row r="47" spans="1:3" x14ac:dyDescent="0.3">
      <c r="A47" s="1">
        <v>41</v>
      </c>
      <c r="B47" s="1" t="s">
        <v>190</v>
      </c>
      <c r="C47" s="1" t="s">
        <v>163</v>
      </c>
    </row>
    <row r="48" spans="1:3" x14ac:dyDescent="0.3">
      <c r="A48" s="1">
        <v>42</v>
      </c>
      <c r="B48" s="1" t="s">
        <v>254</v>
      </c>
      <c r="C48" s="1" t="s">
        <v>163</v>
      </c>
    </row>
    <row r="49" spans="1:3" x14ac:dyDescent="0.3">
      <c r="A49" s="1">
        <v>42</v>
      </c>
      <c r="B49" s="1" t="s">
        <v>191</v>
      </c>
      <c r="C49" s="1" t="s">
        <v>161</v>
      </c>
    </row>
    <row r="50" spans="1:3" x14ac:dyDescent="0.3">
      <c r="A50" s="1">
        <v>42</v>
      </c>
      <c r="B50" s="1" t="s">
        <v>252</v>
      </c>
      <c r="C50" s="1" t="s">
        <v>161</v>
      </c>
    </row>
    <row r="51" spans="1:3" x14ac:dyDescent="0.3">
      <c r="A51" s="1">
        <v>42</v>
      </c>
      <c r="B51" s="1" t="s">
        <v>252</v>
      </c>
      <c r="C51" s="1" t="s">
        <v>161</v>
      </c>
    </row>
    <row r="52" spans="1:3" x14ac:dyDescent="0.3">
      <c r="A52" s="1">
        <v>42</v>
      </c>
      <c r="B52" s="1" t="s">
        <v>253</v>
      </c>
      <c r="C52" s="1" t="s">
        <v>161</v>
      </c>
    </row>
    <row r="53" spans="1:3" x14ac:dyDescent="0.3">
      <c r="A53" s="1">
        <v>43</v>
      </c>
      <c r="B53" s="1" t="s">
        <v>193</v>
      </c>
      <c r="C53" s="1" t="s">
        <v>163</v>
      </c>
    </row>
    <row r="54" spans="1:3" x14ac:dyDescent="0.3">
      <c r="A54" s="1">
        <v>43</v>
      </c>
      <c r="B54" s="1" t="s">
        <v>171</v>
      </c>
      <c r="C54" s="1" t="s">
        <v>1129</v>
      </c>
    </row>
    <row r="55" spans="1:3" x14ac:dyDescent="0.3">
      <c r="A55" s="1">
        <v>43</v>
      </c>
      <c r="B55" s="1" t="s">
        <v>192</v>
      </c>
      <c r="C55" s="1" t="s">
        <v>162</v>
      </c>
    </row>
    <row r="56" spans="1:3" x14ac:dyDescent="0.3">
      <c r="A56" s="1">
        <v>44</v>
      </c>
      <c r="B56" s="1" t="s">
        <v>255</v>
      </c>
      <c r="C56" s="1" t="s">
        <v>162</v>
      </c>
    </row>
    <row r="57" spans="1:3" x14ac:dyDescent="0.3">
      <c r="A57" s="1">
        <v>44</v>
      </c>
      <c r="B57" s="1" t="s">
        <v>194</v>
      </c>
      <c r="C57" s="1" t="s">
        <v>163</v>
      </c>
    </row>
    <row r="58" spans="1:3" x14ac:dyDescent="0.3">
      <c r="A58" s="1">
        <v>44</v>
      </c>
      <c r="B58" s="1" t="s">
        <v>280</v>
      </c>
      <c r="C58" s="1" t="s">
        <v>162</v>
      </c>
    </row>
    <row r="59" spans="1:3" x14ac:dyDescent="0.3">
      <c r="A59" s="1">
        <v>46</v>
      </c>
      <c r="B59" s="1" t="s">
        <v>195</v>
      </c>
      <c r="C59" s="1" t="s">
        <v>1129</v>
      </c>
    </row>
    <row r="60" spans="1:3" x14ac:dyDescent="0.3">
      <c r="A60" s="1">
        <v>46</v>
      </c>
      <c r="B60" s="1" t="s">
        <v>256</v>
      </c>
      <c r="C60" s="1" t="s">
        <v>162</v>
      </c>
    </row>
    <row r="61" spans="1:3" x14ac:dyDescent="0.3">
      <c r="A61" s="1">
        <v>46</v>
      </c>
      <c r="B61" s="1" t="s">
        <v>196</v>
      </c>
      <c r="C61" s="1" t="s">
        <v>161</v>
      </c>
    </row>
    <row r="62" spans="1:3" x14ac:dyDescent="0.3">
      <c r="A62" s="1">
        <v>47</v>
      </c>
      <c r="B62" s="1" t="s">
        <v>197</v>
      </c>
      <c r="C62" s="1" t="s">
        <v>163</v>
      </c>
    </row>
    <row r="63" spans="1:3" x14ac:dyDescent="0.3">
      <c r="A63" s="1">
        <v>48</v>
      </c>
      <c r="B63" s="1" t="s">
        <v>260</v>
      </c>
      <c r="C63" s="1" t="s">
        <v>162</v>
      </c>
    </row>
    <row r="64" spans="1:3" x14ac:dyDescent="0.3">
      <c r="A64" s="1">
        <v>48</v>
      </c>
      <c r="B64" s="1" t="s">
        <v>258</v>
      </c>
      <c r="C64" s="1" t="s">
        <v>161</v>
      </c>
    </row>
    <row r="65" spans="1:3" x14ac:dyDescent="0.3">
      <c r="A65" s="1">
        <v>48</v>
      </c>
      <c r="B65" s="1" t="s">
        <v>259</v>
      </c>
      <c r="C65" s="1" t="s">
        <v>162</v>
      </c>
    </row>
    <row r="66" spans="1:3" x14ac:dyDescent="0.3">
      <c r="A66" s="1">
        <v>48</v>
      </c>
      <c r="B66" s="1" t="s">
        <v>198</v>
      </c>
      <c r="C66" s="1" t="s">
        <v>163</v>
      </c>
    </row>
    <row r="67" spans="1:3" x14ac:dyDescent="0.3">
      <c r="A67" s="1">
        <v>48</v>
      </c>
      <c r="B67" s="1" t="s">
        <v>171</v>
      </c>
      <c r="C67" s="1" t="s">
        <v>1129</v>
      </c>
    </row>
    <row r="68" spans="1:3" x14ac:dyDescent="0.3">
      <c r="A68" s="1">
        <v>48</v>
      </c>
      <c r="B68" s="1" t="s">
        <v>186</v>
      </c>
      <c r="C68" s="1" t="s">
        <v>161</v>
      </c>
    </row>
    <row r="69" spans="1:3" x14ac:dyDescent="0.3">
      <c r="A69" s="1">
        <v>48</v>
      </c>
      <c r="B69" s="1" t="s">
        <v>257</v>
      </c>
      <c r="C69" s="1" t="s">
        <v>161</v>
      </c>
    </row>
    <row r="70" spans="1:3" x14ac:dyDescent="0.3">
      <c r="A70" s="1">
        <v>49</v>
      </c>
      <c r="B70" s="1" t="s">
        <v>260</v>
      </c>
      <c r="C70" s="1" t="s">
        <v>162</v>
      </c>
    </row>
    <row r="71" spans="1:3" x14ac:dyDescent="0.3">
      <c r="A71" s="1">
        <v>49</v>
      </c>
      <c r="B71" s="1" t="s">
        <v>259</v>
      </c>
      <c r="C71" s="1" t="s">
        <v>162</v>
      </c>
    </row>
    <row r="72" spans="1:3" x14ac:dyDescent="0.3">
      <c r="A72" s="1">
        <v>49</v>
      </c>
      <c r="B72" s="1" t="s">
        <v>199</v>
      </c>
      <c r="C72" s="1" t="s">
        <v>163</v>
      </c>
    </row>
    <row r="73" spans="1:3" x14ac:dyDescent="0.3">
      <c r="A73" s="1">
        <v>50</v>
      </c>
      <c r="B73" s="1" t="s">
        <v>261</v>
      </c>
      <c r="C73" s="1" t="s">
        <v>162</v>
      </c>
    </row>
    <row r="74" spans="1:3" x14ac:dyDescent="0.3">
      <c r="A74" s="1">
        <v>50</v>
      </c>
      <c r="B74" s="1" t="s">
        <v>200</v>
      </c>
      <c r="C74" s="1" t="s">
        <v>163</v>
      </c>
    </row>
    <row r="75" spans="1:3" x14ac:dyDescent="0.3">
      <c r="A75" s="1">
        <v>51</v>
      </c>
      <c r="B75" s="1" t="s">
        <v>260</v>
      </c>
      <c r="C75" s="1" t="s">
        <v>162</v>
      </c>
    </row>
    <row r="76" spans="1:3" x14ac:dyDescent="0.3">
      <c r="A76" s="1">
        <v>51</v>
      </c>
      <c r="B76" s="1" t="s">
        <v>259</v>
      </c>
      <c r="C76" s="1" t="s">
        <v>162</v>
      </c>
    </row>
    <row r="77" spans="1:3" x14ac:dyDescent="0.3">
      <c r="A77" s="1">
        <v>51</v>
      </c>
      <c r="B77" s="1" t="s">
        <v>201</v>
      </c>
      <c r="C77" s="1" t="s">
        <v>163</v>
      </c>
    </row>
    <row r="78" spans="1:3" x14ac:dyDescent="0.3">
      <c r="A78" s="1">
        <v>52</v>
      </c>
      <c r="B78" s="1" t="s">
        <v>202</v>
      </c>
      <c r="C78" s="1" t="s">
        <v>163</v>
      </c>
    </row>
    <row r="79" spans="1:3" x14ac:dyDescent="0.3">
      <c r="A79" s="1">
        <v>52</v>
      </c>
      <c r="B79" s="1" t="s">
        <v>196</v>
      </c>
      <c r="C79" s="1" t="s">
        <v>161</v>
      </c>
    </row>
    <row r="80" spans="1:3" x14ac:dyDescent="0.3">
      <c r="A80" s="1">
        <v>53</v>
      </c>
      <c r="B80" s="1" t="s">
        <v>203</v>
      </c>
      <c r="C80" s="1" t="s">
        <v>163</v>
      </c>
    </row>
    <row r="81" spans="1:3" x14ac:dyDescent="0.3">
      <c r="A81" s="1">
        <v>53</v>
      </c>
      <c r="B81" s="1" t="s">
        <v>204</v>
      </c>
      <c r="C81" s="1" t="s">
        <v>162</v>
      </c>
    </row>
    <row r="82" spans="1:3" x14ac:dyDescent="0.3">
      <c r="A82" s="1">
        <v>54</v>
      </c>
      <c r="B82" s="1" t="s">
        <v>259</v>
      </c>
      <c r="C82" s="1" t="s">
        <v>162</v>
      </c>
    </row>
    <row r="83" spans="1:3" x14ac:dyDescent="0.3">
      <c r="A83" s="1">
        <v>54</v>
      </c>
      <c r="B83" s="1" t="s">
        <v>205</v>
      </c>
      <c r="C83" s="1" t="s">
        <v>163</v>
      </c>
    </row>
    <row r="84" spans="1:3" x14ac:dyDescent="0.3">
      <c r="A84" s="1">
        <v>55</v>
      </c>
      <c r="B84" s="1" t="s">
        <v>262</v>
      </c>
      <c r="C84" s="1" t="s">
        <v>161</v>
      </c>
    </row>
    <row r="85" spans="1:3" x14ac:dyDescent="0.3">
      <c r="A85" s="1">
        <v>55</v>
      </c>
      <c r="B85" s="1" t="s">
        <v>200</v>
      </c>
      <c r="C85" s="1" t="s">
        <v>163</v>
      </c>
    </row>
    <row r="86" spans="1:3" x14ac:dyDescent="0.3">
      <c r="A86" s="1">
        <v>55</v>
      </c>
      <c r="B86" s="1" t="s">
        <v>206</v>
      </c>
      <c r="C86" s="1" t="s">
        <v>162</v>
      </c>
    </row>
    <row r="87" spans="1:3" x14ac:dyDescent="0.3">
      <c r="A87" s="1">
        <v>56</v>
      </c>
      <c r="B87" s="1" t="s">
        <v>196</v>
      </c>
      <c r="C87" s="1" t="s">
        <v>161</v>
      </c>
    </row>
    <row r="88" spans="1:3" x14ac:dyDescent="0.3">
      <c r="A88" s="1">
        <v>57</v>
      </c>
      <c r="B88" s="1" t="s">
        <v>82</v>
      </c>
      <c r="C88" s="1" t="s">
        <v>162</v>
      </c>
    </row>
    <row r="89" spans="1:3" x14ac:dyDescent="0.3">
      <c r="A89" s="1">
        <v>57</v>
      </c>
      <c r="B89" s="1" t="s">
        <v>207</v>
      </c>
      <c r="C89" s="1" t="s">
        <v>163</v>
      </c>
    </row>
    <row r="90" spans="1:3" x14ac:dyDescent="0.3">
      <c r="A90" s="1">
        <v>58</v>
      </c>
      <c r="B90" s="1" t="s">
        <v>82</v>
      </c>
      <c r="C90" s="1" t="s">
        <v>162</v>
      </c>
    </row>
    <row r="91" spans="1:3" x14ac:dyDescent="0.3">
      <c r="A91" s="1">
        <v>58</v>
      </c>
      <c r="B91" s="1" t="s">
        <v>208</v>
      </c>
      <c r="C91" s="1" t="s">
        <v>163</v>
      </c>
    </row>
    <row r="92" spans="1:3" x14ac:dyDescent="0.3">
      <c r="A92" s="1">
        <v>59</v>
      </c>
      <c r="B92" s="1" t="s">
        <v>263</v>
      </c>
      <c r="C92" s="1" t="s">
        <v>161</v>
      </c>
    </row>
    <row r="93" spans="1:3" x14ac:dyDescent="0.3">
      <c r="A93" s="1">
        <v>59</v>
      </c>
      <c r="B93" s="1" t="s">
        <v>209</v>
      </c>
      <c r="C93" s="1" t="s">
        <v>161</v>
      </c>
    </row>
    <row r="94" spans="1:3" x14ac:dyDescent="0.3">
      <c r="A94" s="1">
        <v>59</v>
      </c>
      <c r="B94" s="1" t="s">
        <v>210</v>
      </c>
      <c r="C94" s="1" t="s">
        <v>163</v>
      </c>
    </row>
    <row r="95" spans="1:3" x14ac:dyDescent="0.3">
      <c r="A95" s="1">
        <v>60</v>
      </c>
      <c r="B95" s="1" t="s">
        <v>259</v>
      </c>
      <c r="C95" s="1" t="s">
        <v>162</v>
      </c>
    </row>
    <row r="96" spans="1:3" x14ac:dyDescent="0.3">
      <c r="A96" s="1">
        <v>60</v>
      </c>
      <c r="B96" s="1" t="s">
        <v>211</v>
      </c>
      <c r="C96" s="1" t="s">
        <v>163</v>
      </c>
    </row>
    <row r="97" spans="1:3" x14ac:dyDescent="0.3">
      <c r="A97" s="1">
        <v>61</v>
      </c>
      <c r="B97" s="1" t="s">
        <v>265</v>
      </c>
      <c r="C97" s="1" t="s">
        <v>162</v>
      </c>
    </row>
    <row r="98" spans="1:3" x14ac:dyDescent="0.3">
      <c r="A98" s="1">
        <v>61</v>
      </c>
      <c r="B98" s="1" t="s">
        <v>214</v>
      </c>
      <c r="C98" s="1" t="s">
        <v>163</v>
      </c>
    </row>
    <row r="99" spans="1:3" x14ac:dyDescent="0.3">
      <c r="A99" s="1">
        <v>61</v>
      </c>
      <c r="B99" s="1" t="s">
        <v>212</v>
      </c>
      <c r="C99" s="1" t="s">
        <v>161</v>
      </c>
    </row>
    <row r="100" spans="1:3" x14ac:dyDescent="0.3">
      <c r="A100" s="1">
        <v>61</v>
      </c>
      <c r="B100" s="1" t="s">
        <v>213</v>
      </c>
      <c r="C100" s="1" t="s">
        <v>161</v>
      </c>
    </row>
    <row r="101" spans="1:3" x14ac:dyDescent="0.3">
      <c r="A101" s="1">
        <v>62</v>
      </c>
      <c r="B101" s="1" t="s">
        <v>215</v>
      </c>
      <c r="C101" s="1" t="s">
        <v>163</v>
      </c>
    </row>
    <row r="102" spans="1:3" x14ac:dyDescent="0.3">
      <c r="A102" s="1">
        <v>63</v>
      </c>
      <c r="B102" s="1" t="s">
        <v>266</v>
      </c>
      <c r="C102" s="1" t="s">
        <v>161</v>
      </c>
    </row>
    <row r="103" spans="1:3" x14ac:dyDescent="0.3">
      <c r="A103" s="1">
        <v>63</v>
      </c>
      <c r="B103" s="1" t="s">
        <v>217</v>
      </c>
      <c r="C103" s="1" t="s">
        <v>163</v>
      </c>
    </row>
    <row r="104" spans="1:3" x14ac:dyDescent="0.3">
      <c r="A104" s="1">
        <v>63</v>
      </c>
      <c r="B104" s="1" t="s">
        <v>216</v>
      </c>
      <c r="C104" s="1" t="s">
        <v>162</v>
      </c>
    </row>
    <row r="105" spans="1:3" x14ac:dyDescent="0.3">
      <c r="A105" s="1">
        <v>64</v>
      </c>
      <c r="B105" s="1" t="s">
        <v>218</v>
      </c>
      <c r="C105" s="1" t="s">
        <v>163</v>
      </c>
    </row>
    <row r="106" spans="1:3" x14ac:dyDescent="0.3">
      <c r="A106" s="1">
        <v>65</v>
      </c>
      <c r="B106" s="1" t="s">
        <v>262</v>
      </c>
      <c r="C106" s="1" t="s">
        <v>161</v>
      </c>
    </row>
    <row r="107" spans="1:3" x14ac:dyDescent="0.3">
      <c r="A107" s="1">
        <v>65</v>
      </c>
      <c r="B107" s="1" t="s">
        <v>200</v>
      </c>
      <c r="C107" s="1" t="s">
        <v>163</v>
      </c>
    </row>
    <row r="108" spans="1:3" x14ac:dyDescent="0.3">
      <c r="A108" s="1">
        <v>66</v>
      </c>
      <c r="B108" s="1" t="s">
        <v>267</v>
      </c>
      <c r="C108" s="1" t="s">
        <v>161</v>
      </c>
    </row>
    <row r="109" spans="1:3" x14ac:dyDescent="0.3">
      <c r="A109" s="1">
        <v>66</v>
      </c>
      <c r="B109" s="1" t="s">
        <v>82</v>
      </c>
      <c r="C109" s="1" t="s">
        <v>162</v>
      </c>
    </row>
    <row r="110" spans="1:3" x14ac:dyDescent="0.3">
      <c r="A110" s="1">
        <v>66</v>
      </c>
      <c r="B110" s="1" t="s">
        <v>200</v>
      </c>
      <c r="C110" s="1" t="s">
        <v>163</v>
      </c>
    </row>
    <row r="111" spans="1:3" x14ac:dyDescent="0.3">
      <c r="A111" s="1">
        <v>67</v>
      </c>
      <c r="B111" s="1" t="s">
        <v>260</v>
      </c>
      <c r="C111" s="1" t="s">
        <v>161</v>
      </c>
    </row>
    <row r="112" spans="1:3" x14ac:dyDescent="0.3">
      <c r="A112" s="1">
        <v>67</v>
      </c>
      <c r="B112" s="1" t="s">
        <v>214</v>
      </c>
      <c r="C112" s="1" t="s">
        <v>163</v>
      </c>
    </row>
    <row r="113" spans="1:3" x14ac:dyDescent="0.3">
      <c r="A113" s="1">
        <v>67</v>
      </c>
      <c r="B113" s="1" t="s">
        <v>204</v>
      </c>
      <c r="C113" s="1" t="s">
        <v>161</v>
      </c>
    </row>
    <row r="114" spans="1:3" x14ac:dyDescent="0.3">
      <c r="A114" s="1">
        <v>67</v>
      </c>
      <c r="B114" s="1" t="s">
        <v>212</v>
      </c>
      <c r="C114" s="1" t="s">
        <v>161</v>
      </c>
    </row>
    <row r="115" spans="1:3" x14ac:dyDescent="0.3">
      <c r="A115" s="1">
        <v>68</v>
      </c>
      <c r="B115" s="1" t="s">
        <v>268</v>
      </c>
      <c r="C115" s="1" t="s">
        <v>161</v>
      </c>
    </row>
    <row r="116" spans="1:3" x14ac:dyDescent="0.3">
      <c r="A116" s="1">
        <v>68</v>
      </c>
      <c r="B116" s="1" t="s">
        <v>200</v>
      </c>
      <c r="C116" s="1" t="s">
        <v>163</v>
      </c>
    </row>
    <row r="117" spans="1:3" x14ac:dyDescent="0.3">
      <c r="A117" s="1">
        <v>70</v>
      </c>
      <c r="B117" s="1" t="s">
        <v>269</v>
      </c>
      <c r="C117" s="1" t="s">
        <v>162</v>
      </c>
    </row>
    <row r="118" spans="1:3" x14ac:dyDescent="0.3">
      <c r="A118" s="1">
        <v>70</v>
      </c>
      <c r="B118" s="1" t="s">
        <v>267</v>
      </c>
      <c r="C118" s="1" t="s">
        <v>161</v>
      </c>
    </row>
    <row r="119" spans="1:3" x14ac:dyDescent="0.3">
      <c r="A119" s="1">
        <v>70</v>
      </c>
      <c r="B119" s="1" t="s">
        <v>200</v>
      </c>
      <c r="C119" s="1" t="s">
        <v>163</v>
      </c>
    </row>
    <row r="120" spans="1:3" x14ac:dyDescent="0.3">
      <c r="A120" s="1">
        <v>71</v>
      </c>
      <c r="B120" s="1" t="s">
        <v>281</v>
      </c>
      <c r="C120" s="1" t="s">
        <v>161</v>
      </c>
    </row>
    <row r="121" spans="1:3" x14ac:dyDescent="0.3">
      <c r="A121" s="1">
        <v>71</v>
      </c>
      <c r="B121" s="1" t="s">
        <v>220</v>
      </c>
      <c r="C121" s="1" t="s">
        <v>162</v>
      </c>
    </row>
    <row r="122" spans="1:3" x14ac:dyDescent="0.3">
      <c r="A122" s="1">
        <v>71</v>
      </c>
      <c r="B122" s="1" t="s">
        <v>221</v>
      </c>
      <c r="C122" s="1" t="s">
        <v>163</v>
      </c>
    </row>
    <row r="123" spans="1:3" x14ac:dyDescent="0.3">
      <c r="A123" s="1">
        <v>71</v>
      </c>
      <c r="B123" s="1" t="s">
        <v>219</v>
      </c>
      <c r="C123" s="1" t="s">
        <v>161</v>
      </c>
    </row>
    <row r="124" spans="1:3" x14ac:dyDescent="0.3">
      <c r="A124" s="1">
        <v>72</v>
      </c>
      <c r="B124" s="1" t="s">
        <v>270</v>
      </c>
      <c r="C124" s="1" t="s">
        <v>161</v>
      </c>
    </row>
    <row r="125" spans="1:3" x14ac:dyDescent="0.3">
      <c r="A125" s="1">
        <v>72</v>
      </c>
      <c r="B125" s="1" t="s">
        <v>222</v>
      </c>
      <c r="C125" s="1" t="s">
        <v>163</v>
      </c>
    </row>
    <row r="126" spans="1:3" x14ac:dyDescent="0.3">
      <c r="A126" s="1">
        <v>72</v>
      </c>
      <c r="B126" s="1" t="s">
        <v>271</v>
      </c>
      <c r="C126" s="1" t="s">
        <v>162</v>
      </c>
    </row>
    <row r="127" spans="1:3" x14ac:dyDescent="0.3">
      <c r="A127" s="1">
        <v>73</v>
      </c>
      <c r="B127" s="1" t="s">
        <v>259</v>
      </c>
      <c r="C127" s="1" t="s">
        <v>161</v>
      </c>
    </row>
    <row r="128" spans="1:3" x14ac:dyDescent="0.3">
      <c r="A128" s="1">
        <v>73</v>
      </c>
      <c r="B128" s="1" t="s">
        <v>224</v>
      </c>
      <c r="C128" s="1" t="s">
        <v>163</v>
      </c>
    </row>
    <row r="129" spans="1:3" x14ac:dyDescent="0.3">
      <c r="A129" s="1">
        <v>73</v>
      </c>
      <c r="B129" s="1" t="s">
        <v>223</v>
      </c>
      <c r="C129" s="1" t="s">
        <v>162</v>
      </c>
    </row>
    <row r="130" spans="1:3" x14ac:dyDescent="0.3">
      <c r="A130" s="1">
        <v>74</v>
      </c>
      <c r="B130" s="1" t="s">
        <v>272</v>
      </c>
      <c r="C130" s="1" t="s">
        <v>162</v>
      </c>
    </row>
    <row r="131" spans="1:3" x14ac:dyDescent="0.3">
      <c r="A131" s="1">
        <v>74</v>
      </c>
      <c r="B131" s="1" t="s">
        <v>225</v>
      </c>
      <c r="C131" s="1" t="s">
        <v>163</v>
      </c>
    </row>
    <row r="132" spans="1:3" x14ac:dyDescent="0.3">
      <c r="A132" s="1">
        <v>77</v>
      </c>
      <c r="B132" s="1" t="s">
        <v>226</v>
      </c>
      <c r="C132" s="1" t="s">
        <v>163</v>
      </c>
    </row>
    <row r="133" spans="1:3" x14ac:dyDescent="0.3">
      <c r="A133" s="1">
        <v>77</v>
      </c>
      <c r="B133" s="1" t="s">
        <v>196</v>
      </c>
      <c r="C133" s="1" t="s">
        <v>161</v>
      </c>
    </row>
    <row r="134" spans="1:3" x14ac:dyDescent="0.3">
      <c r="A134" s="1">
        <v>78</v>
      </c>
      <c r="B134" s="1" t="s">
        <v>228</v>
      </c>
      <c r="C134" s="1" t="s">
        <v>163</v>
      </c>
    </row>
    <row r="135" spans="1:3" x14ac:dyDescent="0.3">
      <c r="A135" s="1">
        <v>78</v>
      </c>
      <c r="B135" s="1" t="s">
        <v>227</v>
      </c>
      <c r="C135" s="1" t="s">
        <v>162</v>
      </c>
    </row>
    <row r="136" spans="1:3" x14ac:dyDescent="0.3">
      <c r="A136" s="1">
        <v>79</v>
      </c>
      <c r="B136" s="1" t="s">
        <v>273</v>
      </c>
      <c r="C136" s="1" t="s">
        <v>162</v>
      </c>
    </row>
    <row r="137" spans="1:3" x14ac:dyDescent="0.3">
      <c r="A137" s="1">
        <v>79</v>
      </c>
      <c r="B137" s="1" t="s">
        <v>222</v>
      </c>
      <c r="C137" s="1" t="s">
        <v>163</v>
      </c>
    </row>
    <row r="138" spans="1:3" x14ac:dyDescent="0.3">
      <c r="A138" s="1">
        <v>80</v>
      </c>
      <c r="B138" s="1" t="s">
        <v>229</v>
      </c>
      <c r="C138" s="1" t="s">
        <v>163</v>
      </c>
    </row>
    <row r="139" spans="1:3" x14ac:dyDescent="0.3">
      <c r="A139" s="1">
        <v>80</v>
      </c>
      <c r="B139" s="1" t="s">
        <v>138</v>
      </c>
      <c r="C139" s="1" t="s">
        <v>162</v>
      </c>
    </row>
    <row r="140" spans="1:3" x14ac:dyDescent="0.3">
      <c r="A140" s="1">
        <v>81</v>
      </c>
      <c r="B140" s="1" t="s">
        <v>230</v>
      </c>
      <c r="C140" s="1" t="s">
        <v>163</v>
      </c>
    </row>
    <row r="141" spans="1:3" x14ac:dyDescent="0.3">
      <c r="A141" s="1">
        <v>82</v>
      </c>
      <c r="B141" s="1" t="s">
        <v>231</v>
      </c>
      <c r="C141" s="1" t="s">
        <v>161</v>
      </c>
    </row>
    <row r="142" spans="1:3" x14ac:dyDescent="0.3">
      <c r="A142" s="1">
        <v>82</v>
      </c>
      <c r="B142" s="1" t="s">
        <v>232</v>
      </c>
      <c r="C142" s="1" t="s">
        <v>163</v>
      </c>
    </row>
    <row r="143" spans="1:3" x14ac:dyDescent="0.3">
      <c r="A143" s="1">
        <v>83</v>
      </c>
      <c r="B143" s="1" t="s">
        <v>274</v>
      </c>
      <c r="C143" s="1" t="s">
        <v>162</v>
      </c>
    </row>
    <row r="144" spans="1:3" x14ac:dyDescent="0.3">
      <c r="A144" s="1">
        <v>83</v>
      </c>
      <c r="B144" s="1" t="s">
        <v>171</v>
      </c>
      <c r="C144" s="1" t="s">
        <v>1129</v>
      </c>
    </row>
    <row r="145" spans="1:3" x14ac:dyDescent="0.3">
      <c r="A145" s="1">
        <v>83</v>
      </c>
      <c r="B145" s="1" t="s">
        <v>233</v>
      </c>
      <c r="C145" s="1" t="s">
        <v>163</v>
      </c>
    </row>
    <row r="146" spans="1:3" x14ac:dyDescent="0.3">
      <c r="A146" s="1">
        <v>84</v>
      </c>
      <c r="B146" s="1" t="s">
        <v>275</v>
      </c>
      <c r="C146" s="1" t="s">
        <v>162</v>
      </c>
    </row>
    <row r="147" spans="1:3" x14ac:dyDescent="0.3">
      <c r="A147" s="1">
        <v>84</v>
      </c>
      <c r="B147" s="1" t="s">
        <v>235</v>
      </c>
      <c r="C147" s="1" t="s">
        <v>163</v>
      </c>
    </row>
    <row r="148" spans="1:3" x14ac:dyDescent="0.3">
      <c r="A148" s="1">
        <v>84</v>
      </c>
      <c r="B148" s="1" t="s">
        <v>234</v>
      </c>
      <c r="C148" s="1" t="s">
        <v>161</v>
      </c>
    </row>
    <row r="149" spans="1:3" x14ac:dyDescent="0.3">
      <c r="A149" s="1">
        <v>85</v>
      </c>
      <c r="B149" s="1" t="s">
        <v>237</v>
      </c>
      <c r="C149" s="1" t="s">
        <v>161</v>
      </c>
    </row>
    <row r="150" spans="1:3" x14ac:dyDescent="0.3">
      <c r="A150" s="1">
        <v>85</v>
      </c>
      <c r="B150" s="1" t="s">
        <v>238</v>
      </c>
      <c r="C150" s="1" t="s">
        <v>163</v>
      </c>
    </row>
    <row r="151" spans="1:3" x14ac:dyDescent="0.3">
      <c r="A151" s="1">
        <v>85</v>
      </c>
      <c r="B151" s="1" t="s">
        <v>236</v>
      </c>
      <c r="C151" s="1" t="s">
        <v>161</v>
      </c>
    </row>
    <row r="152" spans="1:3" x14ac:dyDescent="0.3">
      <c r="A152" s="1">
        <v>86</v>
      </c>
      <c r="B152" s="1" t="s">
        <v>239</v>
      </c>
      <c r="C152" s="1" t="s">
        <v>163</v>
      </c>
    </row>
    <row r="153" spans="1:3" x14ac:dyDescent="0.3">
      <c r="A153" s="1">
        <v>86</v>
      </c>
      <c r="B153" s="1" t="s">
        <v>241</v>
      </c>
      <c r="C153" s="1" t="s">
        <v>240</v>
      </c>
    </row>
    <row r="154" spans="1:3" x14ac:dyDescent="0.3">
      <c r="A154" s="1">
        <v>88</v>
      </c>
      <c r="B154" s="1" t="s">
        <v>242</v>
      </c>
      <c r="C154" s="1" t="s">
        <v>163</v>
      </c>
    </row>
    <row r="155" spans="1:3" x14ac:dyDescent="0.3">
      <c r="A155" s="1">
        <v>89</v>
      </c>
      <c r="B155" s="1" t="s">
        <v>276</v>
      </c>
      <c r="C155" s="1" t="s">
        <v>161</v>
      </c>
    </row>
    <row r="156" spans="1:3" x14ac:dyDescent="0.3">
      <c r="A156" s="1">
        <v>89</v>
      </c>
      <c r="B156" s="1" t="s">
        <v>277</v>
      </c>
      <c r="C156" s="1" t="s">
        <v>162</v>
      </c>
    </row>
    <row r="157" spans="1:3" x14ac:dyDescent="0.3">
      <c r="A157" s="1">
        <v>89</v>
      </c>
      <c r="B157" s="1" t="s">
        <v>243</v>
      </c>
      <c r="C157" s="1" t="s">
        <v>163</v>
      </c>
    </row>
    <row r="158" spans="1:3" x14ac:dyDescent="0.3">
      <c r="A158" s="1">
        <v>90</v>
      </c>
      <c r="B158" s="1" t="s">
        <v>244</v>
      </c>
      <c r="C158" s="1" t="s">
        <v>163</v>
      </c>
    </row>
    <row r="159" spans="1:3" x14ac:dyDescent="0.3">
      <c r="A159" s="6">
        <v>91</v>
      </c>
      <c r="B159" s="6" t="s">
        <v>284</v>
      </c>
      <c r="C159" s="6" t="s">
        <v>163</v>
      </c>
    </row>
    <row r="160" spans="1:3" x14ac:dyDescent="0.3">
      <c r="A160" s="6">
        <v>92</v>
      </c>
      <c r="B160" s="1" t="s">
        <v>243</v>
      </c>
      <c r="C160" s="6" t="s">
        <v>163</v>
      </c>
    </row>
    <row r="161" spans="1:3" x14ac:dyDescent="0.3">
      <c r="A161" s="6">
        <v>93</v>
      </c>
      <c r="B161" s="1" t="s">
        <v>294</v>
      </c>
      <c r="C161" s="6" t="s">
        <v>162</v>
      </c>
    </row>
    <row r="162" spans="1:3" x14ac:dyDescent="0.3">
      <c r="A162" s="6">
        <v>93</v>
      </c>
      <c r="B162" s="1" t="s">
        <v>181</v>
      </c>
      <c r="C162" s="6" t="s">
        <v>163</v>
      </c>
    </row>
    <row r="163" spans="1:3" x14ac:dyDescent="0.3">
      <c r="A163" s="6">
        <v>94</v>
      </c>
      <c r="B163" s="1" t="s">
        <v>287</v>
      </c>
      <c r="C163" s="6" t="s">
        <v>163</v>
      </c>
    </row>
    <row r="164" spans="1:3" x14ac:dyDescent="0.3">
      <c r="A164" s="1">
        <v>95</v>
      </c>
      <c r="B164" s="1" t="s">
        <v>299</v>
      </c>
      <c r="C164" s="1" t="s">
        <v>161</v>
      </c>
    </row>
    <row r="165" spans="1:3" x14ac:dyDescent="0.3">
      <c r="A165" s="6">
        <v>95</v>
      </c>
      <c r="B165" s="1" t="s">
        <v>294</v>
      </c>
      <c r="C165" s="6" t="s">
        <v>162</v>
      </c>
    </row>
    <row r="166" spans="1:3" x14ac:dyDescent="0.3">
      <c r="A166" s="1">
        <v>95</v>
      </c>
      <c r="B166" s="1" t="s">
        <v>301</v>
      </c>
      <c r="C166" s="1" t="s">
        <v>161</v>
      </c>
    </row>
    <row r="167" spans="1:3" x14ac:dyDescent="0.3">
      <c r="A167" s="1">
        <v>95</v>
      </c>
      <c r="B167" s="1" t="s">
        <v>298</v>
      </c>
      <c r="C167" s="1" t="s">
        <v>161</v>
      </c>
    </row>
    <row r="168" spans="1:3" x14ac:dyDescent="0.3">
      <c r="A168" s="1">
        <v>95</v>
      </c>
      <c r="B168" s="1" t="s">
        <v>300</v>
      </c>
      <c r="C168" s="1" t="s">
        <v>161</v>
      </c>
    </row>
    <row r="169" spans="1:3" x14ac:dyDescent="0.3">
      <c r="A169" s="1">
        <v>95</v>
      </c>
      <c r="B169" s="1" t="s">
        <v>313</v>
      </c>
      <c r="C169" s="1" t="s">
        <v>163</v>
      </c>
    </row>
    <row r="170" spans="1:3" x14ac:dyDescent="0.3">
      <c r="A170" s="1">
        <v>96</v>
      </c>
      <c r="B170" s="1" t="s">
        <v>304</v>
      </c>
      <c r="C170" s="1" t="s">
        <v>163</v>
      </c>
    </row>
    <row r="171" spans="1:3" x14ac:dyDescent="0.3">
      <c r="A171" s="1">
        <v>96</v>
      </c>
      <c r="B171" s="1" t="s">
        <v>303</v>
      </c>
      <c r="C171" s="1" t="s">
        <v>240</v>
      </c>
    </row>
    <row r="172" spans="1:3" x14ac:dyDescent="0.3">
      <c r="A172" s="6">
        <v>97</v>
      </c>
      <c r="B172" s="1" t="s">
        <v>294</v>
      </c>
      <c r="C172" s="6" t="s">
        <v>162</v>
      </c>
    </row>
    <row r="173" spans="1:3" x14ac:dyDescent="0.3">
      <c r="A173" s="6">
        <v>97</v>
      </c>
      <c r="B173" s="1" t="s">
        <v>295</v>
      </c>
      <c r="C173" s="6" t="s">
        <v>161</v>
      </c>
    </row>
    <row r="174" spans="1:3" x14ac:dyDescent="0.3">
      <c r="A174" s="1">
        <v>97</v>
      </c>
      <c r="B174" s="1" t="s">
        <v>295</v>
      </c>
      <c r="C174" s="1" t="s">
        <v>161</v>
      </c>
    </row>
    <row r="175" spans="1:3" x14ac:dyDescent="0.3">
      <c r="A175" s="1">
        <v>97</v>
      </c>
      <c r="B175" s="1" t="s">
        <v>310</v>
      </c>
      <c r="C175" s="1" t="s">
        <v>163</v>
      </c>
    </row>
    <row r="176" spans="1:3" x14ac:dyDescent="0.3">
      <c r="A176" s="6">
        <v>97</v>
      </c>
      <c r="B176" s="1" t="s">
        <v>296</v>
      </c>
      <c r="C176" s="6" t="s">
        <v>163</v>
      </c>
    </row>
    <row r="177" spans="1:3" x14ac:dyDescent="0.3">
      <c r="A177" s="6">
        <v>98</v>
      </c>
      <c r="B177" s="1" t="s">
        <v>294</v>
      </c>
      <c r="C177" s="6" t="s">
        <v>162</v>
      </c>
    </row>
    <row r="178" spans="1:3" x14ac:dyDescent="0.3">
      <c r="A178" s="1">
        <v>98</v>
      </c>
      <c r="B178" s="1" t="s">
        <v>311</v>
      </c>
      <c r="C178" s="1" t="s">
        <v>163</v>
      </c>
    </row>
    <row r="179" spans="1:3" x14ac:dyDescent="0.3">
      <c r="A179" s="1">
        <v>99</v>
      </c>
      <c r="B179" s="1" t="s">
        <v>218</v>
      </c>
      <c r="C179" s="1" t="s">
        <v>163</v>
      </c>
    </row>
    <row r="180" spans="1:3" x14ac:dyDescent="0.3">
      <c r="A180" s="1">
        <v>99</v>
      </c>
      <c r="B180" s="1" t="s">
        <v>213</v>
      </c>
      <c r="C180" s="1" t="s">
        <v>161</v>
      </c>
    </row>
    <row r="181" spans="1:3" x14ac:dyDescent="0.3">
      <c r="A181" s="1">
        <v>100</v>
      </c>
      <c r="B181" s="1" t="s">
        <v>312</v>
      </c>
      <c r="C181" s="1" t="s">
        <v>163</v>
      </c>
    </row>
    <row r="182" spans="1:3" x14ac:dyDescent="0.3">
      <c r="A182" s="1">
        <v>101</v>
      </c>
      <c r="B182" s="1" t="s">
        <v>322</v>
      </c>
      <c r="C182" s="1" t="s">
        <v>162</v>
      </c>
    </row>
    <row r="183" spans="1:3" x14ac:dyDescent="0.3">
      <c r="A183" s="1">
        <v>101</v>
      </c>
      <c r="B183" s="1" t="s">
        <v>321</v>
      </c>
      <c r="C183" s="1" t="s">
        <v>1129</v>
      </c>
    </row>
    <row r="184" spans="1:3" x14ac:dyDescent="0.3">
      <c r="A184" s="1">
        <v>101</v>
      </c>
      <c r="B184" s="1" t="s">
        <v>324</v>
      </c>
      <c r="C184" s="1" t="s">
        <v>323</v>
      </c>
    </row>
    <row r="185" spans="1:3" x14ac:dyDescent="0.3">
      <c r="A185" s="1">
        <v>102</v>
      </c>
      <c r="B185" s="1" t="s">
        <v>324</v>
      </c>
      <c r="C185" s="1" t="s">
        <v>163</v>
      </c>
    </row>
    <row r="186" spans="1:3" x14ac:dyDescent="0.3">
      <c r="A186" s="1">
        <v>103</v>
      </c>
      <c r="B186" s="1" t="s">
        <v>322</v>
      </c>
      <c r="C186" s="1" t="s">
        <v>162</v>
      </c>
    </row>
    <row r="187" spans="1:3" x14ac:dyDescent="0.3">
      <c r="A187" s="1">
        <v>103</v>
      </c>
      <c r="B187" s="1" t="s">
        <v>325</v>
      </c>
      <c r="C187" s="1" t="s">
        <v>1129</v>
      </c>
    </row>
    <row r="188" spans="1:3" x14ac:dyDescent="0.3">
      <c r="A188" s="1">
        <v>103</v>
      </c>
      <c r="B188" s="1" t="s">
        <v>181</v>
      </c>
      <c r="C188" s="1" t="s">
        <v>163</v>
      </c>
    </row>
    <row r="189" spans="1:3" x14ac:dyDescent="0.3">
      <c r="A189" s="1">
        <v>104</v>
      </c>
      <c r="B189" s="1" t="s">
        <v>325</v>
      </c>
      <c r="C189" s="1" t="s">
        <v>1129</v>
      </c>
    </row>
    <row r="190" spans="1:3" x14ac:dyDescent="0.3">
      <c r="A190" s="1">
        <v>104</v>
      </c>
      <c r="B190" s="1" t="s">
        <v>181</v>
      </c>
      <c r="C190" s="1" t="s">
        <v>163</v>
      </c>
    </row>
    <row r="191" spans="1:3" x14ac:dyDescent="0.3">
      <c r="A191" s="1">
        <v>105</v>
      </c>
      <c r="B191" s="1" t="s">
        <v>300</v>
      </c>
      <c r="C191" s="1" t="s">
        <v>161</v>
      </c>
    </row>
    <row r="192" spans="1:3" x14ac:dyDescent="0.3">
      <c r="A192" s="1">
        <v>105</v>
      </c>
      <c r="B192" s="1" t="s">
        <v>326</v>
      </c>
      <c r="C192" s="1" t="s">
        <v>163</v>
      </c>
    </row>
    <row r="193" spans="1:3" x14ac:dyDescent="0.3">
      <c r="A193" s="1">
        <v>106</v>
      </c>
      <c r="B193" s="1" t="s">
        <v>294</v>
      </c>
      <c r="C193" s="1" t="s">
        <v>162</v>
      </c>
    </row>
    <row r="194" spans="1:3" x14ac:dyDescent="0.3">
      <c r="A194" s="1">
        <v>106</v>
      </c>
      <c r="B194" s="1" t="s">
        <v>331</v>
      </c>
      <c r="C194" s="1" t="s">
        <v>163</v>
      </c>
    </row>
    <row r="195" spans="1:3" x14ac:dyDescent="0.3">
      <c r="A195" s="1">
        <v>107</v>
      </c>
      <c r="B195" s="1" t="s">
        <v>201</v>
      </c>
      <c r="C195" s="1" t="s">
        <v>163</v>
      </c>
    </row>
    <row r="196" spans="1:3" x14ac:dyDescent="0.3">
      <c r="A196" s="1">
        <v>107</v>
      </c>
      <c r="B196" s="1" t="s">
        <v>332</v>
      </c>
      <c r="C196" s="1" t="s">
        <v>1129</v>
      </c>
    </row>
    <row r="197" spans="1:3" x14ac:dyDescent="0.3">
      <c r="A197" s="1">
        <v>108</v>
      </c>
      <c r="B197" s="1" t="s">
        <v>324</v>
      </c>
      <c r="C197" s="1" t="s">
        <v>163</v>
      </c>
    </row>
    <row r="198" spans="1:3" x14ac:dyDescent="0.3">
      <c r="A198" s="1">
        <v>109</v>
      </c>
      <c r="B198" s="1" t="s">
        <v>336</v>
      </c>
      <c r="C198" s="1" t="s">
        <v>162</v>
      </c>
    </row>
    <row r="199" spans="1:3" x14ac:dyDescent="0.3">
      <c r="A199" s="1">
        <v>109</v>
      </c>
      <c r="B199" s="1" t="s">
        <v>337</v>
      </c>
      <c r="C199" s="1" t="s">
        <v>163</v>
      </c>
    </row>
    <row r="200" spans="1:3" x14ac:dyDescent="0.3">
      <c r="A200" s="1">
        <v>110</v>
      </c>
      <c r="B200" s="1" t="s">
        <v>341</v>
      </c>
      <c r="C200" s="1" t="s">
        <v>163</v>
      </c>
    </row>
    <row r="201" spans="1:3" x14ac:dyDescent="0.3">
      <c r="A201" s="1">
        <v>111</v>
      </c>
      <c r="B201" s="1" t="s">
        <v>344</v>
      </c>
      <c r="C201" s="1" t="s">
        <v>163</v>
      </c>
    </row>
    <row r="202" spans="1:3" x14ac:dyDescent="0.3">
      <c r="A202" s="1">
        <v>111</v>
      </c>
      <c r="B202" s="1" t="s">
        <v>343</v>
      </c>
      <c r="C202" s="1" t="s">
        <v>161</v>
      </c>
    </row>
    <row r="203" spans="1:3" x14ac:dyDescent="0.3">
      <c r="A203" s="1">
        <v>111</v>
      </c>
      <c r="B203" s="1" t="s">
        <v>342</v>
      </c>
      <c r="C203" s="1" t="s">
        <v>161</v>
      </c>
    </row>
    <row r="204" spans="1:3" x14ac:dyDescent="0.3">
      <c r="A204" s="1">
        <v>112</v>
      </c>
      <c r="B204" s="1" t="s">
        <v>345</v>
      </c>
      <c r="C204" s="1" t="s">
        <v>162</v>
      </c>
    </row>
    <row r="205" spans="1:3" x14ac:dyDescent="0.3">
      <c r="A205" s="1">
        <v>112</v>
      </c>
      <c r="B205" s="1" t="s">
        <v>353</v>
      </c>
      <c r="C205" s="1" t="s">
        <v>161</v>
      </c>
    </row>
    <row r="206" spans="1:3" x14ac:dyDescent="0.3">
      <c r="A206" s="1">
        <v>113</v>
      </c>
      <c r="B206" s="1" t="s">
        <v>354</v>
      </c>
      <c r="C206" s="1" t="s">
        <v>1129</v>
      </c>
    </row>
    <row r="207" spans="1:3" x14ac:dyDescent="0.3">
      <c r="A207" s="1">
        <v>113</v>
      </c>
      <c r="B207" s="1" t="s">
        <v>357</v>
      </c>
      <c r="C207" s="1" t="s">
        <v>161</v>
      </c>
    </row>
    <row r="208" spans="1:3" x14ac:dyDescent="0.3">
      <c r="A208" s="1">
        <v>113</v>
      </c>
      <c r="B208" s="1" t="s">
        <v>358</v>
      </c>
      <c r="C208" s="1" t="s">
        <v>163</v>
      </c>
    </row>
    <row r="209" spans="1:3" x14ac:dyDescent="0.3">
      <c r="A209" s="1">
        <v>113</v>
      </c>
      <c r="B209" s="1" t="s">
        <v>355</v>
      </c>
      <c r="C209" s="1" t="s">
        <v>1129</v>
      </c>
    </row>
    <row r="210" spans="1:3" x14ac:dyDescent="0.3">
      <c r="A210" s="1">
        <v>113</v>
      </c>
      <c r="B210" s="1" t="s">
        <v>356</v>
      </c>
      <c r="C210" s="1" t="s">
        <v>1129</v>
      </c>
    </row>
    <row r="211" spans="1:3" x14ac:dyDescent="0.3">
      <c r="A211" s="1">
        <v>114</v>
      </c>
      <c r="B211" s="1" t="s">
        <v>359</v>
      </c>
      <c r="C211" s="1" t="s">
        <v>163</v>
      </c>
    </row>
    <row r="212" spans="1:3" x14ac:dyDescent="0.3">
      <c r="A212" s="1">
        <v>116</v>
      </c>
      <c r="B212" s="1" t="s">
        <v>218</v>
      </c>
      <c r="C212" s="1" t="s">
        <v>163</v>
      </c>
    </row>
    <row r="213" spans="1:3" x14ac:dyDescent="0.3">
      <c r="A213" s="1">
        <v>117</v>
      </c>
      <c r="B213" s="1" t="s">
        <v>372</v>
      </c>
      <c r="C213" s="1" t="s">
        <v>161</v>
      </c>
    </row>
    <row r="214" spans="1:3" x14ac:dyDescent="0.3">
      <c r="A214" s="1">
        <v>117</v>
      </c>
      <c r="B214" s="1" t="s">
        <v>374</v>
      </c>
      <c r="C214" s="1" t="s">
        <v>161</v>
      </c>
    </row>
    <row r="215" spans="1:3" x14ac:dyDescent="0.3">
      <c r="A215" s="1">
        <v>117</v>
      </c>
      <c r="B215" s="1" t="s">
        <v>375</v>
      </c>
      <c r="C215" s="1" t="s">
        <v>161</v>
      </c>
    </row>
    <row r="216" spans="1:3" x14ac:dyDescent="0.3">
      <c r="A216" s="1">
        <v>117</v>
      </c>
      <c r="B216" s="1" t="s">
        <v>373</v>
      </c>
      <c r="C216" s="1" t="s">
        <v>161</v>
      </c>
    </row>
    <row r="217" spans="1:3" x14ac:dyDescent="0.3">
      <c r="A217" s="1">
        <v>117</v>
      </c>
      <c r="B217" s="1" t="s">
        <v>171</v>
      </c>
      <c r="C217" s="1" t="s">
        <v>1129</v>
      </c>
    </row>
    <row r="218" spans="1:3" x14ac:dyDescent="0.3">
      <c r="A218" s="1">
        <v>117</v>
      </c>
      <c r="B218" s="1" t="s">
        <v>360</v>
      </c>
      <c r="C218" s="1" t="s">
        <v>1129</v>
      </c>
    </row>
    <row r="219" spans="1:3" x14ac:dyDescent="0.3">
      <c r="A219" s="1">
        <v>117</v>
      </c>
      <c r="B219" s="1" t="s">
        <v>207</v>
      </c>
      <c r="C219" s="1" t="s">
        <v>163</v>
      </c>
    </row>
    <row r="220" spans="1:3" x14ac:dyDescent="0.3">
      <c r="A220" s="1">
        <v>118</v>
      </c>
      <c r="B220" s="1" t="s">
        <v>376</v>
      </c>
      <c r="C220" s="1" t="s">
        <v>161</v>
      </c>
    </row>
    <row r="221" spans="1:3" x14ac:dyDescent="0.3">
      <c r="A221" s="1">
        <v>118</v>
      </c>
      <c r="B221" s="1" t="s">
        <v>359</v>
      </c>
      <c r="C221" s="1" t="s">
        <v>163</v>
      </c>
    </row>
    <row r="222" spans="1:3" x14ac:dyDescent="0.3">
      <c r="A222" s="1">
        <v>119</v>
      </c>
      <c r="B222" s="1" t="s">
        <v>378</v>
      </c>
      <c r="C222" s="1" t="s">
        <v>162</v>
      </c>
    </row>
    <row r="223" spans="1:3" x14ac:dyDescent="0.3">
      <c r="A223" s="1">
        <v>119</v>
      </c>
      <c r="B223" s="1" t="s">
        <v>377</v>
      </c>
      <c r="C223" s="1" t="s">
        <v>163</v>
      </c>
    </row>
    <row r="224" spans="1:3" x14ac:dyDescent="0.3">
      <c r="A224" s="1">
        <v>120</v>
      </c>
      <c r="B224" s="1" t="s">
        <v>379</v>
      </c>
      <c r="C224" s="1" t="s">
        <v>161</v>
      </c>
    </row>
    <row r="225" spans="1:3" x14ac:dyDescent="0.3">
      <c r="A225" s="1">
        <v>120</v>
      </c>
      <c r="B225" s="1" t="s">
        <v>380</v>
      </c>
      <c r="C225" s="1" t="s">
        <v>163</v>
      </c>
    </row>
    <row r="226" spans="1:3" x14ac:dyDescent="0.3">
      <c r="A226" s="1">
        <v>121</v>
      </c>
      <c r="B226" s="1" t="s">
        <v>381</v>
      </c>
      <c r="C226" s="1" t="s">
        <v>163</v>
      </c>
    </row>
    <row r="227" spans="1:3" x14ac:dyDescent="0.3">
      <c r="A227" s="1">
        <v>122</v>
      </c>
      <c r="B227" s="1" t="s">
        <v>383</v>
      </c>
      <c r="C227" s="1" t="s">
        <v>161</v>
      </c>
    </row>
    <row r="228" spans="1:3" x14ac:dyDescent="0.3">
      <c r="A228" s="1">
        <v>122</v>
      </c>
      <c r="B228" s="1" t="s">
        <v>382</v>
      </c>
      <c r="C228" s="1" t="s">
        <v>161</v>
      </c>
    </row>
    <row r="229" spans="1:3" x14ac:dyDescent="0.3">
      <c r="A229" s="1">
        <v>122</v>
      </c>
      <c r="B229" s="1" t="s">
        <v>384</v>
      </c>
      <c r="C229" s="1" t="s">
        <v>163</v>
      </c>
    </row>
    <row r="230" spans="1:3" x14ac:dyDescent="0.3">
      <c r="A230" s="1">
        <v>123</v>
      </c>
      <c r="B230" s="1" t="s">
        <v>193</v>
      </c>
      <c r="C230" s="1" t="s">
        <v>163</v>
      </c>
    </row>
    <row r="231" spans="1:3" x14ac:dyDescent="0.3">
      <c r="A231" s="1">
        <v>123</v>
      </c>
      <c r="B231" s="1" t="s">
        <v>354</v>
      </c>
      <c r="C231" s="1" t="s">
        <v>1129</v>
      </c>
    </row>
    <row r="232" spans="1:3" x14ac:dyDescent="0.3">
      <c r="A232" s="1">
        <v>123</v>
      </c>
      <c r="B232" s="1" t="s">
        <v>386</v>
      </c>
      <c r="C232" s="1" t="s">
        <v>162</v>
      </c>
    </row>
    <row r="233" spans="1:3" x14ac:dyDescent="0.3">
      <c r="A233" s="1">
        <v>123</v>
      </c>
      <c r="B233" s="1" t="s">
        <v>385</v>
      </c>
      <c r="C233" s="1" t="s">
        <v>1129</v>
      </c>
    </row>
    <row r="234" spans="1:3" x14ac:dyDescent="0.3">
      <c r="A234" s="1">
        <v>124</v>
      </c>
      <c r="B234" s="1" t="s">
        <v>412</v>
      </c>
      <c r="C234" s="1" t="s">
        <v>163</v>
      </c>
    </row>
    <row r="235" spans="1:3" x14ac:dyDescent="0.3">
      <c r="A235" s="1">
        <v>124</v>
      </c>
      <c r="B235" s="1" t="s">
        <v>387</v>
      </c>
      <c r="C235" s="1" t="s">
        <v>1129</v>
      </c>
    </row>
    <row r="236" spans="1:3" x14ac:dyDescent="0.3">
      <c r="A236" s="1">
        <v>124</v>
      </c>
      <c r="B236" s="1" t="s">
        <v>196</v>
      </c>
      <c r="C236" s="1" t="s">
        <v>161</v>
      </c>
    </row>
    <row r="237" spans="1:3" x14ac:dyDescent="0.3">
      <c r="A237" s="1">
        <v>125</v>
      </c>
      <c r="B237" s="1" t="s">
        <v>413</v>
      </c>
      <c r="C237" s="1" t="s">
        <v>163</v>
      </c>
    </row>
    <row r="238" spans="1:3" x14ac:dyDescent="0.3">
      <c r="A238" s="1">
        <v>126</v>
      </c>
      <c r="B238" s="1" t="s">
        <v>414</v>
      </c>
      <c r="C238" s="1" t="s">
        <v>163</v>
      </c>
    </row>
    <row r="239" spans="1:3" x14ac:dyDescent="0.3">
      <c r="A239" s="1">
        <v>127</v>
      </c>
      <c r="B239" s="1" t="s">
        <v>415</v>
      </c>
      <c r="C239" s="1" t="s">
        <v>163</v>
      </c>
    </row>
    <row r="240" spans="1:3" x14ac:dyDescent="0.3">
      <c r="A240" s="1">
        <v>127</v>
      </c>
      <c r="B240" s="1" t="s">
        <v>196</v>
      </c>
      <c r="C240" s="1" t="s">
        <v>161</v>
      </c>
    </row>
    <row r="241" spans="1:3" x14ac:dyDescent="0.3">
      <c r="A241" s="1">
        <v>128</v>
      </c>
      <c r="B241" s="1" t="s">
        <v>413</v>
      </c>
      <c r="C241" s="1" t="s">
        <v>163</v>
      </c>
    </row>
    <row r="242" spans="1:3" x14ac:dyDescent="0.3">
      <c r="A242" s="1">
        <v>129</v>
      </c>
      <c r="B242" s="1" t="s">
        <v>417</v>
      </c>
      <c r="C242" s="1" t="s">
        <v>162</v>
      </c>
    </row>
    <row r="243" spans="1:3" x14ac:dyDescent="0.3">
      <c r="A243" s="1">
        <v>129</v>
      </c>
      <c r="B243" s="1" t="s">
        <v>416</v>
      </c>
      <c r="C243" s="1" t="s">
        <v>161</v>
      </c>
    </row>
    <row r="244" spans="1:3" x14ac:dyDescent="0.3">
      <c r="A244" s="1">
        <v>129</v>
      </c>
      <c r="B244" s="1" t="s">
        <v>418</v>
      </c>
      <c r="C244" s="1" t="s">
        <v>163</v>
      </c>
    </row>
    <row r="245" spans="1:3" x14ac:dyDescent="0.3">
      <c r="A245" s="1">
        <v>129</v>
      </c>
      <c r="B245" s="1" t="s">
        <v>213</v>
      </c>
      <c r="C245" s="1" t="s">
        <v>161</v>
      </c>
    </row>
    <row r="246" spans="1:3" x14ac:dyDescent="0.3">
      <c r="A246" s="1">
        <v>130</v>
      </c>
      <c r="B246" s="1" t="s">
        <v>419</v>
      </c>
      <c r="C246" s="1" t="s">
        <v>161</v>
      </c>
    </row>
    <row r="247" spans="1:3" x14ac:dyDescent="0.3">
      <c r="A247" s="1">
        <v>130</v>
      </c>
      <c r="B247" s="1" t="s">
        <v>417</v>
      </c>
      <c r="C247" s="1" t="s">
        <v>162</v>
      </c>
    </row>
    <row r="248" spans="1:3" x14ac:dyDescent="0.3">
      <c r="A248" s="1">
        <v>130</v>
      </c>
      <c r="B248" s="1" t="s">
        <v>418</v>
      </c>
      <c r="C248" s="1" t="s">
        <v>163</v>
      </c>
    </row>
    <row r="249" spans="1:3" x14ac:dyDescent="0.3">
      <c r="A249" s="1">
        <v>131</v>
      </c>
      <c r="B249" s="1" t="s">
        <v>421</v>
      </c>
      <c r="C249" s="1" t="s">
        <v>161</v>
      </c>
    </row>
    <row r="250" spans="1:3" x14ac:dyDescent="0.3">
      <c r="A250" s="1">
        <v>131</v>
      </c>
      <c r="B250" s="1" t="s">
        <v>420</v>
      </c>
      <c r="C250" s="1" t="s">
        <v>162</v>
      </c>
    </row>
    <row r="251" spans="1:3" x14ac:dyDescent="0.3">
      <c r="A251" s="1">
        <v>131</v>
      </c>
      <c r="B251" s="1" t="s">
        <v>422</v>
      </c>
      <c r="C251" s="1" t="s">
        <v>163</v>
      </c>
    </row>
    <row r="252" spans="1:3" x14ac:dyDescent="0.3">
      <c r="A252" s="1">
        <v>132</v>
      </c>
      <c r="B252" s="1" t="s">
        <v>424</v>
      </c>
      <c r="C252" s="1" t="s">
        <v>161</v>
      </c>
    </row>
    <row r="253" spans="1:3" x14ac:dyDescent="0.3">
      <c r="A253" s="1">
        <v>132</v>
      </c>
      <c r="B253" s="1" t="s">
        <v>423</v>
      </c>
      <c r="C253" s="1" t="s">
        <v>1129</v>
      </c>
    </row>
    <row r="254" spans="1:3" x14ac:dyDescent="0.3">
      <c r="A254" s="1">
        <v>132</v>
      </c>
      <c r="B254" s="1" t="s">
        <v>425</v>
      </c>
      <c r="C254" s="1" t="s">
        <v>163</v>
      </c>
    </row>
    <row r="255" spans="1:3" x14ac:dyDescent="0.3">
      <c r="A255" s="1">
        <v>133</v>
      </c>
      <c r="B255" s="1" t="s">
        <v>311</v>
      </c>
      <c r="C255" s="1" t="s">
        <v>163</v>
      </c>
    </row>
    <row r="256" spans="1:3" x14ac:dyDescent="0.3">
      <c r="A256" s="1">
        <v>133</v>
      </c>
      <c r="B256" s="1" t="s">
        <v>213</v>
      </c>
      <c r="C256" s="1" t="s">
        <v>161</v>
      </c>
    </row>
    <row r="257" spans="1:3" x14ac:dyDescent="0.3">
      <c r="A257" s="1">
        <v>134</v>
      </c>
      <c r="B257" s="1" t="s">
        <v>418</v>
      </c>
      <c r="C257" s="1" t="s">
        <v>163</v>
      </c>
    </row>
    <row r="258" spans="1:3" x14ac:dyDescent="0.3">
      <c r="A258" s="1">
        <v>135</v>
      </c>
      <c r="B258" s="1" t="s">
        <v>426</v>
      </c>
      <c r="C258" s="1" t="s">
        <v>162</v>
      </c>
    </row>
    <row r="259" spans="1:3" x14ac:dyDescent="0.3">
      <c r="A259" s="1">
        <v>135</v>
      </c>
      <c r="B259" s="1" t="s">
        <v>427</v>
      </c>
      <c r="C259" s="1" t="s">
        <v>163</v>
      </c>
    </row>
    <row r="260" spans="1:3" x14ac:dyDescent="0.3">
      <c r="A260" s="1">
        <v>136</v>
      </c>
      <c r="B260" s="1" t="s">
        <v>428</v>
      </c>
      <c r="C260" s="1" t="s">
        <v>1129</v>
      </c>
    </row>
    <row r="261" spans="1:3" x14ac:dyDescent="0.3">
      <c r="A261" s="1">
        <v>136</v>
      </c>
      <c r="B261" s="1" t="s">
        <v>429</v>
      </c>
      <c r="C261" s="1" t="s">
        <v>161</v>
      </c>
    </row>
    <row r="262" spans="1:3" x14ac:dyDescent="0.3">
      <c r="A262" s="1">
        <v>136</v>
      </c>
      <c r="B262" s="1" t="s">
        <v>215</v>
      </c>
      <c r="C262" s="1" t="s">
        <v>163</v>
      </c>
    </row>
    <row r="263" spans="1:3" x14ac:dyDescent="0.3">
      <c r="A263" s="1">
        <v>136</v>
      </c>
      <c r="B263" s="1" t="s">
        <v>937</v>
      </c>
      <c r="C263" s="1" t="s">
        <v>1129</v>
      </c>
    </row>
    <row r="264" spans="1:3" x14ac:dyDescent="0.3">
      <c r="A264" s="1">
        <v>137</v>
      </c>
      <c r="B264" s="1" t="s">
        <v>232</v>
      </c>
      <c r="C264" s="1" t="s">
        <v>163</v>
      </c>
    </row>
    <row r="265" spans="1:3" x14ac:dyDescent="0.3">
      <c r="A265" s="1">
        <v>138</v>
      </c>
      <c r="B265" s="1" t="s">
        <v>430</v>
      </c>
      <c r="C265" s="1" t="s">
        <v>161</v>
      </c>
    </row>
    <row r="266" spans="1:3" x14ac:dyDescent="0.3">
      <c r="A266" s="1">
        <v>138</v>
      </c>
      <c r="B266" s="1" t="s">
        <v>233</v>
      </c>
      <c r="C266" s="1" t="s">
        <v>163</v>
      </c>
    </row>
    <row r="267" spans="1:3" x14ac:dyDescent="0.3">
      <c r="A267" s="1">
        <v>139</v>
      </c>
      <c r="B267" s="1" t="s">
        <v>218</v>
      </c>
      <c r="C267" s="1" t="s">
        <v>163</v>
      </c>
    </row>
    <row r="268" spans="1:3" x14ac:dyDescent="0.3">
      <c r="A268" s="1">
        <v>140</v>
      </c>
      <c r="B268" s="1" t="s">
        <v>431</v>
      </c>
      <c r="C268" s="1" t="s">
        <v>162</v>
      </c>
    </row>
    <row r="269" spans="1:3" x14ac:dyDescent="0.3">
      <c r="A269" s="1">
        <v>140</v>
      </c>
      <c r="B269" s="1" t="s">
        <v>218</v>
      </c>
      <c r="C269" s="1" t="s">
        <v>163</v>
      </c>
    </row>
    <row r="270" spans="1:3" x14ac:dyDescent="0.3">
      <c r="A270" s="1">
        <v>141</v>
      </c>
      <c r="B270" s="1" t="s">
        <v>432</v>
      </c>
      <c r="C270" s="1" t="s">
        <v>162</v>
      </c>
    </row>
    <row r="271" spans="1:3" x14ac:dyDescent="0.3">
      <c r="A271" s="1">
        <v>141</v>
      </c>
      <c r="B271" s="1" t="s">
        <v>214</v>
      </c>
      <c r="C271" s="1" t="s">
        <v>163</v>
      </c>
    </row>
    <row r="272" spans="1:3" x14ac:dyDescent="0.3">
      <c r="A272" s="1">
        <v>142</v>
      </c>
      <c r="B272" s="1" t="s">
        <v>434</v>
      </c>
      <c r="C272" s="1" t="s">
        <v>161</v>
      </c>
    </row>
    <row r="273" spans="1:3" x14ac:dyDescent="0.3">
      <c r="A273" s="1">
        <v>142</v>
      </c>
      <c r="B273" s="1" t="s">
        <v>433</v>
      </c>
      <c r="C273" s="1" t="s">
        <v>162</v>
      </c>
    </row>
    <row r="274" spans="1:3" x14ac:dyDescent="0.3">
      <c r="A274" s="1">
        <v>142</v>
      </c>
      <c r="B274" s="1" t="s">
        <v>218</v>
      </c>
      <c r="C274" s="1" t="s">
        <v>163</v>
      </c>
    </row>
    <row r="275" spans="1:3" x14ac:dyDescent="0.3">
      <c r="A275" s="1">
        <v>143</v>
      </c>
      <c r="B275" s="1" t="s">
        <v>425</v>
      </c>
      <c r="C275" s="1" t="s">
        <v>163</v>
      </c>
    </row>
    <row r="276" spans="1:3" x14ac:dyDescent="0.3">
      <c r="A276" s="1">
        <v>143</v>
      </c>
      <c r="B276" s="1" t="s">
        <v>435</v>
      </c>
      <c r="C276" s="1" t="s">
        <v>1129</v>
      </c>
    </row>
    <row r="277" spans="1:3" x14ac:dyDescent="0.3">
      <c r="A277" s="1">
        <v>144</v>
      </c>
      <c r="B277" s="1" t="s">
        <v>436</v>
      </c>
      <c r="C277" s="1" t="s">
        <v>162</v>
      </c>
    </row>
    <row r="278" spans="1:3" x14ac:dyDescent="0.3">
      <c r="A278" s="1">
        <v>145</v>
      </c>
      <c r="B278" s="1" t="s">
        <v>448</v>
      </c>
      <c r="C278" s="1" t="s">
        <v>161</v>
      </c>
    </row>
    <row r="279" spans="1:3" x14ac:dyDescent="0.3">
      <c r="A279" s="1">
        <v>145</v>
      </c>
      <c r="B279" s="1" t="s">
        <v>449</v>
      </c>
      <c r="C279" s="1" t="s">
        <v>163</v>
      </c>
    </row>
    <row r="280" spans="1:3" x14ac:dyDescent="0.3">
      <c r="A280" s="1">
        <v>146</v>
      </c>
      <c r="B280" s="1" t="s">
        <v>450</v>
      </c>
      <c r="C280" s="1" t="s">
        <v>163</v>
      </c>
    </row>
    <row r="281" spans="1:3" x14ac:dyDescent="0.3">
      <c r="A281" s="1">
        <v>147</v>
      </c>
      <c r="B281" s="1" t="s">
        <v>437</v>
      </c>
      <c r="C281" s="1" t="s">
        <v>1129</v>
      </c>
    </row>
    <row r="282" spans="1:3" x14ac:dyDescent="0.3">
      <c r="A282" s="1">
        <v>147</v>
      </c>
      <c r="B282" s="1" t="s">
        <v>452</v>
      </c>
      <c r="C282" s="1" t="s">
        <v>163</v>
      </c>
    </row>
    <row r="283" spans="1:3" x14ac:dyDescent="0.3">
      <c r="A283" s="1">
        <v>147</v>
      </c>
      <c r="B283" s="1" t="s">
        <v>451</v>
      </c>
      <c r="C283" s="1" t="s">
        <v>161</v>
      </c>
    </row>
    <row r="284" spans="1:3" x14ac:dyDescent="0.3">
      <c r="A284" s="1">
        <v>148</v>
      </c>
      <c r="B284" s="1" t="s">
        <v>453</v>
      </c>
      <c r="C284" s="1" t="s">
        <v>161</v>
      </c>
    </row>
    <row r="285" spans="1:3" x14ac:dyDescent="0.3">
      <c r="A285" s="1">
        <v>148</v>
      </c>
      <c r="B285" s="1" t="s">
        <v>437</v>
      </c>
      <c r="C285" s="1" t="s">
        <v>1129</v>
      </c>
    </row>
    <row r="286" spans="1:3" x14ac:dyDescent="0.3">
      <c r="A286" s="1">
        <v>148</v>
      </c>
      <c r="B286" s="1" t="s">
        <v>454</v>
      </c>
      <c r="C286" s="1" t="s">
        <v>163</v>
      </c>
    </row>
    <row r="287" spans="1:3" x14ac:dyDescent="0.3">
      <c r="A287" s="1">
        <v>149</v>
      </c>
      <c r="B287" s="1" t="s">
        <v>455</v>
      </c>
      <c r="C287" s="1" t="s">
        <v>161</v>
      </c>
    </row>
    <row r="288" spans="1:3" x14ac:dyDescent="0.3">
      <c r="A288" s="1">
        <v>149</v>
      </c>
      <c r="B288" s="1" t="s">
        <v>182</v>
      </c>
      <c r="C288" s="1" t="s">
        <v>163</v>
      </c>
    </row>
    <row r="289" spans="1:3" x14ac:dyDescent="0.3">
      <c r="A289" s="1">
        <v>150</v>
      </c>
      <c r="B289" s="1" t="s">
        <v>214</v>
      </c>
      <c r="C289" s="1" t="s">
        <v>163</v>
      </c>
    </row>
    <row r="290" spans="1:3" x14ac:dyDescent="0.3">
      <c r="A290" s="1">
        <v>150</v>
      </c>
      <c r="B290" s="1" t="s">
        <v>456</v>
      </c>
      <c r="C290" s="1" t="s">
        <v>161</v>
      </c>
    </row>
    <row r="291" spans="1:3" x14ac:dyDescent="0.3">
      <c r="A291" s="1">
        <v>151</v>
      </c>
      <c r="B291" s="1" t="s">
        <v>200</v>
      </c>
      <c r="C291" s="1" t="s">
        <v>161</v>
      </c>
    </row>
    <row r="292" spans="1:3" x14ac:dyDescent="0.3">
      <c r="A292" s="1">
        <v>151</v>
      </c>
      <c r="B292" s="1" t="s">
        <v>236</v>
      </c>
      <c r="C292" s="1" t="s">
        <v>161</v>
      </c>
    </row>
    <row r="293" spans="1:3" x14ac:dyDescent="0.3">
      <c r="A293" s="1">
        <v>151</v>
      </c>
      <c r="B293" s="1" t="s">
        <v>457</v>
      </c>
      <c r="C293" s="1" t="s">
        <v>163</v>
      </c>
    </row>
    <row r="294" spans="1:3" x14ac:dyDescent="0.3">
      <c r="A294" s="1">
        <v>152</v>
      </c>
      <c r="B294" s="1" t="s">
        <v>437</v>
      </c>
      <c r="C294" s="1" t="s">
        <v>1129</v>
      </c>
    </row>
    <row r="295" spans="1:3" x14ac:dyDescent="0.3">
      <c r="A295" s="1">
        <v>153</v>
      </c>
      <c r="B295" s="1" t="s">
        <v>458</v>
      </c>
      <c r="C295" s="1" t="s">
        <v>161</v>
      </c>
    </row>
    <row r="296" spans="1:3" x14ac:dyDescent="0.3">
      <c r="A296" s="1">
        <v>153</v>
      </c>
      <c r="B296" s="1" t="s">
        <v>437</v>
      </c>
      <c r="C296" s="1" t="s">
        <v>1129</v>
      </c>
    </row>
    <row r="297" spans="1:3" x14ac:dyDescent="0.3">
      <c r="A297" s="1">
        <v>153</v>
      </c>
      <c r="B297" s="1" t="s">
        <v>459</v>
      </c>
      <c r="C297" s="1" t="s">
        <v>163</v>
      </c>
    </row>
    <row r="298" spans="1:3" x14ac:dyDescent="0.3">
      <c r="A298" s="1">
        <v>154</v>
      </c>
      <c r="B298" s="1" t="s">
        <v>682</v>
      </c>
      <c r="C298" s="1" t="s">
        <v>163</v>
      </c>
    </row>
    <row r="299" spans="1:3" x14ac:dyDescent="0.3">
      <c r="A299" s="1">
        <v>154</v>
      </c>
      <c r="B299" s="1" t="s">
        <v>681</v>
      </c>
      <c r="C299" s="1" t="s">
        <v>161</v>
      </c>
    </row>
    <row r="300" spans="1:3" x14ac:dyDescent="0.3">
      <c r="A300" s="1">
        <v>154</v>
      </c>
      <c r="B300" s="1" t="s">
        <v>680</v>
      </c>
      <c r="C300" s="1" t="s">
        <v>1129</v>
      </c>
    </row>
    <row r="301" spans="1:3" x14ac:dyDescent="0.3">
      <c r="A301" s="1">
        <v>154</v>
      </c>
      <c r="B301" s="1" t="s">
        <v>356</v>
      </c>
      <c r="C301" s="1" t="s">
        <v>1129</v>
      </c>
    </row>
    <row r="302" spans="1:3" x14ac:dyDescent="0.3">
      <c r="A302" s="1">
        <v>155</v>
      </c>
      <c r="B302" s="1" t="s">
        <v>683</v>
      </c>
      <c r="C302" s="1" t="s">
        <v>163</v>
      </c>
    </row>
    <row r="303" spans="1:3" x14ac:dyDescent="0.3">
      <c r="A303" s="1">
        <v>156</v>
      </c>
      <c r="B303" s="1" t="s">
        <v>436</v>
      </c>
      <c r="C303" s="1" t="s">
        <v>163</v>
      </c>
    </row>
    <row r="304" spans="1:3" x14ac:dyDescent="0.3">
      <c r="A304" s="1">
        <v>157</v>
      </c>
      <c r="B304" s="1" t="s">
        <v>218</v>
      </c>
      <c r="C304" s="1" t="s">
        <v>163</v>
      </c>
    </row>
    <row r="305" spans="1:3" x14ac:dyDescent="0.3">
      <c r="A305" s="1">
        <v>159</v>
      </c>
      <c r="B305" s="1" t="s">
        <v>684</v>
      </c>
      <c r="C305" s="1" t="s">
        <v>161</v>
      </c>
    </row>
    <row r="306" spans="1:3" x14ac:dyDescent="0.3">
      <c r="A306" s="1">
        <v>159</v>
      </c>
      <c r="B306" s="1" t="s">
        <v>685</v>
      </c>
      <c r="C306" s="1" t="s">
        <v>163</v>
      </c>
    </row>
    <row r="307" spans="1:3" x14ac:dyDescent="0.3">
      <c r="A307" s="1">
        <v>160</v>
      </c>
      <c r="B307" s="1" t="s">
        <v>686</v>
      </c>
      <c r="C307" s="1" t="s">
        <v>240</v>
      </c>
    </row>
    <row r="308" spans="1:3" x14ac:dyDescent="0.3">
      <c r="A308" s="1">
        <v>160</v>
      </c>
      <c r="B308" s="1" t="s">
        <v>449</v>
      </c>
      <c r="C308" s="1" t="s">
        <v>163</v>
      </c>
    </row>
    <row r="309" spans="1:3" x14ac:dyDescent="0.3">
      <c r="A309" s="1">
        <v>161</v>
      </c>
      <c r="B309" s="1" t="s">
        <v>201</v>
      </c>
      <c r="C309" s="1" t="s">
        <v>163</v>
      </c>
    </row>
    <row r="310" spans="1:3" x14ac:dyDescent="0.3">
      <c r="A310" s="1">
        <v>162</v>
      </c>
      <c r="B310" s="1" t="s">
        <v>688</v>
      </c>
      <c r="C310" s="1" t="s">
        <v>161</v>
      </c>
    </row>
    <row r="311" spans="1:3" x14ac:dyDescent="0.3">
      <c r="A311" s="1">
        <v>162</v>
      </c>
      <c r="B311" s="1" t="s">
        <v>687</v>
      </c>
      <c r="C311" s="1" t="s">
        <v>1129</v>
      </c>
    </row>
    <row r="312" spans="1:3" x14ac:dyDescent="0.3">
      <c r="A312" s="1">
        <v>162</v>
      </c>
      <c r="B312" s="1" t="s">
        <v>689</v>
      </c>
      <c r="C312" s="1" t="s">
        <v>163</v>
      </c>
    </row>
    <row r="313" spans="1:3" x14ac:dyDescent="0.3">
      <c r="A313" s="1">
        <v>163</v>
      </c>
      <c r="B313" s="1" t="s">
        <v>690</v>
      </c>
      <c r="C313" s="1" t="s">
        <v>161</v>
      </c>
    </row>
    <row r="314" spans="1:3" x14ac:dyDescent="0.3">
      <c r="A314" s="1">
        <v>163</v>
      </c>
      <c r="B314" s="1" t="s">
        <v>691</v>
      </c>
      <c r="C314" s="1" t="s">
        <v>161</v>
      </c>
    </row>
    <row r="315" spans="1:3" x14ac:dyDescent="0.3">
      <c r="A315" s="1">
        <v>163</v>
      </c>
      <c r="B315" s="1" t="s">
        <v>692</v>
      </c>
      <c r="C315" s="1" t="s">
        <v>163</v>
      </c>
    </row>
    <row r="316" spans="1:3" x14ac:dyDescent="0.3">
      <c r="A316" s="1">
        <v>164</v>
      </c>
      <c r="B316" s="1" t="s">
        <v>702</v>
      </c>
      <c r="C316" s="1" t="s">
        <v>163</v>
      </c>
    </row>
    <row r="317" spans="1:3" x14ac:dyDescent="0.3">
      <c r="A317" s="1">
        <v>164</v>
      </c>
      <c r="B317" s="1" t="s">
        <v>360</v>
      </c>
      <c r="C317" s="1" t="s">
        <v>1129</v>
      </c>
    </row>
    <row r="318" spans="1:3" x14ac:dyDescent="0.3">
      <c r="A318" s="1">
        <v>165</v>
      </c>
      <c r="B318" s="1" t="s">
        <v>354</v>
      </c>
      <c r="C318" s="1" t="s">
        <v>1129</v>
      </c>
    </row>
    <row r="319" spans="1:3" x14ac:dyDescent="0.3">
      <c r="A319" s="1">
        <v>165</v>
      </c>
      <c r="B319" s="1" t="s">
        <v>703</v>
      </c>
      <c r="C319" s="1" t="s">
        <v>1129</v>
      </c>
    </row>
    <row r="320" spans="1:3" x14ac:dyDescent="0.3">
      <c r="A320" s="1">
        <v>165</v>
      </c>
      <c r="B320" s="1" t="s">
        <v>704</v>
      </c>
      <c r="C320" s="1" t="s">
        <v>163</v>
      </c>
    </row>
    <row r="321" spans="1:3" x14ac:dyDescent="0.3">
      <c r="A321" s="1">
        <v>166</v>
      </c>
      <c r="B321" s="1" t="s">
        <v>705</v>
      </c>
      <c r="C321" s="1" t="s">
        <v>162</v>
      </c>
    </row>
    <row r="322" spans="1:3" x14ac:dyDescent="0.3">
      <c r="A322" s="1">
        <v>166</v>
      </c>
      <c r="B322" s="1" t="s">
        <v>415</v>
      </c>
      <c r="C322" s="1" t="s">
        <v>163</v>
      </c>
    </row>
    <row r="323" spans="1:3" x14ac:dyDescent="0.3">
      <c r="A323" s="1">
        <v>166</v>
      </c>
      <c r="B323" s="1" t="s">
        <v>171</v>
      </c>
      <c r="C323" s="1" t="s">
        <v>1129</v>
      </c>
    </row>
    <row r="324" spans="1:3" x14ac:dyDescent="0.3">
      <c r="A324" s="1">
        <v>167</v>
      </c>
      <c r="B324" s="1" t="s">
        <v>707</v>
      </c>
      <c r="C324" s="1" t="s">
        <v>163</v>
      </c>
    </row>
    <row r="325" spans="1:3" x14ac:dyDescent="0.3">
      <c r="A325" s="1">
        <v>167</v>
      </c>
      <c r="B325" s="1" t="s">
        <v>212</v>
      </c>
      <c r="C325" s="1" t="s">
        <v>162</v>
      </c>
    </row>
    <row r="326" spans="1:3" x14ac:dyDescent="0.3">
      <c r="A326" s="1">
        <v>167</v>
      </c>
      <c r="B326" s="1" t="s">
        <v>706</v>
      </c>
      <c r="C326" s="1" t="s">
        <v>1129</v>
      </c>
    </row>
    <row r="327" spans="1:3" x14ac:dyDescent="0.3">
      <c r="A327" s="1">
        <v>168</v>
      </c>
      <c r="B327" s="1" t="s">
        <v>708</v>
      </c>
      <c r="C327" s="1" t="s">
        <v>163</v>
      </c>
    </row>
    <row r="328" spans="1:3" x14ac:dyDescent="0.3">
      <c r="A328" s="1">
        <v>169</v>
      </c>
      <c r="B328" s="1" t="s">
        <v>703</v>
      </c>
      <c r="C328" s="1" t="s">
        <v>1129</v>
      </c>
    </row>
    <row r="329" spans="1:3" x14ac:dyDescent="0.3">
      <c r="A329" s="1">
        <v>169</v>
      </c>
      <c r="B329" s="1" t="s">
        <v>709</v>
      </c>
      <c r="C329" s="1" t="s">
        <v>161</v>
      </c>
    </row>
    <row r="330" spans="1:3" x14ac:dyDescent="0.3">
      <c r="A330" s="1">
        <v>169</v>
      </c>
      <c r="B330" s="1" t="s">
        <v>710</v>
      </c>
      <c r="C330" s="1" t="s">
        <v>163</v>
      </c>
    </row>
    <row r="331" spans="1:3" x14ac:dyDescent="0.3">
      <c r="A331" s="1">
        <v>170</v>
      </c>
      <c r="B331" s="1" t="s">
        <v>437</v>
      </c>
      <c r="C331" s="1" t="s">
        <v>1129</v>
      </c>
    </row>
    <row r="332" spans="1:3" x14ac:dyDescent="0.3">
      <c r="A332" s="1">
        <v>171</v>
      </c>
      <c r="B332" s="1" t="s">
        <v>703</v>
      </c>
      <c r="C332" s="1" t="s">
        <v>1129</v>
      </c>
    </row>
    <row r="333" spans="1:3" x14ac:dyDescent="0.3">
      <c r="A333" s="1">
        <v>171</v>
      </c>
      <c r="B333" s="1" t="s">
        <v>725</v>
      </c>
      <c r="C333" s="1" t="s">
        <v>163</v>
      </c>
    </row>
    <row r="334" spans="1:3" x14ac:dyDescent="0.3">
      <c r="A334" s="1">
        <v>171</v>
      </c>
      <c r="B334" s="1" t="s">
        <v>711</v>
      </c>
      <c r="C334" s="1" t="s">
        <v>1129</v>
      </c>
    </row>
    <row r="335" spans="1:3" x14ac:dyDescent="0.3">
      <c r="A335" s="1">
        <v>172</v>
      </c>
      <c r="B335" s="1" t="s">
        <v>726</v>
      </c>
      <c r="C335" s="1" t="s">
        <v>162</v>
      </c>
    </row>
    <row r="336" spans="1:3" x14ac:dyDescent="0.3">
      <c r="A336" s="1">
        <v>172</v>
      </c>
      <c r="B336" s="1" t="s">
        <v>727</v>
      </c>
      <c r="C336" s="1" t="s">
        <v>163</v>
      </c>
    </row>
    <row r="337" spans="1:3" x14ac:dyDescent="0.3">
      <c r="A337" s="1">
        <v>172</v>
      </c>
      <c r="B337" s="1" t="s">
        <v>706</v>
      </c>
      <c r="C337" s="1" t="s">
        <v>1129</v>
      </c>
    </row>
    <row r="338" spans="1:3" x14ac:dyDescent="0.3">
      <c r="A338" s="1">
        <v>173</v>
      </c>
      <c r="B338" s="1" t="s">
        <v>703</v>
      </c>
      <c r="C338" s="1" t="s">
        <v>1129</v>
      </c>
    </row>
    <row r="339" spans="1:3" x14ac:dyDescent="0.3">
      <c r="A339" s="1">
        <v>173</v>
      </c>
      <c r="B339" s="1" t="s">
        <v>728</v>
      </c>
      <c r="C339" s="1" t="s">
        <v>163</v>
      </c>
    </row>
    <row r="340" spans="1:3" x14ac:dyDescent="0.3">
      <c r="A340" s="1">
        <v>174</v>
      </c>
      <c r="B340" s="1" t="s">
        <v>729</v>
      </c>
      <c r="C340" s="1" t="s">
        <v>163</v>
      </c>
    </row>
    <row r="341" spans="1:3" x14ac:dyDescent="0.3">
      <c r="A341" s="1">
        <v>175</v>
      </c>
      <c r="B341" s="1" t="s">
        <v>703</v>
      </c>
      <c r="C341" s="1" t="s">
        <v>1129</v>
      </c>
    </row>
    <row r="342" spans="1:3" x14ac:dyDescent="0.3">
      <c r="A342" s="1">
        <v>175</v>
      </c>
      <c r="B342" s="1" t="s">
        <v>730</v>
      </c>
      <c r="C342" s="1" t="s">
        <v>163</v>
      </c>
    </row>
    <row r="343" spans="1:3" x14ac:dyDescent="0.3">
      <c r="A343" s="1">
        <v>176</v>
      </c>
      <c r="B343" s="1" t="s">
        <v>731</v>
      </c>
      <c r="C343" s="1" t="s">
        <v>163</v>
      </c>
    </row>
    <row r="344" spans="1:3" x14ac:dyDescent="0.3">
      <c r="A344" s="1">
        <v>176</v>
      </c>
      <c r="B344" s="1" t="s">
        <v>712</v>
      </c>
      <c r="C344" s="1" t="s">
        <v>1129</v>
      </c>
    </row>
    <row r="345" spans="1:3" x14ac:dyDescent="0.3">
      <c r="A345" s="1">
        <v>176</v>
      </c>
      <c r="B345" s="1" t="s">
        <v>356</v>
      </c>
      <c r="C345" s="1" t="s">
        <v>1129</v>
      </c>
    </row>
    <row r="346" spans="1:3" x14ac:dyDescent="0.3">
      <c r="A346" s="1">
        <v>177</v>
      </c>
      <c r="B346" s="1" t="s">
        <v>703</v>
      </c>
      <c r="C346" s="1" t="s">
        <v>1129</v>
      </c>
    </row>
    <row r="347" spans="1:3" x14ac:dyDescent="0.3">
      <c r="A347" s="1">
        <v>177</v>
      </c>
      <c r="B347" s="1" t="s">
        <v>728</v>
      </c>
      <c r="C347" s="1" t="s">
        <v>163</v>
      </c>
    </row>
    <row r="348" spans="1:3" x14ac:dyDescent="0.3">
      <c r="A348" s="1">
        <v>177</v>
      </c>
      <c r="B348" s="1" t="s">
        <v>356</v>
      </c>
      <c r="C348" s="1" t="s">
        <v>1129</v>
      </c>
    </row>
    <row r="349" spans="1:3" x14ac:dyDescent="0.3">
      <c r="A349" s="1">
        <v>177</v>
      </c>
      <c r="B349" s="1" t="s">
        <v>937</v>
      </c>
      <c r="C349" s="1" t="s">
        <v>1129</v>
      </c>
    </row>
    <row r="350" spans="1:3" x14ac:dyDescent="0.3">
      <c r="A350" s="1">
        <v>178</v>
      </c>
      <c r="B350" s="1" t="s">
        <v>707</v>
      </c>
      <c r="C350" s="1" t="s">
        <v>163</v>
      </c>
    </row>
    <row r="351" spans="1:3" x14ac:dyDescent="0.3">
      <c r="A351" s="1">
        <v>178</v>
      </c>
      <c r="B351" s="1" t="s">
        <v>706</v>
      </c>
      <c r="C351" s="1" t="s">
        <v>1129</v>
      </c>
    </row>
    <row r="352" spans="1:3" x14ac:dyDescent="0.3">
      <c r="A352" s="1">
        <v>179</v>
      </c>
      <c r="B352" s="1" t="s">
        <v>732</v>
      </c>
      <c r="C352" s="1" t="s">
        <v>163</v>
      </c>
    </row>
    <row r="353" spans="1:3" x14ac:dyDescent="0.3">
      <c r="A353" s="1">
        <v>179</v>
      </c>
      <c r="B353" s="1" t="s">
        <v>360</v>
      </c>
      <c r="C353" s="1" t="s">
        <v>1129</v>
      </c>
    </row>
    <row r="354" spans="1:3" x14ac:dyDescent="0.3">
      <c r="A354" s="1">
        <v>180</v>
      </c>
      <c r="B354" s="1" t="s">
        <v>782</v>
      </c>
      <c r="C354" s="1" t="s">
        <v>163</v>
      </c>
    </row>
    <row r="355" spans="1:3" x14ac:dyDescent="0.3">
      <c r="A355" s="1">
        <v>180</v>
      </c>
      <c r="B355" s="1" t="s">
        <v>937</v>
      </c>
      <c r="C355" s="1" t="s">
        <v>1129</v>
      </c>
    </row>
    <row r="356" spans="1:3" x14ac:dyDescent="0.3">
      <c r="A356" s="1">
        <v>181</v>
      </c>
      <c r="B356" s="1" t="s">
        <v>783</v>
      </c>
      <c r="C356" s="1" t="s">
        <v>163</v>
      </c>
    </row>
    <row r="357" spans="1:3" x14ac:dyDescent="0.3">
      <c r="A357" s="1">
        <v>181</v>
      </c>
      <c r="B357" s="1" t="s">
        <v>437</v>
      </c>
      <c r="C357" s="1" t="s">
        <v>1129</v>
      </c>
    </row>
    <row r="358" spans="1:3" x14ac:dyDescent="0.3">
      <c r="A358" s="1">
        <v>182</v>
      </c>
      <c r="B358" s="1" t="s">
        <v>783</v>
      </c>
      <c r="C358" s="1" t="s">
        <v>163</v>
      </c>
    </row>
    <row r="359" spans="1:3" x14ac:dyDescent="0.3">
      <c r="A359" s="1">
        <v>182</v>
      </c>
      <c r="B359" s="1" t="s">
        <v>437</v>
      </c>
      <c r="C359" s="1" t="s">
        <v>1129</v>
      </c>
    </row>
    <row r="360" spans="1:3" x14ac:dyDescent="0.3">
      <c r="A360" s="1">
        <v>183</v>
      </c>
      <c r="B360" s="1" t="s">
        <v>785</v>
      </c>
      <c r="C360" s="1" t="s">
        <v>161</v>
      </c>
    </row>
    <row r="361" spans="1:3" x14ac:dyDescent="0.3">
      <c r="A361" s="1">
        <v>183</v>
      </c>
      <c r="B361" s="1" t="s">
        <v>787</v>
      </c>
      <c r="C361" s="1" t="s">
        <v>161</v>
      </c>
    </row>
    <row r="362" spans="1:3" x14ac:dyDescent="0.3">
      <c r="A362" s="1">
        <v>183</v>
      </c>
      <c r="B362" s="1" t="s">
        <v>788</v>
      </c>
      <c r="C362" s="1" t="s">
        <v>161</v>
      </c>
    </row>
    <row r="363" spans="1:3" x14ac:dyDescent="0.3">
      <c r="A363" s="1">
        <v>183</v>
      </c>
      <c r="B363" s="1" t="s">
        <v>786</v>
      </c>
      <c r="C363" s="1" t="s">
        <v>161</v>
      </c>
    </row>
    <row r="364" spans="1:3" x14ac:dyDescent="0.3">
      <c r="A364" s="1">
        <v>183</v>
      </c>
      <c r="B364" s="1" t="s">
        <v>784</v>
      </c>
      <c r="C364" s="1" t="s">
        <v>162</v>
      </c>
    </row>
    <row r="365" spans="1:3" x14ac:dyDescent="0.3">
      <c r="A365" s="1">
        <v>183</v>
      </c>
      <c r="B365" s="1" t="s">
        <v>789</v>
      </c>
      <c r="C365" s="1" t="s">
        <v>163</v>
      </c>
    </row>
    <row r="366" spans="1:3" x14ac:dyDescent="0.3">
      <c r="A366" s="1">
        <v>183</v>
      </c>
      <c r="B366" s="1" t="s">
        <v>171</v>
      </c>
      <c r="C366" s="1" t="s">
        <v>1129</v>
      </c>
    </row>
    <row r="367" spans="1:3" x14ac:dyDescent="0.3">
      <c r="A367" s="1">
        <v>184</v>
      </c>
      <c r="B367" s="1" t="s">
        <v>727</v>
      </c>
      <c r="C367" s="1" t="s">
        <v>163</v>
      </c>
    </row>
    <row r="368" spans="1:3" x14ac:dyDescent="0.3">
      <c r="A368" s="1">
        <v>184</v>
      </c>
      <c r="B368" s="1" t="s">
        <v>706</v>
      </c>
      <c r="C368" s="1" t="s">
        <v>1129</v>
      </c>
    </row>
    <row r="369" spans="1:3" x14ac:dyDescent="0.3">
      <c r="A369" s="1">
        <v>185</v>
      </c>
      <c r="B369" s="1" t="s">
        <v>790</v>
      </c>
      <c r="C369" s="1" t="s">
        <v>163</v>
      </c>
    </row>
    <row r="370" spans="1:3" x14ac:dyDescent="0.3">
      <c r="A370" s="1">
        <v>185</v>
      </c>
      <c r="B370" s="1" t="s">
        <v>171</v>
      </c>
      <c r="C370" s="1" t="s">
        <v>1129</v>
      </c>
    </row>
    <row r="371" spans="1:3" x14ac:dyDescent="0.3">
      <c r="A371" s="1">
        <v>186</v>
      </c>
      <c r="B371" s="1" t="s">
        <v>705</v>
      </c>
      <c r="C371" s="1" t="s">
        <v>162</v>
      </c>
    </row>
    <row r="372" spans="1:3" x14ac:dyDescent="0.3">
      <c r="A372" s="1">
        <v>186</v>
      </c>
      <c r="B372" s="1" t="s">
        <v>791</v>
      </c>
      <c r="C372" s="1" t="s">
        <v>163</v>
      </c>
    </row>
    <row r="373" spans="1:3" x14ac:dyDescent="0.3">
      <c r="A373" s="1">
        <v>187</v>
      </c>
      <c r="B373" s="1" t="s">
        <v>792</v>
      </c>
      <c r="C373" s="1" t="s">
        <v>161</v>
      </c>
    </row>
    <row r="374" spans="1:3" x14ac:dyDescent="0.3">
      <c r="A374" s="1">
        <v>187</v>
      </c>
      <c r="B374" s="1" t="s">
        <v>360</v>
      </c>
      <c r="C374" s="1" t="s">
        <v>1129</v>
      </c>
    </row>
    <row r="375" spans="1:3" x14ac:dyDescent="0.3">
      <c r="A375" s="1">
        <v>187</v>
      </c>
      <c r="B375" s="1" t="s">
        <v>793</v>
      </c>
      <c r="C375" s="1" t="s">
        <v>163</v>
      </c>
    </row>
    <row r="376" spans="1:3" x14ac:dyDescent="0.3">
      <c r="A376" s="1">
        <v>188</v>
      </c>
      <c r="B376" s="1" t="s">
        <v>796</v>
      </c>
      <c r="C376" s="1" t="s">
        <v>161</v>
      </c>
    </row>
    <row r="377" spans="1:3" x14ac:dyDescent="0.3">
      <c r="A377" s="1">
        <v>188</v>
      </c>
      <c r="B377" s="1" t="s">
        <v>795</v>
      </c>
      <c r="C377" s="1" t="s">
        <v>161</v>
      </c>
    </row>
    <row r="378" spans="1:3" x14ac:dyDescent="0.3">
      <c r="A378" s="1">
        <v>188</v>
      </c>
      <c r="B378" s="1" t="s">
        <v>794</v>
      </c>
      <c r="C378" s="1" t="s">
        <v>1129</v>
      </c>
    </row>
    <row r="379" spans="1:3" x14ac:dyDescent="0.3">
      <c r="A379" s="1">
        <v>188</v>
      </c>
      <c r="B379" s="1" t="s">
        <v>797</v>
      </c>
      <c r="C379" s="1" t="s">
        <v>163</v>
      </c>
    </row>
    <row r="380" spans="1:3" x14ac:dyDescent="0.3">
      <c r="A380" s="1">
        <v>189</v>
      </c>
      <c r="B380" s="1" t="s">
        <v>799</v>
      </c>
      <c r="C380" s="1" t="s">
        <v>162</v>
      </c>
    </row>
    <row r="381" spans="1:3" x14ac:dyDescent="0.3">
      <c r="A381" s="1">
        <v>189</v>
      </c>
      <c r="B381" s="1" t="s">
        <v>798</v>
      </c>
      <c r="C381" s="1" t="s">
        <v>1129</v>
      </c>
    </row>
    <row r="382" spans="1:3" x14ac:dyDescent="0.3">
      <c r="A382" s="1">
        <v>189</v>
      </c>
      <c r="B382" s="1" t="s">
        <v>800</v>
      </c>
      <c r="C382" s="1" t="s">
        <v>163</v>
      </c>
    </row>
    <row r="383" spans="1:3" x14ac:dyDescent="0.3">
      <c r="A383" s="1">
        <v>190</v>
      </c>
      <c r="B383" s="1" t="s">
        <v>801</v>
      </c>
      <c r="C383" s="1" t="s">
        <v>163</v>
      </c>
    </row>
    <row r="384" spans="1:3" x14ac:dyDescent="0.3">
      <c r="A384" s="1">
        <v>191</v>
      </c>
      <c r="B384" s="1" t="s">
        <v>802</v>
      </c>
      <c r="C384" s="1" t="s">
        <v>1129</v>
      </c>
    </row>
    <row r="385" spans="1:3" x14ac:dyDescent="0.3">
      <c r="A385" s="1">
        <v>191</v>
      </c>
      <c r="B385" s="1" t="s">
        <v>360</v>
      </c>
      <c r="C385" s="1" t="s">
        <v>1129</v>
      </c>
    </row>
    <row r="386" spans="1:3" x14ac:dyDescent="0.3">
      <c r="A386" s="1">
        <v>191</v>
      </c>
      <c r="B386" s="1" t="s">
        <v>803</v>
      </c>
      <c r="C386" s="1" t="s">
        <v>163</v>
      </c>
    </row>
    <row r="387" spans="1:3" x14ac:dyDescent="0.3">
      <c r="A387" s="1">
        <v>192</v>
      </c>
      <c r="B387" s="1" t="s">
        <v>804</v>
      </c>
      <c r="C387" s="1" t="s">
        <v>163</v>
      </c>
    </row>
    <row r="388" spans="1:3" x14ac:dyDescent="0.3">
      <c r="A388" s="1">
        <v>192</v>
      </c>
      <c r="B388" s="1" t="s">
        <v>937</v>
      </c>
      <c r="C388" s="1" t="s">
        <v>1129</v>
      </c>
    </row>
    <row r="389" spans="1:3" x14ac:dyDescent="0.3">
      <c r="A389" s="1">
        <v>193</v>
      </c>
      <c r="B389" s="1" t="s">
        <v>806</v>
      </c>
      <c r="C389" s="1" t="s">
        <v>1129</v>
      </c>
    </row>
    <row r="390" spans="1:3" x14ac:dyDescent="0.3">
      <c r="A390" s="1">
        <v>193</v>
      </c>
      <c r="B390" s="1" t="s">
        <v>805</v>
      </c>
      <c r="C390" s="1" t="s">
        <v>1129</v>
      </c>
    </row>
    <row r="391" spans="1:3" x14ac:dyDescent="0.3">
      <c r="A391" s="1">
        <v>193</v>
      </c>
      <c r="B391" s="1" t="s">
        <v>802</v>
      </c>
      <c r="C391" s="1" t="s">
        <v>1129</v>
      </c>
    </row>
    <row r="392" spans="1:3" x14ac:dyDescent="0.3">
      <c r="A392" s="1">
        <v>193</v>
      </c>
      <c r="B392" s="1" t="s">
        <v>807</v>
      </c>
      <c r="C392" s="1" t="s">
        <v>1129</v>
      </c>
    </row>
    <row r="393" spans="1:3" x14ac:dyDescent="0.3">
      <c r="A393" s="1">
        <v>193</v>
      </c>
      <c r="B393" s="1" t="s">
        <v>728</v>
      </c>
      <c r="C393" s="1" t="s">
        <v>163</v>
      </c>
    </row>
    <row r="394" spans="1:3" x14ac:dyDescent="0.3">
      <c r="A394" s="1">
        <v>194</v>
      </c>
      <c r="B394" s="1" t="s">
        <v>806</v>
      </c>
      <c r="C394" s="1" t="s">
        <v>1129</v>
      </c>
    </row>
    <row r="395" spans="1:3" x14ac:dyDescent="0.3">
      <c r="A395" s="1">
        <v>194</v>
      </c>
      <c r="B395" s="1" t="s">
        <v>808</v>
      </c>
      <c r="C395" s="1" t="s">
        <v>1129</v>
      </c>
    </row>
    <row r="396" spans="1:3" x14ac:dyDescent="0.3">
      <c r="A396" s="1">
        <v>194</v>
      </c>
      <c r="B396" s="1" t="s">
        <v>387</v>
      </c>
      <c r="C396" s="1" t="s">
        <v>1129</v>
      </c>
    </row>
    <row r="397" spans="1:3" x14ac:dyDescent="0.3">
      <c r="A397" s="1">
        <v>194</v>
      </c>
      <c r="B397" s="1" t="s">
        <v>807</v>
      </c>
      <c r="C397" s="1" t="s">
        <v>1129</v>
      </c>
    </row>
    <row r="398" spans="1:3" x14ac:dyDescent="0.3">
      <c r="A398" s="1">
        <v>194</v>
      </c>
      <c r="B398" s="1" t="s">
        <v>728</v>
      </c>
      <c r="C398" s="1" t="s">
        <v>323</v>
      </c>
    </row>
    <row r="399" spans="1:3" x14ac:dyDescent="0.3">
      <c r="A399" s="1">
        <v>195</v>
      </c>
      <c r="B399" s="1" t="s">
        <v>810</v>
      </c>
      <c r="C399" s="1" t="s">
        <v>163</v>
      </c>
    </row>
    <row r="400" spans="1:3" x14ac:dyDescent="0.3">
      <c r="A400" s="1">
        <v>195</v>
      </c>
      <c r="B400" s="1" t="s">
        <v>809</v>
      </c>
      <c r="C400" s="1" t="s">
        <v>1129</v>
      </c>
    </row>
    <row r="401" spans="1:3" x14ac:dyDescent="0.3">
      <c r="A401" s="1">
        <v>195</v>
      </c>
      <c r="B401" s="1" t="s">
        <v>937</v>
      </c>
      <c r="C401" s="1" t="s">
        <v>1129</v>
      </c>
    </row>
    <row r="402" spans="1:3" x14ac:dyDescent="0.3">
      <c r="A402" s="1">
        <v>196</v>
      </c>
      <c r="B402" s="1" t="s">
        <v>811</v>
      </c>
      <c r="C402" s="1" t="s">
        <v>163</v>
      </c>
    </row>
    <row r="403" spans="1:3" x14ac:dyDescent="0.3">
      <c r="A403" s="1">
        <v>197</v>
      </c>
      <c r="B403" s="1" t="s">
        <v>815</v>
      </c>
      <c r="C403" s="1" t="s">
        <v>161</v>
      </c>
    </row>
    <row r="404" spans="1:3" x14ac:dyDescent="0.3">
      <c r="A404" s="1">
        <v>197</v>
      </c>
      <c r="B404" s="1" t="s">
        <v>813</v>
      </c>
      <c r="C404" s="1" t="s">
        <v>161</v>
      </c>
    </row>
    <row r="405" spans="1:3" x14ac:dyDescent="0.3">
      <c r="A405" s="1">
        <v>197</v>
      </c>
      <c r="B405" s="1" t="s">
        <v>814</v>
      </c>
      <c r="C405" s="1" t="s">
        <v>161</v>
      </c>
    </row>
    <row r="406" spans="1:3" x14ac:dyDescent="0.3">
      <c r="A406" s="1">
        <v>197</v>
      </c>
      <c r="B406" s="1" t="s">
        <v>786</v>
      </c>
      <c r="C406" s="1" t="s">
        <v>161</v>
      </c>
    </row>
    <row r="407" spans="1:3" x14ac:dyDescent="0.3">
      <c r="A407" s="1">
        <v>197</v>
      </c>
      <c r="B407" s="1" t="s">
        <v>812</v>
      </c>
      <c r="C407" s="1" t="s">
        <v>161</v>
      </c>
    </row>
    <row r="408" spans="1:3" x14ac:dyDescent="0.3">
      <c r="A408" s="1">
        <v>197</v>
      </c>
      <c r="B408" s="1" t="s">
        <v>816</v>
      </c>
      <c r="C408" s="1" t="s">
        <v>163</v>
      </c>
    </row>
    <row r="409" spans="1:3" x14ac:dyDescent="0.3">
      <c r="A409" s="1">
        <v>197</v>
      </c>
      <c r="B409" s="1" t="s">
        <v>171</v>
      </c>
      <c r="C409" s="1" t="s">
        <v>1129</v>
      </c>
    </row>
    <row r="410" spans="1:3" x14ac:dyDescent="0.3">
      <c r="A410" s="1">
        <v>198</v>
      </c>
      <c r="B410" s="1" t="s">
        <v>817</v>
      </c>
      <c r="C410" s="1" t="s">
        <v>163</v>
      </c>
    </row>
    <row r="411" spans="1:3" x14ac:dyDescent="0.3">
      <c r="A411" s="1">
        <v>199</v>
      </c>
      <c r="B411" s="1" t="s">
        <v>818</v>
      </c>
      <c r="C411" s="1" t="s">
        <v>161</v>
      </c>
    </row>
    <row r="412" spans="1:3" x14ac:dyDescent="0.3">
      <c r="A412" s="1">
        <v>199</v>
      </c>
      <c r="B412" s="1" t="s">
        <v>819</v>
      </c>
      <c r="C412" s="1" t="s">
        <v>163</v>
      </c>
    </row>
    <row r="413" spans="1:3" x14ac:dyDescent="0.3">
      <c r="A413" s="1">
        <v>199</v>
      </c>
      <c r="B413" s="1" t="s">
        <v>171</v>
      </c>
      <c r="C413" s="1" t="s">
        <v>1129</v>
      </c>
    </row>
    <row r="414" spans="1:3" x14ac:dyDescent="0.3">
      <c r="A414" s="1">
        <v>200</v>
      </c>
      <c r="B414" s="1" t="s">
        <v>704</v>
      </c>
      <c r="C414" s="1" t="s">
        <v>163</v>
      </c>
    </row>
    <row r="415" spans="1:3" x14ac:dyDescent="0.3">
      <c r="A415" s="1">
        <v>201</v>
      </c>
      <c r="B415" s="1" t="s">
        <v>449</v>
      </c>
      <c r="C415" s="1" t="s">
        <v>163</v>
      </c>
    </row>
    <row r="416" spans="1:3" x14ac:dyDescent="0.3">
      <c r="A416" s="1">
        <v>202</v>
      </c>
      <c r="B416" s="1" t="s">
        <v>818</v>
      </c>
      <c r="C416" s="1" t="s">
        <v>161</v>
      </c>
    </row>
    <row r="417" spans="1:3" x14ac:dyDescent="0.3">
      <c r="A417" s="1">
        <v>202</v>
      </c>
      <c r="B417" s="1" t="s">
        <v>821</v>
      </c>
      <c r="C417" s="1" t="s">
        <v>161</v>
      </c>
    </row>
    <row r="418" spans="1:3" x14ac:dyDescent="0.3">
      <c r="A418" s="1">
        <v>202</v>
      </c>
      <c r="B418" s="1" t="s">
        <v>820</v>
      </c>
      <c r="C418" s="1" t="s">
        <v>161</v>
      </c>
    </row>
    <row r="419" spans="1:3" x14ac:dyDescent="0.3">
      <c r="A419" s="1">
        <v>202</v>
      </c>
      <c r="B419" s="1" t="s">
        <v>822</v>
      </c>
      <c r="C419" s="1" t="s">
        <v>163</v>
      </c>
    </row>
    <row r="420" spans="1:3" x14ac:dyDescent="0.3">
      <c r="A420" s="1">
        <v>202</v>
      </c>
      <c r="B420" s="1" t="s">
        <v>360</v>
      </c>
      <c r="C420" s="1" t="s">
        <v>1129</v>
      </c>
    </row>
    <row r="421" spans="1:3" x14ac:dyDescent="0.3">
      <c r="A421" s="1">
        <v>203</v>
      </c>
      <c r="B421" s="1" t="s">
        <v>687</v>
      </c>
      <c r="C421" s="1" t="s">
        <v>1129</v>
      </c>
    </row>
    <row r="422" spans="1:3" x14ac:dyDescent="0.3">
      <c r="A422" s="1">
        <v>203</v>
      </c>
      <c r="B422" s="1" t="s">
        <v>823</v>
      </c>
      <c r="C422" s="1" t="s">
        <v>163</v>
      </c>
    </row>
    <row r="423" spans="1:3" x14ac:dyDescent="0.3">
      <c r="A423" s="1">
        <v>204</v>
      </c>
      <c r="B423" s="1" t="s">
        <v>712</v>
      </c>
      <c r="C423" s="1" t="s">
        <v>1129</v>
      </c>
    </row>
    <row r="424" spans="1:3" x14ac:dyDescent="0.3">
      <c r="A424" s="1">
        <v>204</v>
      </c>
      <c r="B424" s="1" t="s">
        <v>215</v>
      </c>
      <c r="C424" s="1" t="s">
        <v>163</v>
      </c>
    </row>
    <row r="425" spans="1:3" x14ac:dyDescent="0.3">
      <c r="A425" s="1">
        <v>205</v>
      </c>
      <c r="B425" s="1" t="s">
        <v>824</v>
      </c>
      <c r="C425" s="1" t="s">
        <v>162</v>
      </c>
    </row>
    <row r="426" spans="1:3" x14ac:dyDescent="0.3">
      <c r="A426" s="1">
        <v>205</v>
      </c>
      <c r="B426" s="1" t="s">
        <v>825</v>
      </c>
      <c r="C426" s="1" t="s">
        <v>163</v>
      </c>
    </row>
    <row r="427" spans="1:3" x14ac:dyDescent="0.3">
      <c r="A427" s="1">
        <v>205</v>
      </c>
      <c r="B427" s="1" t="s">
        <v>706</v>
      </c>
      <c r="C427" s="1" t="s">
        <v>1129</v>
      </c>
    </row>
    <row r="428" spans="1:3" x14ac:dyDescent="0.3">
      <c r="A428" s="1">
        <v>206</v>
      </c>
      <c r="B428" s="1" t="s">
        <v>826</v>
      </c>
      <c r="C428" s="1" t="s">
        <v>163</v>
      </c>
    </row>
    <row r="429" spans="1:3" x14ac:dyDescent="0.3">
      <c r="A429" s="1">
        <v>206</v>
      </c>
      <c r="B429" s="1" t="s">
        <v>937</v>
      </c>
      <c r="C429" s="1" t="s">
        <v>1129</v>
      </c>
    </row>
    <row r="430" spans="1:3" x14ac:dyDescent="0.3">
      <c r="A430" s="1">
        <v>207</v>
      </c>
      <c r="B430" s="1" t="s">
        <v>356</v>
      </c>
      <c r="C430" s="1" t="s">
        <v>1129</v>
      </c>
    </row>
    <row r="431" spans="1:3" x14ac:dyDescent="0.3">
      <c r="A431" s="1">
        <v>207</v>
      </c>
      <c r="B431" s="1" t="s">
        <v>827</v>
      </c>
      <c r="C431" s="1" t="s">
        <v>163</v>
      </c>
    </row>
    <row r="432" spans="1:3" x14ac:dyDescent="0.3">
      <c r="A432" s="1">
        <v>208</v>
      </c>
      <c r="B432" s="1" t="s">
        <v>828</v>
      </c>
      <c r="C432" s="1" t="s">
        <v>161</v>
      </c>
    </row>
    <row r="433" spans="1:3" x14ac:dyDescent="0.3">
      <c r="A433" s="1">
        <v>208</v>
      </c>
      <c r="B433" s="1" t="s">
        <v>829</v>
      </c>
      <c r="C433" s="1" t="s">
        <v>163</v>
      </c>
    </row>
    <row r="434" spans="1:3" x14ac:dyDescent="0.3">
      <c r="A434" s="1">
        <v>209</v>
      </c>
      <c r="B434" s="1" t="s">
        <v>243</v>
      </c>
      <c r="C434" s="1" t="s">
        <v>163</v>
      </c>
    </row>
    <row r="435" spans="1:3" x14ac:dyDescent="0.3">
      <c r="A435" s="1">
        <v>209</v>
      </c>
      <c r="B435" s="1" t="s">
        <v>245</v>
      </c>
      <c r="C435" s="1" t="s">
        <v>162</v>
      </c>
    </row>
    <row r="436" spans="1:3" x14ac:dyDescent="0.3">
      <c r="A436" s="1">
        <v>209</v>
      </c>
      <c r="B436" s="1" t="s">
        <v>937</v>
      </c>
      <c r="C436" s="1" t="s">
        <v>1129</v>
      </c>
    </row>
    <row r="437" spans="1:3" x14ac:dyDescent="0.3">
      <c r="A437" s="1">
        <v>210</v>
      </c>
      <c r="B437" s="1" t="s">
        <v>802</v>
      </c>
      <c r="C437" s="1" t="s">
        <v>1129</v>
      </c>
    </row>
    <row r="438" spans="1:3" x14ac:dyDescent="0.3">
      <c r="A438" s="1">
        <v>210</v>
      </c>
      <c r="B438" s="1" t="s">
        <v>830</v>
      </c>
      <c r="C438" s="1" t="s">
        <v>163</v>
      </c>
    </row>
    <row r="439" spans="1:3" x14ac:dyDescent="0.3">
      <c r="A439" s="1">
        <v>210</v>
      </c>
      <c r="B439" s="1" t="s">
        <v>680</v>
      </c>
      <c r="C439" s="1" t="s">
        <v>1129</v>
      </c>
    </row>
    <row r="440" spans="1:3" x14ac:dyDescent="0.3">
      <c r="A440" s="1">
        <v>211</v>
      </c>
      <c r="B440" s="1" t="s">
        <v>831</v>
      </c>
      <c r="C440" s="1" t="s">
        <v>163</v>
      </c>
    </row>
    <row r="441" spans="1:3" x14ac:dyDescent="0.3">
      <c r="A441" s="1">
        <v>212</v>
      </c>
      <c r="B441" s="1" t="s">
        <v>832</v>
      </c>
      <c r="C441" s="1" t="s">
        <v>163</v>
      </c>
    </row>
    <row r="442" spans="1:3" x14ac:dyDescent="0.3">
      <c r="A442" s="1">
        <v>212</v>
      </c>
      <c r="B442" s="1" t="s">
        <v>687</v>
      </c>
      <c r="C442" s="1" t="s">
        <v>1129</v>
      </c>
    </row>
    <row r="443" spans="1:3" x14ac:dyDescent="0.3">
      <c r="A443" s="1">
        <v>213</v>
      </c>
      <c r="B443" s="1" t="s">
        <v>687</v>
      </c>
      <c r="C443" s="1" t="s">
        <v>1129</v>
      </c>
    </row>
    <row r="444" spans="1:3" x14ac:dyDescent="0.3">
      <c r="A444" s="1">
        <v>213</v>
      </c>
      <c r="B444" s="1" t="s">
        <v>833</v>
      </c>
      <c r="C444" s="1" t="s">
        <v>163</v>
      </c>
    </row>
    <row r="445" spans="1:3" x14ac:dyDescent="0.3">
      <c r="A445" s="1">
        <v>214</v>
      </c>
      <c r="B445" s="1" t="s">
        <v>835</v>
      </c>
      <c r="C445" s="1" t="s">
        <v>161</v>
      </c>
    </row>
    <row r="446" spans="1:3" x14ac:dyDescent="0.3">
      <c r="A446" s="1">
        <v>214</v>
      </c>
      <c r="B446" s="1" t="s">
        <v>834</v>
      </c>
      <c r="C446" s="1" t="s">
        <v>161</v>
      </c>
    </row>
    <row r="447" spans="1:3" x14ac:dyDescent="0.3">
      <c r="A447" s="1">
        <v>214</v>
      </c>
      <c r="B447" s="1" t="s">
        <v>836</v>
      </c>
      <c r="C447" s="1" t="s">
        <v>161</v>
      </c>
    </row>
    <row r="448" spans="1:3" x14ac:dyDescent="0.3">
      <c r="A448" s="1">
        <v>214</v>
      </c>
      <c r="B448" s="1" t="s">
        <v>418</v>
      </c>
      <c r="C448" s="1" t="s">
        <v>163</v>
      </c>
    </row>
    <row r="449" spans="1:3" x14ac:dyDescent="0.3">
      <c r="A449" s="1">
        <v>215</v>
      </c>
      <c r="B449" s="1" t="s">
        <v>837</v>
      </c>
      <c r="C449" s="1" t="s">
        <v>162</v>
      </c>
    </row>
    <row r="450" spans="1:3" x14ac:dyDescent="0.3">
      <c r="A450" s="1">
        <v>215</v>
      </c>
      <c r="B450" s="1" t="s">
        <v>225</v>
      </c>
      <c r="C450" s="1" t="s">
        <v>163</v>
      </c>
    </row>
    <row r="451" spans="1:3" x14ac:dyDescent="0.3">
      <c r="A451" s="1">
        <v>215</v>
      </c>
      <c r="B451" s="1" t="s">
        <v>794</v>
      </c>
      <c r="C451" s="1" t="s">
        <v>1129</v>
      </c>
    </row>
    <row r="452" spans="1:3" x14ac:dyDescent="0.3">
      <c r="A452" s="1">
        <v>216</v>
      </c>
      <c r="B452" s="1" t="s">
        <v>838</v>
      </c>
      <c r="C452" s="1" t="s">
        <v>162</v>
      </c>
    </row>
    <row r="453" spans="1:3" x14ac:dyDescent="0.3">
      <c r="A453" s="1">
        <v>216</v>
      </c>
      <c r="B453" s="1" t="s">
        <v>839</v>
      </c>
      <c r="C453" s="1" t="s">
        <v>163</v>
      </c>
    </row>
    <row r="454" spans="1:3" x14ac:dyDescent="0.3">
      <c r="A454" s="1">
        <v>216</v>
      </c>
      <c r="B454" s="1" t="s">
        <v>808</v>
      </c>
      <c r="C454" s="1" t="s">
        <v>1129</v>
      </c>
    </row>
    <row r="455" spans="1:3" x14ac:dyDescent="0.3">
      <c r="A455" s="1">
        <v>216</v>
      </c>
      <c r="B455" s="1" t="s">
        <v>802</v>
      </c>
      <c r="C455" s="1" t="s">
        <v>1129</v>
      </c>
    </row>
    <row r="456" spans="1:3" x14ac:dyDescent="0.3">
      <c r="A456" s="1">
        <v>217</v>
      </c>
      <c r="B456" s="1" t="s">
        <v>841</v>
      </c>
      <c r="C456" s="1" t="s">
        <v>163</v>
      </c>
    </row>
    <row r="457" spans="1:3" x14ac:dyDescent="0.3">
      <c r="A457" s="1">
        <v>217</v>
      </c>
      <c r="B457" s="1" t="s">
        <v>840</v>
      </c>
      <c r="C457" s="1" t="s">
        <v>1129</v>
      </c>
    </row>
    <row r="458" spans="1:3" x14ac:dyDescent="0.3">
      <c r="A458" s="1">
        <v>218</v>
      </c>
      <c r="B458" s="1" t="s">
        <v>842</v>
      </c>
      <c r="C458" s="1" t="s">
        <v>163</v>
      </c>
    </row>
    <row r="459" spans="1:3" x14ac:dyDescent="0.3">
      <c r="A459" s="1">
        <v>219</v>
      </c>
      <c r="B459" s="1" t="s">
        <v>864</v>
      </c>
      <c r="C459" s="1" t="s">
        <v>161</v>
      </c>
    </row>
    <row r="460" spans="1:3" x14ac:dyDescent="0.3">
      <c r="A460" s="1">
        <v>219</v>
      </c>
      <c r="B460" s="1" t="s">
        <v>865</v>
      </c>
      <c r="C460" s="1" t="s">
        <v>161</v>
      </c>
    </row>
    <row r="461" spans="1:3" x14ac:dyDescent="0.3">
      <c r="A461" s="1">
        <v>219</v>
      </c>
      <c r="B461" s="1" t="s">
        <v>863</v>
      </c>
      <c r="C461" s="1" t="s">
        <v>162</v>
      </c>
    </row>
    <row r="462" spans="1:3" x14ac:dyDescent="0.3">
      <c r="A462" s="1">
        <v>219</v>
      </c>
      <c r="B462" s="1" t="s">
        <v>866</v>
      </c>
      <c r="C462" s="1" t="s">
        <v>163</v>
      </c>
    </row>
    <row r="463" spans="1:3" x14ac:dyDescent="0.3">
      <c r="A463" s="1">
        <v>220</v>
      </c>
      <c r="B463" s="1" t="s">
        <v>867</v>
      </c>
      <c r="C463" s="1" t="s">
        <v>162</v>
      </c>
    </row>
    <row r="464" spans="1:3" x14ac:dyDescent="0.3">
      <c r="A464" s="1">
        <v>220</v>
      </c>
      <c r="B464" s="1" t="s">
        <v>868</v>
      </c>
      <c r="C464" s="1" t="s">
        <v>163</v>
      </c>
    </row>
    <row r="465" spans="1:3" x14ac:dyDescent="0.3">
      <c r="A465" s="1">
        <v>220</v>
      </c>
      <c r="B465" s="1" t="s">
        <v>354</v>
      </c>
      <c r="C465" s="1" t="s">
        <v>1129</v>
      </c>
    </row>
    <row r="466" spans="1:3" x14ac:dyDescent="0.3">
      <c r="A466" s="1">
        <v>220</v>
      </c>
      <c r="B466" s="1" t="s">
        <v>354</v>
      </c>
      <c r="C466" s="1" t="s">
        <v>1129</v>
      </c>
    </row>
    <row r="467" spans="1:3" x14ac:dyDescent="0.3">
      <c r="A467" s="1">
        <v>221</v>
      </c>
      <c r="B467" s="1" t="s">
        <v>869</v>
      </c>
      <c r="C467" s="1" t="s">
        <v>161</v>
      </c>
    </row>
    <row r="468" spans="1:3" x14ac:dyDescent="0.3">
      <c r="A468" s="1">
        <v>221</v>
      </c>
      <c r="B468" s="1" t="s">
        <v>843</v>
      </c>
      <c r="C468" s="1" t="s">
        <v>162</v>
      </c>
    </row>
    <row r="469" spans="1:3" x14ac:dyDescent="0.3">
      <c r="A469" s="1">
        <v>221</v>
      </c>
      <c r="B469" s="1" t="s">
        <v>843</v>
      </c>
      <c r="C469" s="1" t="s">
        <v>162</v>
      </c>
    </row>
    <row r="470" spans="1:3" x14ac:dyDescent="0.3">
      <c r="A470" s="1">
        <v>221</v>
      </c>
      <c r="B470" s="1" t="s">
        <v>870</v>
      </c>
      <c r="C470" s="1" t="s">
        <v>161</v>
      </c>
    </row>
    <row r="471" spans="1:3" x14ac:dyDescent="0.3">
      <c r="A471" s="1">
        <v>221</v>
      </c>
      <c r="B471" s="1" t="s">
        <v>215</v>
      </c>
      <c r="C471" s="1" t="s">
        <v>163</v>
      </c>
    </row>
    <row r="472" spans="1:3" x14ac:dyDescent="0.3">
      <c r="A472" s="1">
        <v>222</v>
      </c>
      <c r="B472" s="1" t="s">
        <v>871</v>
      </c>
      <c r="C472" s="1" t="s">
        <v>162</v>
      </c>
    </row>
    <row r="473" spans="1:3" x14ac:dyDescent="0.3">
      <c r="A473" s="1">
        <v>222</v>
      </c>
      <c r="B473" s="1" t="s">
        <v>354</v>
      </c>
      <c r="C473" s="1" t="s">
        <v>1129</v>
      </c>
    </row>
    <row r="474" spans="1:3" x14ac:dyDescent="0.3">
      <c r="A474" s="1">
        <v>222</v>
      </c>
      <c r="B474" s="1" t="s">
        <v>354</v>
      </c>
      <c r="C474" s="1" t="s">
        <v>1129</v>
      </c>
    </row>
    <row r="475" spans="1:3" x14ac:dyDescent="0.3">
      <c r="A475" s="1">
        <v>222</v>
      </c>
      <c r="B475" s="1" t="s">
        <v>872</v>
      </c>
      <c r="C475" s="1" t="s">
        <v>163</v>
      </c>
    </row>
    <row r="476" spans="1:3" x14ac:dyDescent="0.3">
      <c r="A476" s="1">
        <v>222</v>
      </c>
      <c r="B476" s="1" t="s">
        <v>706</v>
      </c>
      <c r="C476" s="1" t="s">
        <v>1129</v>
      </c>
    </row>
    <row r="477" spans="1:3" x14ac:dyDescent="0.3">
      <c r="A477" s="1">
        <v>222</v>
      </c>
      <c r="B477" s="1" t="s">
        <v>706</v>
      </c>
      <c r="C477" s="1" t="s">
        <v>1129</v>
      </c>
    </row>
    <row r="478" spans="1:3" x14ac:dyDescent="0.3">
      <c r="A478" s="1">
        <v>222</v>
      </c>
      <c r="B478" s="1" t="s">
        <v>711</v>
      </c>
      <c r="C478" s="1" t="s">
        <v>1129</v>
      </c>
    </row>
    <row r="479" spans="1:3" x14ac:dyDescent="0.3">
      <c r="A479" s="1">
        <v>222</v>
      </c>
      <c r="B479" s="1" t="s">
        <v>711</v>
      </c>
      <c r="C479" s="1" t="s">
        <v>1129</v>
      </c>
    </row>
    <row r="480" spans="1:3" x14ac:dyDescent="0.3">
      <c r="A480" s="1">
        <v>223</v>
      </c>
      <c r="B480" s="1" t="s">
        <v>844</v>
      </c>
      <c r="C480" s="1" t="s">
        <v>1129</v>
      </c>
    </row>
    <row r="481" spans="1:3" x14ac:dyDescent="0.3">
      <c r="A481" s="1">
        <v>223</v>
      </c>
      <c r="B481" s="1" t="s">
        <v>844</v>
      </c>
      <c r="C481" s="1" t="s">
        <v>1129</v>
      </c>
    </row>
    <row r="482" spans="1:3" x14ac:dyDescent="0.3">
      <c r="A482" s="1">
        <v>223</v>
      </c>
      <c r="B482" s="1" t="s">
        <v>873</v>
      </c>
      <c r="C482" s="1" t="s">
        <v>163</v>
      </c>
    </row>
    <row r="483" spans="1:3" x14ac:dyDescent="0.3">
      <c r="A483" s="1">
        <v>223</v>
      </c>
      <c r="B483" s="1" t="s">
        <v>937</v>
      </c>
      <c r="C483" s="1" t="s">
        <v>1129</v>
      </c>
    </row>
    <row r="484" spans="1:3" x14ac:dyDescent="0.3">
      <c r="A484" s="1">
        <v>223</v>
      </c>
      <c r="B484" s="1" t="s">
        <v>937</v>
      </c>
      <c r="C484" s="1" t="s">
        <v>1129</v>
      </c>
    </row>
    <row r="485" spans="1:3" x14ac:dyDescent="0.3">
      <c r="A485" s="1">
        <v>224</v>
      </c>
      <c r="B485" s="1" t="s">
        <v>360</v>
      </c>
      <c r="C485" s="1" t="s">
        <v>1129</v>
      </c>
    </row>
    <row r="486" spans="1:3" x14ac:dyDescent="0.3">
      <c r="A486" s="1">
        <v>224</v>
      </c>
      <c r="B486" s="1" t="s">
        <v>360</v>
      </c>
      <c r="C486" s="1" t="s">
        <v>1129</v>
      </c>
    </row>
    <row r="487" spans="1:3" x14ac:dyDescent="0.3">
      <c r="A487" s="1">
        <v>224</v>
      </c>
      <c r="B487" s="1" t="s">
        <v>207</v>
      </c>
      <c r="C487" s="1" t="s">
        <v>163</v>
      </c>
    </row>
    <row r="488" spans="1:3" x14ac:dyDescent="0.3">
      <c r="A488" s="1">
        <v>225</v>
      </c>
      <c r="B488" s="1" t="s">
        <v>687</v>
      </c>
      <c r="C488" s="1" t="s">
        <v>1129</v>
      </c>
    </row>
    <row r="489" spans="1:3" x14ac:dyDescent="0.3">
      <c r="A489" s="1">
        <v>225</v>
      </c>
      <c r="B489" s="1" t="s">
        <v>687</v>
      </c>
      <c r="C489" s="1" t="s">
        <v>1129</v>
      </c>
    </row>
    <row r="490" spans="1:3" x14ac:dyDescent="0.3">
      <c r="A490" s="1">
        <v>225</v>
      </c>
      <c r="B490" s="1" t="s">
        <v>874</v>
      </c>
      <c r="C490" s="1" t="s">
        <v>163</v>
      </c>
    </row>
    <row r="491" spans="1:3" x14ac:dyDescent="0.3">
      <c r="A491" s="1">
        <v>226</v>
      </c>
      <c r="B491" s="1" t="s">
        <v>875</v>
      </c>
      <c r="C491" s="1" t="s">
        <v>1129</v>
      </c>
    </row>
    <row r="492" spans="1:3" x14ac:dyDescent="0.3">
      <c r="A492" s="1">
        <v>226</v>
      </c>
      <c r="B492" s="1" t="s">
        <v>876</v>
      </c>
      <c r="C492" s="1" t="s">
        <v>163</v>
      </c>
    </row>
    <row r="493" spans="1:3" x14ac:dyDescent="0.3">
      <c r="A493" s="1">
        <v>227</v>
      </c>
      <c r="B493" s="1" t="s">
        <v>703</v>
      </c>
      <c r="C493" s="1" t="s">
        <v>1129</v>
      </c>
    </row>
    <row r="494" spans="1:3" x14ac:dyDescent="0.3">
      <c r="A494" s="1">
        <v>227</v>
      </c>
      <c r="B494" s="1" t="s">
        <v>878</v>
      </c>
      <c r="C494" s="1" t="s">
        <v>163</v>
      </c>
    </row>
    <row r="495" spans="1:3" x14ac:dyDescent="0.3">
      <c r="A495" s="1">
        <v>227</v>
      </c>
      <c r="B495" s="1" t="s">
        <v>877</v>
      </c>
      <c r="C495" s="1" t="s">
        <v>162</v>
      </c>
    </row>
    <row r="496" spans="1:3" x14ac:dyDescent="0.3">
      <c r="A496" s="1">
        <v>228</v>
      </c>
      <c r="B496" s="1" t="s">
        <v>879</v>
      </c>
      <c r="C496" s="1" t="s">
        <v>161</v>
      </c>
    </row>
    <row r="497" spans="1:3" x14ac:dyDescent="0.3">
      <c r="A497" s="1">
        <v>228</v>
      </c>
      <c r="B497" s="1" t="s">
        <v>880</v>
      </c>
      <c r="C497" s="1" t="s">
        <v>163</v>
      </c>
    </row>
    <row r="498" spans="1:3" x14ac:dyDescent="0.3">
      <c r="A498" s="1">
        <v>229</v>
      </c>
      <c r="B498" s="1" t="s">
        <v>881</v>
      </c>
      <c r="C498" s="1" t="s">
        <v>163</v>
      </c>
    </row>
    <row r="499" spans="1:3" x14ac:dyDescent="0.3">
      <c r="A499" s="1">
        <v>229</v>
      </c>
      <c r="B499" s="1" t="s">
        <v>840</v>
      </c>
      <c r="C499" s="1" t="s">
        <v>1129</v>
      </c>
    </row>
    <row r="500" spans="1:3" x14ac:dyDescent="0.3">
      <c r="A500" s="1">
        <v>230</v>
      </c>
      <c r="B500" s="1" t="s">
        <v>882</v>
      </c>
      <c r="C500" s="1" t="s">
        <v>1129</v>
      </c>
    </row>
    <row r="501" spans="1:3" x14ac:dyDescent="0.3">
      <c r="A501" s="1">
        <v>230</v>
      </c>
      <c r="B501" s="1" t="s">
        <v>885</v>
      </c>
      <c r="C501" s="1" t="s">
        <v>163</v>
      </c>
    </row>
    <row r="502" spans="1:3" x14ac:dyDescent="0.3">
      <c r="A502" s="1">
        <v>230</v>
      </c>
      <c r="B502" s="1" t="s">
        <v>883</v>
      </c>
      <c r="C502" s="1" t="s">
        <v>162</v>
      </c>
    </row>
    <row r="503" spans="1:3" x14ac:dyDescent="0.3">
      <c r="A503" s="1">
        <v>230</v>
      </c>
      <c r="B503" s="1" t="s">
        <v>884</v>
      </c>
      <c r="C503" s="1" t="s">
        <v>162</v>
      </c>
    </row>
    <row r="504" spans="1:3" x14ac:dyDescent="0.3">
      <c r="A504" s="1">
        <v>231</v>
      </c>
      <c r="B504" s="1" t="s">
        <v>886</v>
      </c>
      <c r="C504" s="1" t="s">
        <v>163</v>
      </c>
    </row>
    <row r="505" spans="1:3" x14ac:dyDescent="0.3">
      <c r="A505" s="1">
        <v>231</v>
      </c>
      <c r="B505" s="1" t="s">
        <v>937</v>
      </c>
      <c r="C505" s="1" t="s">
        <v>1129</v>
      </c>
    </row>
    <row r="506" spans="1:3" x14ac:dyDescent="0.3">
      <c r="A506" s="1">
        <v>232</v>
      </c>
      <c r="B506" s="1" t="s">
        <v>886</v>
      </c>
      <c r="C506" s="1" t="s">
        <v>163</v>
      </c>
    </row>
    <row r="507" spans="1:3" x14ac:dyDescent="0.3">
      <c r="A507" s="1">
        <v>232</v>
      </c>
      <c r="B507" s="1" t="s">
        <v>937</v>
      </c>
      <c r="C507" s="1" t="s">
        <v>1129</v>
      </c>
    </row>
    <row r="508" spans="1:3" x14ac:dyDescent="0.3">
      <c r="A508" s="1">
        <v>233</v>
      </c>
      <c r="B508" s="1" t="s">
        <v>1031</v>
      </c>
      <c r="C508" s="1" t="s">
        <v>163</v>
      </c>
    </row>
    <row r="509" spans="1:3" x14ac:dyDescent="0.3">
      <c r="A509" s="1">
        <v>233</v>
      </c>
      <c r="B509" s="1" t="s">
        <v>1030</v>
      </c>
      <c r="C509" s="1" t="s">
        <v>161</v>
      </c>
    </row>
    <row r="510" spans="1:3" x14ac:dyDescent="0.3">
      <c r="A510" s="1">
        <v>233</v>
      </c>
      <c r="B510" s="1" t="s">
        <v>356</v>
      </c>
      <c r="C510" s="1" t="s">
        <v>1129</v>
      </c>
    </row>
    <row r="511" spans="1:3" x14ac:dyDescent="0.3">
      <c r="A511" s="1">
        <v>233</v>
      </c>
      <c r="B511" s="1" t="s">
        <v>356</v>
      </c>
      <c r="C511" s="1" t="s">
        <v>1129</v>
      </c>
    </row>
    <row r="512" spans="1:3" x14ac:dyDescent="0.3">
      <c r="A512" s="1">
        <v>234</v>
      </c>
      <c r="B512" s="1" t="s">
        <v>1032</v>
      </c>
      <c r="C512" s="1" t="s">
        <v>161</v>
      </c>
    </row>
    <row r="513" spans="1:3" x14ac:dyDescent="0.3">
      <c r="A513" s="1">
        <v>234</v>
      </c>
      <c r="B513" s="1" t="s">
        <v>1033</v>
      </c>
      <c r="C513" s="1" t="s">
        <v>163</v>
      </c>
    </row>
    <row r="514" spans="1:3" x14ac:dyDescent="0.3">
      <c r="A514" s="1">
        <v>235</v>
      </c>
      <c r="B514" s="1" t="s">
        <v>1034</v>
      </c>
      <c r="C514" s="1" t="s">
        <v>163</v>
      </c>
    </row>
    <row r="515" spans="1:3" x14ac:dyDescent="0.3">
      <c r="A515" s="1">
        <v>235</v>
      </c>
      <c r="B515" s="1" t="s">
        <v>828</v>
      </c>
      <c r="C515" s="1" t="s">
        <v>162</v>
      </c>
    </row>
    <row r="516" spans="1:3" x14ac:dyDescent="0.3">
      <c r="A516" s="1">
        <v>236</v>
      </c>
      <c r="B516" s="1" t="s">
        <v>866</v>
      </c>
      <c r="C516" s="1" t="s">
        <v>163</v>
      </c>
    </row>
    <row r="517" spans="1:3" x14ac:dyDescent="0.3">
      <c r="A517" s="1">
        <v>237</v>
      </c>
      <c r="B517" s="1" t="s">
        <v>1035</v>
      </c>
      <c r="C517" s="1" t="s">
        <v>163</v>
      </c>
    </row>
    <row r="518" spans="1:3" x14ac:dyDescent="0.3">
      <c r="A518" s="1">
        <v>238</v>
      </c>
      <c r="B518" s="1" t="s">
        <v>167</v>
      </c>
      <c r="C518" s="1" t="s">
        <v>163</v>
      </c>
    </row>
    <row r="519" spans="1:3" x14ac:dyDescent="0.3">
      <c r="A519" s="1">
        <v>238</v>
      </c>
      <c r="B519" s="1" t="s">
        <v>681</v>
      </c>
      <c r="C519" s="1" t="s">
        <v>161</v>
      </c>
    </row>
    <row r="520" spans="1:3" x14ac:dyDescent="0.3">
      <c r="A520" s="1">
        <v>239</v>
      </c>
      <c r="B520" s="1" t="s">
        <v>1036</v>
      </c>
      <c r="C520" s="1" t="s">
        <v>163</v>
      </c>
    </row>
    <row r="521" spans="1:3" x14ac:dyDescent="0.3">
      <c r="A521" s="1">
        <v>239</v>
      </c>
      <c r="B521" s="1" t="s">
        <v>703</v>
      </c>
      <c r="C521" s="1" t="s">
        <v>1129</v>
      </c>
    </row>
    <row r="522" spans="1:3" x14ac:dyDescent="0.3">
      <c r="A522" s="1">
        <v>240</v>
      </c>
      <c r="B522" s="1" t="s">
        <v>881</v>
      </c>
      <c r="C522" s="1" t="s">
        <v>163</v>
      </c>
    </row>
    <row r="523" spans="1:3" x14ac:dyDescent="0.3">
      <c r="A523" s="1">
        <v>240</v>
      </c>
      <c r="B523" s="1" t="s">
        <v>711</v>
      </c>
      <c r="C523" s="1" t="s">
        <v>1129</v>
      </c>
    </row>
    <row r="524" spans="1:3" x14ac:dyDescent="0.3">
      <c r="A524" s="1">
        <v>241</v>
      </c>
      <c r="B524" s="1" t="s">
        <v>1037</v>
      </c>
      <c r="C524" s="1" t="s">
        <v>163</v>
      </c>
    </row>
    <row r="525" spans="1:3" x14ac:dyDescent="0.3">
      <c r="A525" s="1">
        <v>241</v>
      </c>
      <c r="B525" s="1" t="s">
        <v>703</v>
      </c>
      <c r="C525" s="1" t="s">
        <v>1129</v>
      </c>
    </row>
    <row r="526" spans="1:3" x14ac:dyDescent="0.3">
      <c r="A526" s="1">
        <v>242</v>
      </c>
      <c r="B526" s="1" t="s">
        <v>729</v>
      </c>
      <c r="C526" s="1" t="s">
        <v>163</v>
      </c>
    </row>
    <row r="527" spans="1:3" x14ac:dyDescent="0.3">
      <c r="A527" s="1">
        <v>242</v>
      </c>
      <c r="B527" s="1" t="s">
        <v>360</v>
      </c>
      <c r="C527" s="1" t="s">
        <v>1129</v>
      </c>
    </row>
    <row r="528" spans="1:3" x14ac:dyDescent="0.3">
      <c r="A528" s="1">
        <v>243</v>
      </c>
      <c r="B528" s="1" t="s">
        <v>802</v>
      </c>
      <c r="C528" s="1" t="s">
        <v>1129</v>
      </c>
    </row>
    <row r="529" spans="1:3" x14ac:dyDescent="0.3">
      <c r="A529" s="1">
        <v>243</v>
      </c>
      <c r="B529" s="1" t="s">
        <v>1040</v>
      </c>
      <c r="C529" s="1" t="s">
        <v>163</v>
      </c>
    </row>
    <row r="530" spans="1:3" x14ac:dyDescent="0.3">
      <c r="A530" s="1">
        <v>243</v>
      </c>
      <c r="B530" s="1" t="s">
        <v>1038</v>
      </c>
      <c r="C530" s="1" t="s">
        <v>1129</v>
      </c>
    </row>
    <row r="531" spans="1:3" x14ac:dyDescent="0.3">
      <c r="A531" s="1">
        <v>243</v>
      </c>
      <c r="B531" s="1" t="s">
        <v>1039</v>
      </c>
      <c r="C531" s="1" t="s">
        <v>162</v>
      </c>
    </row>
    <row r="532" spans="1:3" x14ac:dyDescent="0.3">
      <c r="A532" s="1">
        <v>243</v>
      </c>
      <c r="B532" s="1" t="s">
        <v>680</v>
      </c>
      <c r="C532" s="1" t="s">
        <v>1129</v>
      </c>
    </row>
    <row r="533" spans="1:3" x14ac:dyDescent="0.3">
      <c r="A533" s="1">
        <v>244</v>
      </c>
      <c r="B533" s="1" t="s">
        <v>1041</v>
      </c>
      <c r="C533" s="1" t="s">
        <v>163</v>
      </c>
    </row>
    <row r="534" spans="1:3" x14ac:dyDescent="0.3">
      <c r="A534" s="1">
        <v>244</v>
      </c>
      <c r="B534" s="1" t="s">
        <v>802</v>
      </c>
      <c r="C534" s="1" t="s">
        <v>1129</v>
      </c>
    </row>
    <row r="535" spans="1:3" x14ac:dyDescent="0.3">
      <c r="A535" s="1">
        <v>244</v>
      </c>
      <c r="B535" s="1" t="s">
        <v>357</v>
      </c>
      <c r="C535" s="1" t="s">
        <v>161</v>
      </c>
    </row>
    <row r="536" spans="1:3" x14ac:dyDescent="0.3">
      <c r="A536" s="1">
        <v>244</v>
      </c>
      <c r="B536" s="1" t="s">
        <v>1038</v>
      </c>
      <c r="C536" s="1" t="s">
        <v>1129</v>
      </c>
    </row>
    <row r="537" spans="1:3" x14ac:dyDescent="0.3">
      <c r="A537" s="1">
        <v>244</v>
      </c>
      <c r="B537" s="1" t="s">
        <v>1039</v>
      </c>
      <c r="C537" s="1" t="s">
        <v>162</v>
      </c>
    </row>
    <row r="538" spans="1:3" x14ac:dyDescent="0.3">
      <c r="A538" s="1">
        <v>244</v>
      </c>
      <c r="B538" s="1" t="s">
        <v>680</v>
      </c>
      <c r="C538" s="1" t="s">
        <v>1129</v>
      </c>
    </row>
    <row r="539" spans="1:3" x14ac:dyDescent="0.3">
      <c r="A539" s="1">
        <v>245</v>
      </c>
      <c r="B539" s="1" t="s">
        <v>1042</v>
      </c>
      <c r="C539" s="1" t="s">
        <v>162</v>
      </c>
    </row>
    <row r="540" spans="1:3" x14ac:dyDescent="0.3">
      <c r="A540" s="1">
        <v>245</v>
      </c>
      <c r="B540" s="1" t="s">
        <v>1043</v>
      </c>
      <c r="C540" s="1" t="s">
        <v>163</v>
      </c>
    </row>
    <row r="541" spans="1:3" x14ac:dyDescent="0.3">
      <c r="A541" s="1">
        <v>246</v>
      </c>
      <c r="B541" s="1" t="s">
        <v>1044</v>
      </c>
      <c r="C541" s="1" t="s">
        <v>161</v>
      </c>
    </row>
    <row r="542" spans="1:3" x14ac:dyDescent="0.3">
      <c r="A542" s="1">
        <v>246</v>
      </c>
      <c r="B542" s="1" t="s">
        <v>712</v>
      </c>
      <c r="C542" s="1" t="s">
        <v>1129</v>
      </c>
    </row>
    <row r="543" spans="1:3" x14ac:dyDescent="0.3">
      <c r="A543" s="1">
        <v>246</v>
      </c>
      <c r="B543" s="1" t="s">
        <v>1045</v>
      </c>
      <c r="C543" s="1" t="s">
        <v>163</v>
      </c>
    </row>
    <row r="544" spans="1:3" x14ac:dyDescent="0.3">
      <c r="A544" s="1">
        <v>247</v>
      </c>
      <c r="B544" s="1" t="s">
        <v>703</v>
      </c>
      <c r="C544" s="1" t="s">
        <v>1129</v>
      </c>
    </row>
    <row r="545" spans="1:3" x14ac:dyDescent="0.3">
      <c r="A545" s="1">
        <v>247</v>
      </c>
      <c r="B545" s="1" t="s">
        <v>1046</v>
      </c>
      <c r="C545" s="1" t="s">
        <v>163</v>
      </c>
    </row>
    <row r="546" spans="1:3" x14ac:dyDescent="0.3">
      <c r="A546" s="1">
        <v>247</v>
      </c>
      <c r="B546" s="1" t="s">
        <v>356</v>
      </c>
      <c r="C546" s="1" t="s">
        <v>1129</v>
      </c>
    </row>
    <row r="547" spans="1:3" x14ac:dyDescent="0.3">
      <c r="A547" s="1">
        <v>248</v>
      </c>
      <c r="B547" s="1" t="s">
        <v>360</v>
      </c>
      <c r="C547" s="1" t="s">
        <v>1129</v>
      </c>
    </row>
    <row r="548" spans="1:3" x14ac:dyDescent="0.3">
      <c r="A548" s="1">
        <v>249</v>
      </c>
      <c r="B548" s="1" t="s">
        <v>937</v>
      </c>
      <c r="C548" s="1" t="s">
        <v>1129</v>
      </c>
    </row>
    <row r="549" spans="1:3" x14ac:dyDescent="0.3">
      <c r="A549" s="1">
        <v>250</v>
      </c>
      <c r="B549" s="1" t="s">
        <v>1047</v>
      </c>
      <c r="C549" s="1" t="s">
        <v>1129</v>
      </c>
    </row>
    <row r="550" spans="1:3" x14ac:dyDescent="0.3">
      <c r="A550" s="1">
        <v>250</v>
      </c>
      <c r="B550" s="1" t="s">
        <v>356</v>
      </c>
      <c r="C550" s="1" t="s">
        <v>1129</v>
      </c>
    </row>
    <row r="551" spans="1:3" x14ac:dyDescent="0.3">
      <c r="A551" s="1">
        <v>252</v>
      </c>
      <c r="B551" s="1" t="s">
        <v>360</v>
      </c>
      <c r="C551" s="1" t="s">
        <v>1129</v>
      </c>
    </row>
    <row r="552" spans="1:3" x14ac:dyDescent="0.3">
      <c r="A552" s="1">
        <v>253</v>
      </c>
      <c r="B552" s="1" t="s">
        <v>711</v>
      </c>
      <c r="C552" s="1" t="s">
        <v>1129</v>
      </c>
    </row>
    <row r="553" spans="1:3" x14ac:dyDescent="0.3">
      <c r="A553" s="1">
        <v>254</v>
      </c>
      <c r="B553" s="1" t="s">
        <v>703</v>
      </c>
      <c r="C553" s="1" t="s">
        <v>1129</v>
      </c>
    </row>
    <row r="554" spans="1:3" x14ac:dyDescent="0.3">
      <c r="A554" s="1">
        <v>255</v>
      </c>
      <c r="B554" s="1" t="s">
        <v>1049</v>
      </c>
      <c r="C554" s="1" t="s">
        <v>1129</v>
      </c>
    </row>
    <row r="555" spans="1:3" x14ac:dyDescent="0.3">
      <c r="A555" s="1">
        <v>255</v>
      </c>
      <c r="B555" s="1" t="s">
        <v>1048</v>
      </c>
      <c r="C555" s="1" t="s">
        <v>1129</v>
      </c>
    </row>
    <row r="556" spans="1:3" x14ac:dyDescent="0.3">
      <c r="A556" s="1">
        <v>255</v>
      </c>
      <c r="B556" s="1" t="s">
        <v>1050</v>
      </c>
      <c r="C556" s="1" t="s">
        <v>1129</v>
      </c>
    </row>
    <row r="557" spans="1:3" x14ac:dyDescent="0.3">
      <c r="A557" s="1">
        <v>257</v>
      </c>
      <c r="B557" s="1" t="s">
        <v>356</v>
      </c>
      <c r="C557" s="1" t="s">
        <v>1129</v>
      </c>
    </row>
    <row r="558" spans="1:3" x14ac:dyDescent="0.3">
      <c r="A558" s="1">
        <v>258</v>
      </c>
      <c r="B558" s="1" t="s">
        <v>1051</v>
      </c>
      <c r="C558" s="1" t="s">
        <v>1129</v>
      </c>
    </row>
    <row r="559" spans="1:3" x14ac:dyDescent="0.3">
      <c r="A559" s="1">
        <v>259</v>
      </c>
      <c r="B559" s="1" t="s">
        <v>706</v>
      </c>
      <c r="C559" s="1" t="s">
        <v>1129</v>
      </c>
    </row>
    <row r="560" spans="1:3" x14ac:dyDescent="0.3">
      <c r="A560" s="1">
        <v>261</v>
      </c>
      <c r="B560" s="1" t="s">
        <v>703</v>
      </c>
      <c r="C560" s="1" t="s">
        <v>1129</v>
      </c>
    </row>
    <row r="561" spans="1:3" x14ac:dyDescent="0.3">
      <c r="A561" s="1">
        <v>261</v>
      </c>
      <c r="B561" s="1" t="s">
        <v>937</v>
      </c>
      <c r="C561" s="1" t="s">
        <v>1129</v>
      </c>
    </row>
    <row r="562" spans="1:3" x14ac:dyDescent="0.3">
      <c r="A562" s="1">
        <v>262</v>
      </c>
      <c r="B562" s="1" t="s">
        <v>356</v>
      </c>
      <c r="C562" s="1" t="s">
        <v>1129</v>
      </c>
    </row>
    <row r="563" spans="1:3" x14ac:dyDescent="0.3">
      <c r="A563" s="1">
        <v>263</v>
      </c>
      <c r="B563" s="1" t="s">
        <v>355</v>
      </c>
      <c r="C563" s="1" t="s">
        <v>1129</v>
      </c>
    </row>
    <row r="564" spans="1:3" x14ac:dyDescent="0.3">
      <c r="A564" s="1">
        <v>263</v>
      </c>
      <c r="B564" s="1" t="s">
        <v>711</v>
      </c>
      <c r="C564" s="1" t="s">
        <v>1129</v>
      </c>
    </row>
    <row r="565" spans="1:3" x14ac:dyDescent="0.3">
      <c r="A565" s="1">
        <v>265</v>
      </c>
      <c r="B565" s="1" t="s">
        <v>356</v>
      </c>
      <c r="C565" s="1" t="s">
        <v>1129</v>
      </c>
    </row>
    <row r="566" spans="1:3" x14ac:dyDescent="0.3">
      <c r="A566" s="1">
        <v>266</v>
      </c>
      <c r="B566" s="1" t="s">
        <v>355</v>
      </c>
      <c r="C566" s="1" t="s">
        <v>1129</v>
      </c>
    </row>
    <row r="567" spans="1:3" x14ac:dyDescent="0.3">
      <c r="A567" s="1">
        <v>266</v>
      </c>
      <c r="B567" s="1" t="s">
        <v>711</v>
      </c>
      <c r="C567" s="1" t="s">
        <v>1129</v>
      </c>
    </row>
    <row r="568" spans="1:3" x14ac:dyDescent="0.3">
      <c r="A568" s="1">
        <v>267</v>
      </c>
      <c r="B568" s="1" t="s">
        <v>437</v>
      </c>
      <c r="C568" s="1" t="s">
        <v>1129</v>
      </c>
    </row>
    <row r="569" spans="1:3" x14ac:dyDescent="0.3">
      <c r="A569" s="1">
        <v>268</v>
      </c>
      <c r="B569" s="1" t="s">
        <v>1052</v>
      </c>
      <c r="C569" s="1" t="s">
        <v>1129</v>
      </c>
    </row>
    <row r="570" spans="1:3" x14ac:dyDescent="0.3">
      <c r="A570" s="1">
        <v>268</v>
      </c>
      <c r="B570" s="1" t="s">
        <v>356</v>
      </c>
      <c r="C570" s="1" t="s">
        <v>1129</v>
      </c>
    </row>
    <row r="571" spans="1:3" x14ac:dyDescent="0.3">
      <c r="A571" s="1">
        <v>269</v>
      </c>
      <c r="B571" s="1" t="s">
        <v>356</v>
      </c>
      <c r="C571" s="1" t="s">
        <v>1129</v>
      </c>
    </row>
    <row r="572" spans="1:3" x14ac:dyDescent="0.3">
      <c r="A572" s="1">
        <v>270</v>
      </c>
      <c r="B572" s="1" t="s">
        <v>806</v>
      </c>
      <c r="C572" s="1" t="s">
        <v>1129</v>
      </c>
    </row>
    <row r="573" spans="1:3" x14ac:dyDescent="0.3">
      <c r="A573" s="1">
        <v>270</v>
      </c>
      <c r="B573" s="1" t="s">
        <v>1054</v>
      </c>
      <c r="C573" s="1" t="s">
        <v>161</v>
      </c>
    </row>
    <row r="574" spans="1:3" x14ac:dyDescent="0.3">
      <c r="A574" s="1">
        <v>270</v>
      </c>
      <c r="B574" s="1" t="s">
        <v>1053</v>
      </c>
      <c r="C574" s="1" t="s">
        <v>1129</v>
      </c>
    </row>
    <row r="575" spans="1:3" x14ac:dyDescent="0.3">
      <c r="A575" s="1">
        <v>270</v>
      </c>
      <c r="B575" s="1" t="s">
        <v>1055</v>
      </c>
      <c r="C575" s="1" t="s">
        <v>1129</v>
      </c>
    </row>
    <row r="576" spans="1:3" x14ac:dyDescent="0.3">
      <c r="A576" s="1">
        <v>270</v>
      </c>
      <c r="B576" s="1" t="s">
        <v>1056</v>
      </c>
      <c r="C576" s="1" t="s">
        <v>1129</v>
      </c>
    </row>
    <row r="577" spans="1:3" x14ac:dyDescent="0.3">
      <c r="A577" s="1">
        <v>271</v>
      </c>
      <c r="B577" s="1" t="s">
        <v>356</v>
      </c>
      <c r="C577" s="1" t="s">
        <v>1129</v>
      </c>
    </row>
    <row r="578" spans="1:3" x14ac:dyDescent="0.3">
      <c r="A578" s="1">
        <v>272</v>
      </c>
      <c r="B578" s="1" t="s">
        <v>935</v>
      </c>
      <c r="C578" s="1" t="s">
        <v>1129</v>
      </c>
    </row>
    <row r="579" spans="1:3" x14ac:dyDescent="0.3">
      <c r="A579" s="1">
        <v>274</v>
      </c>
      <c r="B579" s="1" t="s">
        <v>937</v>
      </c>
      <c r="C579" s="1" t="s">
        <v>1129</v>
      </c>
    </row>
    <row r="580" spans="1:3" x14ac:dyDescent="0.3">
      <c r="A580" s="1">
        <v>275</v>
      </c>
      <c r="B580" s="1" t="s">
        <v>437</v>
      </c>
      <c r="C580" s="1" t="s">
        <v>1129</v>
      </c>
    </row>
    <row r="581" spans="1:3" x14ac:dyDescent="0.3">
      <c r="A581" s="1">
        <v>275</v>
      </c>
      <c r="B581" s="1" t="s">
        <v>171</v>
      </c>
      <c r="C581" s="1" t="s">
        <v>1129</v>
      </c>
    </row>
    <row r="582" spans="1:3" x14ac:dyDescent="0.3">
      <c r="A582" s="1">
        <v>276</v>
      </c>
      <c r="B582" s="1" t="s">
        <v>356</v>
      </c>
      <c r="C582" s="1" t="s">
        <v>1129</v>
      </c>
    </row>
    <row r="583" spans="1:3" x14ac:dyDescent="0.3">
      <c r="A583" s="1">
        <v>277</v>
      </c>
      <c r="B583" s="1" t="s">
        <v>937</v>
      </c>
      <c r="C583" s="1" t="s">
        <v>1129</v>
      </c>
    </row>
    <row r="584" spans="1:3" x14ac:dyDescent="0.3">
      <c r="A584" s="1">
        <v>278</v>
      </c>
      <c r="B584" s="1" t="s">
        <v>1052</v>
      </c>
      <c r="C584" s="1" t="s">
        <v>1129</v>
      </c>
    </row>
    <row r="585" spans="1:3" x14ac:dyDescent="0.3">
      <c r="A585" s="1">
        <v>278</v>
      </c>
      <c r="B585" s="1" t="s">
        <v>937</v>
      </c>
      <c r="C585" s="1" t="s">
        <v>1129</v>
      </c>
    </row>
    <row r="586" spans="1:3" x14ac:dyDescent="0.3">
      <c r="A586" s="1">
        <v>279</v>
      </c>
      <c r="B586" s="1" t="s">
        <v>706</v>
      </c>
      <c r="C586" s="1" t="s">
        <v>1129</v>
      </c>
    </row>
    <row r="587" spans="1:3" x14ac:dyDescent="0.3">
      <c r="A587" s="1">
        <v>280</v>
      </c>
      <c r="B587" s="1" t="s">
        <v>356</v>
      </c>
      <c r="C587" s="1" t="s">
        <v>1129</v>
      </c>
    </row>
    <row r="588" spans="1:3" x14ac:dyDescent="0.3">
      <c r="A588" s="1">
        <v>281</v>
      </c>
      <c r="B588" s="1" t="s">
        <v>1057</v>
      </c>
      <c r="C588" s="1" t="s">
        <v>1129</v>
      </c>
    </row>
    <row r="589" spans="1:3" x14ac:dyDescent="0.3">
      <c r="A589" s="1">
        <v>281</v>
      </c>
      <c r="B589" s="1" t="s">
        <v>937</v>
      </c>
      <c r="C589" s="1" t="s">
        <v>1129</v>
      </c>
    </row>
    <row r="590" spans="1:3" x14ac:dyDescent="0.3">
      <c r="A590" s="1">
        <v>282</v>
      </c>
      <c r="B590" s="1" t="s">
        <v>354</v>
      </c>
      <c r="C590" s="1" t="s">
        <v>1129</v>
      </c>
    </row>
    <row r="591" spans="1:3" x14ac:dyDescent="0.3">
      <c r="A591" s="1">
        <v>283</v>
      </c>
      <c r="B591" s="1" t="s">
        <v>171</v>
      </c>
      <c r="C591" s="1" t="s">
        <v>1129</v>
      </c>
    </row>
    <row r="592" spans="1:3" x14ac:dyDescent="0.3">
      <c r="A592" s="1">
        <v>284</v>
      </c>
      <c r="B592" s="1" t="s">
        <v>937</v>
      </c>
      <c r="C592" s="1" t="s">
        <v>1129</v>
      </c>
    </row>
    <row r="593" spans="1:3" x14ac:dyDescent="0.3">
      <c r="A593" s="1">
        <v>285</v>
      </c>
      <c r="B593" s="1" t="s">
        <v>435</v>
      </c>
      <c r="C593" s="1" t="s">
        <v>1129</v>
      </c>
    </row>
    <row r="594" spans="1:3" x14ac:dyDescent="0.3">
      <c r="A594" s="1">
        <v>286</v>
      </c>
      <c r="B594" s="1" t="s">
        <v>356</v>
      </c>
      <c r="C594" s="1" t="s">
        <v>1129</v>
      </c>
    </row>
    <row r="595" spans="1:3" x14ac:dyDescent="0.3">
      <c r="A595" s="1">
        <v>288</v>
      </c>
      <c r="B595" s="1" t="s">
        <v>171</v>
      </c>
      <c r="C595" s="1" t="s">
        <v>1129</v>
      </c>
    </row>
    <row r="596" spans="1:3" x14ac:dyDescent="0.3">
      <c r="A596" s="1">
        <v>291</v>
      </c>
      <c r="B596" s="1" t="s">
        <v>437</v>
      </c>
      <c r="C596" s="1" t="s">
        <v>1129</v>
      </c>
    </row>
    <row r="597" spans="1:3" x14ac:dyDescent="0.3">
      <c r="A597" s="1">
        <v>292</v>
      </c>
      <c r="B597" s="1" t="s">
        <v>948</v>
      </c>
      <c r="C597" s="1" t="s">
        <v>1129</v>
      </c>
    </row>
    <row r="598" spans="1:3" x14ac:dyDescent="0.3">
      <c r="A598" s="1">
        <v>293</v>
      </c>
      <c r="B598" s="1" t="s">
        <v>356</v>
      </c>
      <c r="C598" s="1" t="s">
        <v>1129</v>
      </c>
    </row>
    <row r="599" spans="1:3" x14ac:dyDescent="0.3">
      <c r="A599" s="1">
        <v>294</v>
      </c>
      <c r="B599" s="1" t="s">
        <v>437</v>
      </c>
      <c r="C599" s="1" t="s">
        <v>1129</v>
      </c>
    </row>
    <row r="600" spans="1:3" x14ac:dyDescent="0.3">
      <c r="A600" s="1">
        <v>295</v>
      </c>
      <c r="B600" s="1" t="s">
        <v>937</v>
      </c>
      <c r="C600" s="1" t="s">
        <v>1129</v>
      </c>
    </row>
    <row r="601" spans="1:3" x14ac:dyDescent="0.3">
      <c r="A601" s="1">
        <v>296</v>
      </c>
      <c r="B601" s="1" t="s">
        <v>356</v>
      </c>
      <c r="C601" s="1" t="s">
        <v>1129</v>
      </c>
    </row>
    <row r="602" spans="1:3" x14ac:dyDescent="0.3">
      <c r="A602" s="1">
        <v>297</v>
      </c>
      <c r="B602" s="1" t="s">
        <v>437</v>
      </c>
      <c r="C602" s="1" t="s">
        <v>1129</v>
      </c>
    </row>
    <row r="603" spans="1:3" x14ac:dyDescent="0.3">
      <c r="A603" s="1">
        <v>298</v>
      </c>
      <c r="B603" s="1" t="s">
        <v>951</v>
      </c>
      <c r="C603" s="1" t="s">
        <v>1129</v>
      </c>
    </row>
    <row r="604" spans="1:3" x14ac:dyDescent="0.3">
      <c r="A604" s="1">
        <v>299</v>
      </c>
      <c r="B604" s="1" t="s">
        <v>952</v>
      </c>
      <c r="C604" s="1" t="s">
        <v>1129</v>
      </c>
    </row>
    <row r="605" spans="1:3" x14ac:dyDescent="0.3">
      <c r="A605" s="1">
        <v>300</v>
      </c>
      <c r="B605" s="1" t="s">
        <v>806</v>
      </c>
      <c r="C605" s="1" t="s">
        <v>1129</v>
      </c>
    </row>
    <row r="606" spans="1:3" x14ac:dyDescent="0.3">
      <c r="A606" s="1">
        <v>300</v>
      </c>
      <c r="B606" s="1" t="s">
        <v>1052</v>
      </c>
      <c r="C606" s="1" t="s">
        <v>1129</v>
      </c>
    </row>
    <row r="607" spans="1:3" x14ac:dyDescent="0.3">
      <c r="A607" s="1">
        <v>301</v>
      </c>
      <c r="B607" s="1" t="s">
        <v>806</v>
      </c>
      <c r="C607" s="1" t="s">
        <v>1129</v>
      </c>
    </row>
    <row r="608" spans="1:3" x14ac:dyDescent="0.3">
      <c r="A608" s="1">
        <v>301</v>
      </c>
      <c r="B608" s="1" t="s">
        <v>1052</v>
      </c>
      <c r="C608" s="1" t="s">
        <v>1129</v>
      </c>
    </row>
    <row r="609" spans="1:3" x14ac:dyDescent="0.3">
      <c r="A609" s="1">
        <v>303</v>
      </c>
      <c r="B609" s="1" t="s">
        <v>171</v>
      </c>
      <c r="C609" s="1" t="s">
        <v>1129</v>
      </c>
    </row>
    <row r="610" spans="1:3" x14ac:dyDescent="0.3">
      <c r="A610" s="1">
        <v>304</v>
      </c>
      <c r="B610" s="1" t="s">
        <v>806</v>
      </c>
      <c r="C610" s="1" t="s">
        <v>1129</v>
      </c>
    </row>
    <row r="611" spans="1:3" x14ac:dyDescent="0.3">
      <c r="A611" s="1">
        <v>304</v>
      </c>
      <c r="B611" s="1" t="s">
        <v>1052</v>
      </c>
      <c r="C611" s="1" t="s">
        <v>1129</v>
      </c>
    </row>
    <row r="612" spans="1:3" x14ac:dyDescent="0.3">
      <c r="A612" s="1">
        <v>304</v>
      </c>
      <c r="B612" s="1" t="s">
        <v>356</v>
      </c>
      <c r="C612" s="1" t="s">
        <v>1129</v>
      </c>
    </row>
    <row r="613" spans="1:3" x14ac:dyDescent="0.3">
      <c r="A613" s="1">
        <v>306</v>
      </c>
      <c r="B613" s="1" t="s">
        <v>356</v>
      </c>
      <c r="C613" s="1" t="s">
        <v>1129</v>
      </c>
    </row>
    <row r="614" spans="1:3" x14ac:dyDescent="0.3">
      <c r="A614" s="1">
        <v>307</v>
      </c>
      <c r="B614" s="1" t="s">
        <v>952</v>
      </c>
      <c r="C614" s="1" t="s">
        <v>1129</v>
      </c>
    </row>
    <row r="615" spans="1:3" x14ac:dyDescent="0.3">
      <c r="A615" s="1">
        <v>308</v>
      </c>
      <c r="B615" s="1" t="s">
        <v>937</v>
      </c>
      <c r="C615" s="1" t="s">
        <v>1129</v>
      </c>
    </row>
    <row r="616" spans="1:3" x14ac:dyDescent="0.3">
      <c r="A616" s="1">
        <v>309</v>
      </c>
      <c r="B616" s="1" t="s">
        <v>806</v>
      </c>
      <c r="C616" s="1" t="s">
        <v>1129</v>
      </c>
    </row>
    <row r="617" spans="1:3" x14ac:dyDescent="0.3">
      <c r="A617" s="1">
        <v>309</v>
      </c>
      <c r="B617" s="1" t="s">
        <v>1053</v>
      </c>
      <c r="C617" s="1" t="s">
        <v>1129</v>
      </c>
    </row>
    <row r="618" spans="1:3" x14ac:dyDescent="0.3">
      <c r="A618" s="1">
        <v>312</v>
      </c>
      <c r="B618" s="1" t="s">
        <v>354</v>
      </c>
      <c r="C618" s="1" t="s">
        <v>1129</v>
      </c>
    </row>
    <row r="619" spans="1:3" x14ac:dyDescent="0.3">
      <c r="A619" s="1">
        <v>312</v>
      </c>
      <c r="B619" s="1" t="s">
        <v>387</v>
      </c>
      <c r="C619" s="1" t="s">
        <v>1129</v>
      </c>
    </row>
    <row r="620" spans="1:3" x14ac:dyDescent="0.3">
      <c r="A620" s="1">
        <v>313</v>
      </c>
      <c r="B620" s="1" t="s">
        <v>356</v>
      </c>
      <c r="C620" s="1" t="s">
        <v>1129</v>
      </c>
    </row>
    <row r="621" spans="1:3" x14ac:dyDescent="0.3">
      <c r="A621" s="1">
        <v>315</v>
      </c>
      <c r="B621" s="1" t="s">
        <v>1063</v>
      </c>
      <c r="C621" s="1" t="s">
        <v>1129</v>
      </c>
    </row>
    <row r="622" spans="1:3" x14ac:dyDescent="0.3">
      <c r="A622" s="1">
        <v>316</v>
      </c>
      <c r="B622" s="1" t="s">
        <v>360</v>
      </c>
      <c r="C622" s="1" t="s">
        <v>1129</v>
      </c>
    </row>
    <row r="623" spans="1:3" x14ac:dyDescent="0.3">
      <c r="A623" s="1">
        <v>317</v>
      </c>
      <c r="B623" s="1" t="s">
        <v>1063</v>
      </c>
      <c r="C623" s="1" t="s">
        <v>1129</v>
      </c>
    </row>
    <row r="624" spans="1:3" x14ac:dyDescent="0.3">
      <c r="A624" s="1">
        <v>319</v>
      </c>
      <c r="B624" s="1" t="s">
        <v>706</v>
      </c>
      <c r="C624" s="1" t="s">
        <v>1129</v>
      </c>
    </row>
    <row r="625" spans="1:3" x14ac:dyDescent="0.3">
      <c r="A625" s="1">
        <v>320</v>
      </c>
      <c r="B625" s="1" t="s">
        <v>1063</v>
      </c>
      <c r="C625" s="1" t="s">
        <v>1129</v>
      </c>
    </row>
    <row r="626" spans="1:3" x14ac:dyDescent="0.3">
      <c r="A626" s="1">
        <v>322</v>
      </c>
      <c r="B626" s="1" t="s">
        <v>703</v>
      </c>
      <c r="C626" s="1" t="s">
        <v>1129</v>
      </c>
    </row>
    <row r="627" spans="1:3" x14ac:dyDescent="0.3">
      <c r="A627" s="1">
        <v>322</v>
      </c>
      <c r="B627" s="1" t="s">
        <v>1052</v>
      </c>
      <c r="C627" s="1" t="s">
        <v>1129</v>
      </c>
    </row>
    <row r="628" spans="1:3" x14ac:dyDescent="0.3">
      <c r="A628" s="1">
        <v>323</v>
      </c>
      <c r="B628" s="1" t="s">
        <v>1063</v>
      </c>
      <c r="C628" s="1" t="s">
        <v>1129</v>
      </c>
    </row>
    <row r="629" spans="1:3" x14ac:dyDescent="0.3">
      <c r="A629" s="1">
        <v>324</v>
      </c>
      <c r="B629" s="1" t="s">
        <v>1063</v>
      </c>
      <c r="C629" s="1" t="s">
        <v>1129</v>
      </c>
    </row>
    <row r="630" spans="1:3" x14ac:dyDescent="0.3">
      <c r="A630" s="1">
        <v>325</v>
      </c>
      <c r="B630" s="1" t="s">
        <v>1063</v>
      </c>
      <c r="C630" s="1" t="s">
        <v>1129</v>
      </c>
    </row>
    <row r="631" spans="1:3" x14ac:dyDescent="0.3">
      <c r="A631" s="1">
        <v>326</v>
      </c>
      <c r="B631" s="1" t="s">
        <v>875</v>
      </c>
      <c r="C631" s="1" t="s">
        <v>1129</v>
      </c>
    </row>
    <row r="632" spans="1:3" x14ac:dyDescent="0.3">
      <c r="A632" s="1">
        <v>326</v>
      </c>
      <c r="B632" s="1" t="s">
        <v>356</v>
      </c>
      <c r="C632" s="1" t="s">
        <v>1129</v>
      </c>
    </row>
    <row r="633" spans="1:3" x14ac:dyDescent="0.3">
      <c r="A633" s="1">
        <v>327</v>
      </c>
      <c r="B633" s="1" t="s">
        <v>806</v>
      </c>
      <c r="C633" s="1" t="s">
        <v>1129</v>
      </c>
    </row>
    <row r="634" spans="1:3" x14ac:dyDescent="0.3">
      <c r="A634" s="1">
        <v>327</v>
      </c>
      <c r="B634" s="1" t="s">
        <v>387</v>
      </c>
      <c r="C634" s="1" t="s">
        <v>1129</v>
      </c>
    </row>
    <row r="635" spans="1:3" x14ac:dyDescent="0.3">
      <c r="A635" s="1">
        <v>327</v>
      </c>
      <c r="B635" s="1" t="s">
        <v>428</v>
      </c>
      <c r="C635" s="1" t="s">
        <v>1129</v>
      </c>
    </row>
    <row r="636" spans="1:3" x14ac:dyDescent="0.3">
      <c r="A636" s="1">
        <v>327</v>
      </c>
      <c r="B636" s="1" t="s">
        <v>1052</v>
      </c>
      <c r="C636" s="1" t="s">
        <v>1129</v>
      </c>
    </row>
    <row r="637" spans="1:3" x14ac:dyDescent="0.3">
      <c r="A637" s="1">
        <v>328</v>
      </c>
      <c r="B637" s="1" t="s">
        <v>680</v>
      </c>
      <c r="C637" s="1" t="s">
        <v>1129</v>
      </c>
    </row>
    <row r="638" spans="1:3" x14ac:dyDescent="0.3">
      <c r="A638" s="1">
        <v>328</v>
      </c>
      <c r="B638" s="1" t="s">
        <v>356</v>
      </c>
      <c r="C638" s="1" t="s">
        <v>1129</v>
      </c>
    </row>
    <row r="639" spans="1:3" x14ac:dyDescent="0.3">
      <c r="A639" s="1">
        <v>329</v>
      </c>
      <c r="B639" s="1" t="s">
        <v>1081</v>
      </c>
      <c r="C639" s="1" t="s">
        <v>1129</v>
      </c>
    </row>
    <row r="640" spans="1:3" x14ac:dyDescent="0.3">
      <c r="A640" s="1">
        <v>331</v>
      </c>
      <c r="B640" s="1" t="s">
        <v>1063</v>
      </c>
      <c r="C640" s="1" t="s">
        <v>1129</v>
      </c>
    </row>
    <row r="641" spans="1:3" x14ac:dyDescent="0.3">
      <c r="A641" s="1">
        <v>332</v>
      </c>
      <c r="B641" s="1" t="s">
        <v>1063</v>
      </c>
      <c r="C641" s="1" t="s">
        <v>1129</v>
      </c>
    </row>
    <row r="642" spans="1:3" x14ac:dyDescent="0.3">
      <c r="A642" s="1">
        <v>333</v>
      </c>
      <c r="B642" s="1" t="s">
        <v>1085</v>
      </c>
      <c r="C642" s="1" t="s">
        <v>1129</v>
      </c>
    </row>
    <row r="643" spans="1:3" x14ac:dyDescent="0.3">
      <c r="A643" s="1">
        <v>334</v>
      </c>
      <c r="B643" s="1" t="s">
        <v>1085</v>
      </c>
      <c r="C643" s="1" t="s">
        <v>1129</v>
      </c>
    </row>
    <row r="644" spans="1:3" x14ac:dyDescent="0.3">
      <c r="A644" s="1">
        <v>337</v>
      </c>
      <c r="B644" s="1" t="s">
        <v>354</v>
      </c>
      <c r="C644" s="1" t="s">
        <v>1129</v>
      </c>
    </row>
    <row r="645" spans="1:3" x14ac:dyDescent="0.3">
      <c r="A645" s="1">
        <v>337</v>
      </c>
      <c r="B645" s="1" t="s">
        <v>680</v>
      </c>
      <c r="C645" s="1" t="s">
        <v>1129</v>
      </c>
    </row>
    <row r="646" spans="1:3" x14ac:dyDescent="0.3">
      <c r="A646" s="1">
        <v>339</v>
      </c>
      <c r="B646" s="1" t="s">
        <v>706</v>
      </c>
      <c r="C646" s="1" t="s">
        <v>1129</v>
      </c>
    </row>
    <row r="647" spans="1:3" x14ac:dyDescent="0.3">
      <c r="A647" s="1">
        <v>340</v>
      </c>
      <c r="B647" s="1" t="s">
        <v>706</v>
      </c>
      <c r="C647" s="1" t="s">
        <v>1129</v>
      </c>
    </row>
    <row r="648" spans="1:3" x14ac:dyDescent="0.3">
      <c r="A648" s="1">
        <v>341</v>
      </c>
      <c r="B648" s="1" t="s">
        <v>1063</v>
      </c>
      <c r="C648" s="1" t="s">
        <v>1129</v>
      </c>
    </row>
    <row r="649" spans="1:3" x14ac:dyDescent="0.3">
      <c r="A649" s="1">
        <v>342</v>
      </c>
      <c r="B649" s="1" t="s">
        <v>794</v>
      </c>
      <c r="C649" s="1" t="s">
        <v>1129</v>
      </c>
    </row>
    <row r="650" spans="1:3" x14ac:dyDescent="0.3">
      <c r="A650" s="1">
        <v>343</v>
      </c>
      <c r="B650" s="1" t="s">
        <v>1063</v>
      </c>
      <c r="C650" s="1" t="s">
        <v>1129</v>
      </c>
    </row>
    <row r="651" spans="1:3" x14ac:dyDescent="0.3">
      <c r="A651" s="1">
        <v>344</v>
      </c>
      <c r="B651" s="1" t="s">
        <v>1063</v>
      </c>
      <c r="C651" s="1" t="s">
        <v>1129</v>
      </c>
    </row>
    <row r="652" spans="1:3" x14ac:dyDescent="0.3">
      <c r="A652" s="1">
        <v>345</v>
      </c>
      <c r="B652" s="1" t="s">
        <v>1063</v>
      </c>
      <c r="C652" s="1" t="s">
        <v>1129</v>
      </c>
    </row>
    <row r="653" spans="1:3" x14ac:dyDescent="0.3">
      <c r="A653" s="1">
        <v>346</v>
      </c>
      <c r="B653" s="1" t="s">
        <v>798</v>
      </c>
      <c r="C653" s="1" t="s">
        <v>1129</v>
      </c>
    </row>
    <row r="654" spans="1:3" x14ac:dyDescent="0.3">
      <c r="A654" s="1">
        <v>347</v>
      </c>
      <c r="B654" s="1" t="s">
        <v>1063</v>
      </c>
      <c r="C654" s="1" t="s">
        <v>1129</v>
      </c>
    </row>
    <row r="655" spans="1:3" x14ac:dyDescent="0.3">
      <c r="A655" s="1">
        <v>349</v>
      </c>
      <c r="B655" s="1" t="s">
        <v>1063</v>
      </c>
      <c r="C655" s="1" t="s">
        <v>1129</v>
      </c>
    </row>
    <row r="656" spans="1:3" x14ac:dyDescent="0.3">
      <c r="A656" s="1">
        <v>351</v>
      </c>
      <c r="B656" s="1" t="s">
        <v>687</v>
      </c>
      <c r="C656" s="1" t="s">
        <v>1129</v>
      </c>
    </row>
    <row r="657" spans="1:3" x14ac:dyDescent="0.3">
      <c r="A657" s="1">
        <v>352</v>
      </c>
      <c r="B657" s="1" t="s">
        <v>1196</v>
      </c>
      <c r="C657" s="1" t="s">
        <v>1129</v>
      </c>
    </row>
    <row r="658" spans="1:3" x14ac:dyDescent="0.3">
      <c r="A658" s="1">
        <v>352</v>
      </c>
      <c r="B658" s="1" t="s">
        <v>1197</v>
      </c>
      <c r="C658" s="1" t="s">
        <v>1129</v>
      </c>
    </row>
    <row r="659" spans="1:3" x14ac:dyDescent="0.3">
      <c r="A659" s="1">
        <v>352</v>
      </c>
      <c r="B659" s="1" t="s">
        <v>1198</v>
      </c>
      <c r="C659" s="1" t="s">
        <v>1129</v>
      </c>
    </row>
    <row r="660" spans="1:3" x14ac:dyDescent="0.3">
      <c r="A660" s="1">
        <v>352</v>
      </c>
      <c r="B660" s="1" t="s">
        <v>1199</v>
      </c>
      <c r="C660" s="1" t="s">
        <v>1129</v>
      </c>
    </row>
    <row r="661" spans="1:3" x14ac:dyDescent="0.3">
      <c r="A661" s="1">
        <v>354</v>
      </c>
      <c r="B661" s="1" t="s">
        <v>1063</v>
      </c>
      <c r="C661" s="1" t="s">
        <v>1129</v>
      </c>
    </row>
    <row r="662" spans="1:3" x14ac:dyDescent="0.3">
      <c r="A662" s="1">
        <v>355</v>
      </c>
      <c r="B662" s="1" t="s">
        <v>1063</v>
      </c>
      <c r="C662" s="1" t="s">
        <v>1129</v>
      </c>
    </row>
    <row r="663" spans="1:3" x14ac:dyDescent="0.3">
      <c r="A663" s="1">
        <v>356</v>
      </c>
      <c r="B663" s="1" t="s">
        <v>798</v>
      </c>
      <c r="C663" s="1" t="s">
        <v>1129</v>
      </c>
    </row>
    <row r="664" spans="1:3" x14ac:dyDescent="0.3">
      <c r="A664" s="1">
        <v>357</v>
      </c>
      <c r="B664" s="1" t="s">
        <v>387</v>
      </c>
      <c r="C664" s="1" t="s">
        <v>1129</v>
      </c>
    </row>
    <row r="665" spans="1:3" x14ac:dyDescent="0.3">
      <c r="A665" s="1">
        <v>357</v>
      </c>
      <c r="B665" s="1" t="s">
        <v>937</v>
      </c>
      <c r="C665" s="1" t="s">
        <v>1129</v>
      </c>
    </row>
    <row r="666" spans="1:3" x14ac:dyDescent="0.3">
      <c r="A666" s="1">
        <v>357</v>
      </c>
      <c r="B666" s="1" t="s">
        <v>354</v>
      </c>
      <c r="C666" s="1" t="s">
        <v>1129</v>
      </c>
    </row>
    <row r="667" spans="1:3" x14ac:dyDescent="0.3">
      <c r="A667" s="1">
        <v>357</v>
      </c>
      <c r="B667" s="1" t="s">
        <v>1200</v>
      </c>
      <c r="C667" s="1" t="s">
        <v>1129</v>
      </c>
    </row>
    <row r="668" spans="1:3" x14ac:dyDescent="0.3">
      <c r="A668" s="1">
        <v>360</v>
      </c>
      <c r="B668" s="1" t="s">
        <v>1063</v>
      </c>
      <c r="C668" s="1" t="s">
        <v>1129</v>
      </c>
    </row>
    <row r="669" spans="1:3" x14ac:dyDescent="0.3">
      <c r="A669" s="1">
        <v>361</v>
      </c>
      <c r="B669" s="1" t="s">
        <v>794</v>
      </c>
      <c r="C669" s="1" t="s">
        <v>1129</v>
      </c>
    </row>
    <row r="670" spans="1:3" x14ac:dyDescent="0.3">
      <c r="A670" s="1">
        <v>362</v>
      </c>
      <c r="B670" s="1" t="s">
        <v>387</v>
      </c>
      <c r="C670" s="1" t="s">
        <v>1129</v>
      </c>
    </row>
    <row r="671" spans="1:3" x14ac:dyDescent="0.3">
      <c r="A671" s="1">
        <v>362</v>
      </c>
      <c r="B671" s="1" t="s">
        <v>1201</v>
      </c>
      <c r="C671" s="1" t="s">
        <v>1129</v>
      </c>
    </row>
    <row r="672" spans="1:3" x14ac:dyDescent="0.3">
      <c r="A672" s="1">
        <v>363</v>
      </c>
      <c r="B672" s="1" t="s">
        <v>1063</v>
      </c>
      <c r="C672" s="1" t="s">
        <v>1129</v>
      </c>
    </row>
    <row r="673" spans="1:3" x14ac:dyDescent="0.3">
      <c r="A673" s="1">
        <v>365</v>
      </c>
      <c r="B673" s="1" t="s">
        <v>806</v>
      </c>
      <c r="C673" s="1" t="s">
        <v>1129</v>
      </c>
    </row>
    <row r="674" spans="1:3" x14ac:dyDescent="0.3">
      <c r="A674" s="1">
        <v>365</v>
      </c>
      <c r="B674" s="1" t="s">
        <v>1202</v>
      </c>
      <c r="C674" s="1" t="s">
        <v>1129</v>
      </c>
    </row>
    <row r="675" spans="1:3" x14ac:dyDescent="0.3">
      <c r="A675" s="1">
        <v>365</v>
      </c>
      <c r="B675" s="1" t="s">
        <v>356</v>
      </c>
      <c r="C675" s="1" t="s">
        <v>1129</v>
      </c>
    </row>
    <row r="676" spans="1:3" x14ac:dyDescent="0.3">
      <c r="A676" s="1">
        <v>366</v>
      </c>
      <c r="B676" s="1" t="s">
        <v>356</v>
      </c>
      <c r="C676" s="1" t="s">
        <v>1129</v>
      </c>
    </row>
    <row r="677" spans="1:3" x14ac:dyDescent="0.3">
      <c r="A677" s="1">
        <v>366</v>
      </c>
      <c r="B677" s="1" t="s">
        <v>1052</v>
      </c>
      <c r="C677" s="1" t="s">
        <v>1129</v>
      </c>
    </row>
    <row r="678" spans="1:3" x14ac:dyDescent="0.3">
      <c r="A678" s="1">
        <v>366</v>
      </c>
      <c r="B678" s="1" t="s">
        <v>806</v>
      </c>
      <c r="C678" s="1" t="s">
        <v>1129</v>
      </c>
    </row>
    <row r="679" spans="1:3" x14ac:dyDescent="0.3">
      <c r="A679" s="1">
        <v>367</v>
      </c>
      <c r="B679" s="1" t="s">
        <v>360</v>
      </c>
      <c r="C679" s="1" t="s">
        <v>1129</v>
      </c>
    </row>
    <row r="680" spans="1:3" x14ac:dyDescent="0.3">
      <c r="A680" s="1">
        <v>369</v>
      </c>
      <c r="B680" s="1" t="s">
        <v>794</v>
      </c>
      <c r="C680" s="1" t="s">
        <v>1129</v>
      </c>
    </row>
    <row r="681" spans="1:3" x14ac:dyDescent="0.3">
      <c r="A681" s="1">
        <v>370</v>
      </c>
      <c r="B681" s="1" t="s">
        <v>687</v>
      </c>
      <c r="C681" s="1" t="s">
        <v>1129</v>
      </c>
    </row>
    <row r="682" spans="1:3" x14ac:dyDescent="0.3">
      <c r="A682" s="1">
        <v>371</v>
      </c>
      <c r="B682" s="1" t="s">
        <v>1063</v>
      </c>
      <c r="C682" s="1" t="s">
        <v>1129</v>
      </c>
    </row>
    <row r="683" spans="1:3" x14ac:dyDescent="0.3">
      <c r="A683" s="1">
        <v>372</v>
      </c>
      <c r="B683" s="1" t="s">
        <v>1063</v>
      </c>
      <c r="C683" s="1" t="s">
        <v>1129</v>
      </c>
    </row>
    <row r="684" spans="1:3" x14ac:dyDescent="0.3">
      <c r="A684" s="1">
        <v>373</v>
      </c>
      <c r="B684" s="1" t="s">
        <v>1063</v>
      </c>
      <c r="C684" s="1" t="s">
        <v>1129</v>
      </c>
    </row>
    <row r="685" spans="1:3" x14ac:dyDescent="0.3">
      <c r="A685" s="1">
        <v>374</v>
      </c>
      <c r="B685" s="1" t="s">
        <v>1063</v>
      </c>
      <c r="C685" s="1" t="s">
        <v>1129</v>
      </c>
    </row>
    <row r="686" spans="1:3" x14ac:dyDescent="0.3">
      <c r="A686" s="1">
        <v>375</v>
      </c>
      <c r="B686" s="1" t="s">
        <v>1085</v>
      </c>
      <c r="C686" s="1" t="s">
        <v>1129</v>
      </c>
    </row>
    <row r="687" spans="1:3" x14ac:dyDescent="0.3">
      <c r="A687" s="1">
        <v>376</v>
      </c>
      <c r="B687" s="1" t="s">
        <v>1063</v>
      </c>
      <c r="C687" s="1" t="s">
        <v>1129</v>
      </c>
    </row>
    <row r="688" spans="1:3" x14ac:dyDescent="0.3">
      <c r="A688" s="1">
        <v>377</v>
      </c>
      <c r="B688" s="1" t="s">
        <v>1063</v>
      </c>
      <c r="C688" s="1" t="s">
        <v>1129</v>
      </c>
    </row>
    <row r="689" spans="1:3" x14ac:dyDescent="0.3">
      <c r="A689" s="1">
        <v>378</v>
      </c>
      <c r="B689" s="1" t="s">
        <v>1063</v>
      </c>
      <c r="C689" s="1" t="s">
        <v>1129</v>
      </c>
    </row>
    <row r="690" spans="1:3" x14ac:dyDescent="0.3">
      <c r="A690" s="1">
        <v>379</v>
      </c>
      <c r="B690" s="1" t="s">
        <v>687</v>
      </c>
      <c r="C690" s="1" t="s">
        <v>1129</v>
      </c>
    </row>
    <row r="691" spans="1:3" x14ac:dyDescent="0.3">
      <c r="A691" s="1">
        <v>380</v>
      </c>
      <c r="B691" s="1" t="s">
        <v>680</v>
      </c>
      <c r="C691" s="1" t="s">
        <v>1129</v>
      </c>
    </row>
    <row r="692" spans="1:3" x14ac:dyDescent="0.3">
      <c r="A692" s="1">
        <v>381</v>
      </c>
      <c r="B692" s="1" t="s">
        <v>711</v>
      </c>
      <c r="C692" s="1" t="s">
        <v>1129</v>
      </c>
    </row>
    <row r="693" spans="1:3" x14ac:dyDescent="0.3">
      <c r="A693" s="1">
        <v>382</v>
      </c>
      <c r="B693" s="1" t="s">
        <v>1063</v>
      </c>
      <c r="C693" s="1" t="s">
        <v>1129</v>
      </c>
    </row>
    <row r="694" spans="1:3" x14ac:dyDescent="0.3">
      <c r="A694" s="1">
        <v>383</v>
      </c>
      <c r="B694" s="1" t="s">
        <v>1063</v>
      </c>
      <c r="C694" s="1" t="s">
        <v>1129</v>
      </c>
    </row>
    <row r="695" spans="1:3" x14ac:dyDescent="0.3">
      <c r="A695" s="1">
        <v>385</v>
      </c>
      <c r="B695" s="1" t="s">
        <v>1063</v>
      </c>
      <c r="C695" s="1" t="s">
        <v>1129</v>
      </c>
    </row>
    <row r="696" spans="1:3" x14ac:dyDescent="0.3">
      <c r="A696" s="1">
        <v>387</v>
      </c>
      <c r="B696" s="1" t="s">
        <v>354</v>
      </c>
      <c r="C696" s="1" t="s">
        <v>1129</v>
      </c>
    </row>
    <row r="697" spans="1:3" x14ac:dyDescent="0.3">
      <c r="A697" s="1">
        <v>387</v>
      </c>
      <c r="B697" s="1" t="s">
        <v>680</v>
      </c>
      <c r="C697" s="1" t="s">
        <v>1129</v>
      </c>
    </row>
    <row r="698" spans="1:3" x14ac:dyDescent="0.3">
      <c r="A698" s="1">
        <v>389</v>
      </c>
      <c r="B698" s="1" t="s">
        <v>798</v>
      </c>
      <c r="C698" s="1" t="s">
        <v>1129</v>
      </c>
    </row>
    <row r="699" spans="1:3" x14ac:dyDescent="0.3">
      <c r="A699" s="1">
        <v>390</v>
      </c>
      <c r="B699" s="1" t="s">
        <v>1063</v>
      </c>
      <c r="C699" s="1" t="s">
        <v>1129</v>
      </c>
    </row>
    <row r="700" spans="1:3" x14ac:dyDescent="0.3">
      <c r="A700" s="1">
        <v>391</v>
      </c>
      <c r="B700" s="1" t="s">
        <v>1203</v>
      </c>
      <c r="C700" s="1" t="s">
        <v>1129</v>
      </c>
    </row>
    <row r="701" spans="1:3" x14ac:dyDescent="0.3">
      <c r="A701" s="1">
        <v>391</v>
      </c>
      <c r="B701" s="1" t="s">
        <v>1085</v>
      </c>
      <c r="C701" s="1" t="s">
        <v>1129</v>
      </c>
    </row>
    <row r="702" spans="1:3" x14ac:dyDescent="0.3">
      <c r="A702" s="1">
        <v>392</v>
      </c>
      <c r="B702" s="1" t="s">
        <v>687</v>
      </c>
      <c r="C702" s="1" t="s">
        <v>1129</v>
      </c>
    </row>
    <row r="703" spans="1:3" x14ac:dyDescent="0.3">
      <c r="A703" s="1">
        <v>393</v>
      </c>
      <c r="B703" s="1" t="s">
        <v>1063</v>
      </c>
      <c r="C703" s="1" t="s">
        <v>1129</v>
      </c>
    </row>
    <row r="704" spans="1:3" x14ac:dyDescent="0.3">
      <c r="A704" s="1">
        <v>394</v>
      </c>
      <c r="B704" s="1" t="s">
        <v>706</v>
      </c>
      <c r="C704" s="1" t="s">
        <v>1129</v>
      </c>
    </row>
    <row r="705" spans="1:3" x14ac:dyDescent="0.3">
      <c r="A705" s="1">
        <v>397</v>
      </c>
      <c r="B705" s="1" t="s">
        <v>1167</v>
      </c>
      <c r="C705" s="1" t="s">
        <v>1129</v>
      </c>
    </row>
    <row r="706" spans="1:3" x14ac:dyDescent="0.3">
      <c r="A706" s="1">
        <v>399</v>
      </c>
      <c r="B706" s="1" t="s">
        <v>1063</v>
      </c>
      <c r="C706" s="1" t="s">
        <v>1129</v>
      </c>
    </row>
    <row r="707" spans="1:3" x14ac:dyDescent="0.3">
      <c r="A707" s="1">
        <v>400</v>
      </c>
      <c r="B707" s="1" t="s">
        <v>1063</v>
      </c>
      <c r="C707" s="1" t="s">
        <v>1129</v>
      </c>
    </row>
    <row r="708" spans="1:3" x14ac:dyDescent="0.3">
      <c r="A708" s="1">
        <v>401</v>
      </c>
      <c r="B708" s="1" t="s">
        <v>1063</v>
      </c>
      <c r="C708" s="1" t="s">
        <v>1129</v>
      </c>
    </row>
    <row r="709" spans="1:3" x14ac:dyDescent="0.3">
      <c r="A709" s="1">
        <v>403</v>
      </c>
      <c r="B709" s="1" t="s">
        <v>687</v>
      </c>
      <c r="C709" s="1" t="s">
        <v>1129</v>
      </c>
    </row>
    <row r="710" spans="1:3" x14ac:dyDescent="0.3">
      <c r="A710" s="1">
        <v>404</v>
      </c>
      <c r="B710" s="1" t="s">
        <v>171</v>
      </c>
      <c r="C710" s="1" t="s">
        <v>1129</v>
      </c>
    </row>
    <row r="711" spans="1:3" x14ac:dyDescent="0.3">
      <c r="A711" s="1">
        <v>404</v>
      </c>
      <c r="B711" s="1" t="s">
        <v>706</v>
      </c>
      <c r="C711" s="1" t="s">
        <v>1129</v>
      </c>
    </row>
    <row r="712" spans="1:3" x14ac:dyDescent="0.3">
      <c r="A712" s="1">
        <v>405</v>
      </c>
      <c r="B712" s="1" t="s">
        <v>1063</v>
      </c>
      <c r="C712" s="1" t="s">
        <v>1129</v>
      </c>
    </row>
    <row r="713" spans="1:3" x14ac:dyDescent="0.3">
      <c r="A713" s="1">
        <v>406</v>
      </c>
      <c r="B713" s="1" t="s">
        <v>1176</v>
      </c>
      <c r="C713" s="1" t="s">
        <v>1129</v>
      </c>
    </row>
    <row r="714" spans="1:3" x14ac:dyDescent="0.3">
      <c r="A714" s="1">
        <v>407</v>
      </c>
      <c r="B714" s="1" t="s">
        <v>1177</v>
      </c>
      <c r="C714" s="1" t="s">
        <v>1129</v>
      </c>
    </row>
    <row r="715" spans="1:3" x14ac:dyDescent="0.3">
      <c r="A715" s="1">
        <v>408</v>
      </c>
      <c r="B715" s="1" t="s">
        <v>1085</v>
      </c>
      <c r="C715" s="1" t="s">
        <v>1129</v>
      </c>
    </row>
    <row r="716" spans="1:3" x14ac:dyDescent="0.3">
      <c r="A716" s="1">
        <v>409</v>
      </c>
      <c r="B716" s="1" t="s">
        <v>1085</v>
      </c>
      <c r="C716" s="1" t="s">
        <v>1129</v>
      </c>
    </row>
    <row r="717" spans="1:3" x14ac:dyDescent="0.3">
      <c r="A717" s="1">
        <v>410</v>
      </c>
      <c r="B717" s="1" t="s">
        <v>1063</v>
      </c>
      <c r="C717" s="1" t="s">
        <v>1129</v>
      </c>
    </row>
    <row r="718" spans="1:3" x14ac:dyDescent="0.3">
      <c r="A718" s="1">
        <v>411</v>
      </c>
      <c r="B718" s="1" t="s">
        <v>1063</v>
      </c>
      <c r="C718" s="1" t="s">
        <v>1129</v>
      </c>
    </row>
    <row r="719" spans="1:3" x14ac:dyDescent="0.3">
      <c r="A719" s="1">
        <v>412</v>
      </c>
      <c r="B719" s="1" t="s">
        <v>1063</v>
      </c>
      <c r="C719" s="1" t="s">
        <v>1129</v>
      </c>
    </row>
    <row r="720" spans="1:3" x14ac:dyDescent="0.3">
      <c r="A720" s="1">
        <v>413</v>
      </c>
      <c r="B720" s="1" t="s">
        <v>680</v>
      </c>
      <c r="C720" s="1" t="s">
        <v>1129</v>
      </c>
    </row>
    <row r="721" spans="1:3" x14ac:dyDescent="0.3">
      <c r="A721" s="1">
        <v>414</v>
      </c>
      <c r="B721" s="1" t="s">
        <v>1085</v>
      </c>
      <c r="C721" s="1" t="s">
        <v>1129</v>
      </c>
    </row>
    <row r="722" spans="1:3" x14ac:dyDescent="0.3">
      <c r="A722" s="1">
        <v>415</v>
      </c>
      <c r="B722" s="1" t="s">
        <v>687</v>
      </c>
      <c r="C722" s="1" t="s">
        <v>1129</v>
      </c>
    </row>
    <row r="723" spans="1:3" x14ac:dyDescent="0.3">
      <c r="A723" s="1">
        <v>416</v>
      </c>
      <c r="B723" s="1" t="s">
        <v>1063</v>
      </c>
      <c r="C723" s="1" t="s">
        <v>1129</v>
      </c>
    </row>
    <row r="724" spans="1:3" x14ac:dyDescent="0.3">
      <c r="A724" s="1">
        <v>417</v>
      </c>
      <c r="B724" s="1" t="s">
        <v>1063</v>
      </c>
      <c r="C724" s="1" t="s">
        <v>1129</v>
      </c>
    </row>
    <row r="725" spans="1:3" x14ac:dyDescent="0.3">
      <c r="A725" s="1">
        <v>418</v>
      </c>
      <c r="B725" s="1" t="s">
        <v>1085</v>
      </c>
      <c r="C725" s="1" t="s">
        <v>1129</v>
      </c>
    </row>
    <row r="726" spans="1:3" x14ac:dyDescent="0.3">
      <c r="A726" s="1">
        <v>419</v>
      </c>
      <c r="B726" s="1" t="s">
        <v>1177</v>
      </c>
      <c r="C726" s="1" t="s">
        <v>1129</v>
      </c>
    </row>
    <row r="727" spans="1:3" x14ac:dyDescent="0.3">
      <c r="A727" s="1">
        <v>420</v>
      </c>
      <c r="B727" s="1" t="s">
        <v>1063</v>
      </c>
      <c r="C727" s="1" t="s">
        <v>1129</v>
      </c>
    </row>
    <row r="728" spans="1:3" x14ac:dyDescent="0.3">
      <c r="A728" s="1">
        <v>421</v>
      </c>
      <c r="B728" s="1" t="s">
        <v>1063</v>
      </c>
      <c r="C728" s="1" t="s">
        <v>1129</v>
      </c>
    </row>
    <row r="729" spans="1:3" x14ac:dyDescent="0.3">
      <c r="A729" s="1">
        <v>422</v>
      </c>
      <c r="B729" s="1" t="s">
        <v>1085</v>
      </c>
      <c r="C729" s="1" t="s">
        <v>1129</v>
      </c>
    </row>
    <row r="730" spans="1:3" x14ac:dyDescent="0.3">
      <c r="A730" s="1">
        <v>423</v>
      </c>
      <c r="B730" s="1" t="s">
        <v>1167</v>
      </c>
      <c r="C730" s="1" t="s">
        <v>1129</v>
      </c>
    </row>
    <row r="731" spans="1:3" x14ac:dyDescent="0.3">
      <c r="A731" s="1">
        <v>424</v>
      </c>
      <c r="B731" s="1" t="s">
        <v>1085</v>
      </c>
      <c r="C731" s="1" t="s">
        <v>1129</v>
      </c>
    </row>
    <row r="732" spans="1:3" x14ac:dyDescent="0.3">
      <c r="A732" s="1">
        <v>425</v>
      </c>
      <c r="B732" s="1" t="s">
        <v>1085</v>
      </c>
      <c r="C732" s="1" t="s">
        <v>1129</v>
      </c>
    </row>
    <row r="733" spans="1:3" x14ac:dyDescent="0.3">
      <c r="A733" s="1">
        <v>427</v>
      </c>
      <c r="B733" s="1" t="s">
        <v>1085</v>
      </c>
      <c r="C733" s="1" t="s">
        <v>1129</v>
      </c>
    </row>
    <row r="734" spans="1:3" x14ac:dyDescent="0.3">
      <c r="A734" s="1">
        <v>428</v>
      </c>
      <c r="B734" s="1" t="s">
        <v>1063</v>
      </c>
      <c r="C734" s="1" t="s">
        <v>1129</v>
      </c>
    </row>
    <row r="735" spans="1:3" x14ac:dyDescent="0.3">
      <c r="A735" s="1">
        <v>429</v>
      </c>
      <c r="B735" s="1" t="s">
        <v>387</v>
      </c>
      <c r="C735" s="1" t="s">
        <v>1129</v>
      </c>
    </row>
    <row r="736" spans="1:3" x14ac:dyDescent="0.3">
      <c r="A736" s="1">
        <v>429</v>
      </c>
      <c r="B736" s="1" t="s">
        <v>1063</v>
      </c>
      <c r="C736" s="1" t="s">
        <v>1129</v>
      </c>
    </row>
    <row r="737" spans="1:3" x14ac:dyDescent="0.3">
      <c r="A737" s="1">
        <v>431</v>
      </c>
      <c r="B737" s="1" t="s">
        <v>1063</v>
      </c>
      <c r="C737" s="1" t="s">
        <v>1129</v>
      </c>
    </row>
    <row r="738" spans="1:3" x14ac:dyDescent="0.3">
      <c r="A738" s="1">
        <v>432</v>
      </c>
      <c r="B738" s="1" t="s">
        <v>687</v>
      </c>
      <c r="C738" s="1" t="s">
        <v>1129</v>
      </c>
    </row>
    <row r="739" spans="1:3" x14ac:dyDescent="0.3">
      <c r="A739" s="1">
        <v>433</v>
      </c>
      <c r="B739" s="1" t="s">
        <v>809</v>
      </c>
      <c r="C739" s="1" t="s">
        <v>1129</v>
      </c>
    </row>
    <row r="740" spans="1:3" x14ac:dyDescent="0.3">
      <c r="A740" s="1">
        <v>434</v>
      </c>
      <c r="B740" s="1" t="s">
        <v>360</v>
      </c>
      <c r="C740" s="1" t="s">
        <v>1129</v>
      </c>
    </row>
    <row r="741" spans="1:3" x14ac:dyDescent="0.3">
      <c r="A741" s="1">
        <v>435</v>
      </c>
      <c r="B741" s="1" t="s">
        <v>360</v>
      </c>
      <c r="C741" s="1" t="s">
        <v>1129</v>
      </c>
    </row>
    <row r="742" spans="1:3" x14ac:dyDescent="0.3">
      <c r="A742" s="1">
        <v>436</v>
      </c>
      <c r="B742" s="1" t="s">
        <v>706</v>
      </c>
      <c r="C742" s="1" t="s">
        <v>1129</v>
      </c>
    </row>
    <row r="743" spans="1:3" x14ac:dyDescent="0.3">
      <c r="A743" s="1">
        <v>437</v>
      </c>
      <c r="B743" s="1" t="s">
        <v>1204</v>
      </c>
      <c r="C743" s="1" t="s">
        <v>1129</v>
      </c>
    </row>
    <row r="744" spans="1:3" x14ac:dyDescent="0.3">
      <c r="A744" s="1">
        <v>437</v>
      </c>
      <c r="B744" s="1" t="s">
        <v>1052</v>
      </c>
      <c r="C744" s="1" t="s">
        <v>1129</v>
      </c>
    </row>
    <row r="745" spans="1:3" x14ac:dyDescent="0.3">
      <c r="A745" s="1">
        <v>437</v>
      </c>
      <c r="B745" s="1" t="s">
        <v>703</v>
      </c>
      <c r="C745" s="1" t="s">
        <v>1129</v>
      </c>
    </row>
    <row r="746" spans="1:3" x14ac:dyDescent="0.3">
      <c r="A746" s="1">
        <v>438</v>
      </c>
      <c r="B746" s="1" t="s">
        <v>1085</v>
      </c>
      <c r="C746" s="1" t="s">
        <v>1129</v>
      </c>
    </row>
    <row r="747" spans="1:3" x14ac:dyDescent="0.3">
      <c r="A747" s="1">
        <v>439</v>
      </c>
      <c r="B747" s="1" t="s">
        <v>1049</v>
      </c>
      <c r="C747" s="1" t="s">
        <v>1129</v>
      </c>
    </row>
    <row r="748" spans="1:3" x14ac:dyDescent="0.3">
      <c r="A748" s="1">
        <v>440</v>
      </c>
      <c r="B748" s="1" t="s">
        <v>1063</v>
      </c>
      <c r="C748" s="1" t="s">
        <v>1129</v>
      </c>
    </row>
    <row r="749" spans="1:3" x14ac:dyDescent="0.3">
      <c r="A749" s="1">
        <v>441</v>
      </c>
      <c r="B749" s="1" t="s">
        <v>937</v>
      </c>
      <c r="C749" s="1" t="s">
        <v>1129</v>
      </c>
    </row>
    <row r="750" spans="1:3" x14ac:dyDescent="0.3">
      <c r="A750" s="1">
        <v>441</v>
      </c>
      <c r="B750" s="1" t="s">
        <v>1205</v>
      </c>
      <c r="C750" s="1" t="s">
        <v>1129</v>
      </c>
    </row>
    <row r="751" spans="1:3" x14ac:dyDescent="0.3">
      <c r="A751" s="1">
        <v>445</v>
      </c>
      <c r="B751" s="1" t="s">
        <v>1063</v>
      </c>
      <c r="C751" s="1" t="s">
        <v>1129</v>
      </c>
    </row>
    <row r="752" spans="1:3" x14ac:dyDescent="0.3">
      <c r="A752" s="1">
        <v>446</v>
      </c>
      <c r="B752" s="1" t="s">
        <v>1063</v>
      </c>
      <c r="C752" s="1" t="s">
        <v>1129</v>
      </c>
    </row>
    <row r="753" spans="1:3" x14ac:dyDescent="0.3">
      <c r="A753" s="1">
        <v>447</v>
      </c>
      <c r="B753" s="1" t="s">
        <v>1063</v>
      </c>
      <c r="C753" s="1" t="s">
        <v>1129</v>
      </c>
    </row>
    <row r="754" spans="1:3" x14ac:dyDescent="0.3">
      <c r="A754" s="1">
        <v>448</v>
      </c>
      <c r="B754" s="1" t="s">
        <v>1063</v>
      </c>
      <c r="C754" s="1" t="s">
        <v>1129</v>
      </c>
    </row>
    <row r="755" spans="1:3" x14ac:dyDescent="0.3">
      <c r="A755" s="1">
        <v>449</v>
      </c>
      <c r="B755" s="1" t="s">
        <v>1063</v>
      </c>
      <c r="C755" s="1" t="s">
        <v>1129</v>
      </c>
    </row>
    <row r="756" spans="1:3" x14ac:dyDescent="0.3">
      <c r="A756" s="1">
        <v>452</v>
      </c>
      <c r="B756" s="1" t="s">
        <v>1063</v>
      </c>
      <c r="C756" s="1" t="s">
        <v>1129</v>
      </c>
    </row>
    <row r="757" spans="1:3" x14ac:dyDescent="0.3">
      <c r="A757" s="1">
        <v>453</v>
      </c>
      <c r="B757" s="1" t="s">
        <v>1063</v>
      </c>
      <c r="C757" s="1" t="s">
        <v>1129</v>
      </c>
    </row>
    <row r="758" spans="1:3" x14ac:dyDescent="0.3">
      <c r="A758" s="1">
        <v>454</v>
      </c>
      <c r="B758" s="1" t="s">
        <v>1085</v>
      </c>
      <c r="C758" s="1" t="s">
        <v>1129</v>
      </c>
    </row>
    <row r="759" spans="1:3" x14ac:dyDescent="0.3">
      <c r="A759" s="1">
        <v>455</v>
      </c>
      <c r="B759" s="1" t="s">
        <v>1063</v>
      </c>
      <c r="C759" s="1" t="s">
        <v>1129</v>
      </c>
    </row>
    <row r="760" spans="1:3" x14ac:dyDescent="0.3">
      <c r="A760" s="1">
        <v>456</v>
      </c>
      <c r="B760" s="1" t="s">
        <v>1063</v>
      </c>
      <c r="C760" s="1" t="s">
        <v>1129</v>
      </c>
    </row>
    <row r="761" spans="1:3" x14ac:dyDescent="0.3">
      <c r="A761" s="1">
        <v>458</v>
      </c>
      <c r="B761" s="1" t="s">
        <v>1063</v>
      </c>
      <c r="C761" s="1" t="s">
        <v>1129</v>
      </c>
    </row>
    <row r="762" spans="1:3" x14ac:dyDescent="0.3">
      <c r="A762" s="1">
        <v>460</v>
      </c>
      <c r="B762" s="1" t="s">
        <v>1063</v>
      </c>
      <c r="C762" s="1" t="s">
        <v>1129</v>
      </c>
    </row>
    <row r="763" spans="1:3" x14ac:dyDescent="0.3">
      <c r="A763" s="1">
        <v>461</v>
      </c>
      <c r="B763" s="1" t="s">
        <v>360</v>
      </c>
      <c r="C763" s="1" t="s">
        <v>1129</v>
      </c>
    </row>
    <row r="764" spans="1:3" x14ac:dyDescent="0.3">
      <c r="A764" s="1">
        <v>462</v>
      </c>
      <c r="B764" s="1" t="s">
        <v>1063</v>
      </c>
      <c r="C764" s="1" t="s">
        <v>1129</v>
      </c>
    </row>
    <row r="765" spans="1:3" x14ac:dyDescent="0.3">
      <c r="A765" s="1">
        <v>463</v>
      </c>
      <c r="B765" s="1" t="s">
        <v>171</v>
      </c>
      <c r="C765" s="1" t="s">
        <v>1129</v>
      </c>
    </row>
    <row r="766" spans="1:3" x14ac:dyDescent="0.3">
      <c r="A766" s="1">
        <v>463</v>
      </c>
      <c r="B766" s="1" t="s">
        <v>687</v>
      </c>
      <c r="C766" s="1" t="s">
        <v>1129</v>
      </c>
    </row>
    <row r="767" spans="1:3" x14ac:dyDescent="0.3">
      <c r="A767" s="1">
        <v>464</v>
      </c>
      <c r="B767" s="1" t="s">
        <v>1063</v>
      </c>
      <c r="C767" s="1" t="s">
        <v>1129</v>
      </c>
    </row>
    <row r="768" spans="1:3" x14ac:dyDescent="0.3">
      <c r="A768" s="1">
        <v>465</v>
      </c>
      <c r="B768" s="1" t="s">
        <v>1063</v>
      </c>
      <c r="C768" s="1" t="s">
        <v>1129</v>
      </c>
    </row>
    <row r="769" spans="1:3" x14ac:dyDescent="0.3">
      <c r="A769" s="1">
        <v>466</v>
      </c>
      <c r="B769" s="1" t="s">
        <v>687</v>
      </c>
      <c r="C769" s="1" t="s">
        <v>1129</v>
      </c>
    </row>
    <row r="770" spans="1:3" x14ac:dyDescent="0.3">
      <c r="A770" s="1">
        <v>467</v>
      </c>
      <c r="B770" s="1" t="s">
        <v>1063</v>
      </c>
      <c r="C770" s="1" t="s">
        <v>1129</v>
      </c>
    </row>
    <row r="771" spans="1:3" x14ac:dyDescent="0.3">
      <c r="A771" s="1">
        <v>468</v>
      </c>
      <c r="B771" s="1" t="s">
        <v>1063</v>
      </c>
      <c r="C771" s="1" t="s">
        <v>1129</v>
      </c>
    </row>
    <row r="772" spans="1:3" x14ac:dyDescent="0.3">
      <c r="A772" s="1">
        <v>469</v>
      </c>
      <c r="B772" s="1" t="s">
        <v>840</v>
      </c>
      <c r="C772" s="1" t="s">
        <v>1129</v>
      </c>
    </row>
    <row r="773" spans="1:3" x14ac:dyDescent="0.3">
      <c r="A773" s="1">
        <v>469</v>
      </c>
      <c r="B773" s="1" t="s">
        <v>360</v>
      </c>
      <c r="C773" s="1" t="s">
        <v>1129</v>
      </c>
    </row>
    <row r="774" spans="1:3" x14ac:dyDescent="0.3">
      <c r="A774" s="1">
        <v>470</v>
      </c>
      <c r="B774" s="1" t="s">
        <v>687</v>
      </c>
      <c r="C774" s="1" t="s">
        <v>1129</v>
      </c>
    </row>
    <row r="775" spans="1:3" x14ac:dyDescent="0.3">
      <c r="A775" s="1">
        <v>471</v>
      </c>
      <c r="B775" s="1" t="s">
        <v>1063</v>
      </c>
      <c r="C775" s="1" t="s">
        <v>1129</v>
      </c>
    </row>
    <row r="776" spans="1:3" x14ac:dyDescent="0.3">
      <c r="A776" s="1">
        <v>472</v>
      </c>
      <c r="B776" s="1" t="s">
        <v>1063</v>
      </c>
      <c r="C776" s="1" t="s">
        <v>1129</v>
      </c>
    </row>
    <row r="777" spans="1:3" x14ac:dyDescent="0.3">
      <c r="A777" s="1">
        <v>473</v>
      </c>
      <c r="B777" s="1" t="s">
        <v>1063</v>
      </c>
      <c r="C777" s="1" t="s">
        <v>1129</v>
      </c>
    </row>
    <row r="778" spans="1:3" x14ac:dyDescent="0.3">
      <c r="A778" s="1">
        <v>474</v>
      </c>
      <c r="B778" s="1" t="s">
        <v>1063</v>
      </c>
      <c r="C778" s="1" t="s">
        <v>1129</v>
      </c>
    </row>
    <row r="779" spans="1:3" x14ac:dyDescent="0.3">
      <c r="A779" s="1">
        <v>475</v>
      </c>
      <c r="B779" s="1" t="s">
        <v>1167</v>
      </c>
      <c r="C779" s="1" t="s">
        <v>1129</v>
      </c>
    </row>
    <row r="780" spans="1:3" x14ac:dyDescent="0.3">
      <c r="A780" s="1">
        <v>476</v>
      </c>
      <c r="B780" s="1" t="s">
        <v>687</v>
      </c>
      <c r="C780" s="1" t="s">
        <v>1129</v>
      </c>
    </row>
    <row r="781" spans="1:3" x14ac:dyDescent="0.3">
      <c r="A781" s="1">
        <v>481</v>
      </c>
      <c r="B781" s="1" t="s">
        <v>1063</v>
      </c>
      <c r="C781" s="1" t="s">
        <v>1129</v>
      </c>
    </row>
    <row r="782" spans="1:3" x14ac:dyDescent="0.3">
      <c r="A782" s="1">
        <v>482</v>
      </c>
      <c r="B782" s="1" t="s">
        <v>1085</v>
      </c>
      <c r="C782" s="1" t="s">
        <v>1129</v>
      </c>
    </row>
    <row r="783" spans="1:3" x14ac:dyDescent="0.3">
      <c r="A783" s="1">
        <v>483</v>
      </c>
      <c r="B783" s="1" t="s">
        <v>1085</v>
      </c>
      <c r="C783" s="1" t="s">
        <v>1129</v>
      </c>
    </row>
    <row r="784" spans="1:3" x14ac:dyDescent="0.3">
      <c r="A784" s="1">
        <v>484</v>
      </c>
      <c r="B784" s="1" t="s">
        <v>1063</v>
      </c>
      <c r="C784" s="1" t="s">
        <v>1129</v>
      </c>
    </row>
    <row r="785" spans="1:3" x14ac:dyDescent="0.3">
      <c r="A785" s="1">
        <v>485</v>
      </c>
      <c r="B785" s="1" t="s">
        <v>1063</v>
      </c>
      <c r="C785" s="1" t="s">
        <v>1129</v>
      </c>
    </row>
    <row r="786" spans="1:3" x14ac:dyDescent="0.3">
      <c r="A786" s="1">
        <v>486</v>
      </c>
      <c r="B786" s="1" t="s">
        <v>1063</v>
      </c>
      <c r="C786" s="1" t="s">
        <v>1129</v>
      </c>
    </row>
    <row r="787" spans="1:3" x14ac:dyDescent="0.3">
      <c r="A787" s="1">
        <v>487</v>
      </c>
      <c r="B787" s="1" t="s">
        <v>687</v>
      </c>
      <c r="C787" s="1" t="s">
        <v>1129</v>
      </c>
    </row>
    <row r="788" spans="1:3" x14ac:dyDescent="0.3">
      <c r="A788" s="1">
        <v>488</v>
      </c>
      <c r="B788" s="1" t="s">
        <v>1063</v>
      </c>
      <c r="C788" s="1" t="s">
        <v>1129</v>
      </c>
    </row>
    <row r="789" spans="1:3" x14ac:dyDescent="0.3">
      <c r="A789" s="1">
        <v>489</v>
      </c>
      <c r="B789" s="1" t="s">
        <v>1063</v>
      </c>
      <c r="C789" s="1" t="s">
        <v>1129</v>
      </c>
    </row>
    <row r="790" spans="1:3" x14ac:dyDescent="0.3">
      <c r="A790" s="1">
        <v>490</v>
      </c>
      <c r="B790" s="1" t="s">
        <v>354</v>
      </c>
      <c r="C790" s="1" t="s">
        <v>1129</v>
      </c>
    </row>
    <row r="791" spans="1:3" x14ac:dyDescent="0.3">
      <c r="A791" s="1">
        <v>490</v>
      </c>
      <c r="B791" s="1" t="s">
        <v>1063</v>
      </c>
      <c r="C791" s="1" t="s">
        <v>1129</v>
      </c>
    </row>
    <row r="792" spans="1:3" x14ac:dyDescent="0.3">
      <c r="A792" s="1">
        <v>491</v>
      </c>
      <c r="B792" s="1" t="s">
        <v>1063</v>
      </c>
      <c r="C792" s="1" t="s">
        <v>1129</v>
      </c>
    </row>
    <row r="793" spans="1:3" x14ac:dyDescent="0.3">
      <c r="A793" s="1">
        <v>492</v>
      </c>
      <c r="B793" s="1" t="s">
        <v>1063</v>
      </c>
      <c r="C793" s="1" t="s">
        <v>1129</v>
      </c>
    </row>
    <row r="794" spans="1:3" x14ac:dyDescent="0.3">
      <c r="A794" s="1">
        <v>493</v>
      </c>
      <c r="B794" s="1" t="s">
        <v>1063</v>
      </c>
      <c r="C794" s="1" t="s">
        <v>1129</v>
      </c>
    </row>
    <row r="795" spans="1:3" x14ac:dyDescent="0.3">
      <c r="A795" s="1">
        <v>494</v>
      </c>
      <c r="B795" s="1" t="s">
        <v>1050</v>
      </c>
      <c r="C795" s="1" t="s">
        <v>1129</v>
      </c>
    </row>
    <row r="796" spans="1:3" x14ac:dyDescent="0.3">
      <c r="A796" s="1">
        <v>495</v>
      </c>
      <c r="B796" s="1" t="s">
        <v>1063</v>
      </c>
      <c r="C796" s="1" t="s">
        <v>1129</v>
      </c>
    </row>
    <row r="797" spans="1:3" x14ac:dyDescent="0.3">
      <c r="A797" s="1">
        <v>496</v>
      </c>
      <c r="B797" s="1" t="s">
        <v>1063</v>
      </c>
      <c r="C797" s="1" t="s">
        <v>1129</v>
      </c>
    </row>
    <row r="798" spans="1:3" x14ac:dyDescent="0.3">
      <c r="A798" s="1">
        <v>497</v>
      </c>
      <c r="B798" s="1" t="s">
        <v>1063</v>
      </c>
      <c r="C798" s="1" t="s">
        <v>1129</v>
      </c>
    </row>
    <row r="799" spans="1:3" x14ac:dyDescent="0.3">
      <c r="A799" s="1">
        <v>498</v>
      </c>
      <c r="B799" s="1" t="s">
        <v>1063</v>
      </c>
      <c r="C799" s="1" t="s">
        <v>1129</v>
      </c>
    </row>
    <row r="800" spans="1:3" x14ac:dyDescent="0.3">
      <c r="A800" s="1">
        <v>499</v>
      </c>
      <c r="B800" s="1" t="s">
        <v>1085</v>
      </c>
      <c r="C800" s="1" t="s">
        <v>1129</v>
      </c>
    </row>
    <row r="801" spans="1:3" x14ac:dyDescent="0.3">
      <c r="A801" s="1">
        <v>500</v>
      </c>
      <c r="B801" s="1" t="s">
        <v>1052</v>
      </c>
      <c r="C801" s="1" t="s">
        <v>1129</v>
      </c>
    </row>
    <row r="802" spans="1:3" x14ac:dyDescent="0.3">
      <c r="A802" s="1">
        <v>500</v>
      </c>
      <c r="B802" s="1" t="s">
        <v>1220</v>
      </c>
      <c r="C802" s="1" t="s">
        <v>1129</v>
      </c>
    </row>
    <row r="803" spans="1:3" x14ac:dyDescent="0.3">
      <c r="A803" s="1">
        <v>501</v>
      </c>
      <c r="B803" s="1" t="s">
        <v>1063</v>
      </c>
      <c r="C803" s="1" t="s">
        <v>1129</v>
      </c>
    </row>
    <row r="804" spans="1:3" x14ac:dyDescent="0.3">
      <c r="A804" s="1">
        <v>502</v>
      </c>
      <c r="B804" s="1" t="s">
        <v>1063</v>
      </c>
      <c r="C804" s="1" t="s">
        <v>1129</v>
      </c>
    </row>
    <row r="805" spans="1:3" x14ac:dyDescent="0.3">
      <c r="A805" s="1">
        <v>503</v>
      </c>
      <c r="B805" s="1" t="s">
        <v>1063</v>
      </c>
      <c r="C805" s="1" t="s">
        <v>1129</v>
      </c>
    </row>
    <row r="806" spans="1:3" x14ac:dyDescent="0.3">
      <c r="A806" s="1">
        <v>504</v>
      </c>
      <c r="B806" s="1" t="s">
        <v>1202</v>
      </c>
      <c r="C806" s="1" t="s">
        <v>1129</v>
      </c>
    </row>
    <row r="807" spans="1:3" x14ac:dyDescent="0.3">
      <c r="A807" s="1">
        <v>504</v>
      </c>
      <c r="B807" s="1" t="s">
        <v>1063</v>
      </c>
      <c r="C807" s="1" t="s">
        <v>1129</v>
      </c>
    </row>
    <row r="808" spans="1:3" x14ac:dyDescent="0.3">
      <c r="A808" s="1">
        <v>505</v>
      </c>
      <c r="B808" s="1" t="s">
        <v>1063</v>
      </c>
      <c r="C808" s="1" t="s">
        <v>1129</v>
      </c>
    </row>
    <row r="809" spans="1:3" x14ac:dyDescent="0.3">
      <c r="A809" s="1">
        <v>506</v>
      </c>
      <c r="B809" s="1" t="s">
        <v>354</v>
      </c>
      <c r="C809" s="1" t="s">
        <v>1129</v>
      </c>
    </row>
    <row r="810" spans="1:3" x14ac:dyDescent="0.3">
      <c r="A810" s="1">
        <v>506</v>
      </c>
      <c r="B810" s="1" t="s">
        <v>1063</v>
      </c>
      <c r="C810" s="1" t="s">
        <v>1129</v>
      </c>
    </row>
    <row r="811" spans="1:3" x14ac:dyDescent="0.3">
      <c r="A811" s="1">
        <v>507</v>
      </c>
      <c r="B811" s="1" t="s">
        <v>1063</v>
      </c>
      <c r="C811" s="1" t="s">
        <v>1129</v>
      </c>
    </row>
    <row r="812" spans="1:3" x14ac:dyDescent="0.3">
      <c r="A812" s="1">
        <v>508</v>
      </c>
      <c r="B812" s="1" t="s">
        <v>1063</v>
      </c>
      <c r="C812" s="1" t="s">
        <v>1129</v>
      </c>
    </row>
    <row r="813" spans="1:3" x14ac:dyDescent="0.3">
      <c r="A813" s="1">
        <v>509</v>
      </c>
      <c r="B813" s="1" t="s">
        <v>687</v>
      </c>
      <c r="C813" s="1" t="s">
        <v>1129</v>
      </c>
    </row>
    <row r="814" spans="1:3" x14ac:dyDescent="0.3">
      <c r="A814" s="1">
        <v>510</v>
      </c>
      <c r="B814" s="1" t="s">
        <v>360</v>
      </c>
      <c r="C814" s="1" t="s">
        <v>1129</v>
      </c>
    </row>
    <row r="815" spans="1:3" x14ac:dyDescent="0.3">
      <c r="A815" s="1">
        <v>511</v>
      </c>
      <c r="B815" s="1" t="s">
        <v>360</v>
      </c>
      <c r="C815" s="1" t="s">
        <v>1129</v>
      </c>
    </row>
    <row r="816" spans="1:3" x14ac:dyDescent="0.3">
      <c r="A816" s="1">
        <v>512</v>
      </c>
      <c r="B816" s="1" t="s">
        <v>1063</v>
      </c>
      <c r="C816" s="1" t="s">
        <v>1129</v>
      </c>
    </row>
    <row r="817" spans="1:3" x14ac:dyDescent="0.3">
      <c r="A817" s="1">
        <v>513</v>
      </c>
      <c r="B817" s="1" t="s">
        <v>1177</v>
      </c>
      <c r="C817" s="1" t="s">
        <v>1129</v>
      </c>
    </row>
    <row r="818" spans="1:3" x14ac:dyDescent="0.3">
      <c r="A818" s="1">
        <v>514</v>
      </c>
      <c r="B818" s="1" t="s">
        <v>1177</v>
      </c>
      <c r="C818" s="1" t="s">
        <v>1129</v>
      </c>
    </row>
    <row r="819" spans="1:3" x14ac:dyDescent="0.3">
      <c r="A819" s="1">
        <v>515</v>
      </c>
      <c r="B819" s="1" t="s">
        <v>1085</v>
      </c>
      <c r="C819" s="1" t="s">
        <v>1129</v>
      </c>
    </row>
    <row r="820" spans="1:3" x14ac:dyDescent="0.3">
      <c r="A820" s="1">
        <v>516</v>
      </c>
      <c r="B820" s="1" t="s">
        <v>1176</v>
      </c>
      <c r="C820" s="1" t="s">
        <v>1129</v>
      </c>
    </row>
    <row r="821" spans="1:3" x14ac:dyDescent="0.3">
      <c r="A821" s="1">
        <v>517</v>
      </c>
      <c r="B821" s="1" t="s">
        <v>354</v>
      </c>
      <c r="C821" s="1" t="s">
        <v>1129</v>
      </c>
    </row>
    <row r="822" spans="1:3" x14ac:dyDescent="0.3">
      <c r="A822" s="1">
        <v>517</v>
      </c>
      <c r="B822" s="1" t="s">
        <v>1063</v>
      </c>
      <c r="C822" s="1" t="s">
        <v>1129</v>
      </c>
    </row>
    <row r="823" spans="1:3" x14ac:dyDescent="0.3">
      <c r="A823" s="1">
        <v>518</v>
      </c>
      <c r="B823" s="1" t="s">
        <v>1085</v>
      </c>
      <c r="C823" s="1" t="s">
        <v>1129</v>
      </c>
    </row>
    <row r="824" spans="1:3" x14ac:dyDescent="0.3">
      <c r="A824" s="1">
        <v>519</v>
      </c>
      <c r="B824" s="1" t="s">
        <v>802</v>
      </c>
      <c r="C824" s="1" t="s">
        <v>1129</v>
      </c>
    </row>
    <row r="825" spans="1:3" x14ac:dyDescent="0.3">
      <c r="A825" s="1">
        <v>521</v>
      </c>
      <c r="B825" s="1" t="s">
        <v>360</v>
      </c>
      <c r="C825" s="1" t="s">
        <v>1129</v>
      </c>
    </row>
    <row r="826" spans="1:3" x14ac:dyDescent="0.3">
      <c r="A826" s="1">
        <v>522</v>
      </c>
      <c r="B826" s="1" t="s">
        <v>1085</v>
      </c>
      <c r="C826" s="1" t="s">
        <v>1129</v>
      </c>
    </row>
    <row r="827" spans="1:3" x14ac:dyDescent="0.3">
      <c r="A827" s="1">
        <v>523</v>
      </c>
      <c r="B827" s="1" t="s">
        <v>706</v>
      </c>
      <c r="C827" s="1" t="s">
        <v>1129</v>
      </c>
    </row>
    <row r="828" spans="1:3" x14ac:dyDescent="0.3">
      <c r="A828" s="1">
        <v>526</v>
      </c>
      <c r="B828" s="1" t="s">
        <v>1085</v>
      </c>
      <c r="C828" s="1" t="s">
        <v>1129</v>
      </c>
    </row>
    <row r="829" spans="1:3" x14ac:dyDescent="0.3">
      <c r="A829" s="1">
        <v>529</v>
      </c>
      <c r="B829" s="1" t="s">
        <v>1051</v>
      </c>
      <c r="C829" s="1" t="s">
        <v>1129</v>
      </c>
    </row>
    <row r="830" spans="1:3" x14ac:dyDescent="0.3">
      <c r="A830" s="1">
        <v>530</v>
      </c>
      <c r="B830" s="1" t="s">
        <v>1085</v>
      </c>
      <c r="C830" s="1" t="s">
        <v>1129</v>
      </c>
    </row>
    <row r="831" spans="1:3" x14ac:dyDescent="0.3">
      <c r="A831" s="1">
        <v>532</v>
      </c>
      <c r="B831" s="1" t="s">
        <v>1225</v>
      </c>
      <c r="C831" s="1" t="s">
        <v>1129</v>
      </c>
    </row>
    <row r="832" spans="1:3" x14ac:dyDescent="0.3">
      <c r="A832" s="1">
        <v>534</v>
      </c>
      <c r="B832" s="1" t="s">
        <v>1051</v>
      </c>
      <c r="C832" s="1" t="s">
        <v>1129</v>
      </c>
    </row>
    <row r="833" spans="1:3" x14ac:dyDescent="0.3">
      <c r="A833" s="1">
        <v>537</v>
      </c>
      <c r="B833" s="1" t="s">
        <v>1051</v>
      </c>
      <c r="C833" s="1" t="s">
        <v>1129</v>
      </c>
    </row>
    <row r="834" spans="1:3" x14ac:dyDescent="0.3">
      <c r="A834" s="1">
        <v>538</v>
      </c>
      <c r="B834" s="1" t="s">
        <v>1225</v>
      </c>
      <c r="C834" s="1" t="s">
        <v>1129</v>
      </c>
    </row>
    <row r="835" spans="1:3" x14ac:dyDescent="0.3">
      <c r="A835" s="1">
        <v>540</v>
      </c>
      <c r="B835" s="1" t="s">
        <v>1085</v>
      </c>
      <c r="C835" s="1" t="s">
        <v>1129</v>
      </c>
    </row>
    <row r="836" spans="1:3" x14ac:dyDescent="0.3">
      <c r="A836" s="1">
        <v>541</v>
      </c>
      <c r="B836" s="1" t="s">
        <v>1051</v>
      </c>
      <c r="C836" s="1" t="s">
        <v>1129</v>
      </c>
    </row>
    <row r="837" spans="1:3" x14ac:dyDescent="0.3">
      <c r="A837" s="1">
        <v>542</v>
      </c>
      <c r="B837" s="1" t="s">
        <v>1051</v>
      </c>
      <c r="C837" s="1" t="s">
        <v>1129</v>
      </c>
    </row>
    <row r="838" spans="1:3" x14ac:dyDescent="0.3">
      <c r="A838" s="1">
        <v>543</v>
      </c>
      <c r="B838" s="1" t="s">
        <v>1051</v>
      </c>
      <c r="C838" s="1" t="s">
        <v>1129</v>
      </c>
    </row>
    <row r="839" spans="1:3" x14ac:dyDescent="0.3">
      <c r="A839" s="1">
        <v>544</v>
      </c>
      <c r="B839" s="1" t="s">
        <v>1051</v>
      </c>
      <c r="C839" s="1" t="s">
        <v>1129</v>
      </c>
    </row>
    <row r="840" spans="1:3" x14ac:dyDescent="0.3">
      <c r="A840" s="1">
        <v>545</v>
      </c>
      <c r="B840" s="1" t="s">
        <v>1225</v>
      </c>
      <c r="C840" s="1" t="s">
        <v>1129</v>
      </c>
    </row>
    <row r="841" spans="1:3" x14ac:dyDescent="0.3">
      <c r="A841" s="1">
        <v>546</v>
      </c>
      <c r="B841" s="1" t="s">
        <v>1063</v>
      </c>
      <c r="C841" s="1" t="s">
        <v>1129</v>
      </c>
    </row>
    <row r="842" spans="1:3" x14ac:dyDescent="0.3">
      <c r="A842" s="1">
        <v>547</v>
      </c>
      <c r="B842" s="1" t="s">
        <v>1063</v>
      </c>
      <c r="C842" s="1" t="s">
        <v>1129</v>
      </c>
    </row>
    <row r="843" spans="1:3" x14ac:dyDescent="0.3">
      <c r="A843" s="1">
        <v>548</v>
      </c>
      <c r="B843" s="1" t="s">
        <v>711</v>
      </c>
      <c r="C843" s="1" t="s">
        <v>1129</v>
      </c>
    </row>
    <row r="844" spans="1:3" x14ac:dyDescent="0.3">
      <c r="A844" s="1">
        <v>549</v>
      </c>
      <c r="B844" s="1" t="s">
        <v>1063</v>
      </c>
      <c r="C844" s="1" t="s">
        <v>1129</v>
      </c>
    </row>
    <row r="845" spans="1:3" x14ac:dyDescent="0.3">
      <c r="A845" s="1">
        <v>551</v>
      </c>
      <c r="B845" s="1" t="s">
        <v>1063</v>
      </c>
      <c r="C845" s="1" t="s">
        <v>1129</v>
      </c>
    </row>
    <row r="846" spans="1:3" x14ac:dyDescent="0.3">
      <c r="A846" s="1">
        <v>552</v>
      </c>
      <c r="B846" s="1" t="s">
        <v>1063</v>
      </c>
      <c r="C846" s="1" t="s">
        <v>1129</v>
      </c>
    </row>
    <row r="847" spans="1:3" x14ac:dyDescent="0.3">
      <c r="A847" s="1">
        <v>554</v>
      </c>
      <c r="B847" s="1" t="s">
        <v>948</v>
      </c>
      <c r="C847" s="1" t="s">
        <v>1129</v>
      </c>
    </row>
    <row r="848" spans="1:3" x14ac:dyDescent="0.3">
      <c r="A848" s="1">
        <v>554</v>
      </c>
      <c r="B848" s="1" t="s">
        <v>1235</v>
      </c>
      <c r="C848" s="1" t="s">
        <v>1129</v>
      </c>
    </row>
    <row r="849" spans="1:3" x14ac:dyDescent="0.3">
      <c r="A849" s="1">
        <v>555</v>
      </c>
      <c r="B849" s="1" t="s">
        <v>1063</v>
      </c>
      <c r="C849" s="1" t="s">
        <v>1129</v>
      </c>
    </row>
    <row r="850" spans="1:3" x14ac:dyDescent="0.3">
      <c r="A850" s="1">
        <v>556</v>
      </c>
      <c r="B850" s="1" t="s">
        <v>844</v>
      </c>
      <c r="C850" s="1" t="s">
        <v>1129</v>
      </c>
    </row>
    <row r="851" spans="1:3" x14ac:dyDescent="0.3">
      <c r="A851" s="1">
        <v>557</v>
      </c>
      <c r="B851" s="1" t="s">
        <v>1233</v>
      </c>
      <c r="C851" s="1" t="s">
        <v>1129</v>
      </c>
    </row>
    <row r="852" spans="1:3" x14ac:dyDescent="0.3">
      <c r="A852" s="1">
        <v>558</v>
      </c>
      <c r="B852" s="1" t="s">
        <v>360</v>
      </c>
      <c r="C852" s="1" t="s">
        <v>1129</v>
      </c>
    </row>
    <row r="853" spans="1:3" x14ac:dyDescent="0.3">
      <c r="A853" s="1">
        <v>559</v>
      </c>
      <c r="B853" s="1" t="s">
        <v>1063</v>
      </c>
      <c r="C853" s="1" t="s">
        <v>1129</v>
      </c>
    </row>
    <row r="854" spans="1:3" x14ac:dyDescent="0.3">
      <c r="A854" s="1">
        <v>560</v>
      </c>
      <c r="B854" s="1" t="s">
        <v>1085</v>
      </c>
      <c r="C854" s="1" t="s">
        <v>1129</v>
      </c>
    </row>
    <row r="855" spans="1:3" x14ac:dyDescent="0.3">
      <c r="A855" s="1">
        <v>561</v>
      </c>
      <c r="B855" s="1" t="s">
        <v>703</v>
      </c>
      <c r="C855" s="1" t="s">
        <v>1129</v>
      </c>
    </row>
    <row r="856" spans="1:3" x14ac:dyDescent="0.3">
      <c r="A856" s="1">
        <v>562</v>
      </c>
      <c r="B856" s="1" t="s">
        <v>687</v>
      </c>
      <c r="C856" s="1" t="s">
        <v>1129</v>
      </c>
    </row>
    <row r="857" spans="1:3" x14ac:dyDescent="0.3">
      <c r="A857" s="1">
        <v>563</v>
      </c>
      <c r="B857" s="1" t="s">
        <v>1063</v>
      </c>
      <c r="C857" s="1" t="s">
        <v>1129</v>
      </c>
    </row>
    <row r="858" spans="1:3" x14ac:dyDescent="0.3">
      <c r="A858" s="1">
        <v>564</v>
      </c>
      <c r="B858" s="1" t="s">
        <v>1177</v>
      </c>
      <c r="C858" s="1" t="s">
        <v>1129</v>
      </c>
    </row>
    <row r="859" spans="1:3" x14ac:dyDescent="0.3">
      <c r="A859" s="1">
        <v>565</v>
      </c>
      <c r="B859" s="1" t="s">
        <v>1063</v>
      </c>
      <c r="C859" s="1" t="s">
        <v>1129</v>
      </c>
    </row>
    <row r="860" spans="1:3" x14ac:dyDescent="0.3">
      <c r="A860" s="1">
        <v>566</v>
      </c>
      <c r="B860" s="1" t="s">
        <v>360</v>
      </c>
      <c r="C860" s="1" t="s">
        <v>1129</v>
      </c>
    </row>
    <row r="861" spans="1:3" x14ac:dyDescent="0.3">
      <c r="A861" s="1">
        <v>567</v>
      </c>
      <c r="B861" s="1" t="s">
        <v>360</v>
      </c>
      <c r="C861" s="1" t="s">
        <v>1129</v>
      </c>
    </row>
    <row r="862" spans="1:3" x14ac:dyDescent="0.3">
      <c r="A862" s="1">
        <v>568</v>
      </c>
      <c r="B862" s="1" t="s">
        <v>360</v>
      </c>
      <c r="C862" s="1" t="s">
        <v>1129</v>
      </c>
    </row>
    <row r="863" spans="1:3" x14ac:dyDescent="0.3">
      <c r="A863" s="1">
        <v>569</v>
      </c>
      <c r="B863" s="1" t="s">
        <v>1063</v>
      </c>
      <c r="C863" s="1" t="s">
        <v>1129</v>
      </c>
    </row>
    <row r="864" spans="1:3" x14ac:dyDescent="0.3">
      <c r="A864" s="1">
        <v>571</v>
      </c>
      <c r="B864" s="1" t="s">
        <v>1063</v>
      </c>
      <c r="C864" s="1" t="s">
        <v>1129</v>
      </c>
    </row>
    <row r="865" spans="1:3" x14ac:dyDescent="0.3">
      <c r="A865" s="1">
        <v>574</v>
      </c>
      <c r="B865" s="1" t="s">
        <v>1177</v>
      </c>
      <c r="C865" s="1" t="s">
        <v>1129</v>
      </c>
    </row>
    <row r="866" spans="1:3" x14ac:dyDescent="0.3">
      <c r="A866" s="1">
        <v>575</v>
      </c>
      <c r="B866" s="1" t="s">
        <v>1177</v>
      </c>
      <c r="C866" s="1" t="s">
        <v>1129</v>
      </c>
    </row>
    <row r="867" spans="1:3" x14ac:dyDescent="0.3">
      <c r="A867" s="1">
        <v>576</v>
      </c>
      <c r="B867" s="1" t="s">
        <v>1085</v>
      </c>
      <c r="C867" s="1" t="s">
        <v>1129</v>
      </c>
    </row>
    <row r="868" spans="1:3" x14ac:dyDescent="0.3">
      <c r="A868" s="1">
        <v>579</v>
      </c>
      <c r="B868" s="1" t="s">
        <v>1063</v>
      </c>
      <c r="C868" s="1" t="s">
        <v>1129</v>
      </c>
    </row>
    <row r="869" spans="1:3" x14ac:dyDescent="0.3">
      <c r="A869" s="1">
        <v>582</v>
      </c>
      <c r="B869" s="1" t="s">
        <v>1085</v>
      </c>
      <c r="C869" s="1" t="s">
        <v>1129</v>
      </c>
    </row>
    <row r="870" spans="1:3" x14ac:dyDescent="0.3">
      <c r="A870" s="1">
        <v>587</v>
      </c>
      <c r="B870" s="1" t="s">
        <v>1063</v>
      </c>
      <c r="C870" s="1" t="s">
        <v>1129</v>
      </c>
    </row>
    <row r="871" spans="1:3" x14ac:dyDescent="0.3">
      <c r="A871" s="1">
        <v>588</v>
      </c>
      <c r="B871" s="1" t="s">
        <v>1063</v>
      </c>
      <c r="C871" s="1" t="s">
        <v>1129</v>
      </c>
    </row>
    <row r="872" spans="1:3" x14ac:dyDescent="0.3">
      <c r="A872" s="1">
        <v>590</v>
      </c>
      <c r="B872" s="1" t="s">
        <v>1063</v>
      </c>
      <c r="C872" s="1" t="s">
        <v>1129</v>
      </c>
    </row>
    <row r="873" spans="1:3" x14ac:dyDescent="0.3">
      <c r="A873" s="1">
        <v>591</v>
      </c>
      <c r="B873" s="1" t="s">
        <v>355</v>
      </c>
      <c r="C873" s="1" t="s">
        <v>1129</v>
      </c>
    </row>
    <row r="874" spans="1:3" x14ac:dyDescent="0.3">
      <c r="A874" s="1">
        <v>592</v>
      </c>
      <c r="B874" s="1" t="s">
        <v>1063</v>
      </c>
      <c r="C874" s="1" t="s">
        <v>1129</v>
      </c>
    </row>
    <row r="875" spans="1:3" x14ac:dyDescent="0.3">
      <c r="A875" s="1">
        <v>593</v>
      </c>
      <c r="B875" s="1" t="s">
        <v>1085</v>
      </c>
      <c r="C875" s="1" t="s">
        <v>1129</v>
      </c>
    </row>
    <row r="876" spans="1:3" x14ac:dyDescent="0.3">
      <c r="A876" s="1">
        <v>595</v>
      </c>
      <c r="B876" s="1" t="s">
        <v>1177</v>
      </c>
      <c r="C876" s="1" t="s">
        <v>1129</v>
      </c>
    </row>
    <row r="877" spans="1:3" x14ac:dyDescent="0.3">
      <c r="A877" s="1">
        <v>596</v>
      </c>
      <c r="B877" s="1" t="s">
        <v>1063</v>
      </c>
      <c r="C877" s="1" t="s">
        <v>1129</v>
      </c>
    </row>
    <row r="878" spans="1:3" x14ac:dyDescent="0.3">
      <c r="A878" s="1">
        <v>599</v>
      </c>
      <c r="B878" s="1" t="s">
        <v>1063</v>
      </c>
      <c r="C878" s="1" t="s">
        <v>1129</v>
      </c>
    </row>
    <row r="879" spans="1:3" x14ac:dyDescent="0.3">
      <c r="A879" s="1">
        <v>600</v>
      </c>
      <c r="B879" s="1" t="s">
        <v>1177</v>
      </c>
      <c r="C879" s="1" t="s">
        <v>1129</v>
      </c>
    </row>
    <row r="880" spans="1:3" x14ac:dyDescent="0.3">
      <c r="A880" s="1">
        <v>607</v>
      </c>
      <c r="B880" s="1" t="s">
        <v>1063</v>
      </c>
      <c r="C880" s="1" t="s">
        <v>1129</v>
      </c>
    </row>
    <row r="881" spans="1:3" x14ac:dyDescent="0.3">
      <c r="A881" s="1">
        <v>608</v>
      </c>
      <c r="B881" s="1" t="s">
        <v>809</v>
      </c>
      <c r="C881" s="1" t="s">
        <v>1129</v>
      </c>
    </row>
    <row r="882" spans="1:3" x14ac:dyDescent="0.3">
      <c r="A882" s="1">
        <v>611</v>
      </c>
      <c r="B882" s="1" t="s">
        <v>1063</v>
      </c>
      <c r="C882" s="1" t="s">
        <v>1129</v>
      </c>
    </row>
    <row r="883" spans="1:3" x14ac:dyDescent="0.3">
      <c r="A883" s="1">
        <v>613</v>
      </c>
      <c r="B883" s="1" t="s">
        <v>794</v>
      </c>
      <c r="C883" s="1" t="s">
        <v>1129</v>
      </c>
    </row>
    <row r="884" spans="1:3" x14ac:dyDescent="0.3">
      <c r="A884" s="1">
        <v>615</v>
      </c>
      <c r="B884" s="1" t="s">
        <v>802</v>
      </c>
      <c r="C884" s="1" t="s">
        <v>1129</v>
      </c>
    </row>
    <row r="885" spans="1:3" x14ac:dyDescent="0.3">
      <c r="A885" s="1">
        <v>616</v>
      </c>
      <c r="B885" s="1" t="s">
        <v>360</v>
      </c>
      <c r="C885" s="1" t="s">
        <v>1129</v>
      </c>
    </row>
    <row r="886" spans="1:3" x14ac:dyDescent="0.3">
      <c r="A886" s="1">
        <v>620</v>
      </c>
      <c r="B886" s="1" t="s">
        <v>1063</v>
      </c>
      <c r="C886" s="1" t="s">
        <v>1129</v>
      </c>
    </row>
    <row r="887" spans="1:3" x14ac:dyDescent="0.3">
      <c r="A887" s="1">
        <v>622</v>
      </c>
      <c r="B887" s="1" t="s">
        <v>1063</v>
      </c>
      <c r="C887" s="1" t="s">
        <v>1129</v>
      </c>
    </row>
    <row r="888" spans="1:3" x14ac:dyDescent="0.3">
      <c r="A888" s="1">
        <v>623</v>
      </c>
      <c r="B888" s="1" t="s">
        <v>687</v>
      </c>
      <c r="C888" s="1" t="s">
        <v>1129</v>
      </c>
    </row>
    <row r="889" spans="1:3" x14ac:dyDescent="0.3">
      <c r="A889" s="1">
        <v>625</v>
      </c>
      <c r="B889" s="1" t="s">
        <v>706</v>
      </c>
      <c r="C889" s="1" t="s">
        <v>1129</v>
      </c>
    </row>
    <row r="890" spans="1:3" x14ac:dyDescent="0.3">
      <c r="A890" s="1">
        <v>627</v>
      </c>
      <c r="B890" s="1" t="s">
        <v>1063</v>
      </c>
      <c r="C890" s="1" t="s">
        <v>1129</v>
      </c>
    </row>
    <row r="891" spans="1:3" x14ac:dyDescent="0.3">
      <c r="A891" s="1">
        <v>628</v>
      </c>
      <c r="B891" s="1" t="s">
        <v>1063</v>
      </c>
      <c r="C891" s="1" t="s">
        <v>1129</v>
      </c>
    </row>
    <row r="892" spans="1:3" x14ac:dyDescent="0.3">
      <c r="A892" s="1">
        <v>629</v>
      </c>
      <c r="B892" s="1" t="s">
        <v>1233</v>
      </c>
      <c r="C892" s="1" t="s">
        <v>1129</v>
      </c>
    </row>
    <row r="893" spans="1:3" x14ac:dyDescent="0.3">
      <c r="A893" s="1">
        <v>633</v>
      </c>
      <c r="B893" s="1" t="s">
        <v>1063</v>
      </c>
      <c r="C893" s="1" t="s">
        <v>1129</v>
      </c>
    </row>
    <row r="894" spans="1:3" x14ac:dyDescent="0.3">
      <c r="A894" s="1">
        <v>634</v>
      </c>
      <c r="B894" s="1" t="s">
        <v>1285</v>
      </c>
      <c r="C894" s="1" t="s">
        <v>1129</v>
      </c>
    </row>
    <row r="895" spans="1:3" x14ac:dyDescent="0.3">
      <c r="A895" s="1">
        <v>634</v>
      </c>
      <c r="B895" s="1" t="s">
        <v>706</v>
      </c>
      <c r="C895" s="1" t="s">
        <v>1129</v>
      </c>
    </row>
    <row r="896" spans="1:3" x14ac:dyDescent="0.3">
      <c r="A896" s="1">
        <v>635</v>
      </c>
      <c r="B896" s="1" t="s">
        <v>1085</v>
      </c>
      <c r="C896" s="1" t="s">
        <v>1129</v>
      </c>
    </row>
    <row r="897" spans="1:3" x14ac:dyDescent="0.3">
      <c r="A897" s="1">
        <v>636</v>
      </c>
      <c r="B897" s="1" t="s">
        <v>1063</v>
      </c>
      <c r="C897" s="1" t="s">
        <v>1129</v>
      </c>
    </row>
    <row r="898" spans="1:3" x14ac:dyDescent="0.3">
      <c r="A898" s="1">
        <v>639</v>
      </c>
      <c r="B898" s="1" t="s">
        <v>1063</v>
      </c>
      <c r="C898" s="1" t="s">
        <v>1129</v>
      </c>
    </row>
    <row r="899" spans="1:3" x14ac:dyDescent="0.3">
      <c r="A899" s="1">
        <v>640</v>
      </c>
      <c r="B899" s="1" t="s">
        <v>1286</v>
      </c>
      <c r="C899" s="1" t="s">
        <v>1129</v>
      </c>
    </row>
    <row r="900" spans="1:3" x14ac:dyDescent="0.3">
      <c r="A900" s="1">
        <v>640</v>
      </c>
      <c r="B900" s="1" t="s">
        <v>356</v>
      </c>
      <c r="C900" s="1" t="s">
        <v>1129</v>
      </c>
    </row>
    <row r="901" spans="1:3" x14ac:dyDescent="0.3">
      <c r="A901" s="1">
        <v>640</v>
      </c>
      <c r="B901" s="1" t="s">
        <v>802</v>
      </c>
      <c r="C901" s="1" t="s">
        <v>1129</v>
      </c>
    </row>
    <row r="902" spans="1:3" x14ac:dyDescent="0.3">
      <c r="A902" s="1">
        <v>641</v>
      </c>
      <c r="B902" s="1" t="s">
        <v>1286</v>
      </c>
      <c r="C902" s="1" t="s">
        <v>1129</v>
      </c>
    </row>
    <row r="903" spans="1:3" x14ac:dyDescent="0.3">
      <c r="A903" s="1">
        <v>641</v>
      </c>
      <c r="B903" s="1" t="s">
        <v>356</v>
      </c>
      <c r="C903" s="1" t="s">
        <v>1129</v>
      </c>
    </row>
    <row r="904" spans="1:3" x14ac:dyDescent="0.3">
      <c r="A904" s="1">
        <v>641</v>
      </c>
      <c r="B904" s="1" t="s">
        <v>802</v>
      </c>
      <c r="C904" s="1" t="s">
        <v>1129</v>
      </c>
    </row>
    <row r="905" spans="1:3" x14ac:dyDescent="0.3">
      <c r="A905" s="1">
        <v>642</v>
      </c>
      <c r="B905" s="1" t="s">
        <v>1063</v>
      </c>
      <c r="C905" s="1" t="s">
        <v>1129</v>
      </c>
    </row>
    <row r="906" spans="1:3" x14ac:dyDescent="0.3">
      <c r="A906" s="1">
        <v>645</v>
      </c>
      <c r="B906" s="1" t="s">
        <v>435</v>
      </c>
      <c r="C906" s="1" t="s">
        <v>1129</v>
      </c>
    </row>
    <row r="907" spans="1:3" x14ac:dyDescent="0.3">
      <c r="A907" s="1">
        <v>645</v>
      </c>
      <c r="B907" s="1" t="s">
        <v>360</v>
      </c>
      <c r="C907" s="1" t="s">
        <v>1129</v>
      </c>
    </row>
    <row r="908" spans="1:3" x14ac:dyDescent="0.3">
      <c r="A908" s="1">
        <v>646</v>
      </c>
      <c r="B908" s="1" t="s">
        <v>687</v>
      </c>
      <c r="C908" s="1" t="s">
        <v>1129</v>
      </c>
    </row>
    <row r="909" spans="1:3" x14ac:dyDescent="0.3">
      <c r="A909" s="1">
        <v>647</v>
      </c>
      <c r="B909" s="1" t="s">
        <v>1085</v>
      </c>
      <c r="C909" s="1" t="s">
        <v>1129</v>
      </c>
    </row>
    <row r="910" spans="1:3" x14ac:dyDescent="0.3">
      <c r="A910" s="1">
        <v>648</v>
      </c>
      <c r="B910" s="1" t="s">
        <v>1275</v>
      </c>
      <c r="C910" s="1" t="s">
        <v>1129</v>
      </c>
    </row>
    <row r="911" spans="1:3" x14ac:dyDescent="0.3">
      <c r="A911" s="1">
        <v>649</v>
      </c>
      <c r="B911" s="1" t="s">
        <v>844</v>
      </c>
      <c r="C911" s="1" t="s">
        <v>1129</v>
      </c>
    </row>
    <row r="912" spans="1:3" x14ac:dyDescent="0.3">
      <c r="A912" s="1">
        <v>650</v>
      </c>
      <c r="B912" s="1" t="s">
        <v>1063</v>
      </c>
      <c r="C912" s="1" t="s">
        <v>1129</v>
      </c>
    </row>
    <row r="913" spans="1:3" x14ac:dyDescent="0.3">
      <c r="A913" s="1">
        <v>651</v>
      </c>
      <c r="B913" s="1" t="s">
        <v>794</v>
      </c>
      <c r="C913" s="1" t="s">
        <v>1129</v>
      </c>
    </row>
    <row r="914" spans="1:3" x14ac:dyDescent="0.3">
      <c r="A914" s="1">
        <v>653</v>
      </c>
      <c r="B914" s="1" t="s">
        <v>1085</v>
      </c>
      <c r="C914" s="1" t="s">
        <v>1129</v>
      </c>
    </row>
    <row r="915" spans="1:3" x14ac:dyDescent="0.3">
      <c r="A915" s="1">
        <v>654</v>
      </c>
      <c r="B915" s="1" t="s">
        <v>428</v>
      </c>
      <c r="C915" s="1" t="s">
        <v>1129</v>
      </c>
    </row>
    <row r="916" spans="1:3" x14ac:dyDescent="0.3">
      <c r="A916" s="1">
        <v>654</v>
      </c>
      <c r="B916" s="1" t="s">
        <v>680</v>
      </c>
      <c r="C916" s="1" t="s">
        <v>1129</v>
      </c>
    </row>
    <row r="917" spans="1:3" x14ac:dyDescent="0.3">
      <c r="A917" s="1">
        <v>656</v>
      </c>
      <c r="B917" s="1" t="s">
        <v>1177</v>
      </c>
      <c r="C917" s="1" t="s">
        <v>1129</v>
      </c>
    </row>
    <row r="918" spans="1:3" x14ac:dyDescent="0.3">
      <c r="A918" s="1">
        <v>662</v>
      </c>
      <c r="B918" s="1" t="s">
        <v>360</v>
      </c>
      <c r="C918" s="1" t="s">
        <v>1129</v>
      </c>
    </row>
    <row r="919" spans="1:3" x14ac:dyDescent="0.3">
      <c r="A919" s="1">
        <v>663</v>
      </c>
      <c r="B919" s="1" t="s">
        <v>1063</v>
      </c>
      <c r="C919" s="1" t="s">
        <v>1129</v>
      </c>
    </row>
    <row r="920" spans="1:3" x14ac:dyDescent="0.3">
      <c r="A920" s="1">
        <v>664</v>
      </c>
      <c r="B920" s="1" t="s">
        <v>1177</v>
      </c>
      <c r="C920" s="1" t="s">
        <v>1129</v>
      </c>
    </row>
    <row r="921" spans="1:3" x14ac:dyDescent="0.3">
      <c r="A921" s="1">
        <v>665</v>
      </c>
      <c r="B921" s="1" t="s">
        <v>1085</v>
      </c>
      <c r="C921" s="1" t="s">
        <v>1129</v>
      </c>
    </row>
    <row r="922" spans="1:3" x14ac:dyDescent="0.3">
      <c r="A922" s="1">
        <v>667</v>
      </c>
      <c r="B922" s="1" t="s">
        <v>1085</v>
      </c>
      <c r="C922" s="1" t="s">
        <v>1129</v>
      </c>
    </row>
    <row r="923" spans="1:3" x14ac:dyDescent="0.3">
      <c r="A923" s="1">
        <v>668</v>
      </c>
      <c r="B923" s="1" t="s">
        <v>798</v>
      </c>
      <c r="C923" s="1" t="s">
        <v>1129</v>
      </c>
    </row>
    <row r="924" spans="1:3" x14ac:dyDescent="0.3">
      <c r="A924" s="1">
        <v>669</v>
      </c>
      <c r="B924" s="1" t="s">
        <v>703</v>
      </c>
      <c r="C924" s="1" t="s">
        <v>1129</v>
      </c>
    </row>
    <row r="925" spans="1:3" x14ac:dyDescent="0.3">
      <c r="A925" s="1">
        <v>671</v>
      </c>
      <c r="B925" s="1" t="s">
        <v>1085</v>
      </c>
      <c r="C925" s="1" t="s">
        <v>1129</v>
      </c>
    </row>
    <row r="926" spans="1:3" x14ac:dyDescent="0.3">
      <c r="A926" s="1">
        <v>672</v>
      </c>
      <c r="B926" s="1" t="s">
        <v>1085</v>
      </c>
      <c r="C926" s="1" t="s">
        <v>1129</v>
      </c>
    </row>
    <row r="927" spans="1:3" x14ac:dyDescent="0.3">
      <c r="A927" s="1">
        <v>673</v>
      </c>
      <c r="B927" s="1" t="s">
        <v>1085</v>
      </c>
      <c r="C927" s="1" t="s">
        <v>1129</v>
      </c>
    </row>
    <row r="928" spans="1:3" x14ac:dyDescent="0.3">
      <c r="A928" s="1">
        <v>674</v>
      </c>
      <c r="B928" s="1" t="s">
        <v>1063</v>
      </c>
      <c r="C928" s="1" t="s">
        <v>1129</v>
      </c>
    </row>
    <row r="929" spans="1:3" x14ac:dyDescent="0.3">
      <c r="A929" s="1">
        <v>676</v>
      </c>
      <c r="B929" s="1" t="s">
        <v>794</v>
      </c>
      <c r="C929" s="1" t="s">
        <v>1129</v>
      </c>
    </row>
    <row r="930" spans="1:3" x14ac:dyDescent="0.3">
      <c r="A930" s="1">
        <v>680</v>
      </c>
      <c r="B930" s="1" t="s">
        <v>1177</v>
      </c>
      <c r="C930" s="1" t="s">
        <v>1129</v>
      </c>
    </row>
    <row r="931" spans="1:3" x14ac:dyDescent="0.3">
      <c r="A931" s="1">
        <v>681</v>
      </c>
      <c r="B931" s="1" t="s">
        <v>687</v>
      </c>
      <c r="C931" s="1" t="s">
        <v>1129</v>
      </c>
    </row>
    <row r="932" spans="1:3" x14ac:dyDescent="0.3">
      <c r="A932" s="1">
        <v>683</v>
      </c>
      <c r="B932" s="1" t="s">
        <v>1177</v>
      </c>
      <c r="C932" s="1" t="s">
        <v>1129</v>
      </c>
    </row>
    <row r="933" spans="1:3" x14ac:dyDescent="0.3">
      <c r="A933" s="1">
        <v>684</v>
      </c>
      <c r="B933" s="1" t="s">
        <v>1063</v>
      </c>
      <c r="C933" s="1" t="s">
        <v>1129</v>
      </c>
    </row>
    <row r="934" spans="1:3" x14ac:dyDescent="0.3">
      <c r="A934" s="1">
        <v>689</v>
      </c>
      <c r="B934" s="1" t="s">
        <v>360</v>
      </c>
      <c r="C934" s="1" t="s">
        <v>1129</v>
      </c>
    </row>
    <row r="935" spans="1:3" x14ac:dyDescent="0.3">
      <c r="A935" s="1">
        <v>690</v>
      </c>
      <c r="B935" s="1" t="s">
        <v>435</v>
      </c>
      <c r="C935" s="1" t="s">
        <v>1129</v>
      </c>
    </row>
    <row r="936" spans="1:3" x14ac:dyDescent="0.3">
      <c r="A936" s="1">
        <v>690</v>
      </c>
      <c r="B936" s="1" t="s">
        <v>360</v>
      </c>
      <c r="C936" s="1" t="s">
        <v>1129</v>
      </c>
    </row>
    <row r="937" spans="1:3" x14ac:dyDescent="0.3">
      <c r="A937" s="1">
        <v>692</v>
      </c>
      <c r="B937" s="1" t="s">
        <v>360</v>
      </c>
      <c r="C937" s="1" t="s">
        <v>1129</v>
      </c>
    </row>
    <row r="938" spans="1:3" x14ac:dyDescent="0.3">
      <c r="A938" s="1">
        <v>693</v>
      </c>
      <c r="B938" s="1" t="s">
        <v>1177</v>
      </c>
      <c r="C938" s="1" t="s">
        <v>1129</v>
      </c>
    </row>
    <row r="939" spans="1:3" x14ac:dyDescent="0.3">
      <c r="A939" s="1">
        <v>694</v>
      </c>
      <c r="B939" s="1" t="s">
        <v>1177</v>
      </c>
      <c r="C939" s="1" t="s">
        <v>1129</v>
      </c>
    </row>
    <row r="940" spans="1:3" x14ac:dyDescent="0.3">
      <c r="A940" s="1">
        <v>695</v>
      </c>
      <c r="B940" s="1" t="s">
        <v>1177</v>
      </c>
      <c r="C940" s="1" t="s">
        <v>1129</v>
      </c>
    </row>
    <row r="941" spans="1:3" x14ac:dyDescent="0.3">
      <c r="A941" s="1">
        <v>699</v>
      </c>
      <c r="B941" s="1" t="s">
        <v>1177</v>
      </c>
      <c r="C941" s="1" t="s">
        <v>1129</v>
      </c>
    </row>
    <row r="942" spans="1:3" x14ac:dyDescent="0.3">
      <c r="A942" s="1">
        <v>700</v>
      </c>
      <c r="B942" s="1" t="s">
        <v>1051</v>
      </c>
      <c r="C942" s="1" t="s">
        <v>1129</v>
      </c>
    </row>
    <row r="943" spans="1:3" x14ac:dyDescent="0.3">
      <c r="A943" s="1">
        <v>701</v>
      </c>
      <c r="B943" s="1" t="s">
        <v>1085</v>
      </c>
      <c r="C943" s="1" t="s">
        <v>1129</v>
      </c>
    </row>
    <row r="944" spans="1:3" x14ac:dyDescent="0.3">
      <c r="A944" s="1">
        <v>702</v>
      </c>
      <c r="B944" s="1" t="s">
        <v>1051</v>
      </c>
      <c r="C944" s="1" t="s">
        <v>1129</v>
      </c>
    </row>
    <row r="945" spans="1:3" x14ac:dyDescent="0.3">
      <c r="A945" s="1">
        <v>703</v>
      </c>
      <c r="B945" s="1" t="s">
        <v>1051</v>
      </c>
      <c r="C945" s="1" t="s">
        <v>1129</v>
      </c>
    </row>
    <row r="946" spans="1:3" x14ac:dyDescent="0.3">
      <c r="A946" s="1">
        <v>704</v>
      </c>
      <c r="B946" s="1" t="s">
        <v>1051</v>
      </c>
      <c r="C946" s="1" t="s">
        <v>1129</v>
      </c>
    </row>
    <row r="947" spans="1:3" x14ac:dyDescent="0.3">
      <c r="A947" s="1">
        <v>711</v>
      </c>
      <c r="B947" s="1" t="s">
        <v>1051</v>
      </c>
      <c r="C947" s="1" t="s">
        <v>1129</v>
      </c>
    </row>
    <row r="948" spans="1:3" x14ac:dyDescent="0.3">
      <c r="A948" s="1">
        <v>712</v>
      </c>
      <c r="B948" s="1" t="s">
        <v>1051</v>
      </c>
      <c r="C948" s="1" t="s">
        <v>1129</v>
      </c>
    </row>
    <row r="949" spans="1:3" x14ac:dyDescent="0.3">
      <c r="A949" s="1">
        <v>715</v>
      </c>
      <c r="B949" s="1" t="s">
        <v>360</v>
      </c>
      <c r="C949" s="1" t="s">
        <v>1129</v>
      </c>
    </row>
    <row r="950" spans="1:3" x14ac:dyDescent="0.3">
      <c r="A950" s="1">
        <v>717</v>
      </c>
      <c r="B950" s="1" t="s">
        <v>1177</v>
      </c>
      <c r="C950" s="1" t="s">
        <v>1129</v>
      </c>
    </row>
    <row r="951" spans="1:3" x14ac:dyDescent="0.3">
      <c r="A951" s="1">
        <v>719</v>
      </c>
      <c r="B951" s="1" t="s">
        <v>1063</v>
      </c>
      <c r="C951" s="1" t="s">
        <v>1129</v>
      </c>
    </row>
    <row r="952" spans="1:3" x14ac:dyDescent="0.3">
      <c r="A952" s="1">
        <v>720</v>
      </c>
      <c r="B952" s="1" t="s">
        <v>1085</v>
      </c>
      <c r="C952" s="1" t="s">
        <v>1129</v>
      </c>
    </row>
    <row r="953" spans="1:3" x14ac:dyDescent="0.3">
      <c r="A953" s="1">
        <v>723</v>
      </c>
      <c r="B953" s="1" t="s">
        <v>1063</v>
      </c>
      <c r="C953" s="1" t="s">
        <v>1129</v>
      </c>
    </row>
    <row r="954" spans="1:3" x14ac:dyDescent="0.3">
      <c r="A954" s="1">
        <v>725</v>
      </c>
      <c r="B954" s="1" t="s">
        <v>1063</v>
      </c>
      <c r="C954" s="1" t="s">
        <v>1129</v>
      </c>
    </row>
    <row r="955" spans="1:3" x14ac:dyDescent="0.3">
      <c r="A955" s="1">
        <v>727</v>
      </c>
      <c r="B955" s="1" t="s">
        <v>1063</v>
      </c>
      <c r="C955" s="1" t="s">
        <v>1129</v>
      </c>
    </row>
    <row r="956" spans="1:3" x14ac:dyDescent="0.3">
      <c r="A956" s="1">
        <v>732</v>
      </c>
      <c r="B956" s="1" t="s">
        <v>1063</v>
      </c>
      <c r="C956" s="1" t="s">
        <v>1129</v>
      </c>
    </row>
    <row r="957" spans="1:3" x14ac:dyDescent="0.3">
      <c r="A957" s="1">
        <v>733</v>
      </c>
      <c r="B957" s="1" t="s">
        <v>937</v>
      </c>
      <c r="C957" s="1" t="s">
        <v>1129</v>
      </c>
    </row>
    <row r="958" spans="1:3" x14ac:dyDescent="0.3">
      <c r="A958" s="1">
        <v>733</v>
      </c>
      <c r="B958" s="1" t="s">
        <v>1063</v>
      </c>
      <c r="C958" s="1" t="s">
        <v>1129</v>
      </c>
    </row>
    <row r="959" spans="1:3" x14ac:dyDescent="0.3">
      <c r="A959" s="1">
        <v>735</v>
      </c>
      <c r="B959" s="1" t="s">
        <v>1305</v>
      </c>
      <c r="C959" s="1" t="s">
        <v>1129</v>
      </c>
    </row>
    <row r="960" spans="1:3" x14ac:dyDescent="0.3">
      <c r="A960" s="1">
        <v>736</v>
      </c>
      <c r="B960" s="1" t="s">
        <v>687</v>
      </c>
      <c r="C960" s="1" t="s">
        <v>1129</v>
      </c>
    </row>
    <row r="961" spans="1:3" x14ac:dyDescent="0.3">
      <c r="A961" s="1">
        <v>737</v>
      </c>
      <c r="B961" s="1" t="s">
        <v>360</v>
      </c>
      <c r="C961" s="1" t="s">
        <v>1129</v>
      </c>
    </row>
    <row r="962" spans="1:3" x14ac:dyDescent="0.3">
      <c r="A962" s="1">
        <v>738</v>
      </c>
      <c r="B962" s="1" t="s">
        <v>1063</v>
      </c>
      <c r="C962" s="1" t="s">
        <v>1129</v>
      </c>
    </row>
    <row r="963" spans="1:3" x14ac:dyDescent="0.3">
      <c r="A963" s="1">
        <v>739</v>
      </c>
      <c r="B963" s="1" t="s">
        <v>1063</v>
      </c>
      <c r="C963" s="1" t="s">
        <v>1129</v>
      </c>
    </row>
    <row r="964" spans="1:3" x14ac:dyDescent="0.3">
      <c r="A964" s="1">
        <v>743</v>
      </c>
      <c r="B964" s="1" t="s">
        <v>360</v>
      </c>
      <c r="C964" s="1" t="s">
        <v>1129</v>
      </c>
    </row>
    <row r="965" spans="1:3" x14ac:dyDescent="0.3">
      <c r="A965" s="1">
        <v>744</v>
      </c>
      <c r="B965" s="1" t="s">
        <v>1063</v>
      </c>
      <c r="C965" s="1" t="s">
        <v>1129</v>
      </c>
    </row>
    <row r="966" spans="1:3" x14ac:dyDescent="0.3">
      <c r="A966" s="1">
        <v>746</v>
      </c>
      <c r="B966" s="1" t="s">
        <v>360</v>
      </c>
      <c r="C966" s="1" t="s">
        <v>1129</v>
      </c>
    </row>
    <row r="967" spans="1:3" x14ac:dyDescent="0.3">
      <c r="A967" s="1">
        <v>749</v>
      </c>
      <c r="B967" s="1" t="s">
        <v>1063</v>
      </c>
      <c r="C967" s="1" t="s">
        <v>1129</v>
      </c>
    </row>
    <row r="968" spans="1:3" x14ac:dyDescent="0.3">
      <c r="A968" s="1">
        <v>750</v>
      </c>
      <c r="B968" s="1" t="s">
        <v>1177</v>
      </c>
      <c r="C968" s="1" t="s">
        <v>1129</v>
      </c>
    </row>
    <row r="969" spans="1:3" x14ac:dyDescent="0.3">
      <c r="A969" s="1">
        <v>751</v>
      </c>
      <c r="B969" s="1" t="s">
        <v>1177</v>
      </c>
      <c r="C969" s="1" t="s">
        <v>1129</v>
      </c>
    </row>
    <row r="970" spans="1:3" x14ac:dyDescent="0.3">
      <c r="A970" s="1">
        <v>752</v>
      </c>
      <c r="B970" s="1" t="s">
        <v>1177</v>
      </c>
      <c r="C970" s="1" t="s">
        <v>1129</v>
      </c>
    </row>
    <row r="971" spans="1:3" x14ac:dyDescent="0.3">
      <c r="A971" s="1">
        <v>753</v>
      </c>
      <c r="B971" s="1" t="s">
        <v>809</v>
      </c>
      <c r="C971" s="1" t="s">
        <v>1129</v>
      </c>
    </row>
    <row r="972" spans="1:3" x14ac:dyDescent="0.3">
      <c r="A972" s="1">
        <v>754</v>
      </c>
      <c r="B972" s="1" t="s">
        <v>1063</v>
      </c>
      <c r="C972" s="1" t="s">
        <v>1129</v>
      </c>
    </row>
    <row r="973" spans="1:3" x14ac:dyDescent="0.3">
      <c r="A973" s="1">
        <v>755</v>
      </c>
      <c r="B973" s="1" t="s">
        <v>1307</v>
      </c>
      <c r="C973" s="1" t="s">
        <v>1129</v>
      </c>
    </row>
    <row r="974" spans="1:3" x14ac:dyDescent="0.3">
      <c r="A974" s="1">
        <v>758</v>
      </c>
      <c r="B974" s="1" t="s">
        <v>1085</v>
      </c>
      <c r="C974" s="1" t="s">
        <v>1129</v>
      </c>
    </row>
    <row r="975" spans="1:3" x14ac:dyDescent="0.3">
      <c r="A975" s="1">
        <v>759</v>
      </c>
      <c r="B975" s="1" t="s">
        <v>356</v>
      </c>
      <c r="C975" s="1" t="s">
        <v>1129</v>
      </c>
    </row>
    <row r="976" spans="1:3" x14ac:dyDescent="0.3">
      <c r="A976" s="1">
        <v>759</v>
      </c>
      <c r="B976" s="1" t="s">
        <v>703</v>
      </c>
      <c r="C976" s="1" t="s">
        <v>1129</v>
      </c>
    </row>
    <row r="977" spans="1:3" x14ac:dyDescent="0.3">
      <c r="A977" s="1">
        <v>760</v>
      </c>
      <c r="B977" s="1" t="s">
        <v>1081</v>
      </c>
      <c r="C977" s="1" t="s">
        <v>1129</v>
      </c>
    </row>
    <row r="978" spans="1:3" x14ac:dyDescent="0.3">
      <c r="A978" s="1">
        <v>762</v>
      </c>
      <c r="B978" s="1" t="s">
        <v>1085</v>
      </c>
      <c r="C978" s="1" t="s">
        <v>1129</v>
      </c>
    </row>
    <row r="979" spans="1:3" x14ac:dyDescent="0.3">
      <c r="A979" s="1">
        <v>763</v>
      </c>
      <c r="B979" s="1" t="s">
        <v>1085</v>
      </c>
      <c r="C979" s="1" t="s">
        <v>1129</v>
      </c>
    </row>
    <row r="980" spans="1:3" x14ac:dyDescent="0.3">
      <c r="A980" s="1">
        <v>766</v>
      </c>
      <c r="B980" s="1" t="s">
        <v>1177</v>
      </c>
      <c r="C980" s="1" t="s">
        <v>1129</v>
      </c>
    </row>
    <row r="981" spans="1:3" x14ac:dyDescent="0.3">
      <c r="A981" s="1">
        <v>769</v>
      </c>
      <c r="B981" s="1" t="s">
        <v>1233</v>
      </c>
      <c r="C981" s="1" t="s">
        <v>1129</v>
      </c>
    </row>
    <row r="982" spans="1:3" x14ac:dyDescent="0.3">
      <c r="A982" s="1">
        <v>770</v>
      </c>
      <c r="B982" s="1" t="s">
        <v>360</v>
      </c>
      <c r="C982" s="1" t="s">
        <v>1129</v>
      </c>
    </row>
    <row r="983" spans="1:3" x14ac:dyDescent="0.3">
      <c r="A983" s="1">
        <v>771</v>
      </c>
      <c r="B983" s="1" t="s">
        <v>356</v>
      </c>
      <c r="C983" s="1" t="s">
        <v>1129</v>
      </c>
    </row>
    <row r="984" spans="1:3" x14ac:dyDescent="0.3">
      <c r="A984" s="1">
        <v>771</v>
      </c>
      <c r="B984" s="1" t="s">
        <v>355</v>
      </c>
      <c r="C984" s="1" t="s">
        <v>1129</v>
      </c>
    </row>
    <row r="985" spans="1:3" x14ac:dyDescent="0.3">
      <c r="A985" s="1">
        <v>772</v>
      </c>
      <c r="B985" s="1" t="s">
        <v>1316</v>
      </c>
      <c r="C985" s="1" t="s">
        <v>1129</v>
      </c>
    </row>
    <row r="986" spans="1:3" x14ac:dyDescent="0.3">
      <c r="A986" s="1">
        <v>774</v>
      </c>
      <c r="B986" s="1" t="s">
        <v>1085</v>
      </c>
      <c r="C986" s="1" t="s">
        <v>1129</v>
      </c>
    </row>
    <row r="987" spans="1:3" x14ac:dyDescent="0.3">
      <c r="A987" s="1">
        <v>775</v>
      </c>
      <c r="B987" s="1" t="s">
        <v>1177</v>
      </c>
      <c r="C987" s="1" t="s">
        <v>1129</v>
      </c>
    </row>
    <row r="988" spans="1:3" x14ac:dyDescent="0.3">
      <c r="A988" s="1">
        <v>776</v>
      </c>
      <c r="B988" s="1" t="s">
        <v>1177</v>
      </c>
      <c r="C988" s="1" t="s">
        <v>1129</v>
      </c>
    </row>
    <row r="989" spans="1:3" x14ac:dyDescent="0.3">
      <c r="A989" s="1">
        <v>777</v>
      </c>
      <c r="B989" s="1" t="s">
        <v>703</v>
      </c>
      <c r="C989" s="1" t="s">
        <v>1129</v>
      </c>
    </row>
    <row r="990" spans="1:3" x14ac:dyDescent="0.3">
      <c r="A990" s="1">
        <v>778</v>
      </c>
      <c r="B990" s="1" t="s">
        <v>1063</v>
      </c>
      <c r="C990" s="1" t="s">
        <v>1129</v>
      </c>
    </row>
    <row r="991" spans="1:3" x14ac:dyDescent="0.3">
      <c r="A991" s="1">
        <v>781</v>
      </c>
      <c r="B991" s="1" t="s">
        <v>706</v>
      </c>
      <c r="C991" s="1" t="s">
        <v>1129</v>
      </c>
    </row>
    <row r="992" spans="1:3" x14ac:dyDescent="0.3">
      <c r="A992" s="1">
        <v>782</v>
      </c>
      <c r="B992" s="1" t="s">
        <v>1063</v>
      </c>
      <c r="C992" s="1" t="s">
        <v>1129</v>
      </c>
    </row>
    <row r="993" spans="1:3" x14ac:dyDescent="0.3">
      <c r="A993" s="1">
        <v>783</v>
      </c>
      <c r="B993" s="1" t="s">
        <v>1063</v>
      </c>
      <c r="C993" s="1" t="s">
        <v>1129</v>
      </c>
    </row>
    <row r="994" spans="1:3" x14ac:dyDescent="0.3">
      <c r="A994" s="1">
        <v>784</v>
      </c>
      <c r="B994" s="1" t="s">
        <v>1063</v>
      </c>
      <c r="C994" s="1" t="s">
        <v>1129</v>
      </c>
    </row>
    <row r="995" spans="1:3" x14ac:dyDescent="0.3">
      <c r="A995" s="1">
        <v>785</v>
      </c>
      <c r="B995" s="1" t="s">
        <v>1177</v>
      </c>
      <c r="C995" s="1" t="s">
        <v>1129</v>
      </c>
    </row>
    <row r="996" spans="1:3" x14ac:dyDescent="0.3">
      <c r="A996" s="1">
        <v>786</v>
      </c>
      <c r="B996" s="1" t="s">
        <v>1177</v>
      </c>
      <c r="C996" s="1" t="s">
        <v>1129</v>
      </c>
    </row>
    <row r="997" spans="1:3" x14ac:dyDescent="0.3">
      <c r="A997" s="1">
        <v>787</v>
      </c>
      <c r="B997" s="1" t="s">
        <v>1063</v>
      </c>
      <c r="C997" s="1" t="s">
        <v>1129</v>
      </c>
    </row>
    <row r="998" spans="1:3" x14ac:dyDescent="0.3">
      <c r="A998" s="1">
        <v>790</v>
      </c>
      <c r="B998" s="1" t="s">
        <v>1177</v>
      </c>
      <c r="C998" s="1" t="s">
        <v>1129</v>
      </c>
    </row>
    <row r="999" spans="1:3" x14ac:dyDescent="0.3">
      <c r="A999" s="1">
        <v>794</v>
      </c>
      <c r="B999" s="1" t="s">
        <v>1177</v>
      </c>
      <c r="C999" s="1" t="s">
        <v>1129</v>
      </c>
    </row>
    <row r="1000" spans="1:3" x14ac:dyDescent="0.3">
      <c r="A1000" s="1">
        <v>796</v>
      </c>
      <c r="B1000" s="1" t="s">
        <v>360</v>
      </c>
      <c r="C1000" s="1" t="s">
        <v>1129</v>
      </c>
    </row>
    <row r="1001" spans="1:3" x14ac:dyDescent="0.3">
      <c r="A1001" s="1">
        <v>798</v>
      </c>
      <c r="B1001" s="1" t="s">
        <v>1081</v>
      </c>
      <c r="C1001" s="1" t="s">
        <v>1129</v>
      </c>
    </row>
    <row r="1002" spans="1:3" x14ac:dyDescent="0.3">
      <c r="A1002" s="1">
        <v>800</v>
      </c>
      <c r="B1002" s="1" t="s">
        <v>1063</v>
      </c>
      <c r="C1002" s="1" t="s">
        <v>1129</v>
      </c>
    </row>
    <row r="1003" spans="1:3" x14ac:dyDescent="0.3">
      <c r="A1003" s="1">
        <v>803</v>
      </c>
      <c r="B1003" s="1" t="s">
        <v>1085</v>
      </c>
      <c r="C1003" s="1" t="s">
        <v>1129</v>
      </c>
    </row>
    <row r="1004" spans="1:3" x14ac:dyDescent="0.3">
      <c r="A1004" s="1">
        <v>804</v>
      </c>
      <c r="B1004" s="1" t="s">
        <v>1177</v>
      </c>
      <c r="C1004" s="1" t="s">
        <v>1129</v>
      </c>
    </row>
    <row r="1005" spans="1:3" x14ac:dyDescent="0.3">
      <c r="A1005" s="1">
        <v>805</v>
      </c>
      <c r="B1005" s="1" t="s">
        <v>1177</v>
      </c>
      <c r="C1005" s="1" t="s">
        <v>1129</v>
      </c>
    </row>
    <row r="1006" spans="1:3" x14ac:dyDescent="0.3">
      <c r="A1006" s="1">
        <v>806</v>
      </c>
      <c r="B1006" s="1" t="s">
        <v>1177</v>
      </c>
      <c r="C1006" s="1" t="s">
        <v>1129</v>
      </c>
    </row>
    <row r="1007" spans="1:3" x14ac:dyDescent="0.3">
      <c r="A1007" s="1">
        <v>809</v>
      </c>
      <c r="B1007" s="1" t="s">
        <v>360</v>
      </c>
      <c r="C1007" s="1" t="s">
        <v>1129</v>
      </c>
    </row>
    <row r="1008" spans="1:3" x14ac:dyDescent="0.3">
      <c r="A1008" s="1">
        <v>814</v>
      </c>
      <c r="B1008" s="1" t="s">
        <v>360</v>
      </c>
      <c r="C1008" s="1" t="s">
        <v>1129</v>
      </c>
    </row>
    <row r="1009" spans="1:3" x14ac:dyDescent="0.3">
      <c r="A1009" s="1">
        <v>815</v>
      </c>
      <c r="B1009" s="1" t="s">
        <v>1085</v>
      </c>
      <c r="C1009" s="1" t="s">
        <v>1129</v>
      </c>
    </row>
    <row r="1010" spans="1:3" x14ac:dyDescent="0.3">
      <c r="A1010" s="1">
        <v>816</v>
      </c>
      <c r="B1010" s="1" t="s">
        <v>360</v>
      </c>
      <c r="C1010" s="1" t="s">
        <v>1129</v>
      </c>
    </row>
    <row r="1011" spans="1:3" x14ac:dyDescent="0.3">
      <c r="A1011" s="1">
        <v>817</v>
      </c>
      <c r="B1011" s="1" t="s">
        <v>798</v>
      </c>
      <c r="C1011" s="1" t="s">
        <v>1129</v>
      </c>
    </row>
    <row r="1012" spans="1:3" x14ac:dyDescent="0.3">
      <c r="A1012" s="1">
        <v>819</v>
      </c>
      <c r="B1012" s="1" t="s">
        <v>798</v>
      </c>
      <c r="C1012" s="1" t="s">
        <v>1129</v>
      </c>
    </row>
    <row r="1013" spans="1:3" x14ac:dyDescent="0.3">
      <c r="A1013" s="1">
        <v>822</v>
      </c>
      <c r="B1013" s="1" t="s">
        <v>1085</v>
      </c>
      <c r="C1013" s="1" t="s">
        <v>1129</v>
      </c>
    </row>
    <row r="1014" spans="1:3" x14ac:dyDescent="0.3">
      <c r="A1014" s="1">
        <v>825</v>
      </c>
      <c r="B1014" s="1" t="s">
        <v>706</v>
      </c>
      <c r="C1014" s="1" t="s">
        <v>1129</v>
      </c>
    </row>
    <row r="1015" spans="1:3" x14ac:dyDescent="0.3">
      <c r="A1015" s="1">
        <v>827</v>
      </c>
      <c r="B1015" s="1" t="s">
        <v>1085</v>
      </c>
      <c r="C1015" s="1" t="s">
        <v>1129</v>
      </c>
    </row>
    <row r="1016" spans="1:3" x14ac:dyDescent="0.3">
      <c r="A1016" s="1">
        <v>828</v>
      </c>
      <c r="B1016" s="1" t="s">
        <v>1177</v>
      </c>
      <c r="C1016" s="1" t="s">
        <v>1129</v>
      </c>
    </row>
    <row r="1017" spans="1:3" x14ac:dyDescent="0.3">
      <c r="A1017" s="1">
        <v>830</v>
      </c>
      <c r="B1017" s="1" t="s">
        <v>1081</v>
      </c>
      <c r="C1017" s="1" t="s">
        <v>1129</v>
      </c>
    </row>
    <row r="1018" spans="1:3" x14ac:dyDescent="0.3">
      <c r="A1018" s="1">
        <v>831</v>
      </c>
      <c r="B1018" s="1" t="s">
        <v>1085</v>
      </c>
      <c r="C1018" s="1" t="s">
        <v>1129</v>
      </c>
    </row>
    <row r="1019" spans="1:3" x14ac:dyDescent="0.3">
      <c r="A1019" s="1">
        <v>832</v>
      </c>
      <c r="B1019" s="1" t="s">
        <v>1341</v>
      </c>
      <c r="C1019" s="1" t="s">
        <v>1129</v>
      </c>
    </row>
    <row r="1020" spans="1:3" x14ac:dyDescent="0.3">
      <c r="A1020" s="1">
        <v>833</v>
      </c>
      <c r="B1020" s="1" t="s">
        <v>1063</v>
      </c>
      <c r="C1020" s="1" t="s">
        <v>1129</v>
      </c>
    </row>
    <row r="1021" spans="1:3" x14ac:dyDescent="0.3">
      <c r="A1021" s="1">
        <v>834</v>
      </c>
      <c r="B1021" s="1" t="s">
        <v>798</v>
      </c>
      <c r="C1021" s="1" t="s">
        <v>1129</v>
      </c>
    </row>
    <row r="1022" spans="1:3" x14ac:dyDescent="0.3">
      <c r="A1022" s="1">
        <v>835</v>
      </c>
      <c r="B1022" s="1" t="s">
        <v>1081</v>
      </c>
      <c r="C1022" s="1" t="s">
        <v>1129</v>
      </c>
    </row>
    <row r="1023" spans="1:3" x14ac:dyDescent="0.3">
      <c r="A1023" s="1">
        <v>837</v>
      </c>
      <c r="B1023" s="1" t="s">
        <v>1081</v>
      </c>
      <c r="C1023" s="1" t="s">
        <v>1129</v>
      </c>
    </row>
    <row r="1024" spans="1:3" x14ac:dyDescent="0.3">
      <c r="A1024" s="1">
        <v>838</v>
      </c>
      <c r="B1024" s="1" t="s">
        <v>1063</v>
      </c>
      <c r="C1024" s="1" t="s">
        <v>1129</v>
      </c>
    </row>
    <row r="1025" spans="1:3" x14ac:dyDescent="0.3">
      <c r="A1025" s="1">
        <v>840</v>
      </c>
      <c r="B1025" s="1" t="s">
        <v>706</v>
      </c>
      <c r="C1025" s="1" t="s">
        <v>1129</v>
      </c>
    </row>
    <row r="1026" spans="1:3" x14ac:dyDescent="0.3">
      <c r="A1026" s="1">
        <v>841</v>
      </c>
      <c r="B1026" s="1" t="s">
        <v>1085</v>
      </c>
      <c r="C1026" s="1" t="s">
        <v>1129</v>
      </c>
    </row>
    <row r="1027" spans="1:3" x14ac:dyDescent="0.3">
      <c r="A1027" s="1">
        <v>842</v>
      </c>
      <c r="B1027" s="1" t="s">
        <v>1177</v>
      </c>
      <c r="C1027" s="1" t="s">
        <v>1129</v>
      </c>
    </row>
    <row r="1028" spans="1:3" x14ac:dyDescent="0.3">
      <c r="A1028" s="1">
        <v>843</v>
      </c>
      <c r="B1028" s="1" t="s">
        <v>1063</v>
      </c>
      <c r="C1028" s="1" t="s">
        <v>1129</v>
      </c>
    </row>
    <row r="1029" spans="1:3" x14ac:dyDescent="0.3">
      <c r="A1029" s="51">
        <v>845</v>
      </c>
      <c r="B1029" s="51" t="s">
        <v>360</v>
      </c>
      <c r="C1029" s="51" t="s">
        <v>1129</v>
      </c>
    </row>
    <row r="1030" spans="1:3" x14ac:dyDescent="0.3">
      <c r="A1030" s="51">
        <v>847</v>
      </c>
      <c r="B1030" s="51" t="s">
        <v>706</v>
      </c>
      <c r="C1030" s="51" t="s">
        <v>1129</v>
      </c>
    </row>
    <row r="1031" spans="1:3" x14ac:dyDescent="0.3">
      <c r="A1031" s="51">
        <v>849</v>
      </c>
      <c r="B1031" s="51" t="s">
        <v>360</v>
      </c>
      <c r="C1031" s="51" t="s">
        <v>1129</v>
      </c>
    </row>
    <row r="1032" spans="1:3" x14ac:dyDescent="0.3">
      <c r="A1032" s="51">
        <v>851</v>
      </c>
      <c r="B1032" s="51" t="s">
        <v>1358</v>
      </c>
      <c r="C1032" s="51" t="s">
        <v>1129</v>
      </c>
    </row>
    <row r="1033" spans="1:3" x14ac:dyDescent="0.3">
      <c r="A1033" s="51">
        <v>857</v>
      </c>
      <c r="B1033" s="51" t="s">
        <v>360</v>
      </c>
      <c r="C1033" s="51" t="s">
        <v>1129</v>
      </c>
    </row>
    <row r="1034" spans="1:3" x14ac:dyDescent="0.3">
      <c r="A1034" s="51">
        <v>858</v>
      </c>
      <c r="B1034" s="51" t="s">
        <v>703</v>
      </c>
      <c r="C1034" s="51" t="s">
        <v>1129</v>
      </c>
    </row>
    <row r="1035" spans="1:3" x14ac:dyDescent="0.3">
      <c r="A1035" s="51">
        <v>862</v>
      </c>
      <c r="B1035" s="51" t="s">
        <v>1063</v>
      </c>
      <c r="C1035" s="51" t="s">
        <v>1129</v>
      </c>
    </row>
    <row r="1036" spans="1:3" x14ac:dyDescent="0.3">
      <c r="A1036" s="51">
        <v>864</v>
      </c>
      <c r="B1036" s="51" t="s">
        <v>356</v>
      </c>
      <c r="C1036" s="51" t="s">
        <v>1129</v>
      </c>
    </row>
    <row r="1037" spans="1:3" x14ac:dyDescent="0.3">
      <c r="A1037" s="51">
        <v>864</v>
      </c>
      <c r="B1037" s="51" t="s">
        <v>1085</v>
      </c>
      <c r="C1037" s="51" t="s">
        <v>1129</v>
      </c>
    </row>
    <row r="1038" spans="1:3" x14ac:dyDescent="0.3">
      <c r="A1038" s="51">
        <v>867</v>
      </c>
      <c r="B1038" s="51" t="s">
        <v>360</v>
      </c>
      <c r="C1038" s="51" t="s">
        <v>1129</v>
      </c>
    </row>
    <row r="1039" spans="1:3" x14ac:dyDescent="0.3">
      <c r="A1039" s="51">
        <v>871</v>
      </c>
      <c r="B1039" s="51" t="s">
        <v>1063</v>
      </c>
      <c r="C1039" s="51" t="s">
        <v>1129</v>
      </c>
    </row>
    <row r="1040" spans="1:3" x14ac:dyDescent="0.3">
      <c r="A1040" s="51">
        <v>872</v>
      </c>
      <c r="B1040" s="51" t="s">
        <v>1341</v>
      </c>
      <c r="C1040" s="51" t="s">
        <v>1129</v>
      </c>
    </row>
    <row r="1041" spans="1:3" x14ac:dyDescent="0.3">
      <c r="A1041" s="51">
        <v>873</v>
      </c>
      <c r="B1041" s="51" t="s">
        <v>1305</v>
      </c>
      <c r="C1041" s="51" t="s">
        <v>1129</v>
      </c>
    </row>
    <row r="1042" spans="1:3" x14ac:dyDescent="0.3">
      <c r="A1042" s="51">
        <v>874</v>
      </c>
      <c r="B1042" s="51" t="s">
        <v>1063</v>
      </c>
      <c r="C1042" s="51" t="s">
        <v>1129</v>
      </c>
    </row>
    <row r="1043" spans="1:3" x14ac:dyDescent="0.3">
      <c r="A1043" s="51">
        <v>877</v>
      </c>
      <c r="B1043" s="51" t="s">
        <v>360</v>
      </c>
      <c r="C1043" s="51" t="s">
        <v>1129</v>
      </c>
    </row>
    <row r="1044" spans="1:3" x14ac:dyDescent="0.3">
      <c r="A1044" s="51">
        <v>879</v>
      </c>
      <c r="B1044" s="51" t="s">
        <v>360</v>
      </c>
      <c r="C1044" s="51" t="s">
        <v>1129</v>
      </c>
    </row>
    <row r="1045" spans="1:3" x14ac:dyDescent="0.3">
      <c r="A1045" s="1">
        <v>881</v>
      </c>
      <c r="B1045" s="1" t="s">
        <v>360</v>
      </c>
      <c r="C1045" s="51" t="s">
        <v>1129</v>
      </c>
    </row>
    <row r="1046" spans="1:3" x14ac:dyDescent="0.3">
      <c r="A1046" s="1">
        <v>882</v>
      </c>
      <c r="B1046" s="1" t="s">
        <v>1063</v>
      </c>
      <c r="C1046" s="51" t="s">
        <v>1129</v>
      </c>
    </row>
    <row r="1047" spans="1:3" x14ac:dyDescent="0.3">
      <c r="A1047" s="1">
        <v>883</v>
      </c>
      <c r="B1047" s="1" t="s">
        <v>1063</v>
      </c>
      <c r="C1047" s="51" t="s">
        <v>1129</v>
      </c>
    </row>
    <row r="1048" spans="1:3" x14ac:dyDescent="0.3">
      <c r="A1048" s="1">
        <v>885</v>
      </c>
      <c r="B1048" s="1" t="s">
        <v>1049</v>
      </c>
      <c r="C1048" s="51" t="s">
        <v>1129</v>
      </c>
    </row>
    <row r="1049" spans="1:3" x14ac:dyDescent="0.3">
      <c r="A1049" s="1">
        <v>888</v>
      </c>
      <c r="B1049" s="1" t="s">
        <v>1063</v>
      </c>
      <c r="C1049" s="51" t="s">
        <v>1129</v>
      </c>
    </row>
    <row r="1050" spans="1:3" x14ac:dyDescent="0.3">
      <c r="A1050" s="1">
        <v>890</v>
      </c>
      <c r="B1050" s="1" t="s">
        <v>1063</v>
      </c>
      <c r="C1050" s="51" t="s">
        <v>1129</v>
      </c>
    </row>
    <row r="1051" spans="1:3" x14ac:dyDescent="0.3">
      <c r="A1051" s="1">
        <v>892</v>
      </c>
      <c r="B1051" s="1" t="s">
        <v>809</v>
      </c>
      <c r="C1051" s="51" t="s">
        <v>1129</v>
      </c>
    </row>
    <row r="1052" spans="1:3" x14ac:dyDescent="0.3">
      <c r="A1052" s="1">
        <v>895</v>
      </c>
      <c r="B1052" s="1" t="s">
        <v>687</v>
      </c>
      <c r="C1052" s="51" t="s">
        <v>1129</v>
      </c>
    </row>
    <row r="1053" spans="1:3" x14ac:dyDescent="0.3">
      <c r="A1053" s="1">
        <v>899</v>
      </c>
      <c r="B1053" s="1" t="s">
        <v>360</v>
      </c>
      <c r="C1053" s="51" t="s">
        <v>1129</v>
      </c>
    </row>
    <row r="1054" spans="1:3" x14ac:dyDescent="0.3">
      <c r="A1054" s="1">
        <v>901</v>
      </c>
      <c r="B1054" s="1" t="s">
        <v>1081</v>
      </c>
      <c r="C1054" s="51" t="s">
        <v>1129</v>
      </c>
    </row>
    <row r="1055" spans="1:3" x14ac:dyDescent="0.3">
      <c r="A1055" s="1">
        <v>902</v>
      </c>
      <c r="B1055" s="1" t="s">
        <v>1177</v>
      </c>
      <c r="C1055" s="51" t="s">
        <v>1129</v>
      </c>
    </row>
    <row r="1056" spans="1:3" x14ac:dyDescent="0.3">
      <c r="A1056" s="1">
        <v>905</v>
      </c>
      <c r="B1056" s="1" t="s">
        <v>1063</v>
      </c>
      <c r="C1056" s="51" t="s">
        <v>1129</v>
      </c>
    </row>
    <row r="1057" spans="1:3" x14ac:dyDescent="0.3">
      <c r="A1057" s="1">
        <v>906</v>
      </c>
      <c r="B1057" s="1" t="s">
        <v>1177</v>
      </c>
      <c r="C1057" s="51" t="s">
        <v>1129</v>
      </c>
    </row>
    <row r="1058" spans="1:3" x14ac:dyDescent="0.3">
      <c r="A1058" s="1">
        <v>913</v>
      </c>
      <c r="B1058" s="1" t="s">
        <v>844</v>
      </c>
      <c r="C1058" s="51" t="s">
        <v>1129</v>
      </c>
    </row>
    <row r="1059" spans="1:3" x14ac:dyDescent="0.3">
      <c r="A1059" s="1">
        <v>915</v>
      </c>
      <c r="B1059" s="1" t="s">
        <v>1063</v>
      </c>
      <c r="C1059" s="51" t="s">
        <v>1129</v>
      </c>
    </row>
    <row r="1060" spans="1:3" x14ac:dyDescent="0.3">
      <c r="A1060" s="1">
        <v>917</v>
      </c>
      <c r="B1060" s="1" t="s">
        <v>1063</v>
      </c>
      <c r="C1060" s="51" t="s">
        <v>1129</v>
      </c>
    </row>
    <row r="1061" spans="1:3" x14ac:dyDescent="0.3">
      <c r="A1061" s="1">
        <v>921</v>
      </c>
      <c r="B1061" s="1" t="s">
        <v>798</v>
      </c>
      <c r="C1061" s="51" t="s">
        <v>1129</v>
      </c>
    </row>
    <row r="1062" spans="1:3" x14ac:dyDescent="0.3">
      <c r="A1062" s="1">
        <v>923</v>
      </c>
      <c r="B1062" s="1" t="s">
        <v>1063</v>
      </c>
      <c r="C1062" s="51" t="s">
        <v>1129</v>
      </c>
    </row>
    <row r="1063" spans="1:3" x14ac:dyDescent="0.3">
      <c r="A1063" s="1">
        <v>928</v>
      </c>
      <c r="B1063" s="1" t="s">
        <v>687</v>
      </c>
      <c r="C1063" s="51" t="s">
        <v>1129</v>
      </c>
    </row>
    <row r="1064" spans="1:3" x14ac:dyDescent="0.3">
      <c r="A1064" s="1">
        <v>932</v>
      </c>
      <c r="B1064" s="1" t="s">
        <v>1063</v>
      </c>
      <c r="C1064" s="51" t="s">
        <v>1129</v>
      </c>
    </row>
    <row r="1065" spans="1:3" x14ac:dyDescent="0.3">
      <c r="A1065" s="1">
        <v>933</v>
      </c>
      <c r="B1065" s="1" t="s">
        <v>794</v>
      </c>
      <c r="C1065" s="51" t="s">
        <v>1129</v>
      </c>
    </row>
    <row r="1066" spans="1:3" x14ac:dyDescent="0.3">
      <c r="A1066" s="1">
        <v>938</v>
      </c>
      <c r="B1066" s="1" t="s">
        <v>798</v>
      </c>
      <c r="C1066" s="51" t="s">
        <v>1129</v>
      </c>
    </row>
    <row r="1067" spans="1:3" x14ac:dyDescent="0.3">
      <c r="A1067" s="1">
        <v>943</v>
      </c>
      <c r="B1067" s="1" t="s">
        <v>680</v>
      </c>
      <c r="C1067" s="51" t="s">
        <v>1129</v>
      </c>
    </row>
    <row r="1068" spans="1:3" x14ac:dyDescent="0.3">
      <c r="A1068" s="1">
        <v>944</v>
      </c>
      <c r="B1068" s="1" t="s">
        <v>437</v>
      </c>
      <c r="C1068" s="51" t="s">
        <v>1129</v>
      </c>
    </row>
    <row r="1069" spans="1:3" x14ac:dyDescent="0.3">
      <c r="A1069" s="1">
        <v>944</v>
      </c>
      <c r="B1069" s="1" t="s">
        <v>356</v>
      </c>
      <c r="C1069" s="51" t="s">
        <v>1129</v>
      </c>
    </row>
    <row r="1070" spans="1:3" x14ac:dyDescent="0.3">
      <c r="A1070" s="1">
        <v>944</v>
      </c>
      <c r="B1070" s="1" t="s">
        <v>1085</v>
      </c>
      <c r="C1070" s="51" t="s">
        <v>1129</v>
      </c>
    </row>
    <row r="1071" spans="1:3" x14ac:dyDescent="0.3">
      <c r="A1071" s="1">
        <v>949</v>
      </c>
      <c r="B1071" s="1" t="s">
        <v>798</v>
      </c>
      <c r="C1071" s="51" t="s">
        <v>1129</v>
      </c>
    </row>
    <row r="1072" spans="1:3" x14ac:dyDescent="0.3">
      <c r="A1072" s="1">
        <v>950</v>
      </c>
      <c r="B1072" s="1" t="s">
        <v>1202</v>
      </c>
      <c r="C1072" s="51" t="s">
        <v>1129</v>
      </c>
    </row>
    <row r="1073" spans="1:3" x14ac:dyDescent="0.3">
      <c r="A1073" s="1">
        <v>950</v>
      </c>
      <c r="B1073" s="1" t="s">
        <v>806</v>
      </c>
      <c r="C1073" s="51" t="s">
        <v>1129</v>
      </c>
    </row>
    <row r="1074" spans="1:3" x14ac:dyDescent="0.3">
      <c r="A1074" s="1">
        <v>950</v>
      </c>
      <c r="B1074" s="1" t="s">
        <v>1477</v>
      </c>
      <c r="C1074" s="51" t="s">
        <v>1129</v>
      </c>
    </row>
    <row r="1075" spans="1:3" x14ac:dyDescent="0.3">
      <c r="A1075" s="1">
        <v>952</v>
      </c>
      <c r="B1075" s="1" t="s">
        <v>1341</v>
      </c>
      <c r="C1075" s="51" t="s">
        <v>1129</v>
      </c>
    </row>
    <row r="1076" spans="1:3" x14ac:dyDescent="0.3">
      <c r="A1076" s="1">
        <v>954</v>
      </c>
      <c r="B1076" s="1" t="s">
        <v>1063</v>
      </c>
      <c r="C1076" s="51" t="s">
        <v>1129</v>
      </c>
    </row>
    <row r="1077" spans="1:3" x14ac:dyDescent="0.3">
      <c r="A1077" s="1">
        <v>955</v>
      </c>
      <c r="B1077" s="1" t="s">
        <v>1393</v>
      </c>
      <c r="C1077" s="51" t="s">
        <v>1129</v>
      </c>
    </row>
    <row r="1078" spans="1:3" x14ac:dyDescent="0.3">
      <c r="A1078" s="1">
        <v>960</v>
      </c>
      <c r="B1078" s="1" t="s">
        <v>356</v>
      </c>
      <c r="C1078" s="51" t="s">
        <v>1129</v>
      </c>
    </row>
    <row r="1079" spans="1:3" x14ac:dyDescent="0.3">
      <c r="A1079" s="1">
        <v>960</v>
      </c>
      <c r="B1079" s="1" t="s">
        <v>1085</v>
      </c>
      <c r="C1079" s="51" t="s">
        <v>1129</v>
      </c>
    </row>
    <row r="1080" spans="1:3" x14ac:dyDescent="0.3">
      <c r="A1080" s="1">
        <v>961</v>
      </c>
      <c r="B1080" s="1" t="s">
        <v>1063</v>
      </c>
      <c r="C1080" s="51" t="s">
        <v>1129</v>
      </c>
    </row>
    <row r="1081" spans="1:3" x14ac:dyDescent="0.3">
      <c r="A1081" s="1">
        <v>962</v>
      </c>
      <c r="B1081" s="1" t="s">
        <v>1394</v>
      </c>
      <c r="C1081" s="51" t="s">
        <v>1129</v>
      </c>
    </row>
    <row r="1082" spans="1:3" x14ac:dyDescent="0.3">
      <c r="A1082" s="1">
        <v>968</v>
      </c>
      <c r="B1082" s="1" t="s">
        <v>1358</v>
      </c>
      <c r="C1082" s="51" t="s">
        <v>1129</v>
      </c>
    </row>
    <row r="1083" spans="1:3" x14ac:dyDescent="0.3">
      <c r="A1083" s="1">
        <v>969</v>
      </c>
      <c r="B1083" s="1" t="s">
        <v>1358</v>
      </c>
      <c r="C1083" s="51" t="s">
        <v>1129</v>
      </c>
    </row>
    <row r="1084" spans="1:3" x14ac:dyDescent="0.3">
      <c r="A1084" s="1">
        <v>970</v>
      </c>
      <c r="B1084" s="1" t="s">
        <v>1063</v>
      </c>
      <c r="C1084" s="51" t="s">
        <v>1129</v>
      </c>
    </row>
    <row r="1085" spans="1:3" x14ac:dyDescent="0.3">
      <c r="A1085" s="1">
        <v>973</v>
      </c>
      <c r="B1085" s="1" t="s">
        <v>1275</v>
      </c>
      <c r="C1085" s="51" t="s">
        <v>1129</v>
      </c>
    </row>
    <row r="1086" spans="1:3" x14ac:dyDescent="0.3">
      <c r="A1086" s="1">
        <v>995</v>
      </c>
      <c r="B1086" s="1" t="s">
        <v>1063</v>
      </c>
      <c r="C1086" s="51" t="s">
        <v>1129</v>
      </c>
    </row>
    <row r="1087" spans="1:3" x14ac:dyDescent="0.3">
      <c r="A1087" s="1">
        <v>996</v>
      </c>
      <c r="B1087" s="1" t="s">
        <v>1063</v>
      </c>
      <c r="C1087" s="51" t="s">
        <v>1129</v>
      </c>
    </row>
    <row r="1088" spans="1:3" x14ac:dyDescent="0.3">
      <c r="A1088" s="1">
        <v>997</v>
      </c>
      <c r="B1088" s="1" t="s">
        <v>798</v>
      </c>
      <c r="C1088" s="51" t="s">
        <v>1129</v>
      </c>
    </row>
    <row r="1089" spans="1:3" x14ac:dyDescent="0.3">
      <c r="A1089" s="1">
        <v>999</v>
      </c>
      <c r="B1089" s="1" t="s">
        <v>360</v>
      </c>
      <c r="C1089" s="51" t="s">
        <v>1129</v>
      </c>
    </row>
    <row r="1090" spans="1:3" x14ac:dyDescent="0.3">
      <c r="A1090" s="1">
        <v>1002</v>
      </c>
      <c r="B1090" s="1" t="s">
        <v>809</v>
      </c>
      <c r="C1090" s="51" t="s">
        <v>1129</v>
      </c>
    </row>
    <row r="1091" spans="1:3" x14ac:dyDescent="0.3">
      <c r="A1091" s="1">
        <v>1005</v>
      </c>
      <c r="B1091" s="1" t="s">
        <v>1063</v>
      </c>
      <c r="C1091" s="51" t="s">
        <v>1129</v>
      </c>
    </row>
    <row r="1092" spans="1:3" x14ac:dyDescent="0.3">
      <c r="A1092" s="1">
        <v>1021</v>
      </c>
      <c r="B1092" s="1" t="s">
        <v>687</v>
      </c>
      <c r="C1092" s="51" t="s">
        <v>1129</v>
      </c>
    </row>
    <row r="1093" spans="1:3" x14ac:dyDescent="0.3">
      <c r="A1093" s="1">
        <v>1027</v>
      </c>
      <c r="B1093" s="1" t="s">
        <v>809</v>
      </c>
      <c r="C1093" s="51" t="s">
        <v>1129</v>
      </c>
    </row>
    <row r="1094" spans="1:3" x14ac:dyDescent="0.3">
      <c r="A1094" s="1">
        <v>1028</v>
      </c>
      <c r="B1094" s="1" t="s">
        <v>951</v>
      </c>
      <c r="C1094" s="51" t="s">
        <v>1129</v>
      </c>
    </row>
    <row r="1095" spans="1:3" x14ac:dyDescent="0.3">
      <c r="A1095" s="1">
        <v>1028</v>
      </c>
      <c r="B1095" s="1" t="s">
        <v>360</v>
      </c>
      <c r="C1095" s="51" t="s">
        <v>1129</v>
      </c>
    </row>
    <row r="1096" spans="1:3" x14ac:dyDescent="0.3">
      <c r="A1096" s="1">
        <v>1042</v>
      </c>
      <c r="B1096" s="1" t="s">
        <v>706</v>
      </c>
      <c r="C1096" s="51" t="s">
        <v>1129</v>
      </c>
    </row>
    <row r="1097" spans="1:3" x14ac:dyDescent="0.3">
      <c r="A1097" s="1">
        <v>1045</v>
      </c>
      <c r="B1097" s="1" t="s">
        <v>1063</v>
      </c>
      <c r="C1097" s="51" t="s">
        <v>1129</v>
      </c>
    </row>
    <row r="1098" spans="1:3" x14ac:dyDescent="0.3">
      <c r="A1098" s="1">
        <v>1048</v>
      </c>
      <c r="B1098" s="1" t="s">
        <v>1063</v>
      </c>
      <c r="C1098" s="51" t="s">
        <v>1129</v>
      </c>
    </row>
    <row r="1099" spans="1:3" x14ac:dyDescent="0.3">
      <c r="A1099" s="1">
        <v>1051</v>
      </c>
      <c r="B1099" s="1" t="s">
        <v>360</v>
      </c>
      <c r="C1099" s="51" t="s">
        <v>1129</v>
      </c>
    </row>
    <row r="1100" spans="1:3" x14ac:dyDescent="0.3">
      <c r="A1100" s="1">
        <v>1058</v>
      </c>
      <c r="B1100" s="1" t="s">
        <v>1341</v>
      </c>
      <c r="C1100" s="51" t="s">
        <v>1129</v>
      </c>
    </row>
    <row r="1101" spans="1:3" x14ac:dyDescent="0.3">
      <c r="A1101" s="1">
        <v>1059</v>
      </c>
      <c r="B1101" s="1" t="s">
        <v>1341</v>
      </c>
      <c r="C1101" s="51" t="s">
        <v>1129</v>
      </c>
    </row>
    <row r="1102" spans="1:3" x14ac:dyDescent="0.3">
      <c r="A1102" s="1">
        <v>1060</v>
      </c>
      <c r="B1102" s="1" t="s">
        <v>1085</v>
      </c>
      <c r="C1102" s="51" t="s">
        <v>1129</v>
      </c>
    </row>
    <row r="1103" spans="1:3" x14ac:dyDescent="0.3">
      <c r="A1103" s="1">
        <v>1066</v>
      </c>
      <c r="B1103" s="1" t="s">
        <v>360</v>
      </c>
      <c r="C1103" s="51" t="s">
        <v>1129</v>
      </c>
    </row>
    <row r="1104" spans="1:3" x14ac:dyDescent="0.3">
      <c r="A1104" s="1">
        <v>1085</v>
      </c>
      <c r="B1104" s="1" t="s">
        <v>360</v>
      </c>
      <c r="C1104" s="51" t="s">
        <v>1129</v>
      </c>
    </row>
    <row r="1105" spans="1:3" x14ac:dyDescent="0.3">
      <c r="A1105" s="1">
        <v>1088</v>
      </c>
      <c r="B1105" s="1" t="s">
        <v>1063</v>
      </c>
      <c r="C1105" s="51" t="s">
        <v>1129</v>
      </c>
    </row>
    <row r="1106" spans="1:3" x14ac:dyDescent="0.3">
      <c r="A1106" s="1">
        <v>1092</v>
      </c>
      <c r="B1106" s="1" t="s">
        <v>1436</v>
      </c>
      <c r="C1106" s="51" t="s">
        <v>1129</v>
      </c>
    </row>
    <row r="1107" spans="1:3" x14ac:dyDescent="0.3">
      <c r="A1107" s="1">
        <v>1099</v>
      </c>
      <c r="B1107" s="1" t="s">
        <v>1085</v>
      </c>
      <c r="C1107" s="51" t="s">
        <v>1129</v>
      </c>
    </row>
    <row r="1108" spans="1:3" x14ac:dyDescent="0.3">
      <c r="A1108" s="1">
        <v>1109</v>
      </c>
      <c r="B1108" s="1" t="s">
        <v>687</v>
      </c>
      <c r="C1108" s="51" t="s">
        <v>1129</v>
      </c>
    </row>
    <row r="1109" spans="1:3" x14ac:dyDescent="0.3">
      <c r="A1109" s="1">
        <v>1121</v>
      </c>
      <c r="B1109" s="1" t="s">
        <v>1478</v>
      </c>
      <c r="C1109" s="51" t="s">
        <v>1129</v>
      </c>
    </row>
    <row r="1110" spans="1:3" x14ac:dyDescent="0.3">
      <c r="A1110" s="1">
        <v>1121</v>
      </c>
      <c r="B1110" s="1" t="s">
        <v>807</v>
      </c>
      <c r="C1110" s="51" t="s">
        <v>1129</v>
      </c>
    </row>
    <row r="1111" spans="1:3" x14ac:dyDescent="0.3">
      <c r="A1111" s="1">
        <v>1121</v>
      </c>
      <c r="B1111" s="1" t="s">
        <v>1479</v>
      </c>
      <c r="C1111" s="51" t="s">
        <v>1129</v>
      </c>
    </row>
    <row r="1112" spans="1:3" x14ac:dyDescent="0.3">
      <c r="A1112" s="1">
        <v>1121</v>
      </c>
      <c r="B1112" s="1" t="s">
        <v>1085</v>
      </c>
      <c r="C1112" s="51" t="s">
        <v>1129</v>
      </c>
    </row>
    <row r="1113" spans="1:3" x14ac:dyDescent="0.3">
      <c r="A1113" s="1">
        <v>1122</v>
      </c>
      <c r="B1113" s="1" t="s">
        <v>354</v>
      </c>
      <c r="C1113" s="51" t="s">
        <v>1129</v>
      </c>
    </row>
    <row r="1114" spans="1:3" x14ac:dyDescent="0.3">
      <c r="A1114" s="1">
        <v>1122</v>
      </c>
      <c r="B1114" s="1" t="s">
        <v>711</v>
      </c>
      <c r="C1114" s="51" t="s">
        <v>1129</v>
      </c>
    </row>
    <row r="1115" spans="1:3" x14ac:dyDescent="0.3">
      <c r="A1115" s="1">
        <v>1143</v>
      </c>
      <c r="B1115" s="1" t="s">
        <v>1063</v>
      </c>
      <c r="C1115" s="51" t="s">
        <v>1129</v>
      </c>
    </row>
    <row r="1116" spans="1:3" x14ac:dyDescent="0.3">
      <c r="A1116" s="1">
        <v>1165</v>
      </c>
      <c r="B1116" s="1" t="s">
        <v>1081</v>
      </c>
      <c r="C1116" s="51" t="s">
        <v>1129</v>
      </c>
    </row>
    <row r="1117" spans="1:3" x14ac:dyDescent="0.3">
      <c r="A1117" s="1">
        <v>1175</v>
      </c>
      <c r="B1117" s="1" t="s">
        <v>360</v>
      </c>
      <c r="C1117" s="51" t="s">
        <v>1129</v>
      </c>
    </row>
    <row r="1118" spans="1:3" x14ac:dyDescent="0.3">
      <c r="A1118" s="1">
        <v>1177</v>
      </c>
      <c r="B1118" s="1" t="s">
        <v>1063</v>
      </c>
      <c r="C1118" s="51" t="s">
        <v>1129</v>
      </c>
    </row>
  </sheetData>
  <sortState ref="A2:B653">
    <sortCondition ref="A2:A65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354"/>
  <sheetViews>
    <sheetView topLeftCell="A251" workbookViewId="0">
      <selection activeCell="A273" sqref="A273:C354"/>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371</v>
      </c>
      <c r="C14" s="1">
        <v>50</v>
      </c>
    </row>
    <row r="15" spans="1:3" x14ac:dyDescent="0.3">
      <c r="A15" s="6">
        <v>19</v>
      </c>
      <c r="B15" s="6" t="s">
        <v>113</v>
      </c>
      <c r="C15" s="6">
        <v>28</v>
      </c>
    </row>
    <row r="16" spans="1:3" x14ac:dyDescent="0.3">
      <c r="A16" s="6">
        <v>67</v>
      </c>
      <c r="B16" s="6" t="s">
        <v>371</v>
      </c>
      <c r="C16" s="6">
        <v>61</v>
      </c>
    </row>
    <row r="17" spans="1:3" x14ac:dyDescent="0.3">
      <c r="A17" s="6">
        <v>65</v>
      </c>
      <c r="B17" s="6" t="s">
        <v>371</v>
      </c>
      <c r="C17" s="6">
        <v>50</v>
      </c>
    </row>
    <row r="18" spans="1:3" x14ac:dyDescent="0.3">
      <c r="A18" s="6">
        <v>65</v>
      </c>
      <c r="B18" s="6" t="s">
        <v>371</v>
      </c>
      <c r="C18" s="6">
        <v>55</v>
      </c>
    </row>
    <row r="19" spans="1:3" x14ac:dyDescent="0.3">
      <c r="A19" s="6">
        <v>56</v>
      </c>
      <c r="B19" s="6" t="s">
        <v>57</v>
      </c>
      <c r="C19" s="6">
        <v>47</v>
      </c>
    </row>
    <row r="20" spans="1:3" x14ac:dyDescent="0.3">
      <c r="A20" s="6">
        <v>68</v>
      </c>
      <c r="B20" s="6" t="s">
        <v>371</v>
      </c>
      <c r="C20" s="6">
        <v>66</v>
      </c>
    </row>
    <row r="21" spans="1:3" x14ac:dyDescent="0.3">
      <c r="A21" s="6">
        <v>70</v>
      </c>
      <c r="B21" s="6" t="s">
        <v>371</v>
      </c>
      <c r="C21" s="6">
        <v>66</v>
      </c>
    </row>
    <row r="22" spans="1:3" x14ac:dyDescent="0.3">
      <c r="A22" s="6">
        <v>71</v>
      </c>
      <c r="B22" s="6" t="s">
        <v>320</v>
      </c>
      <c r="C22" s="6">
        <v>66</v>
      </c>
    </row>
    <row r="23" spans="1:3" x14ac:dyDescent="0.3">
      <c r="A23" s="6">
        <v>72</v>
      </c>
      <c r="B23" s="6" t="s">
        <v>320</v>
      </c>
      <c r="C23" s="6">
        <v>59</v>
      </c>
    </row>
    <row r="24" spans="1:3" x14ac:dyDescent="0.3">
      <c r="A24" s="6">
        <v>75</v>
      </c>
      <c r="B24" s="6" t="s">
        <v>371</v>
      </c>
      <c r="C24" s="6">
        <v>41</v>
      </c>
    </row>
    <row r="25" spans="1:3" x14ac:dyDescent="0.3">
      <c r="A25" s="6">
        <v>73</v>
      </c>
      <c r="B25" s="6" t="s">
        <v>57</v>
      </c>
      <c r="C25" s="6">
        <v>51</v>
      </c>
    </row>
    <row r="26" spans="1:3" x14ac:dyDescent="0.3">
      <c r="A26" s="6">
        <v>77</v>
      </c>
      <c r="B26" s="6" t="s">
        <v>320</v>
      </c>
      <c r="C26" s="6">
        <v>50</v>
      </c>
    </row>
    <row r="27" spans="1:3" x14ac:dyDescent="0.3">
      <c r="A27" s="6">
        <v>79</v>
      </c>
      <c r="B27" s="6" t="s">
        <v>371</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330</v>
      </c>
      <c r="C43" s="1">
        <v>101</v>
      </c>
    </row>
    <row r="44" spans="1:3" x14ac:dyDescent="0.3">
      <c r="A44" s="6">
        <v>112</v>
      </c>
      <c r="B44" s="1" t="s">
        <v>320</v>
      </c>
      <c r="C44" s="1">
        <v>94</v>
      </c>
    </row>
    <row r="45" spans="1:3" x14ac:dyDescent="0.3">
      <c r="A45" s="1">
        <v>114</v>
      </c>
      <c r="B45" s="1" t="s">
        <v>352</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352</v>
      </c>
      <c r="C48" s="1">
        <v>128</v>
      </c>
    </row>
    <row r="49" spans="1:3" x14ac:dyDescent="0.3">
      <c r="A49" s="1">
        <v>126</v>
      </c>
      <c r="B49" s="1" t="s">
        <v>370</v>
      </c>
      <c r="C49" s="1">
        <v>109</v>
      </c>
    </row>
    <row r="50" spans="1:3" x14ac:dyDescent="0.3">
      <c r="A50" s="1">
        <v>127</v>
      </c>
      <c r="B50" s="1" t="s">
        <v>57</v>
      </c>
      <c r="C50" s="1">
        <v>117</v>
      </c>
    </row>
    <row r="51" spans="1:3" x14ac:dyDescent="0.3">
      <c r="A51" s="1">
        <v>129</v>
      </c>
      <c r="B51" s="1" t="s">
        <v>371</v>
      </c>
      <c r="C51" s="1">
        <v>130</v>
      </c>
    </row>
    <row r="52" spans="1:3" x14ac:dyDescent="0.3">
      <c r="A52" s="1">
        <v>138</v>
      </c>
      <c r="B52" s="1" t="s">
        <v>411</v>
      </c>
      <c r="C52" s="1">
        <v>66</v>
      </c>
    </row>
    <row r="53" spans="1:3" x14ac:dyDescent="0.3">
      <c r="A53" s="1">
        <v>138</v>
      </c>
      <c r="B53" s="1" t="s">
        <v>371</v>
      </c>
      <c r="C53" s="1">
        <v>83</v>
      </c>
    </row>
    <row r="54" spans="1:3" x14ac:dyDescent="0.3">
      <c r="A54" s="1">
        <v>138</v>
      </c>
      <c r="B54" s="1" t="s">
        <v>371</v>
      </c>
      <c r="C54" s="1">
        <v>91</v>
      </c>
    </row>
    <row r="55" spans="1:3" x14ac:dyDescent="0.3">
      <c r="A55" s="1">
        <v>140</v>
      </c>
      <c r="B55" s="1" t="s">
        <v>371</v>
      </c>
      <c r="C55" s="1">
        <v>139</v>
      </c>
    </row>
    <row r="56" spans="1:3" x14ac:dyDescent="0.3">
      <c r="A56" s="1">
        <v>140</v>
      </c>
      <c r="B56" s="1" t="s">
        <v>371</v>
      </c>
      <c r="C56" s="1">
        <v>142</v>
      </c>
    </row>
    <row r="57" spans="1:3" x14ac:dyDescent="0.3">
      <c r="A57" s="1">
        <v>143</v>
      </c>
      <c r="B57" s="1" t="s">
        <v>371</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371</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352</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679</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371</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371</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371</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371</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371</v>
      </c>
      <c r="C104" s="1">
        <v>236</v>
      </c>
    </row>
    <row r="105" spans="1:3" x14ac:dyDescent="0.3">
      <c r="A105" s="1">
        <v>229</v>
      </c>
      <c r="B105" s="1" t="s">
        <v>371</v>
      </c>
      <c r="C105" s="1">
        <v>240</v>
      </c>
    </row>
    <row r="106" spans="1:3" x14ac:dyDescent="0.3">
      <c r="A106" s="1">
        <v>231</v>
      </c>
      <c r="B106" s="1" t="s">
        <v>371</v>
      </c>
      <c r="C106" s="1">
        <v>232</v>
      </c>
    </row>
    <row r="107" spans="1:3" x14ac:dyDescent="0.3">
      <c r="A107" s="1">
        <v>242</v>
      </c>
      <c r="B107" s="1" t="s">
        <v>320</v>
      </c>
      <c r="C107" s="1">
        <v>166</v>
      </c>
    </row>
    <row r="108" spans="1:3" x14ac:dyDescent="0.3">
      <c r="A108" s="1">
        <v>251</v>
      </c>
      <c r="B108" s="1" t="s">
        <v>371</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371</v>
      </c>
      <c r="C114" s="1">
        <v>260</v>
      </c>
    </row>
    <row r="115" spans="1:3" x14ac:dyDescent="0.3">
      <c r="A115" s="1">
        <v>303</v>
      </c>
      <c r="B115" s="1" t="s">
        <v>371</v>
      </c>
      <c r="C115" s="1">
        <v>248</v>
      </c>
    </row>
    <row r="116" spans="1:3" x14ac:dyDescent="0.3">
      <c r="A116" s="1">
        <v>311</v>
      </c>
      <c r="B116" s="1" t="s">
        <v>371</v>
      </c>
      <c r="C116" s="1">
        <v>234</v>
      </c>
    </row>
    <row r="117" spans="1:3" x14ac:dyDescent="0.3">
      <c r="A117" s="6">
        <v>239</v>
      </c>
      <c r="B117" s="1" t="s">
        <v>320</v>
      </c>
      <c r="C117" s="6">
        <v>241</v>
      </c>
    </row>
    <row r="118" spans="1:3" x14ac:dyDescent="0.3">
      <c r="A118" s="6">
        <v>240</v>
      </c>
      <c r="B118" s="6" t="s">
        <v>371</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371</v>
      </c>
      <c r="C122" s="6">
        <v>267</v>
      </c>
    </row>
    <row r="123" spans="1:3" x14ac:dyDescent="0.3">
      <c r="A123" s="6">
        <v>299</v>
      </c>
      <c r="B123" s="6" t="s">
        <v>371</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row r="129" spans="1:3" x14ac:dyDescent="0.3">
      <c r="A129" s="6">
        <v>335</v>
      </c>
      <c r="B129" s="1" t="s">
        <v>320</v>
      </c>
      <c r="C129" s="6">
        <v>234</v>
      </c>
    </row>
    <row r="130" spans="1:3" x14ac:dyDescent="0.3">
      <c r="A130" s="6">
        <v>335</v>
      </c>
      <c r="B130" s="1" t="s">
        <v>320</v>
      </c>
      <c r="C130" s="6">
        <v>311</v>
      </c>
    </row>
    <row r="131" spans="1:3" x14ac:dyDescent="0.3">
      <c r="A131" s="30">
        <v>348</v>
      </c>
      <c r="B131" s="1" t="s">
        <v>320</v>
      </c>
      <c r="C131" s="6">
        <v>227</v>
      </c>
    </row>
    <row r="132" spans="1:3" x14ac:dyDescent="0.3">
      <c r="A132" s="6">
        <v>353</v>
      </c>
      <c r="B132" s="1" t="s">
        <v>320</v>
      </c>
      <c r="C132" s="6">
        <v>177</v>
      </c>
    </row>
    <row r="133" spans="1:3" x14ac:dyDescent="0.3">
      <c r="A133" s="6">
        <v>359</v>
      </c>
      <c r="B133" s="1" t="s">
        <v>320</v>
      </c>
      <c r="C133" s="6">
        <v>321</v>
      </c>
    </row>
    <row r="134" spans="1:3" x14ac:dyDescent="0.3">
      <c r="A134" s="6">
        <v>361</v>
      </c>
      <c r="B134" s="1" t="s">
        <v>320</v>
      </c>
      <c r="C134" s="6">
        <v>318</v>
      </c>
    </row>
    <row r="135" spans="1:3" x14ac:dyDescent="0.3">
      <c r="A135" s="6">
        <v>364</v>
      </c>
      <c r="B135" s="1" t="s">
        <v>320</v>
      </c>
      <c r="C135" s="6">
        <v>225</v>
      </c>
    </row>
    <row r="136" spans="1:3" x14ac:dyDescent="0.3">
      <c r="A136" s="6">
        <v>367</v>
      </c>
      <c r="B136" s="1" t="s">
        <v>320</v>
      </c>
      <c r="C136" s="6">
        <v>338</v>
      </c>
    </row>
    <row r="137" spans="1:3" x14ac:dyDescent="0.3">
      <c r="A137" s="6">
        <v>368</v>
      </c>
      <c r="B137" s="1" t="s">
        <v>320</v>
      </c>
      <c r="C137" s="6">
        <v>225</v>
      </c>
    </row>
    <row r="138" spans="1:3" x14ac:dyDescent="0.3">
      <c r="A138" s="6">
        <v>368</v>
      </c>
      <c r="B138" s="1" t="s">
        <v>320</v>
      </c>
      <c r="C138" s="6">
        <v>294</v>
      </c>
    </row>
    <row r="139" spans="1:3" x14ac:dyDescent="0.3">
      <c r="A139" s="6">
        <v>368</v>
      </c>
      <c r="B139" s="1" t="s">
        <v>320</v>
      </c>
      <c r="C139" s="6">
        <v>237</v>
      </c>
    </row>
    <row r="140" spans="1:3" x14ac:dyDescent="0.3">
      <c r="A140" s="6">
        <v>388</v>
      </c>
      <c r="B140" s="1" t="s">
        <v>320</v>
      </c>
      <c r="C140" s="6">
        <v>351</v>
      </c>
    </row>
    <row r="141" spans="1:3" x14ac:dyDescent="0.3">
      <c r="A141" s="6">
        <v>430</v>
      </c>
      <c r="B141" s="1" t="s">
        <v>320</v>
      </c>
      <c r="C141" s="6">
        <v>350</v>
      </c>
    </row>
    <row r="142" spans="1:3" x14ac:dyDescent="0.3">
      <c r="A142" s="6">
        <v>442</v>
      </c>
      <c r="B142" s="1" t="s">
        <v>320</v>
      </c>
      <c r="C142" s="6">
        <v>398</v>
      </c>
    </row>
    <row r="143" spans="1:3" x14ac:dyDescent="0.3">
      <c r="A143" s="6">
        <v>451</v>
      </c>
      <c r="B143" s="1" t="s">
        <v>320</v>
      </c>
      <c r="C143" s="6">
        <v>404</v>
      </c>
    </row>
    <row r="144" spans="1:3" x14ac:dyDescent="0.3">
      <c r="A144" s="1">
        <v>446</v>
      </c>
      <c r="B144" s="1" t="s">
        <v>679</v>
      </c>
      <c r="C144" s="1">
        <v>378</v>
      </c>
    </row>
    <row r="145" spans="1:3" x14ac:dyDescent="0.3">
      <c r="A145" s="1">
        <v>475</v>
      </c>
      <c r="B145" s="1" t="s">
        <v>679</v>
      </c>
      <c r="C145" s="1">
        <v>423</v>
      </c>
    </row>
    <row r="146" spans="1:3" x14ac:dyDescent="0.3">
      <c r="A146" s="1">
        <v>481</v>
      </c>
      <c r="B146" s="1" t="s">
        <v>352</v>
      </c>
      <c r="C146" s="1">
        <v>440</v>
      </c>
    </row>
    <row r="147" spans="1:3" x14ac:dyDescent="0.3">
      <c r="A147" s="1">
        <v>491</v>
      </c>
      <c r="B147" s="1" t="s">
        <v>679</v>
      </c>
      <c r="C147" s="1">
        <v>269</v>
      </c>
    </row>
    <row r="148" spans="1:3" x14ac:dyDescent="0.3">
      <c r="A148" s="1">
        <v>495</v>
      </c>
      <c r="B148" s="1" t="s">
        <v>352</v>
      </c>
      <c r="C148" s="1">
        <v>468</v>
      </c>
    </row>
    <row r="149" spans="1:3" x14ac:dyDescent="0.3">
      <c r="A149" s="1">
        <v>509</v>
      </c>
      <c r="B149" s="1" t="s">
        <v>679</v>
      </c>
      <c r="C149" s="1">
        <v>212</v>
      </c>
    </row>
    <row r="150" spans="1:3" x14ac:dyDescent="0.3">
      <c r="A150" s="1">
        <v>517</v>
      </c>
      <c r="B150" s="1" t="s">
        <v>371</v>
      </c>
      <c r="C150" s="1">
        <v>459</v>
      </c>
    </row>
    <row r="151" spans="1:3" x14ac:dyDescent="0.3">
      <c r="A151" s="1">
        <v>517</v>
      </c>
      <c r="B151" s="1" t="s">
        <v>320</v>
      </c>
      <c r="C151" s="1">
        <v>490</v>
      </c>
    </row>
    <row r="152" spans="1:3" x14ac:dyDescent="0.3">
      <c r="A152" s="1">
        <v>520</v>
      </c>
      <c r="B152" s="1" t="s">
        <v>320</v>
      </c>
      <c r="C152" s="1">
        <v>94</v>
      </c>
    </row>
    <row r="153" spans="1:3" x14ac:dyDescent="0.3">
      <c r="A153" s="1">
        <v>523</v>
      </c>
      <c r="B153" s="1" t="s">
        <v>352</v>
      </c>
      <c r="C153" s="1">
        <v>394</v>
      </c>
    </row>
    <row r="154" spans="1:3" x14ac:dyDescent="0.3">
      <c r="A154" s="1">
        <v>539</v>
      </c>
      <c r="B154" s="1" t="s">
        <v>320</v>
      </c>
      <c r="C154" s="1">
        <v>338</v>
      </c>
    </row>
    <row r="155" spans="1:3" x14ac:dyDescent="0.3">
      <c r="A155" s="1">
        <v>539</v>
      </c>
      <c r="B155" s="1" t="s">
        <v>320</v>
      </c>
      <c r="C155" s="1">
        <v>367</v>
      </c>
    </row>
    <row r="156" spans="1:3" x14ac:dyDescent="0.3">
      <c r="A156" s="1">
        <v>545</v>
      </c>
      <c r="B156" s="1" t="s">
        <v>352</v>
      </c>
      <c r="C156" s="1">
        <v>403</v>
      </c>
    </row>
    <row r="157" spans="1:3" x14ac:dyDescent="0.3">
      <c r="A157" s="1">
        <v>550</v>
      </c>
      <c r="B157" s="1" t="s">
        <v>352</v>
      </c>
      <c r="C157" s="1">
        <v>451</v>
      </c>
    </row>
    <row r="158" spans="1:3" x14ac:dyDescent="0.3">
      <c r="A158" s="1">
        <v>553</v>
      </c>
      <c r="B158" s="1" t="s">
        <v>320</v>
      </c>
      <c r="C158" s="1">
        <v>384</v>
      </c>
    </row>
    <row r="159" spans="1:3" x14ac:dyDescent="0.3">
      <c r="A159" s="1">
        <v>521</v>
      </c>
      <c r="B159" s="1" t="s">
        <v>371</v>
      </c>
      <c r="C159" s="1">
        <v>601</v>
      </c>
    </row>
    <row r="160" spans="1:3" x14ac:dyDescent="0.3">
      <c r="A160" s="1">
        <v>566</v>
      </c>
      <c r="B160" s="1" t="s">
        <v>371</v>
      </c>
      <c r="C160" s="1">
        <v>601</v>
      </c>
    </row>
    <row r="161" spans="1:3" x14ac:dyDescent="0.3">
      <c r="A161" s="1">
        <v>567</v>
      </c>
      <c r="B161" s="1" t="s">
        <v>371</v>
      </c>
      <c r="C161" s="1">
        <v>601</v>
      </c>
    </row>
    <row r="162" spans="1:3" x14ac:dyDescent="0.3">
      <c r="A162" s="1">
        <v>572</v>
      </c>
      <c r="B162" s="1" t="s">
        <v>371</v>
      </c>
      <c r="C162" s="1">
        <v>601</v>
      </c>
    </row>
    <row r="163" spans="1:3" x14ac:dyDescent="0.3">
      <c r="A163" s="1">
        <v>570</v>
      </c>
      <c r="B163" s="1" t="s">
        <v>352</v>
      </c>
      <c r="C163" s="1">
        <v>597</v>
      </c>
    </row>
    <row r="164" spans="1:3" x14ac:dyDescent="0.3">
      <c r="A164" s="1">
        <v>577</v>
      </c>
      <c r="B164" s="1" t="s">
        <v>679</v>
      </c>
      <c r="C164" s="1">
        <v>527</v>
      </c>
    </row>
    <row r="165" spans="1:3" x14ac:dyDescent="0.3">
      <c r="A165" s="1">
        <v>578</v>
      </c>
      <c r="B165" s="1" t="s">
        <v>679</v>
      </c>
      <c r="C165" s="1">
        <v>532</v>
      </c>
    </row>
    <row r="166" spans="1:3" x14ac:dyDescent="0.3">
      <c r="A166" s="1">
        <v>580</v>
      </c>
      <c r="B166" s="1" t="s">
        <v>679</v>
      </c>
      <c r="C166" s="1">
        <v>518</v>
      </c>
    </row>
    <row r="167" spans="1:3" x14ac:dyDescent="0.3">
      <c r="A167" s="1">
        <v>582</v>
      </c>
      <c r="B167" s="1" t="s">
        <v>679</v>
      </c>
      <c r="C167" s="1">
        <v>418</v>
      </c>
    </row>
    <row r="168" spans="1:3" x14ac:dyDescent="0.3">
      <c r="A168" s="1">
        <v>583</v>
      </c>
      <c r="B168" s="1" t="s">
        <v>679</v>
      </c>
      <c r="C168" s="1">
        <v>516</v>
      </c>
    </row>
    <row r="169" spans="1:3" x14ac:dyDescent="0.3">
      <c r="A169" s="1">
        <v>584</v>
      </c>
      <c r="B169" s="1" t="s">
        <v>679</v>
      </c>
      <c r="C169" s="1">
        <v>516</v>
      </c>
    </row>
    <row r="170" spans="1:3" x14ac:dyDescent="0.3">
      <c r="A170" s="1">
        <v>585</v>
      </c>
      <c r="B170" s="1" t="s">
        <v>679</v>
      </c>
      <c r="C170" s="1">
        <v>523</v>
      </c>
    </row>
    <row r="171" spans="1:3" x14ac:dyDescent="0.3">
      <c r="A171" s="1">
        <v>597</v>
      </c>
      <c r="B171" s="1" t="s">
        <v>352</v>
      </c>
      <c r="C171" s="1">
        <v>570</v>
      </c>
    </row>
    <row r="172" spans="1:3" x14ac:dyDescent="0.3">
      <c r="A172" s="1">
        <v>599</v>
      </c>
      <c r="B172" s="1" t="s">
        <v>679</v>
      </c>
      <c r="C172" s="1">
        <v>385</v>
      </c>
    </row>
    <row r="173" spans="1:3" x14ac:dyDescent="0.3">
      <c r="A173" s="1">
        <v>602</v>
      </c>
      <c r="B173" s="1" t="s">
        <v>679</v>
      </c>
      <c r="C173" s="1">
        <v>516</v>
      </c>
    </row>
    <row r="174" spans="1:3" x14ac:dyDescent="0.3">
      <c r="A174" s="1">
        <v>609</v>
      </c>
      <c r="B174" s="1" t="s">
        <v>679</v>
      </c>
      <c r="C174" s="1">
        <v>516</v>
      </c>
    </row>
    <row r="175" spans="1:3" x14ac:dyDescent="0.3">
      <c r="A175" s="1">
        <v>610</v>
      </c>
      <c r="B175" s="1" t="s">
        <v>679</v>
      </c>
      <c r="C175" s="1">
        <v>516</v>
      </c>
    </row>
    <row r="176" spans="1:3" x14ac:dyDescent="0.3">
      <c r="A176" s="1">
        <v>618</v>
      </c>
      <c r="B176" s="1" t="s">
        <v>679</v>
      </c>
      <c r="C176" s="1">
        <v>556</v>
      </c>
    </row>
    <row r="177" spans="1:3" x14ac:dyDescent="0.3">
      <c r="A177" s="1">
        <v>619</v>
      </c>
      <c r="B177" s="1" t="s">
        <v>371</v>
      </c>
      <c r="C177" s="1">
        <v>557</v>
      </c>
    </row>
    <row r="178" spans="1:3" x14ac:dyDescent="0.3">
      <c r="A178" s="1">
        <v>626</v>
      </c>
      <c r="B178" s="1" t="s">
        <v>679</v>
      </c>
      <c r="C178" s="1">
        <v>556</v>
      </c>
    </row>
    <row r="179" spans="1:3" x14ac:dyDescent="0.3">
      <c r="A179" s="1">
        <v>629</v>
      </c>
      <c r="B179" s="1" t="s">
        <v>679</v>
      </c>
      <c r="C179" s="1">
        <v>557</v>
      </c>
    </row>
    <row r="180" spans="1:3" x14ac:dyDescent="0.3">
      <c r="A180" s="1">
        <v>630</v>
      </c>
      <c r="B180" s="1" t="s">
        <v>679</v>
      </c>
      <c r="C180" s="1">
        <v>532</v>
      </c>
    </row>
    <row r="181" spans="1:3" x14ac:dyDescent="0.3">
      <c r="A181" s="1">
        <v>631</v>
      </c>
      <c r="B181" s="1" t="s">
        <v>679</v>
      </c>
      <c r="C181" s="1">
        <v>453</v>
      </c>
    </row>
    <row r="182" spans="1:3" x14ac:dyDescent="0.3">
      <c r="A182" s="1">
        <v>638</v>
      </c>
      <c r="B182" s="1" t="s">
        <v>371</v>
      </c>
      <c r="C182" s="1">
        <v>601</v>
      </c>
    </row>
    <row r="183" spans="1:3" x14ac:dyDescent="0.3">
      <c r="A183" s="1">
        <v>632</v>
      </c>
      <c r="B183" s="1" t="s">
        <v>679</v>
      </c>
      <c r="C183" s="1">
        <v>644</v>
      </c>
    </row>
    <row r="184" spans="1:3" x14ac:dyDescent="0.3">
      <c r="A184" s="1">
        <v>634</v>
      </c>
      <c r="B184" s="1" t="s">
        <v>679</v>
      </c>
      <c r="C184" s="1">
        <v>222</v>
      </c>
    </row>
    <row r="185" spans="1:3" x14ac:dyDescent="0.3">
      <c r="A185" s="1">
        <v>639</v>
      </c>
      <c r="B185" s="1" t="s">
        <v>679</v>
      </c>
      <c r="C185" s="1">
        <v>233</v>
      </c>
    </row>
    <row r="186" spans="1:3" x14ac:dyDescent="0.3">
      <c r="A186" s="1">
        <v>640</v>
      </c>
      <c r="B186" s="1" t="s">
        <v>352</v>
      </c>
      <c r="C186" s="1">
        <v>641</v>
      </c>
    </row>
    <row r="187" spans="1:3" x14ac:dyDescent="0.3">
      <c r="A187" s="1">
        <v>641</v>
      </c>
      <c r="B187" s="1" t="s">
        <v>352</v>
      </c>
      <c r="C187" s="1">
        <v>640</v>
      </c>
    </row>
    <row r="188" spans="1:3" x14ac:dyDescent="0.3">
      <c r="A188" s="1">
        <v>644</v>
      </c>
      <c r="B188" s="1" t="s">
        <v>679</v>
      </c>
      <c r="C188" s="1">
        <v>632</v>
      </c>
    </row>
    <row r="189" spans="1:3" x14ac:dyDescent="0.3">
      <c r="A189" s="1">
        <v>647</v>
      </c>
      <c r="B189" s="1" t="s">
        <v>679</v>
      </c>
      <c r="C189" s="1">
        <v>418</v>
      </c>
    </row>
    <row r="190" spans="1:3" x14ac:dyDescent="0.3">
      <c r="A190" s="1">
        <v>647</v>
      </c>
      <c r="B190" s="1" t="s">
        <v>679</v>
      </c>
      <c r="C190" s="1">
        <v>582</v>
      </c>
    </row>
    <row r="191" spans="1:3" x14ac:dyDescent="0.3">
      <c r="A191" s="1">
        <v>654</v>
      </c>
      <c r="B191" s="1" t="s">
        <v>352</v>
      </c>
      <c r="C191" s="1">
        <v>459</v>
      </c>
    </row>
    <row r="192" spans="1:3" x14ac:dyDescent="0.3">
      <c r="A192" s="1">
        <v>654</v>
      </c>
      <c r="B192" s="1" t="s">
        <v>352</v>
      </c>
      <c r="C192" s="1">
        <v>517</v>
      </c>
    </row>
    <row r="193" spans="1:3" x14ac:dyDescent="0.3">
      <c r="A193" s="1">
        <v>668</v>
      </c>
      <c r="B193" s="1" t="s">
        <v>679</v>
      </c>
      <c r="C193" s="1">
        <v>600</v>
      </c>
    </row>
    <row r="194" spans="1:3" x14ac:dyDescent="0.3">
      <c r="A194" s="1">
        <v>675</v>
      </c>
      <c r="B194" s="1" t="s">
        <v>352</v>
      </c>
      <c r="C194" s="1">
        <v>528</v>
      </c>
    </row>
    <row r="195" spans="1:3" x14ac:dyDescent="0.3">
      <c r="A195" s="1">
        <v>675</v>
      </c>
      <c r="B195" s="1" t="s">
        <v>352</v>
      </c>
      <c r="C195" s="1">
        <v>645</v>
      </c>
    </row>
    <row r="196" spans="1:3" x14ac:dyDescent="0.3">
      <c r="A196" s="1">
        <v>675</v>
      </c>
      <c r="B196" s="1" t="s">
        <v>352</v>
      </c>
      <c r="C196" s="1">
        <v>676</v>
      </c>
    </row>
    <row r="197" spans="1:3" x14ac:dyDescent="0.3">
      <c r="A197" s="1">
        <v>676</v>
      </c>
      <c r="B197" s="1" t="s">
        <v>352</v>
      </c>
      <c r="C197" s="1">
        <v>528</v>
      </c>
    </row>
    <row r="198" spans="1:3" x14ac:dyDescent="0.3">
      <c r="A198" s="1">
        <v>676</v>
      </c>
      <c r="B198" s="1" t="s">
        <v>352</v>
      </c>
      <c r="C198" s="1">
        <v>645</v>
      </c>
    </row>
    <row r="199" spans="1:3" x14ac:dyDescent="0.3">
      <c r="A199" s="1">
        <v>676</v>
      </c>
      <c r="B199" s="1" t="s">
        <v>352</v>
      </c>
      <c r="C199" s="1">
        <v>675</v>
      </c>
    </row>
    <row r="200" spans="1:3" x14ac:dyDescent="0.3">
      <c r="A200" s="1">
        <v>681</v>
      </c>
      <c r="B200" s="1" t="s">
        <v>320</v>
      </c>
      <c r="C200" s="1">
        <v>477</v>
      </c>
    </row>
    <row r="201" spans="1:3" x14ac:dyDescent="0.3">
      <c r="A201" s="1">
        <v>729</v>
      </c>
      <c r="B201" s="1" t="s">
        <v>320</v>
      </c>
      <c r="C201" s="1">
        <v>618</v>
      </c>
    </row>
    <row r="202" spans="1:3" x14ac:dyDescent="0.3">
      <c r="A202" s="1">
        <v>685</v>
      </c>
      <c r="B202" s="1" t="s">
        <v>679</v>
      </c>
      <c r="C202" s="1">
        <v>588</v>
      </c>
    </row>
    <row r="203" spans="1:3" x14ac:dyDescent="0.3">
      <c r="A203" s="1">
        <v>687</v>
      </c>
      <c r="B203" s="1" t="s">
        <v>352</v>
      </c>
      <c r="C203" s="1">
        <v>196</v>
      </c>
    </row>
    <row r="204" spans="1:3" x14ac:dyDescent="0.3">
      <c r="A204" s="1">
        <v>697</v>
      </c>
      <c r="B204" s="1" t="s">
        <v>352</v>
      </c>
      <c r="C204" s="1">
        <v>698</v>
      </c>
    </row>
    <row r="205" spans="1:3" x14ac:dyDescent="0.3">
      <c r="A205" s="1">
        <v>698</v>
      </c>
      <c r="B205" s="1" t="s">
        <v>352</v>
      </c>
      <c r="C205" s="1">
        <v>697</v>
      </c>
    </row>
    <row r="206" spans="1:3" x14ac:dyDescent="0.3">
      <c r="A206" s="1">
        <v>702</v>
      </c>
      <c r="B206" s="1" t="s">
        <v>352</v>
      </c>
      <c r="C206" s="1">
        <v>682</v>
      </c>
    </row>
    <row r="207" spans="1:3" x14ac:dyDescent="0.3">
      <c r="A207" s="1">
        <v>702</v>
      </c>
      <c r="B207" s="1" t="s">
        <v>352</v>
      </c>
      <c r="C207" s="1">
        <v>703</v>
      </c>
    </row>
    <row r="208" spans="1:3" x14ac:dyDescent="0.3">
      <c r="A208" s="1">
        <v>703</v>
      </c>
      <c r="B208" s="1" t="s">
        <v>352</v>
      </c>
      <c r="C208" s="1">
        <v>682</v>
      </c>
    </row>
    <row r="209" spans="1:3" x14ac:dyDescent="0.3">
      <c r="A209" s="1">
        <v>703</v>
      </c>
      <c r="B209" s="1" t="s">
        <v>352</v>
      </c>
      <c r="C209" s="1">
        <v>702</v>
      </c>
    </row>
    <row r="210" spans="1:3" x14ac:dyDescent="0.3">
      <c r="A210" s="1">
        <v>710</v>
      </c>
      <c r="B210" s="1" t="s">
        <v>679</v>
      </c>
      <c r="C210" s="1">
        <v>404</v>
      </c>
    </row>
    <row r="211" spans="1:3" x14ac:dyDescent="0.3">
      <c r="A211" s="1">
        <v>710</v>
      </c>
      <c r="B211" s="1" t="s">
        <v>679</v>
      </c>
      <c r="C211" s="1">
        <v>456</v>
      </c>
    </row>
    <row r="212" spans="1:3" x14ac:dyDescent="0.3">
      <c r="A212" s="1">
        <v>714</v>
      </c>
      <c r="B212" s="1" t="s">
        <v>679</v>
      </c>
      <c r="C212" s="1">
        <v>670</v>
      </c>
    </row>
    <row r="213" spans="1:3" x14ac:dyDescent="0.3">
      <c r="A213" s="1">
        <v>718</v>
      </c>
      <c r="B213" s="1" t="s">
        <v>679</v>
      </c>
      <c r="C213" s="1">
        <v>658</v>
      </c>
    </row>
    <row r="214" spans="1:3" x14ac:dyDescent="0.3">
      <c r="A214" s="1">
        <v>726</v>
      </c>
      <c r="B214" s="1" t="s">
        <v>679</v>
      </c>
      <c r="C214" s="1">
        <v>557</v>
      </c>
    </row>
    <row r="215" spans="1:3" x14ac:dyDescent="0.3">
      <c r="A215" s="1">
        <v>726</v>
      </c>
      <c r="B215" s="1" t="s">
        <v>679</v>
      </c>
      <c r="C215" s="1">
        <v>629</v>
      </c>
    </row>
    <row r="216" spans="1:3" x14ac:dyDescent="0.3">
      <c r="A216" s="1">
        <v>734</v>
      </c>
      <c r="B216" s="1" t="s">
        <v>679</v>
      </c>
      <c r="C216" s="1">
        <v>533</v>
      </c>
    </row>
    <row r="217" spans="1:3" x14ac:dyDescent="0.3">
      <c r="A217" s="1">
        <v>734</v>
      </c>
      <c r="B217" s="1" t="s">
        <v>679</v>
      </c>
      <c r="C217" s="1">
        <v>659</v>
      </c>
    </row>
    <row r="218" spans="1:3" x14ac:dyDescent="0.3">
      <c r="A218" s="1">
        <v>760</v>
      </c>
      <c r="B218" s="1" t="s">
        <v>679</v>
      </c>
      <c r="C218" s="1">
        <v>683</v>
      </c>
    </row>
    <row r="219" spans="1:3" x14ac:dyDescent="0.3">
      <c r="A219" s="1">
        <v>760</v>
      </c>
      <c r="B219" s="1" t="s">
        <v>679</v>
      </c>
      <c r="C219" s="1">
        <v>700</v>
      </c>
    </row>
    <row r="220" spans="1:3" x14ac:dyDescent="0.3">
      <c r="A220" s="1">
        <v>760</v>
      </c>
      <c r="B220" s="1" t="s">
        <v>679</v>
      </c>
      <c r="C220" s="1">
        <v>702</v>
      </c>
    </row>
    <row r="221" spans="1:3" x14ac:dyDescent="0.3">
      <c r="A221" s="1">
        <v>760</v>
      </c>
      <c r="B221" s="1" t="s">
        <v>679</v>
      </c>
      <c r="C221" s="1">
        <v>703</v>
      </c>
    </row>
    <row r="222" spans="1:3" x14ac:dyDescent="0.3">
      <c r="A222" s="1">
        <v>760</v>
      </c>
      <c r="B222" s="1" t="s">
        <v>679</v>
      </c>
      <c r="C222" s="1">
        <v>798</v>
      </c>
    </row>
    <row r="223" spans="1:3" x14ac:dyDescent="0.3">
      <c r="A223" s="1">
        <v>769</v>
      </c>
      <c r="B223" s="1" t="s">
        <v>679</v>
      </c>
      <c r="C223" s="1">
        <v>577</v>
      </c>
    </row>
    <row r="224" spans="1:3" x14ac:dyDescent="0.3">
      <c r="A224" s="1">
        <v>769</v>
      </c>
      <c r="B224" s="1" t="s">
        <v>320</v>
      </c>
      <c r="C224" s="1">
        <v>629</v>
      </c>
    </row>
    <row r="225" spans="1:3" x14ac:dyDescent="0.3">
      <c r="A225" s="1">
        <v>769</v>
      </c>
      <c r="B225" s="1" t="s">
        <v>320</v>
      </c>
      <c r="C225" s="1">
        <v>726</v>
      </c>
    </row>
    <row r="226" spans="1:3" x14ac:dyDescent="0.3">
      <c r="A226" s="1">
        <v>772</v>
      </c>
      <c r="B226" s="1" t="s">
        <v>352</v>
      </c>
      <c r="C226" s="1">
        <v>667</v>
      </c>
    </row>
    <row r="227" spans="1:3" x14ac:dyDescent="0.3">
      <c r="A227" s="1">
        <v>774</v>
      </c>
      <c r="B227" s="1" t="s">
        <v>679</v>
      </c>
      <c r="C227" s="1">
        <v>596</v>
      </c>
    </row>
    <row r="228" spans="1:3" x14ac:dyDescent="0.3">
      <c r="A228" s="1">
        <v>779</v>
      </c>
      <c r="B228" s="1" t="s">
        <v>352</v>
      </c>
      <c r="C228" s="1">
        <v>653</v>
      </c>
    </row>
    <row r="229" spans="1:3" x14ac:dyDescent="0.3">
      <c r="A229" s="1">
        <v>780</v>
      </c>
      <c r="B229" s="1" t="s">
        <v>679</v>
      </c>
      <c r="C229" s="1">
        <v>652</v>
      </c>
    </row>
    <row r="230" spans="1:3" x14ac:dyDescent="0.3">
      <c r="A230" s="1">
        <v>789</v>
      </c>
      <c r="B230" s="1" t="s">
        <v>679</v>
      </c>
      <c r="C230" s="1">
        <v>722</v>
      </c>
    </row>
    <row r="231" spans="1:3" x14ac:dyDescent="0.3">
      <c r="A231" s="1">
        <v>791</v>
      </c>
      <c r="B231" s="1" t="s">
        <v>679</v>
      </c>
      <c r="C231" s="1">
        <v>418</v>
      </c>
    </row>
    <row r="232" spans="1:3" x14ac:dyDescent="0.3">
      <c r="A232" s="1">
        <v>791</v>
      </c>
      <c r="B232" s="1" t="s">
        <v>679</v>
      </c>
      <c r="C232" s="1">
        <v>512</v>
      </c>
    </row>
    <row r="233" spans="1:3" x14ac:dyDescent="0.3">
      <c r="A233" s="1">
        <v>792</v>
      </c>
      <c r="B233" s="1" t="s">
        <v>352</v>
      </c>
      <c r="C233" s="1">
        <v>728</v>
      </c>
    </row>
    <row r="234" spans="1:3" x14ac:dyDescent="0.3">
      <c r="A234" s="1">
        <v>793</v>
      </c>
      <c r="B234" s="1" t="s">
        <v>679</v>
      </c>
      <c r="C234" s="1">
        <v>678</v>
      </c>
    </row>
    <row r="235" spans="1:3" x14ac:dyDescent="0.3">
      <c r="A235" s="1">
        <v>795</v>
      </c>
      <c r="B235" s="1" t="s">
        <v>679</v>
      </c>
      <c r="C235" s="1">
        <v>533</v>
      </c>
    </row>
    <row r="236" spans="1:3" x14ac:dyDescent="0.3">
      <c r="A236" s="1">
        <v>795</v>
      </c>
      <c r="B236" s="1" t="s">
        <v>679</v>
      </c>
      <c r="C236" s="1">
        <v>659</v>
      </c>
    </row>
    <row r="237" spans="1:3" x14ac:dyDescent="0.3">
      <c r="A237" s="1">
        <v>795</v>
      </c>
      <c r="B237" s="1" t="s">
        <v>679</v>
      </c>
      <c r="C237" s="1">
        <v>734</v>
      </c>
    </row>
    <row r="238" spans="1:3" x14ac:dyDescent="0.3">
      <c r="A238" s="1">
        <v>795</v>
      </c>
      <c r="B238" s="1" t="s">
        <v>679</v>
      </c>
      <c r="C238" s="1">
        <v>797</v>
      </c>
    </row>
    <row r="239" spans="1:3" x14ac:dyDescent="0.3">
      <c r="A239" s="1">
        <v>797</v>
      </c>
      <c r="B239" s="1" t="s">
        <v>679</v>
      </c>
      <c r="C239" s="1">
        <v>533</v>
      </c>
    </row>
    <row r="240" spans="1:3" x14ac:dyDescent="0.3">
      <c r="A240" s="1">
        <v>797</v>
      </c>
      <c r="B240" s="1" t="s">
        <v>679</v>
      </c>
      <c r="C240" s="1">
        <v>659</v>
      </c>
    </row>
    <row r="241" spans="1:3" x14ac:dyDescent="0.3">
      <c r="A241" s="1">
        <v>797</v>
      </c>
      <c r="B241" s="1" t="s">
        <v>679</v>
      </c>
      <c r="C241" s="1">
        <v>734</v>
      </c>
    </row>
    <row r="242" spans="1:3" x14ac:dyDescent="0.3">
      <c r="A242" s="1">
        <v>797</v>
      </c>
      <c r="B242" s="1" t="s">
        <v>679</v>
      </c>
      <c r="C242" s="1">
        <v>795</v>
      </c>
    </row>
    <row r="243" spans="1:3" x14ac:dyDescent="0.3">
      <c r="A243" s="1">
        <v>798</v>
      </c>
      <c r="B243" s="1" t="s">
        <v>679</v>
      </c>
      <c r="C243" s="1">
        <v>683</v>
      </c>
    </row>
    <row r="244" spans="1:3" x14ac:dyDescent="0.3">
      <c r="A244" s="1">
        <v>798</v>
      </c>
      <c r="B244" s="1" t="s">
        <v>679</v>
      </c>
      <c r="C244" s="1">
        <v>700</v>
      </c>
    </row>
    <row r="245" spans="1:3" x14ac:dyDescent="0.3">
      <c r="A245" s="1">
        <v>798</v>
      </c>
      <c r="B245" s="1" t="s">
        <v>679</v>
      </c>
      <c r="C245" s="1">
        <v>702</v>
      </c>
    </row>
    <row r="246" spans="1:3" x14ac:dyDescent="0.3">
      <c r="A246" s="1">
        <v>798</v>
      </c>
      <c r="B246" s="1" t="s">
        <v>679</v>
      </c>
      <c r="C246" s="1">
        <v>703</v>
      </c>
    </row>
    <row r="247" spans="1:3" x14ac:dyDescent="0.3">
      <c r="A247" s="1">
        <v>798</v>
      </c>
      <c r="B247" s="1" t="s">
        <v>679</v>
      </c>
      <c r="C247" s="1">
        <v>760</v>
      </c>
    </row>
    <row r="248" spans="1:3" x14ac:dyDescent="0.3">
      <c r="A248" s="1">
        <v>799</v>
      </c>
      <c r="B248" s="1" t="s">
        <v>679</v>
      </c>
      <c r="C248" s="1">
        <v>683</v>
      </c>
    </row>
    <row r="249" spans="1:3" x14ac:dyDescent="0.3">
      <c r="A249" s="1">
        <v>809</v>
      </c>
      <c r="B249" s="1" t="s">
        <v>352</v>
      </c>
      <c r="C249" s="1">
        <v>742</v>
      </c>
    </row>
    <row r="250" spans="1:3" x14ac:dyDescent="0.3">
      <c r="A250" s="1">
        <v>810</v>
      </c>
      <c r="B250" s="1" t="s">
        <v>679</v>
      </c>
      <c r="C250" s="1">
        <v>745</v>
      </c>
    </row>
    <row r="251" spans="1:3" x14ac:dyDescent="0.3">
      <c r="A251" s="1">
        <v>810</v>
      </c>
      <c r="B251" s="1" t="s">
        <v>679</v>
      </c>
      <c r="C251" s="1">
        <v>802</v>
      </c>
    </row>
    <row r="252" spans="1:3" x14ac:dyDescent="0.3">
      <c r="A252" s="1">
        <v>811</v>
      </c>
      <c r="B252" s="1" t="s">
        <v>352</v>
      </c>
      <c r="C252" s="1">
        <v>506</v>
      </c>
    </row>
    <row r="253" spans="1:3" x14ac:dyDescent="0.3">
      <c r="A253" s="1">
        <v>816</v>
      </c>
      <c r="B253" s="1" t="s">
        <v>352</v>
      </c>
      <c r="C253" s="1">
        <v>787</v>
      </c>
    </row>
    <row r="254" spans="1:3" x14ac:dyDescent="0.3">
      <c r="A254" s="1">
        <v>819</v>
      </c>
      <c r="B254" s="1" t="s">
        <v>352</v>
      </c>
      <c r="C254" s="1">
        <v>695</v>
      </c>
    </row>
    <row r="255" spans="1:3" x14ac:dyDescent="0.3">
      <c r="A255" s="1">
        <v>819</v>
      </c>
      <c r="B255" s="1" t="s">
        <v>352</v>
      </c>
      <c r="C255" s="1">
        <v>834</v>
      </c>
    </row>
    <row r="256" spans="1:3" x14ac:dyDescent="0.3">
      <c r="A256" s="1">
        <v>826</v>
      </c>
      <c r="B256" s="1" t="s">
        <v>679</v>
      </c>
      <c r="C256" s="1">
        <v>829</v>
      </c>
    </row>
    <row r="257" spans="1:3" x14ac:dyDescent="0.3">
      <c r="A257" s="1">
        <v>829</v>
      </c>
      <c r="B257" s="1" t="s">
        <v>679</v>
      </c>
      <c r="C257" s="1">
        <v>826</v>
      </c>
    </row>
    <row r="258" spans="1:3" x14ac:dyDescent="0.3">
      <c r="A258" s="1">
        <v>830</v>
      </c>
      <c r="B258" s="1" t="s">
        <v>352</v>
      </c>
      <c r="C258" s="1">
        <v>760</v>
      </c>
    </row>
    <row r="259" spans="1:3" x14ac:dyDescent="0.3">
      <c r="A259" s="1">
        <v>834</v>
      </c>
      <c r="B259" s="1" t="s">
        <v>352</v>
      </c>
      <c r="C259" s="1">
        <v>695</v>
      </c>
    </row>
    <row r="260" spans="1:3" x14ac:dyDescent="0.3">
      <c r="A260" s="1">
        <v>834</v>
      </c>
      <c r="B260" s="1" t="s">
        <v>352</v>
      </c>
      <c r="C260" s="1">
        <v>819</v>
      </c>
    </row>
    <row r="261" spans="1:3" x14ac:dyDescent="0.3">
      <c r="A261" s="1">
        <v>836</v>
      </c>
      <c r="B261" s="1" t="s">
        <v>679</v>
      </c>
      <c r="C261" s="1">
        <v>747</v>
      </c>
    </row>
    <row r="262" spans="1:3" x14ac:dyDescent="0.3">
      <c r="A262" s="1">
        <v>839</v>
      </c>
      <c r="B262" s="1" t="s">
        <v>352</v>
      </c>
      <c r="C262" s="1">
        <v>533</v>
      </c>
    </row>
    <row r="263" spans="1:3" x14ac:dyDescent="0.3">
      <c r="A263" s="51">
        <v>845</v>
      </c>
      <c r="B263" s="51" t="s">
        <v>352</v>
      </c>
      <c r="C263" s="51">
        <v>809</v>
      </c>
    </row>
    <row r="264" spans="1:3" x14ac:dyDescent="0.3">
      <c r="A264" s="51">
        <v>845</v>
      </c>
      <c r="B264" s="51" t="s">
        <v>352</v>
      </c>
      <c r="C264" s="51">
        <v>742</v>
      </c>
    </row>
    <row r="265" spans="1:3" x14ac:dyDescent="0.3">
      <c r="A265" s="51">
        <v>847</v>
      </c>
      <c r="B265" s="51" t="s">
        <v>352</v>
      </c>
      <c r="C265" s="51">
        <v>781</v>
      </c>
    </row>
    <row r="266" spans="1:3" x14ac:dyDescent="0.3">
      <c r="A266" s="51">
        <v>849</v>
      </c>
      <c r="B266" s="51" t="s">
        <v>352</v>
      </c>
      <c r="C266" s="51">
        <v>533</v>
      </c>
    </row>
    <row r="267" spans="1:3" x14ac:dyDescent="0.3">
      <c r="A267" s="51">
        <v>861</v>
      </c>
      <c r="B267" s="51" t="s">
        <v>320</v>
      </c>
      <c r="C267" s="51">
        <v>767</v>
      </c>
    </row>
    <row r="268" spans="1:3" x14ac:dyDescent="0.3">
      <c r="A268" s="51">
        <v>863</v>
      </c>
      <c r="B268" s="51" t="s">
        <v>352</v>
      </c>
      <c r="C268" s="51">
        <v>727</v>
      </c>
    </row>
    <row r="269" spans="1:3" x14ac:dyDescent="0.3">
      <c r="A269" s="51">
        <v>865</v>
      </c>
      <c r="B269" s="51" t="s">
        <v>320</v>
      </c>
      <c r="C269" s="51">
        <v>488</v>
      </c>
    </row>
    <row r="270" spans="1:3" x14ac:dyDescent="0.3">
      <c r="A270" s="51">
        <v>867</v>
      </c>
      <c r="B270" s="51" t="s">
        <v>352</v>
      </c>
      <c r="C270" s="51">
        <v>434</v>
      </c>
    </row>
    <row r="271" spans="1:3" x14ac:dyDescent="0.3">
      <c r="A271" s="51">
        <v>870</v>
      </c>
      <c r="B271" s="51" t="s">
        <v>352</v>
      </c>
      <c r="C271" s="51">
        <v>393</v>
      </c>
    </row>
    <row r="272" spans="1:3" x14ac:dyDescent="0.3">
      <c r="A272" s="51">
        <v>872</v>
      </c>
      <c r="B272" s="51" t="s">
        <v>320</v>
      </c>
      <c r="C272" s="51">
        <v>832</v>
      </c>
    </row>
    <row r="273" spans="1:3" x14ac:dyDescent="0.3">
      <c r="A273" s="1">
        <v>887</v>
      </c>
      <c r="B273" s="1" t="s">
        <v>352</v>
      </c>
      <c r="C273" s="1">
        <v>857</v>
      </c>
    </row>
    <row r="274" spans="1:3" x14ac:dyDescent="0.3">
      <c r="A274" s="1">
        <v>889</v>
      </c>
      <c r="B274" s="1" t="s">
        <v>352</v>
      </c>
      <c r="C274" s="1">
        <v>927</v>
      </c>
    </row>
    <row r="275" spans="1:3" x14ac:dyDescent="0.3">
      <c r="A275" s="1">
        <v>891</v>
      </c>
      <c r="B275" s="1" t="s">
        <v>679</v>
      </c>
      <c r="C275" s="1">
        <v>897</v>
      </c>
    </row>
    <row r="276" spans="1:3" x14ac:dyDescent="0.3">
      <c r="A276" s="1">
        <v>891</v>
      </c>
      <c r="B276" s="1" t="s">
        <v>679</v>
      </c>
      <c r="C276" s="1">
        <v>921</v>
      </c>
    </row>
    <row r="277" spans="1:3" x14ac:dyDescent="0.3">
      <c r="A277" s="1">
        <v>897</v>
      </c>
      <c r="B277" s="1" t="s">
        <v>679</v>
      </c>
      <c r="C277" s="1">
        <v>891</v>
      </c>
    </row>
    <row r="278" spans="1:3" x14ac:dyDescent="0.3">
      <c r="A278" s="1">
        <v>897</v>
      </c>
      <c r="B278" s="1" t="s">
        <v>679</v>
      </c>
      <c r="C278" s="1">
        <v>921</v>
      </c>
    </row>
    <row r="279" spans="1:3" x14ac:dyDescent="0.3">
      <c r="A279" s="1">
        <v>908</v>
      </c>
      <c r="B279" s="1" t="s">
        <v>679</v>
      </c>
      <c r="C279" s="1">
        <v>788</v>
      </c>
    </row>
    <row r="280" spans="1:3" x14ac:dyDescent="0.3">
      <c r="A280" s="1">
        <v>914</v>
      </c>
      <c r="B280" s="1" t="s">
        <v>371</v>
      </c>
      <c r="C280" s="1">
        <v>876</v>
      </c>
    </row>
    <row r="281" spans="1:3" x14ac:dyDescent="0.3">
      <c r="A281" s="1">
        <v>916</v>
      </c>
      <c r="B281" s="1" t="s">
        <v>679</v>
      </c>
      <c r="C281" s="1">
        <v>488</v>
      </c>
    </row>
    <row r="282" spans="1:3" x14ac:dyDescent="0.3">
      <c r="A282" s="1">
        <v>921</v>
      </c>
      <c r="B282" s="1" t="s">
        <v>679</v>
      </c>
      <c r="C282" s="1">
        <v>891</v>
      </c>
    </row>
    <row r="283" spans="1:3" x14ac:dyDescent="0.3">
      <c r="A283" s="1">
        <v>921</v>
      </c>
      <c r="B283" s="1" t="s">
        <v>679</v>
      </c>
      <c r="C283" s="1">
        <v>921</v>
      </c>
    </row>
    <row r="284" spans="1:3" x14ac:dyDescent="0.3">
      <c r="A284" s="1">
        <v>927</v>
      </c>
      <c r="B284" s="1" t="s">
        <v>371</v>
      </c>
      <c r="C284" s="1">
        <v>889</v>
      </c>
    </row>
    <row r="285" spans="1:3" x14ac:dyDescent="0.3">
      <c r="A285" s="1">
        <v>927</v>
      </c>
      <c r="B285" s="1" t="s">
        <v>371</v>
      </c>
      <c r="C285" s="1">
        <v>942</v>
      </c>
    </row>
    <row r="286" spans="1:3" x14ac:dyDescent="0.3">
      <c r="A286" s="1">
        <v>935</v>
      </c>
      <c r="B286" s="1" t="s">
        <v>371</v>
      </c>
      <c r="C286" s="1">
        <v>727</v>
      </c>
    </row>
    <row r="287" spans="1:3" x14ac:dyDescent="0.3">
      <c r="A287" s="1">
        <v>935</v>
      </c>
      <c r="B287" s="1" t="s">
        <v>371</v>
      </c>
      <c r="C287" s="1">
        <v>863</v>
      </c>
    </row>
    <row r="288" spans="1:3" x14ac:dyDescent="0.3">
      <c r="A288" s="1">
        <v>941</v>
      </c>
      <c r="B288" s="1" t="s">
        <v>371</v>
      </c>
      <c r="C288" s="1">
        <v>888</v>
      </c>
    </row>
    <row r="289" spans="1:3" x14ac:dyDescent="0.3">
      <c r="A289" s="1">
        <v>942</v>
      </c>
      <c r="B289" s="1" t="s">
        <v>371</v>
      </c>
      <c r="C289" s="1">
        <v>889</v>
      </c>
    </row>
    <row r="290" spans="1:3" x14ac:dyDescent="0.3">
      <c r="A290" s="1">
        <v>942</v>
      </c>
      <c r="B290" s="1" t="s">
        <v>371</v>
      </c>
      <c r="C290" s="1">
        <v>927</v>
      </c>
    </row>
    <row r="291" spans="1:3" x14ac:dyDescent="0.3">
      <c r="A291" s="1">
        <v>954</v>
      </c>
      <c r="B291" s="1" t="s">
        <v>371</v>
      </c>
      <c r="C291" s="1">
        <v>544</v>
      </c>
    </row>
    <row r="292" spans="1:3" x14ac:dyDescent="0.3">
      <c r="A292" s="1">
        <v>968</v>
      </c>
      <c r="B292" s="1" t="s">
        <v>371</v>
      </c>
      <c r="C292" s="1">
        <v>851</v>
      </c>
    </row>
    <row r="293" spans="1:3" x14ac:dyDescent="0.3">
      <c r="A293" s="1">
        <v>968</v>
      </c>
      <c r="B293" s="1" t="s">
        <v>371</v>
      </c>
      <c r="C293" s="1">
        <v>969</v>
      </c>
    </row>
    <row r="294" spans="1:3" x14ac:dyDescent="0.3">
      <c r="A294" s="1">
        <v>969</v>
      </c>
      <c r="B294" s="1" t="s">
        <v>371</v>
      </c>
      <c r="C294" s="1">
        <v>851</v>
      </c>
    </row>
    <row r="295" spans="1:3" x14ac:dyDescent="0.3">
      <c r="A295" s="1">
        <v>969</v>
      </c>
      <c r="B295" s="1" t="s">
        <v>371</v>
      </c>
      <c r="C295" s="1">
        <v>968</v>
      </c>
    </row>
    <row r="296" spans="1:3" x14ac:dyDescent="0.3">
      <c r="A296" s="1">
        <v>975</v>
      </c>
      <c r="B296" s="1" t="s">
        <v>352</v>
      </c>
      <c r="C296" s="1">
        <v>702</v>
      </c>
    </row>
    <row r="297" spans="1:3" x14ac:dyDescent="0.3">
      <c r="A297" s="1">
        <v>975</v>
      </c>
      <c r="B297" s="1" t="s">
        <v>352</v>
      </c>
      <c r="C297" s="1">
        <v>703</v>
      </c>
    </row>
    <row r="298" spans="1:3" x14ac:dyDescent="0.3">
      <c r="A298" s="1">
        <v>975</v>
      </c>
      <c r="B298" s="1" t="s">
        <v>352</v>
      </c>
      <c r="C298" s="1">
        <v>682</v>
      </c>
    </row>
    <row r="299" spans="1:3" x14ac:dyDescent="0.3">
      <c r="A299" s="1">
        <v>991</v>
      </c>
      <c r="B299" s="1" t="s">
        <v>352</v>
      </c>
      <c r="C299" s="1">
        <v>886</v>
      </c>
    </row>
    <row r="300" spans="1:3" x14ac:dyDescent="0.3">
      <c r="A300" s="1">
        <v>991</v>
      </c>
      <c r="B300" s="1" t="s">
        <v>352</v>
      </c>
      <c r="C300" s="1">
        <v>992</v>
      </c>
    </row>
    <row r="301" spans="1:3" x14ac:dyDescent="0.3">
      <c r="A301" s="1">
        <v>992</v>
      </c>
      <c r="B301" s="1" t="s">
        <v>352</v>
      </c>
      <c r="C301" s="1">
        <v>886</v>
      </c>
    </row>
    <row r="302" spans="1:3" x14ac:dyDescent="0.3">
      <c r="A302" s="1">
        <v>992</v>
      </c>
      <c r="B302" s="1" t="s">
        <v>352</v>
      </c>
      <c r="C302" s="1">
        <v>991</v>
      </c>
    </row>
    <row r="303" spans="1:3" x14ac:dyDescent="0.3">
      <c r="A303" s="1">
        <v>1002</v>
      </c>
      <c r="B303" s="1" t="s">
        <v>679</v>
      </c>
      <c r="C303" s="1">
        <v>892</v>
      </c>
    </row>
    <row r="304" spans="1:3" x14ac:dyDescent="0.3">
      <c r="A304" s="1">
        <v>1002</v>
      </c>
      <c r="B304" s="1" t="s">
        <v>679</v>
      </c>
      <c r="C304" s="1">
        <v>1027</v>
      </c>
    </row>
    <row r="305" spans="1:3" x14ac:dyDescent="0.3">
      <c r="A305" s="1">
        <v>1008</v>
      </c>
      <c r="B305" s="1" t="s">
        <v>352</v>
      </c>
      <c r="C305" s="1">
        <v>1030</v>
      </c>
    </row>
    <row r="306" spans="1:3" x14ac:dyDescent="0.3">
      <c r="A306" s="1">
        <v>1008</v>
      </c>
      <c r="B306" s="1" t="s">
        <v>352</v>
      </c>
      <c r="C306" s="1">
        <v>1031</v>
      </c>
    </row>
    <row r="307" spans="1:3" x14ac:dyDescent="0.3">
      <c r="A307" s="1">
        <v>1020</v>
      </c>
      <c r="B307" s="1" t="s">
        <v>679</v>
      </c>
      <c r="C307" s="1">
        <v>658</v>
      </c>
    </row>
    <row r="308" spans="1:3" x14ac:dyDescent="0.3">
      <c r="A308" s="1">
        <v>1020</v>
      </c>
      <c r="B308" s="1" t="s">
        <v>679</v>
      </c>
      <c r="C308" s="1">
        <v>718</v>
      </c>
    </row>
    <row r="309" spans="1:3" x14ac:dyDescent="0.3">
      <c r="A309" s="1">
        <v>1023</v>
      </c>
      <c r="B309" s="1" t="s">
        <v>679</v>
      </c>
      <c r="C309" s="1">
        <v>726</v>
      </c>
    </row>
    <row r="310" spans="1:3" x14ac:dyDescent="0.3">
      <c r="A310" s="1">
        <v>1027</v>
      </c>
      <c r="B310" s="1" t="s">
        <v>679</v>
      </c>
      <c r="C310" s="1">
        <v>892</v>
      </c>
    </row>
    <row r="311" spans="1:3" x14ac:dyDescent="0.3">
      <c r="A311" s="1">
        <v>1027</v>
      </c>
      <c r="B311" s="1" t="s">
        <v>679</v>
      </c>
      <c r="C311" s="1">
        <v>1002</v>
      </c>
    </row>
    <row r="312" spans="1:3" x14ac:dyDescent="0.3">
      <c r="A312" s="1">
        <v>1029</v>
      </c>
      <c r="B312" s="1" t="s">
        <v>352</v>
      </c>
      <c r="C312" s="1">
        <v>227</v>
      </c>
    </row>
    <row r="313" spans="1:3" x14ac:dyDescent="0.3">
      <c r="A313" s="1">
        <v>1030</v>
      </c>
      <c r="B313" s="1" t="s">
        <v>352</v>
      </c>
      <c r="C313" s="1">
        <v>1008</v>
      </c>
    </row>
    <row r="314" spans="1:3" x14ac:dyDescent="0.3">
      <c r="A314" s="1">
        <v>1030</v>
      </c>
      <c r="B314" s="1" t="s">
        <v>352</v>
      </c>
      <c r="C314" s="1">
        <v>1031</v>
      </c>
    </row>
    <row r="315" spans="1:3" x14ac:dyDescent="0.3">
      <c r="A315" s="1">
        <v>1031</v>
      </c>
      <c r="B315" s="1" t="s">
        <v>352</v>
      </c>
      <c r="C315" s="1">
        <v>1008</v>
      </c>
    </row>
    <row r="316" spans="1:3" x14ac:dyDescent="0.3">
      <c r="A316" s="1">
        <v>1031</v>
      </c>
      <c r="B316" s="1" t="s">
        <v>352</v>
      </c>
      <c r="C316" s="1">
        <v>1030</v>
      </c>
    </row>
    <row r="317" spans="1:3" x14ac:dyDescent="0.3">
      <c r="A317" s="1">
        <v>1032</v>
      </c>
      <c r="B317" s="1" t="s">
        <v>352</v>
      </c>
      <c r="C317" s="1">
        <v>962</v>
      </c>
    </row>
    <row r="318" spans="1:3" x14ac:dyDescent="0.3">
      <c r="A318" s="1">
        <v>1040</v>
      </c>
      <c r="B318" s="1" t="s">
        <v>352</v>
      </c>
      <c r="C318" s="1">
        <v>1041</v>
      </c>
    </row>
    <row r="319" spans="1:3" x14ac:dyDescent="0.3">
      <c r="A319" s="1">
        <v>1041</v>
      </c>
      <c r="B319" s="1" t="s">
        <v>352</v>
      </c>
      <c r="C319" s="1">
        <v>1040</v>
      </c>
    </row>
    <row r="320" spans="1:3" x14ac:dyDescent="0.3">
      <c r="A320" s="1">
        <v>1042</v>
      </c>
      <c r="B320" s="1" t="s">
        <v>679</v>
      </c>
      <c r="C320" s="1">
        <v>893</v>
      </c>
    </row>
    <row r="321" spans="1:3" x14ac:dyDescent="0.3">
      <c r="A321" s="1">
        <v>1057</v>
      </c>
      <c r="B321" s="1" t="s">
        <v>352</v>
      </c>
      <c r="C321" s="1">
        <v>907</v>
      </c>
    </row>
    <row r="322" spans="1:3" x14ac:dyDescent="0.3">
      <c r="A322" s="1">
        <v>1058</v>
      </c>
      <c r="B322" s="1" t="s">
        <v>352</v>
      </c>
      <c r="C322" s="1">
        <v>832</v>
      </c>
    </row>
    <row r="323" spans="1:3" x14ac:dyDescent="0.3">
      <c r="A323" s="1">
        <v>1058</v>
      </c>
      <c r="B323" s="1" t="s">
        <v>352</v>
      </c>
      <c r="C323" s="1">
        <v>872</v>
      </c>
    </row>
    <row r="324" spans="1:3" x14ac:dyDescent="0.3">
      <c r="A324" s="1">
        <v>1059</v>
      </c>
      <c r="B324" s="1" t="s">
        <v>352</v>
      </c>
      <c r="C324" s="1">
        <v>832</v>
      </c>
    </row>
    <row r="325" spans="1:3" x14ac:dyDescent="0.3">
      <c r="A325" s="1">
        <v>1059</v>
      </c>
      <c r="B325" s="1" t="s">
        <v>352</v>
      </c>
      <c r="C325" s="1">
        <v>872</v>
      </c>
    </row>
    <row r="326" spans="1:3" x14ac:dyDescent="0.3">
      <c r="A326" s="1">
        <v>1064</v>
      </c>
      <c r="B326" s="1" t="s">
        <v>352</v>
      </c>
      <c r="C326" s="1">
        <v>937</v>
      </c>
    </row>
    <row r="327" spans="1:3" x14ac:dyDescent="0.3">
      <c r="A327" s="1">
        <v>1065</v>
      </c>
      <c r="B327" s="1" t="s">
        <v>679</v>
      </c>
      <c r="C327" s="1">
        <v>737</v>
      </c>
    </row>
    <row r="328" spans="1:3" x14ac:dyDescent="0.3">
      <c r="A328" s="1">
        <v>1066</v>
      </c>
      <c r="B328" s="1" t="s">
        <v>679</v>
      </c>
      <c r="C328" s="1">
        <v>826</v>
      </c>
    </row>
    <row r="329" spans="1:3" x14ac:dyDescent="0.3">
      <c r="A329" s="1">
        <v>1086</v>
      </c>
      <c r="B329" s="1" t="s">
        <v>679</v>
      </c>
      <c r="C329" s="1">
        <v>227</v>
      </c>
    </row>
    <row r="330" spans="1:3" x14ac:dyDescent="0.3">
      <c r="A330" s="1">
        <v>1086</v>
      </c>
      <c r="B330" s="1" t="s">
        <v>679</v>
      </c>
      <c r="C330" s="1">
        <v>348</v>
      </c>
    </row>
    <row r="331" spans="1:3" x14ac:dyDescent="0.3">
      <c r="A331" s="1">
        <v>1086</v>
      </c>
      <c r="B331" s="1" t="s">
        <v>679</v>
      </c>
      <c r="C331" s="1">
        <v>1029</v>
      </c>
    </row>
    <row r="332" spans="1:3" x14ac:dyDescent="0.3">
      <c r="A332" s="1">
        <v>1086</v>
      </c>
      <c r="B332" s="1" t="s">
        <v>679</v>
      </c>
      <c r="C332" s="1">
        <v>1087</v>
      </c>
    </row>
    <row r="333" spans="1:3" x14ac:dyDescent="0.3">
      <c r="A333" s="1">
        <v>1087</v>
      </c>
      <c r="B333" s="1" t="s">
        <v>371</v>
      </c>
      <c r="C333" s="1">
        <v>227</v>
      </c>
    </row>
    <row r="334" spans="1:3" x14ac:dyDescent="0.3">
      <c r="A334" s="1">
        <v>1087</v>
      </c>
      <c r="B334" s="1" t="s">
        <v>371</v>
      </c>
      <c r="C334" s="1">
        <v>348</v>
      </c>
    </row>
    <row r="335" spans="1:3" x14ac:dyDescent="0.3">
      <c r="A335" s="1">
        <v>1087</v>
      </c>
      <c r="B335" s="1" t="s">
        <v>352</v>
      </c>
      <c r="C335" s="1">
        <v>1029</v>
      </c>
    </row>
    <row r="336" spans="1:3" x14ac:dyDescent="0.3">
      <c r="A336" s="1">
        <v>1087</v>
      </c>
      <c r="B336" s="1" t="s">
        <v>679</v>
      </c>
      <c r="C336" s="1">
        <v>1086</v>
      </c>
    </row>
    <row r="337" spans="1:3" x14ac:dyDescent="0.3">
      <c r="A337" s="1">
        <v>1090</v>
      </c>
      <c r="B337" s="1" t="s">
        <v>352</v>
      </c>
      <c r="C337" s="1">
        <v>937</v>
      </c>
    </row>
    <row r="338" spans="1:3" x14ac:dyDescent="0.3">
      <c r="A338" s="1">
        <v>1095</v>
      </c>
      <c r="B338" s="1" t="s">
        <v>679</v>
      </c>
      <c r="C338" s="1">
        <v>790</v>
      </c>
    </row>
    <row r="339" spans="1:3" x14ac:dyDescent="0.3">
      <c r="A339" s="1">
        <v>1103</v>
      </c>
      <c r="B339" s="1" t="s">
        <v>679</v>
      </c>
      <c r="C339" s="1">
        <v>1031</v>
      </c>
    </row>
    <row r="340" spans="1:3" x14ac:dyDescent="0.3">
      <c r="A340" s="1">
        <v>1105</v>
      </c>
      <c r="B340" s="1" t="s">
        <v>679</v>
      </c>
      <c r="C340" s="1">
        <v>887</v>
      </c>
    </row>
    <row r="341" spans="1:3" x14ac:dyDescent="0.3">
      <c r="A341" s="1">
        <v>1109</v>
      </c>
      <c r="B341" s="1" t="s">
        <v>371</v>
      </c>
      <c r="C341" s="1">
        <v>928</v>
      </c>
    </row>
    <row r="342" spans="1:3" x14ac:dyDescent="0.3">
      <c r="A342" s="1">
        <v>1116</v>
      </c>
      <c r="B342" s="1" t="s">
        <v>679</v>
      </c>
      <c r="C342" s="1">
        <v>999</v>
      </c>
    </row>
    <row r="343" spans="1:3" x14ac:dyDescent="0.3">
      <c r="A343" s="1">
        <v>1121</v>
      </c>
      <c r="B343" s="1" t="s">
        <v>352</v>
      </c>
      <c r="C343" s="1">
        <v>1060</v>
      </c>
    </row>
    <row r="344" spans="1:3" x14ac:dyDescent="0.3">
      <c r="A344" s="1">
        <v>1123</v>
      </c>
      <c r="B344" s="1" t="s">
        <v>352</v>
      </c>
      <c r="C344" s="1">
        <v>884</v>
      </c>
    </row>
    <row r="345" spans="1:3" x14ac:dyDescent="0.3">
      <c r="A345" s="1">
        <v>1130</v>
      </c>
      <c r="B345" s="1" t="s">
        <v>352</v>
      </c>
      <c r="C345" s="1">
        <v>352</v>
      </c>
    </row>
    <row r="346" spans="1:3" x14ac:dyDescent="0.3">
      <c r="A346" s="1">
        <v>1134</v>
      </c>
      <c r="B346" s="1" t="s">
        <v>352</v>
      </c>
      <c r="C346" s="1">
        <v>1080</v>
      </c>
    </row>
    <row r="347" spans="1:3" x14ac:dyDescent="0.3">
      <c r="A347" s="1">
        <v>1136</v>
      </c>
      <c r="B347" s="1" t="s">
        <v>352</v>
      </c>
      <c r="C347" s="1">
        <v>850</v>
      </c>
    </row>
    <row r="348" spans="1:3" x14ac:dyDescent="0.3">
      <c r="A348" s="1">
        <v>1137</v>
      </c>
      <c r="B348" s="1" t="s">
        <v>679</v>
      </c>
      <c r="C348" s="1">
        <v>853</v>
      </c>
    </row>
    <row r="349" spans="1:3" x14ac:dyDescent="0.3">
      <c r="A349" s="1">
        <v>1143</v>
      </c>
      <c r="B349" s="1" t="s">
        <v>352</v>
      </c>
      <c r="C349" s="1">
        <v>932</v>
      </c>
    </row>
    <row r="350" spans="1:3" x14ac:dyDescent="0.3">
      <c r="A350" s="1">
        <v>1162</v>
      </c>
      <c r="B350" s="1" t="s">
        <v>679</v>
      </c>
      <c r="C350" s="1">
        <v>1078</v>
      </c>
    </row>
    <row r="351" spans="1:3" x14ac:dyDescent="0.3">
      <c r="A351" s="1">
        <v>1168</v>
      </c>
      <c r="B351" s="1" t="s">
        <v>352</v>
      </c>
      <c r="C351" s="1">
        <v>933</v>
      </c>
    </row>
    <row r="352" spans="1:3" x14ac:dyDescent="0.3">
      <c r="A352" s="1">
        <v>1170</v>
      </c>
      <c r="B352" s="1" t="s">
        <v>352</v>
      </c>
      <c r="C352" s="1">
        <v>953</v>
      </c>
    </row>
    <row r="353" spans="1:3" x14ac:dyDescent="0.3">
      <c r="A353" s="1">
        <v>1183</v>
      </c>
      <c r="B353" s="1" t="s">
        <v>679</v>
      </c>
      <c r="C353" s="1">
        <v>1049</v>
      </c>
    </row>
    <row r="354" spans="1:3" x14ac:dyDescent="0.3">
      <c r="A354" s="1">
        <v>1184</v>
      </c>
      <c r="B354" s="1" t="s">
        <v>679</v>
      </c>
      <c r="C354" s="1">
        <v>1049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O75"/>
  <sheetViews>
    <sheetView topLeftCell="A72" workbookViewId="0">
      <selection activeCell="O75" sqref="A75:O75"/>
    </sheetView>
  </sheetViews>
  <sheetFormatPr defaultRowHeight="14.4" x14ac:dyDescent="0.3"/>
  <cols>
    <col min="1" max="1" width="9.6640625" bestFit="1" customWidth="1"/>
    <col min="2" max="2" width="9.21875" customWidth="1"/>
  </cols>
  <sheetData>
    <row r="1" spans="1:15" x14ac:dyDescent="0.3">
      <c r="A1" s="1" t="s">
        <v>8</v>
      </c>
      <c r="B1" s="1" t="s">
        <v>0</v>
      </c>
      <c r="C1" s="1" t="s">
        <v>80</v>
      </c>
      <c r="D1" s="1" t="s">
        <v>9</v>
      </c>
      <c r="E1" s="1" t="s">
        <v>81</v>
      </c>
      <c r="F1" s="1" t="s">
        <v>10</v>
      </c>
      <c r="G1" s="1" t="s">
        <v>1132</v>
      </c>
      <c r="H1" s="1" t="s">
        <v>11</v>
      </c>
      <c r="I1" s="1" t="s">
        <v>12</v>
      </c>
      <c r="J1" s="1" t="s">
        <v>13</v>
      </c>
      <c r="K1" s="1" t="s">
        <v>14</v>
      </c>
      <c r="L1" s="1" t="s">
        <v>15</v>
      </c>
      <c r="M1" s="1" t="s">
        <v>16</v>
      </c>
      <c r="N1" s="6" t="s">
        <v>126</v>
      </c>
      <c r="O1" s="6" t="s">
        <v>127</v>
      </c>
    </row>
    <row r="2" spans="1:15" x14ac:dyDescent="0.3">
      <c r="A2" s="2">
        <v>43853</v>
      </c>
      <c r="B2" s="1">
        <v>1</v>
      </c>
      <c r="C2" s="1">
        <f>B2</f>
        <v>1</v>
      </c>
      <c r="D2" s="1"/>
      <c r="E2" s="1"/>
      <c r="F2" s="1"/>
      <c r="G2" s="1"/>
      <c r="H2" s="1"/>
      <c r="I2" s="1"/>
      <c r="J2" s="1"/>
      <c r="K2" s="1"/>
      <c r="L2" s="1"/>
      <c r="M2" s="1"/>
      <c r="N2" s="1"/>
      <c r="O2" s="1"/>
    </row>
    <row r="3" spans="1:15" x14ac:dyDescent="0.3">
      <c r="A3" s="2">
        <v>43854</v>
      </c>
      <c r="B3" s="1">
        <v>2</v>
      </c>
      <c r="C3" s="1">
        <f t="shared" ref="C3:E70" si="0">B3+C2</f>
        <v>3</v>
      </c>
      <c r="D3" s="1"/>
      <c r="E3" s="1"/>
      <c r="F3" s="1"/>
      <c r="G3" s="1"/>
      <c r="H3" s="1"/>
      <c r="I3" s="1"/>
      <c r="J3" s="1"/>
      <c r="K3" s="1"/>
      <c r="L3" s="1"/>
      <c r="M3" s="1"/>
      <c r="N3" s="1"/>
      <c r="O3" s="1"/>
    </row>
    <row r="4" spans="1:15" x14ac:dyDescent="0.3">
      <c r="A4" s="2">
        <v>43855</v>
      </c>
      <c r="B4" s="1">
        <v>1</v>
      </c>
      <c r="C4" s="1">
        <f t="shared" si="0"/>
        <v>4</v>
      </c>
      <c r="D4" s="1"/>
      <c r="E4" s="1"/>
      <c r="F4" s="1"/>
      <c r="G4" s="1"/>
      <c r="H4" s="1"/>
      <c r="I4" s="1"/>
      <c r="J4" s="1"/>
      <c r="K4" s="1"/>
      <c r="L4" s="1"/>
      <c r="M4" s="1"/>
      <c r="N4" s="1"/>
      <c r="O4" s="1"/>
    </row>
    <row r="5" spans="1:15" x14ac:dyDescent="0.3">
      <c r="A5" s="2">
        <v>43856</v>
      </c>
      <c r="B5" s="1">
        <v>0</v>
      </c>
      <c r="C5" s="1">
        <f t="shared" si="0"/>
        <v>4</v>
      </c>
      <c r="D5" s="1"/>
      <c r="E5" s="1"/>
      <c r="F5" s="1"/>
      <c r="G5" s="1"/>
      <c r="H5" s="1"/>
      <c r="I5" s="1"/>
      <c r="J5" s="1"/>
      <c r="K5" s="1"/>
      <c r="L5" s="1"/>
      <c r="M5" s="1"/>
      <c r="N5" s="1"/>
      <c r="O5" s="1"/>
    </row>
    <row r="6" spans="1:15" x14ac:dyDescent="0.3">
      <c r="A6" s="2">
        <v>43857</v>
      </c>
      <c r="B6" s="1">
        <v>1</v>
      </c>
      <c r="C6" s="1">
        <f t="shared" si="0"/>
        <v>5</v>
      </c>
      <c r="D6" s="1"/>
      <c r="E6" s="1"/>
      <c r="F6" s="1"/>
      <c r="G6" s="1"/>
      <c r="H6" s="1"/>
      <c r="I6" s="1"/>
      <c r="J6" s="1"/>
      <c r="K6" s="1"/>
      <c r="L6" s="1"/>
      <c r="M6" s="1"/>
      <c r="N6" s="1"/>
      <c r="O6" s="1"/>
    </row>
    <row r="7" spans="1:15" x14ac:dyDescent="0.3">
      <c r="A7" s="2">
        <v>43858</v>
      </c>
      <c r="B7" s="1">
        <v>2</v>
      </c>
      <c r="C7" s="1">
        <f t="shared" si="0"/>
        <v>7</v>
      </c>
      <c r="D7" s="1"/>
      <c r="E7" s="1"/>
      <c r="F7" s="1"/>
      <c r="G7" s="1"/>
      <c r="H7" s="1"/>
      <c r="I7" s="1"/>
      <c r="J7" s="1"/>
      <c r="K7" s="1"/>
      <c r="L7" s="1"/>
      <c r="M7" s="1"/>
      <c r="N7" s="1"/>
      <c r="O7" s="1"/>
    </row>
    <row r="8" spans="1:15" x14ac:dyDescent="0.3">
      <c r="A8" s="2">
        <v>43859</v>
      </c>
      <c r="B8" s="1">
        <v>3</v>
      </c>
      <c r="C8" s="1">
        <f t="shared" si="0"/>
        <v>10</v>
      </c>
      <c r="D8" s="1"/>
      <c r="E8" s="1"/>
      <c r="F8" s="1"/>
      <c r="G8" s="1"/>
      <c r="H8" s="1"/>
      <c r="I8" s="1"/>
      <c r="J8" s="1"/>
      <c r="K8" s="1"/>
      <c r="L8" s="1"/>
      <c r="M8" s="1"/>
      <c r="N8" s="1"/>
      <c r="O8" s="1"/>
    </row>
    <row r="9" spans="1:15" x14ac:dyDescent="0.3">
      <c r="A9" s="2">
        <v>43860</v>
      </c>
      <c r="B9" s="1">
        <v>3</v>
      </c>
      <c r="C9" s="1">
        <f t="shared" si="0"/>
        <v>13</v>
      </c>
      <c r="D9" s="1"/>
      <c r="E9" s="1"/>
      <c r="F9" s="1"/>
      <c r="G9" s="1"/>
      <c r="H9" s="1"/>
      <c r="I9" s="1"/>
      <c r="J9" s="1"/>
      <c r="K9" s="1"/>
      <c r="L9" s="1"/>
      <c r="M9" s="1"/>
      <c r="N9" s="1"/>
      <c r="O9" s="1"/>
    </row>
    <row r="10" spans="1:15" x14ac:dyDescent="0.3">
      <c r="A10" s="2">
        <v>43861</v>
      </c>
      <c r="B10" s="1">
        <v>3</v>
      </c>
      <c r="C10" s="1">
        <f t="shared" si="0"/>
        <v>16</v>
      </c>
      <c r="D10" s="1"/>
      <c r="E10" s="1"/>
      <c r="F10" s="1"/>
      <c r="G10" s="1"/>
      <c r="H10" s="1"/>
      <c r="I10" s="1"/>
      <c r="J10" s="1"/>
      <c r="K10" s="1"/>
      <c r="L10" s="1"/>
      <c r="M10" s="1"/>
      <c r="N10" s="1"/>
      <c r="O10" s="1"/>
    </row>
    <row r="11" spans="1:15" x14ac:dyDescent="0.3">
      <c r="A11" s="2">
        <v>43862</v>
      </c>
      <c r="B11" s="1">
        <v>2</v>
      </c>
      <c r="C11" s="1">
        <f t="shared" si="0"/>
        <v>18</v>
      </c>
      <c r="D11" s="1"/>
      <c r="E11" s="1"/>
      <c r="F11" s="1"/>
      <c r="G11" s="1"/>
      <c r="H11" s="1"/>
      <c r="I11" s="1"/>
      <c r="J11" s="1"/>
      <c r="K11" s="1"/>
      <c r="L11" s="1"/>
      <c r="M11" s="1"/>
      <c r="N11" s="1"/>
      <c r="O11" s="1"/>
    </row>
    <row r="12" spans="1:15" x14ac:dyDescent="0.3">
      <c r="A12" s="2">
        <v>43863</v>
      </c>
      <c r="B12" s="1">
        <v>0</v>
      </c>
      <c r="C12" s="1">
        <f t="shared" si="0"/>
        <v>18</v>
      </c>
      <c r="D12" s="1"/>
      <c r="E12" s="1"/>
      <c r="F12" s="1"/>
      <c r="G12" s="1"/>
      <c r="H12" s="1"/>
      <c r="I12" s="1"/>
      <c r="J12" s="1"/>
      <c r="K12" s="1"/>
      <c r="L12" s="1"/>
      <c r="M12" s="1"/>
      <c r="N12" s="1"/>
      <c r="O12" s="1"/>
    </row>
    <row r="13" spans="1:15" x14ac:dyDescent="0.3">
      <c r="A13" s="2">
        <v>43864</v>
      </c>
      <c r="B13" s="1">
        <v>0</v>
      </c>
      <c r="C13" s="1">
        <f t="shared" si="0"/>
        <v>18</v>
      </c>
      <c r="D13" s="1"/>
      <c r="E13" s="1"/>
      <c r="F13" s="1"/>
      <c r="G13" s="1"/>
      <c r="H13" s="1"/>
      <c r="I13" s="1"/>
      <c r="J13" s="1"/>
      <c r="K13" s="1"/>
      <c r="L13" s="1"/>
      <c r="M13" s="1"/>
      <c r="N13" s="1"/>
      <c r="O13" s="1"/>
    </row>
    <row r="14" spans="1:15" x14ac:dyDescent="0.3">
      <c r="A14" s="2">
        <v>43865</v>
      </c>
      <c r="B14" s="1">
        <v>6</v>
      </c>
      <c r="C14" s="1">
        <f t="shared" si="0"/>
        <v>24</v>
      </c>
      <c r="D14" s="1">
        <v>1</v>
      </c>
      <c r="E14" s="1">
        <f t="shared" si="0"/>
        <v>1</v>
      </c>
      <c r="F14" s="1"/>
      <c r="G14" s="1"/>
      <c r="H14" s="1"/>
      <c r="I14" s="1">
        <v>289</v>
      </c>
      <c r="J14" s="1">
        <v>20</v>
      </c>
      <c r="K14" s="1">
        <v>311</v>
      </c>
      <c r="L14" s="1">
        <v>239</v>
      </c>
      <c r="M14" s="1">
        <v>234</v>
      </c>
      <c r="N14" s="10"/>
      <c r="O14" s="10"/>
    </row>
    <row r="15" spans="1:15" x14ac:dyDescent="0.3">
      <c r="A15" s="2">
        <v>43866</v>
      </c>
      <c r="B15" s="1">
        <v>4</v>
      </c>
      <c r="C15" s="1">
        <f t="shared" si="0"/>
        <v>28</v>
      </c>
      <c r="D15" s="1"/>
      <c r="E15" s="1">
        <f t="shared" si="0"/>
        <v>1</v>
      </c>
      <c r="F15" s="1"/>
      <c r="G15" s="1"/>
      <c r="H15" s="1"/>
      <c r="I15" s="1">
        <v>295</v>
      </c>
      <c r="J15" s="1">
        <v>62</v>
      </c>
      <c r="K15" s="1">
        <v>379</v>
      </c>
      <c r="L15" s="1">
        <v>304</v>
      </c>
      <c r="M15" s="1">
        <v>299</v>
      </c>
      <c r="N15" s="10"/>
      <c r="O15" s="10"/>
    </row>
    <row r="16" spans="1:15" x14ac:dyDescent="0.3">
      <c r="A16" s="2">
        <v>43867</v>
      </c>
      <c r="B16" s="1">
        <v>2</v>
      </c>
      <c r="C16" s="1">
        <f t="shared" si="0"/>
        <v>30</v>
      </c>
      <c r="D16" s="1"/>
      <c r="E16" s="1">
        <f t="shared" si="0"/>
        <v>1</v>
      </c>
      <c r="F16" s="1">
        <v>1</v>
      </c>
      <c r="G16" s="1"/>
      <c r="H16" s="1">
        <v>1</v>
      </c>
      <c r="I16" s="1">
        <v>310</v>
      </c>
      <c r="J16" s="1">
        <v>147</v>
      </c>
      <c r="K16" s="1">
        <v>435</v>
      </c>
      <c r="L16" s="1">
        <v>353</v>
      </c>
      <c r="M16" s="1">
        <v>348</v>
      </c>
      <c r="N16" s="10"/>
      <c r="O16" s="10"/>
    </row>
    <row r="17" spans="1:15" x14ac:dyDescent="0.3">
      <c r="A17" s="2">
        <v>43868</v>
      </c>
      <c r="B17" s="1">
        <v>3</v>
      </c>
      <c r="C17" s="1">
        <f t="shared" si="0"/>
        <v>33</v>
      </c>
      <c r="D17" s="1">
        <v>1</v>
      </c>
      <c r="E17" s="1">
        <f t="shared" si="0"/>
        <v>2</v>
      </c>
      <c r="F17" s="1">
        <v>2</v>
      </c>
      <c r="G17" s="1"/>
      <c r="H17" s="1"/>
      <c r="I17" s="10"/>
      <c r="J17" s="10"/>
      <c r="K17" s="10"/>
      <c r="L17" s="10"/>
      <c r="M17" s="10"/>
      <c r="N17" s="10"/>
      <c r="O17" s="10"/>
    </row>
    <row r="18" spans="1:15" x14ac:dyDescent="0.3">
      <c r="A18" s="2">
        <v>43869</v>
      </c>
      <c r="B18" s="1">
        <v>7</v>
      </c>
      <c r="C18" s="1">
        <f t="shared" si="0"/>
        <v>40</v>
      </c>
      <c r="D18" s="1"/>
      <c r="E18" s="1">
        <f t="shared" si="0"/>
        <v>2</v>
      </c>
      <c r="F18" s="1">
        <v>4</v>
      </c>
      <c r="G18" s="1"/>
      <c r="H18" s="1">
        <v>1</v>
      </c>
      <c r="I18" s="1">
        <v>438</v>
      </c>
      <c r="J18" s="1">
        <v>181</v>
      </c>
      <c r="K18" s="1">
        <v>758</v>
      </c>
      <c r="L18" s="1">
        <v>663</v>
      </c>
      <c r="M18" s="1">
        <v>647</v>
      </c>
      <c r="N18" s="10"/>
      <c r="O18" s="10"/>
    </row>
    <row r="19" spans="1:15" x14ac:dyDescent="0.3">
      <c r="A19" s="2">
        <v>43870</v>
      </c>
      <c r="B19" s="1">
        <v>3</v>
      </c>
      <c r="C19" s="1">
        <f t="shared" si="0"/>
        <v>43</v>
      </c>
      <c r="D19" s="1">
        <v>4</v>
      </c>
      <c r="E19" s="1">
        <f t="shared" si="0"/>
        <v>6</v>
      </c>
      <c r="F19" s="1">
        <v>6</v>
      </c>
      <c r="G19" s="1"/>
      <c r="H19" s="1"/>
      <c r="I19" s="1">
        <v>516</v>
      </c>
      <c r="J19" s="1">
        <v>98</v>
      </c>
      <c r="K19" s="1">
        <v>989</v>
      </c>
      <c r="L19" s="1">
        <v>892</v>
      </c>
      <c r="M19" s="1">
        <v>845</v>
      </c>
      <c r="N19" s="10"/>
      <c r="O19" s="10"/>
    </row>
    <row r="20" spans="1:15" x14ac:dyDescent="0.3">
      <c r="A20" s="2">
        <v>43871</v>
      </c>
      <c r="B20" s="1">
        <v>2</v>
      </c>
      <c r="C20" s="1">
        <f t="shared" si="0"/>
        <v>45</v>
      </c>
      <c r="D20" s="1">
        <v>1</v>
      </c>
      <c r="E20" s="1">
        <f t="shared" si="0"/>
        <v>7</v>
      </c>
      <c r="F20" s="1">
        <v>7</v>
      </c>
      <c r="G20" s="1"/>
      <c r="H20" s="1"/>
      <c r="I20" s="1">
        <v>581</v>
      </c>
      <c r="J20" s="1">
        <v>39</v>
      </c>
      <c r="K20" s="1">
        <v>1026</v>
      </c>
      <c r="L20" s="1">
        <v>927</v>
      </c>
      <c r="M20" s="1">
        <v>896</v>
      </c>
      <c r="N20" s="10"/>
      <c r="O20" s="10"/>
    </row>
    <row r="21" spans="1:15" x14ac:dyDescent="0.3">
      <c r="A21" s="2">
        <v>43872</v>
      </c>
      <c r="B21" s="1">
        <v>2</v>
      </c>
      <c r="C21" s="1">
        <f t="shared" si="0"/>
        <v>47</v>
      </c>
      <c r="D21" s="1">
        <v>2</v>
      </c>
      <c r="E21" s="1">
        <f t="shared" si="0"/>
        <v>9</v>
      </c>
      <c r="F21" s="1">
        <v>7</v>
      </c>
      <c r="G21" s="1"/>
      <c r="H21" s="1"/>
      <c r="I21" s="1">
        <v>608</v>
      </c>
      <c r="J21" s="1">
        <v>43</v>
      </c>
      <c r="K21" s="1">
        <v>1124</v>
      </c>
      <c r="L21" s="1">
        <v>1021</v>
      </c>
      <c r="M21" s="1">
        <v>989</v>
      </c>
      <c r="N21" s="10"/>
      <c r="O21" s="10"/>
    </row>
    <row r="22" spans="1:15" x14ac:dyDescent="0.3">
      <c r="A22" s="2">
        <v>43873</v>
      </c>
      <c r="B22" s="6">
        <v>3</v>
      </c>
      <c r="C22" s="1">
        <f t="shared" si="0"/>
        <v>50</v>
      </c>
      <c r="D22" s="6">
        <v>6</v>
      </c>
      <c r="E22" s="1">
        <f t="shared" si="0"/>
        <v>15</v>
      </c>
      <c r="F22" s="1">
        <v>8</v>
      </c>
      <c r="G22" s="1"/>
      <c r="H22" s="1"/>
      <c r="I22" s="1">
        <v>638</v>
      </c>
      <c r="J22" s="1">
        <v>125</v>
      </c>
      <c r="K22" s="1">
        <v>1090</v>
      </c>
      <c r="L22" s="1">
        <v>984</v>
      </c>
      <c r="M22" s="1">
        <v>961</v>
      </c>
      <c r="N22" s="10"/>
      <c r="O22" s="10"/>
    </row>
    <row r="23" spans="1:15" x14ac:dyDescent="0.3">
      <c r="A23" s="2">
        <v>43874</v>
      </c>
      <c r="B23" s="6">
        <v>8</v>
      </c>
      <c r="C23" s="1">
        <f t="shared" si="0"/>
        <v>58</v>
      </c>
      <c r="D23" s="1"/>
      <c r="E23" s="1">
        <f t="shared" si="0"/>
        <v>15</v>
      </c>
      <c r="F23" s="1">
        <v>7</v>
      </c>
      <c r="G23" s="1"/>
      <c r="H23" s="1"/>
      <c r="I23" s="1">
        <v>711</v>
      </c>
      <c r="J23" s="1">
        <v>82</v>
      </c>
      <c r="K23" s="1">
        <v>1278</v>
      </c>
      <c r="L23" s="1">
        <v>1161</v>
      </c>
      <c r="M23" s="1">
        <v>1144</v>
      </c>
      <c r="N23" s="10"/>
      <c r="O23" s="10"/>
    </row>
    <row r="24" spans="1:15" x14ac:dyDescent="0.3">
      <c r="A24" s="2">
        <v>43875</v>
      </c>
      <c r="B24" s="6">
        <v>9</v>
      </c>
      <c r="C24" s="1">
        <f t="shared" si="0"/>
        <v>67</v>
      </c>
      <c r="D24" s="6">
        <v>2</v>
      </c>
      <c r="E24" s="1">
        <f t="shared" si="0"/>
        <v>17</v>
      </c>
      <c r="F24" s="6">
        <v>6</v>
      </c>
      <c r="G24" s="6"/>
      <c r="H24" s="1"/>
      <c r="I24" s="6">
        <v>764</v>
      </c>
      <c r="J24" s="6">
        <v>91</v>
      </c>
      <c r="K24" s="6">
        <v>1368</v>
      </c>
      <c r="L24" s="6">
        <v>1247</v>
      </c>
      <c r="M24" s="6">
        <v>1234</v>
      </c>
      <c r="N24" s="10"/>
      <c r="O24" s="10"/>
    </row>
    <row r="25" spans="1:15" x14ac:dyDescent="0.3">
      <c r="A25" s="2">
        <v>43876</v>
      </c>
      <c r="B25" s="6">
        <v>5</v>
      </c>
      <c r="C25" s="1">
        <f t="shared" si="0"/>
        <v>72</v>
      </c>
      <c r="D25" s="6">
        <v>1</v>
      </c>
      <c r="E25" s="1">
        <f t="shared" si="0"/>
        <v>18</v>
      </c>
      <c r="F25" s="6">
        <v>6</v>
      </c>
      <c r="G25" s="6"/>
      <c r="H25" s="1"/>
      <c r="I25" s="6">
        <v>812</v>
      </c>
      <c r="J25" s="6">
        <v>107</v>
      </c>
      <c r="K25" s="6">
        <v>2093</v>
      </c>
      <c r="L25" s="6">
        <v>1959</v>
      </c>
      <c r="M25" s="6">
        <v>1697</v>
      </c>
      <c r="N25" s="10"/>
      <c r="O25" s="10"/>
    </row>
    <row r="26" spans="1:15" x14ac:dyDescent="0.3">
      <c r="A26" s="2">
        <v>43877</v>
      </c>
      <c r="B26" s="6">
        <v>3</v>
      </c>
      <c r="C26" s="1">
        <f t="shared" si="0"/>
        <v>75</v>
      </c>
      <c r="D26" s="6">
        <v>1</v>
      </c>
      <c r="E26" s="1">
        <f t="shared" si="0"/>
        <v>19</v>
      </c>
      <c r="F26" s="6">
        <v>5</v>
      </c>
      <c r="G26" s="6"/>
      <c r="H26" s="1"/>
      <c r="I26" s="6">
        <v>871</v>
      </c>
      <c r="J26" s="6">
        <v>119</v>
      </c>
      <c r="K26" s="6">
        <v>2179</v>
      </c>
      <c r="L26" s="6">
        <v>2045</v>
      </c>
      <c r="M26" s="6">
        <v>1781</v>
      </c>
      <c r="N26" s="10"/>
      <c r="O26" s="10"/>
    </row>
    <row r="27" spans="1:15" x14ac:dyDescent="0.3">
      <c r="A27" s="2">
        <v>43878</v>
      </c>
      <c r="B27" s="6">
        <v>2</v>
      </c>
      <c r="C27" s="1">
        <f t="shared" si="0"/>
        <v>77</v>
      </c>
      <c r="D27" s="6">
        <v>5</v>
      </c>
      <c r="E27" s="1">
        <f t="shared" si="0"/>
        <v>24</v>
      </c>
      <c r="F27" s="6">
        <v>4</v>
      </c>
      <c r="G27" s="6"/>
      <c r="H27" s="1"/>
      <c r="I27" s="6">
        <v>937</v>
      </c>
      <c r="J27" s="6">
        <v>103</v>
      </c>
      <c r="K27" s="6">
        <v>2358</v>
      </c>
      <c r="L27" s="10"/>
      <c r="M27" s="10"/>
      <c r="N27" s="1">
        <v>1081</v>
      </c>
      <c r="O27" s="1">
        <v>1277</v>
      </c>
    </row>
    <row r="28" spans="1:15" x14ac:dyDescent="0.3">
      <c r="A28" s="2">
        <v>43879</v>
      </c>
      <c r="B28" s="6">
        <v>4</v>
      </c>
      <c r="C28" s="1">
        <f t="shared" si="0"/>
        <v>81</v>
      </c>
      <c r="D28" s="6">
        <v>5</v>
      </c>
      <c r="E28" s="1">
        <f t="shared" si="0"/>
        <v>29</v>
      </c>
      <c r="F28" s="6">
        <v>4</v>
      </c>
      <c r="G28" s="6"/>
      <c r="H28" s="1"/>
      <c r="I28" s="10"/>
      <c r="J28" s="10"/>
      <c r="K28" s="6">
        <v>2486</v>
      </c>
      <c r="L28" s="10"/>
      <c r="M28" s="10"/>
      <c r="N28" s="1">
        <v>1160</v>
      </c>
      <c r="O28" s="1">
        <v>1326</v>
      </c>
    </row>
    <row r="29" spans="1:15" x14ac:dyDescent="0.3">
      <c r="A29" s="2">
        <v>43880</v>
      </c>
      <c r="B29" s="6">
        <v>3</v>
      </c>
      <c r="C29" s="1">
        <f t="shared" si="0"/>
        <v>84</v>
      </c>
      <c r="D29" s="6">
        <v>5</v>
      </c>
      <c r="E29" s="1">
        <f t="shared" si="0"/>
        <v>34</v>
      </c>
      <c r="F29" s="6">
        <v>4</v>
      </c>
      <c r="G29" s="6"/>
      <c r="H29" s="1"/>
      <c r="I29" s="10"/>
      <c r="J29" s="10"/>
      <c r="K29" s="6">
        <v>2593</v>
      </c>
      <c r="L29" s="10"/>
      <c r="M29" s="10"/>
      <c r="N29" s="1">
        <v>1172</v>
      </c>
      <c r="O29" s="1">
        <v>1421</v>
      </c>
    </row>
    <row r="30" spans="1:15" x14ac:dyDescent="0.3">
      <c r="A30" s="2">
        <v>43881</v>
      </c>
      <c r="B30" s="6">
        <v>1</v>
      </c>
      <c r="C30" s="1">
        <f t="shared" si="0"/>
        <v>85</v>
      </c>
      <c r="D30" s="6">
        <v>3</v>
      </c>
      <c r="E30" s="1">
        <f t="shared" si="0"/>
        <v>37</v>
      </c>
      <c r="F30" s="6">
        <v>4</v>
      </c>
      <c r="G30" s="6"/>
      <c r="H30" s="1"/>
      <c r="I30" s="10"/>
      <c r="J30" s="10"/>
      <c r="K30" s="6">
        <v>2616</v>
      </c>
      <c r="L30" s="10"/>
      <c r="M30" s="10"/>
      <c r="N30" s="6">
        <v>1147</v>
      </c>
      <c r="O30" s="6">
        <v>1469</v>
      </c>
    </row>
    <row r="31" spans="1:15" x14ac:dyDescent="0.3">
      <c r="A31" s="2">
        <v>43882</v>
      </c>
      <c r="B31" s="6">
        <v>1</v>
      </c>
      <c r="C31" s="1">
        <f t="shared" si="0"/>
        <v>86</v>
      </c>
      <c r="D31" s="6">
        <v>10</v>
      </c>
      <c r="E31" s="1">
        <f t="shared" si="0"/>
        <v>47</v>
      </c>
      <c r="F31" s="6">
        <v>5</v>
      </c>
      <c r="G31" s="6"/>
      <c r="H31" s="1"/>
      <c r="I31" s="10"/>
      <c r="J31" s="10"/>
      <c r="K31" s="6">
        <v>2696</v>
      </c>
      <c r="L31" s="10"/>
      <c r="M31" s="10"/>
      <c r="N31" s="6">
        <v>1122</v>
      </c>
      <c r="O31" s="6">
        <v>1574</v>
      </c>
    </row>
    <row r="32" spans="1:15" x14ac:dyDescent="0.3">
      <c r="A32" s="2">
        <v>43883</v>
      </c>
      <c r="B32" s="6">
        <v>3</v>
      </c>
      <c r="C32" s="1">
        <f t="shared" si="0"/>
        <v>89</v>
      </c>
      <c r="D32" s="6">
        <v>2</v>
      </c>
      <c r="E32" s="1">
        <f t="shared" si="0"/>
        <v>49</v>
      </c>
      <c r="F32" s="6">
        <v>5</v>
      </c>
      <c r="G32" s="6"/>
      <c r="H32" s="1"/>
      <c r="I32" s="10"/>
      <c r="J32" s="10"/>
      <c r="K32" s="6">
        <v>2734</v>
      </c>
      <c r="L32" s="10"/>
      <c r="M32" s="10"/>
      <c r="N32" s="6">
        <v>1101</v>
      </c>
      <c r="O32" s="6">
        <v>1633</v>
      </c>
    </row>
    <row r="33" spans="1:15" x14ac:dyDescent="0.3">
      <c r="A33" s="2">
        <v>43884</v>
      </c>
      <c r="B33" s="6">
        <v>0</v>
      </c>
      <c r="C33" s="1">
        <f t="shared" si="0"/>
        <v>89</v>
      </c>
      <c r="D33" s="6">
        <v>2</v>
      </c>
      <c r="E33" s="1">
        <f t="shared" si="0"/>
        <v>51</v>
      </c>
      <c r="F33" s="6">
        <v>5</v>
      </c>
      <c r="G33" s="6"/>
      <c r="H33" s="1"/>
      <c r="I33" s="10"/>
      <c r="J33" s="10"/>
      <c r="K33" s="6">
        <v>2812</v>
      </c>
      <c r="L33" s="10"/>
      <c r="M33" s="10"/>
      <c r="N33" s="6">
        <v>908</v>
      </c>
      <c r="O33" s="6">
        <v>1904</v>
      </c>
    </row>
    <row r="34" spans="1:15" x14ac:dyDescent="0.3">
      <c r="A34" s="2">
        <v>43885</v>
      </c>
      <c r="B34" s="6">
        <v>1</v>
      </c>
      <c r="C34" s="1">
        <f t="shared" si="0"/>
        <v>90</v>
      </c>
      <c r="D34" s="6">
        <v>2</v>
      </c>
      <c r="E34" s="1">
        <f t="shared" si="0"/>
        <v>53</v>
      </c>
      <c r="F34" s="6">
        <v>7</v>
      </c>
      <c r="G34" s="6"/>
      <c r="H34" s="1"/>
      <c r="I34" s="10"/>
      <c r="J34" s="10"/>
      <c r="K34" s="6">
        <v>2842</v>
      </c>
      <c r="L34" s="10"/>
      <c r="M34" s="10"/>
      <c r="N34" s="6">
        <v>856</v>
      </c>
      <c r="O34" s="6">
        <v>1986</v>
      </c>
    </row>
    <row r="35" spans="1:15" x14ac:dyDescent="0.3">
      <c r="A35" s="2">
        <v>43886</v>
      </c>
      <c r="B35" s="6">
        <v>1</v>
      </c>
      <c r="C35" s="1">
        <f t="shared" si="0"/>
        <v>91</v>
      </c>
      <c r="D35" s="6">
        <v>5</v>
      </c>
      <c r="E35" s="1">
        <f t="shared" si="0"/>
        <v>58</v>
      </c>
      <c r="F35" s="6">
        <v>7</v>
      </c>
      <c r="G35" s="6"/>
      <c r="H35" s="1"/>
      <c r="I35" s="10"/>
      <c r="J35" s="10"/>
      <c r="K35" s="6">
        <v>2846</v>
      </c>
      <c r="L35" s="10"/>
      <c r="M35" s="10"/>
      <c r="N35" s="6">
        <v>371</v>
      </c>
      <c r="O35" s="6">
        <v>2475</v>
      </c>
    </row>
    <row r="36" spans="1:15" x14ac:dyDescent="0.3">
      <c r="A36" s="2">
        <v>43887</v>
      </c>
      <c r="B36" s="6">
        <v>2</v>
      </c>
      <c r="C36" s="1">
        <f t="shared" si="0"/>
        <v>93</v>
      </c>
      <c r="D36" s="6">
        <v>4</v>
      </c>
      <c r="E36" s="1">
        <f t="shared" si="0"/>
        <v>62</v>
      </c>
      <c r="F36" s="6">
        <v>7</v>
      </c>
      <c r="G36" s="6"/>
      <c r="H36" s="1"/>
      <c r="I36" s="1"/>
      <c r="J36" s="1"/>
      <c r="K36" s="6">
        <v>2848</v>
      </c>
      <c r="L36" s="1"/>
      <c r="M36" s="1"/>
      <c r="N36" s="6">
        <v>259</v>
      </c>
      <c r="O36" s="6">
        <v>2589</v>
      </c>
    </row>
    <row r="37" spans="1:15" x14ac:dyDescent="0.3">
      <c r="A37" s="2">
        <v>43888</v>
      </c>
      <c r="B37" s="6">
        <v>3</v>
      </c>
      <c r="C37" s="1">
        <f t="shared" si="0"/>
        <v>96</v>
      </c>
      <c r="D37" s="6">
        <v>4</v>
      </c>
      <c r="E37" s="1">
        <f t="shared" si="0"/>
        <v>66</v>
      </c>
      <c r="F37" s="6">
        <v>8</v>
      </c>
      <c r="G37" s="6"/>
      <c r="H37" s="1"/>
      <c r="I37" s="1"/>
      <c r="J37" s="1"/>
      <c r="K37" s="6">
        <v>2887</v>
      </c>
      <c r="L37" s="1"/>
      <c r="M37" s="1"/>
      <c r="N37" s="6">
        <v>245</v>
      </c>
      <c r="O37" s="6">
        <v>2642</v>
      </c>
    </row>
    <row r="38" spans="1:15" x14ac:dyDescent="0.3">
      <c r="A38" s="2">
        <v>43889</v>
      </c>
      <c r="B38" s="6">
        <v>2</v>
      </c>
      <c r="C38" s="1">
        <f t="shared" si="0"/>
        <v>98</v>
      </c>
      <c r="D38" s="6">
        <v>3</v>
      </c>
      <c r="E38" s="1">
        <f t="shared" si="0"/>
        <v>69</v>
      </c>
      <c r="F38" s="6">
        <v>7</v>
      </c>
      <c r="G38" s="6"/>
      <c r="H38" s="1"/>
      <c r="I38" s="1"/>
      <c r="J38" s="1"/>
      <c r="K38" s="6">
        <v>2940</v>
      </c>
      <c r="L38" s="1"/>
      <c r="M38" s="1"/>
      <c r="N38" s="6">
        <v>191</v>
      </c>
      <c r="O38" s="6">
        <v>2749</v>
      </c>
    </row>
    <row r="39" spans="1:15" x14ac:dyDescent="0.3">
      <c r="A39" s="2">
        <v>43890</v>
      </c>
      <c r="B39" s="6">
        <v>4</v>
      </c>
      <c r="C39" s="1">
        <f t="shared" si="0"/>
        <v>102</v>
      </c>
      <c r="D39" s="6">
        <v>3</v>
      </c>
      <c r="E39" s="1">
        <f t="shared" si="0"/>
        <v>72</v>
      </c>
      <c r="F39" s="6">
        <v>7</v>
      </c>
      <c r="G39" s="6"/>
      <c r="H39" s="1"/>
      <c r="I39" s="1"/>
      <c r="J39" s="1"/>
      <c r="K39" s="6">
        <v>3033</v>
      </c>
      <c r="L39" s="1"/>
      <c r="M39" s="1"/>
      <c r="N39" s="6">
        <v>269</v>
      </c>
      <c r="O39" s="6">
        <v>2764</v>
      </c>
    </row>
    <row r="40" spans="1:15" x14ac:dyDescent="0.3">
      <c r="A40" s="2">
        <v>43891</v>
      </c>
      <c r="B40" s="6">
        <v>4</v>
      </c>
      <c r="C40" s="1">
        <f t="shared" si="0"/>
        <v>106</v>
      </c>
      <c r="D40" s="6">
        <v>2</v>
      </c>
      <c r="E40" s="1">
        <f t="shared" si="0"/>
        <v>74</v>
      </c>
      <c r="F40" s="6">
        <v>7</v>
      </c>
      <c r="G40" s="6"/>
      <c r="H40" s="1"/>
      <c r="I40" s="1"/>
      <c r="J40" s="1"/>
      <c r="K40" s="6">
        <v>3133</v>
      </c>
      <c r="L40" s="1"/>
      <c r="M40" s="1"/>
      <c r="N40" s="6">
        <v>367</v>
      </c>
      <c r="O40" s="6">
        <v>2766</v>
      </c>
    </row>
    <row r="41" spans="1:15" x14ac:dyDescent="0.3">
      <c r="A41" s="2">
        <v>43892</v>
      </c>
      <c r="B41" s="6">
        <v>2</v>
      </c>
      <c r="C41" s="1">
        <f t="shared" si="0"/>
        <v>108</v>
      </c>
      <c r="D41" s="6">
        <v>4</v>
      </c>
      <c r="E41" s="1">
        <f t="shared" si="0"/>
        <v>78</v>
      </c>
      <c r="F41" s="6">
        <v>6</v>
      </c>
      <c r="G41" s="6"/>
      <c r="H41" s="1"/>
      <c r="I41" s="1"/>
      <c r="J41" s="1"/>
      <c r="K41" s="6">
        <v>3140</v>
      </c>
      <c r="L41" s="1"/>
      <c r="M41" s="1"/>
      <c r="N41" s="6">
        <v>335</v>
      </c>
      <c r="O41" s="6">
        <v>2805</v>
      </c>
    </row>
    <row r="42" spans="1:15" x14ac:dyDescent="0.3">
      <c r="A42" s="2">
        <v>43893</v>
      </c>
      <c r="B42" s="6">
        <v>2</v>
      </c>
      <c r="C42" s="1">
        <f t="shared" si="0"/>
        <v>110</v>
      </c>
      <c r="D42" s="6">
        <v>0</v>
      </c>
      <c r="E42" s="1">
        <f t="shared" si="0"/>
        <v>78</v>
      </c>
      <c r="F42" s="6">
        <v>7</v>
      </c>
      <c r="G42" s="6"/>
      <c r="H42" s="1"/>
      <c r="I42" s="1"/>
      <c r="J42" s="1"/>
      <c r="K42" s="6">
        <v>3173</v>
      </c>
      <c r="L42" s="1"/>
      <c r="M42" s="1"/>
      <c r="N42" s="6">
        <v>336</v>
      </c>
      <c r="O42" s="6">
        <v>2837</v>
      </c>
    </row>
    <row r="43" spans="1:15" x14ac:dyDescent="0.3">
      <c r="A43" s="2">
        <v>43894</v>
      </c>
      <c r="B43" s="6">
        <v>2</v>
      </c>
      <c r="C43" s="1">
        <f t="shared" si="0"/>
        <v>112</v>
      </c>
      <c r="D43" s="6">
        <v>1</v>
      </c>
      <c r="E43" s="1">
        <f t="shared" si="0"/>
        <v>79</v>
      </c>
      <c r="F43" s="6">
        <v>7</v>
      </c>
      <c r="G43" s="6"/>
      <c r="H43" s="1"/>
      <c r="I43" s="1"/>
      <c r="J43" s="1"/>
      <c r="K43" s="6">
        <v>3204</v>
      </c>
      <c r="L43" s="1"/>
      <c r="M43" s="1"/>
      <c r="N43" s="6">
        <v>355</v>
      </c>
      <c r="O43" s="6">
        <v>2849</v>
      </c>
    </row>
    <row r="44" spans="1:15" x14ac:dyDescent="0.3">
      <c r="A44" s="2">
        <v>43895</v>
      </c>
      <c r="B44" s="6">
        <v>5</v>
      </c>
      <c r="C44" s="1">
        <f t="shared" si="0"/>
        <v>117</v>
      </c>
      <c r="D44" s="6">
        <v>2</v>
      </c>
      <c r="E44" s="1">
        <f t="shared" si="0"/>
        <v>81</v>
      </c>
      <c r="F44" s="6">
        <v>7</v>
      </c>
      <c r="G44" s="6"/>
      <c r="H44" s="1"/>
      <c r="I44" s="1"/>
      <c r="J44" s="1"/>
      <c r="K44" s="6">
        <v>3291</v>
      </c>
      <c r="L44" s="1"/>
      <c r="M44" s="1"/>
      <c r="N44" s="6">
        <v>381</v>
      </c>
      <c r="O44" s="6">
        <v>2910</v>
      </c>
    </row>
    <row r="45" spans="1:15" x14ac:dyDescent="0.3">
      <c r="A45" s="2">
        <v>43896</v>
      </c>
      <c r="B45" s="6">
        <v>13</v>
      </c>
      <c r="C45" s="1">
        <f t="shared" si="0"/>
        <v>130</v>
      </c>
      <c r="D45" s="6">
        <v>1</v>
      </c>
      <c r="E45" s="1">
        <f t="shared" si="0"/>
        <v>82</v>
      </c>
      <c r="F45" s="6">
        <v>9</v>
      </c>
      <c r="G45" s="6"/>
      <c r="H45" s="1"/>
      <c r="I45" s="1"/>
      <c r="J45" s="1"/>
      <c r="K45" s="6">
        <v>3366</v>
      </c>
      <c r="L45" s="1"/>
      <c r="M45" s="1"/>
      <c r="N45" s="6">
        <v>389</v>
      </c>
      <c r="O45" s="6">
        <v>2977</v>
      </c>
    </row>
    <row r="46" spans="1:15" x14ac:dyDescent="0.3">
      <c r="A46" s="2">
        <v>43897</v>
      </c>
      <c r="B46" s="6">
        <v>8</v>
      </c>
      <c r="C46" s="1">
        <f t="shared" si="0"/>
        <v>138</v>
      </c>
      <c r="D46" s="6">
        <v>8</v>
      </c>
      <c r="E46" s="1">
        <f t="shared" si="0"/>
        <v>90</v>
      </c>
      <c r="F46" s="6">
        <v>8</v>
      </c>
      <c r="G46" s="6"/>
      <c r="H46" s="1"/>
      <c r="I46" s="1"/>
      <c r="J46" s="1"/>
      <c r="K46" s="6">
        <v>3452</v>
      </c>
      <c r="L46" s="1"/>
      <c r="M46" s="1"/>
      <c r="N46" s="6">
        <v>446</v>
      </c>
      <c r="O46" s="6">
        <v>3006</v>
      </c>
    </row>
    <row r="47" spans="1:15" x14ac:dyDescent="0.3">
      <c r="A47" s="2">
        <v>43898</v>
      </c>
      <c r="B47" s="6">
        <v>12</v>
      </c>
      <c r="C47" s="1">
        <f t="shared" si="0"/>
        <v>150</v>
      </c>
      <c r="D47" s="6">
        <v>0</v>
      </c>
      <c r="E47" s="1">
        <f t="shared" si="0"/>
        <v>90</v>
      </c>
      <c r="F47" s="6">
        <v>9</v>
      </c>
      <c r="G47" s="6"/>
      <c r="H47" s="1"/>
      <c r="I47" s="1"/>
      <c r="J47" s="1"/>
      <c r="K47" s="6">
        <v>3649</v>
      </c>
      <c r="L47" s="1"/>
      <c r="M47" s="1"/>
      <c r="N47" s="6">
        <v>615</v>
      </c>
      <c r="O47" s="6">
        <v>3034</v>
      </c>
    </row>
    <row r="48" spans="1:15" x14ac:dyDescent="0.3">
      <c r="A48" s="2">
        <v>43899</v>
      </c>
      <c r="B48" s="6">
        <v>10</v>
      </c>
      <c r="C48" s="1">
        <f t="shared" si="0"/>
        <v>160</v>
      </c>
      <c r="D48" s="6">
        <v>3</v>
      </c>
      <c r="E48" s="1">
        <f t="shared" si="0"/>
        <v>93</v>
      </c>
      <c r="F48" s="6">
        <v>10</v>
      </c>
      <c r="G48" s="6"/>
      <c r="H48" s="1"/>
      <c r="I48" s="1"/>
      <c r="J48" s="1"/>
      <c r="K48" s="6">
        <v>3784</v>
      </c>
      <c r="L48" s="1"/>
      <c r="M48" s="1"/>
      <c r="N48" s="6">
        <v>724</v>
      </c>
      <c r="O48" s="6">
        <v>3060</v>
      </c>
    </row>
    <row r="49" spans="1:15" x14ac:dyDescent="0.3">
      <c r="A49" s="2">
        <v>43900</v>
      </c>
      <c r="B49" s="6">
        <v>6</v>
      </c>
      <c r="C49" s="1">
        <f t="shared" si="0"/>
        <v>166</v>
      </c>
      <c r="D49" s="6">
        <v>0</v>
      </c>
      <c r="E49" s="1">
        <f t="shared" si="0"/>
        <v>93</v>
      </c>
      <c r="F49" s="6">
        <v>12</v>
      </c>
      <c r="G49" s="6"/>
      <c r="H49" s="1"/>
      <c r="I49" s="1"/>
      <c r="J49" s="1"/>
      <c r="K49" s="6">
        <v>4004</v>
      </c>
      <c r="L49" s="1"/>
      <c r="M49" s="1"/>
      <c r="N49" s="6">
        <v>872</v>
      </c>
      <c r="O49" s="6">
        <v>3132</v>
      </c>
    </row>
    <row r="50" spans="1:15" x14ac:dyDescent="0.3">
      <c r="A50" s="2">
        <v>43901</v>
      </c>
      <c r="B50" s="6">
        <v>12</v>
      </c>
      <c r="C50" s="1">
        <f t="shared" si="0"/>
        <v>178</v>
      </c>
      <c r="D50" s="6">
        <v>3</v>
      </c>
      <c r="E50" s="1">
        <f t="shared" si="0"/>
        <v>96</v>
      </c>
      <c r="F50" s="6">
        <v>9</v>
      </c>
      <c r="G50" s="6"/>
      <c r="H50" s="1"/>
      <c r="I50" s="1"/>
      <c r="J50" s="1"/>
      <c r="K50" s="6">
        <v>4218</v>
      </c>
      <c r="L50" s="1"/>
      <c r="M50" s="1"/>
      <c r="N50" s="6">
        <v>981</v>
      </c>
      <c r="O50" s="6">
        <v>3237</v>
      </c>
    </row>
    <row r="51" spans="1:15" x14ac:dyDescent="0.3">
      <c r="A51" s="2">
        <v>43902</v>
      </c>
      <c r="B51" s="6">
        <v>9</v>
      </c>
      <c r="C51" s="1">
        <f t="shared" si="0"/>
        <v>187</v>
      </c>
      <c r="D51" s="6">
        <v>0</v>
      </c>
      <c r="E51" s="1">
        <f t="shared" si="0"/>
        <v>96</v>
      </c>
      <c r="F51" s="6">
        <v>9</v>
      </c>
      <c r="G51" s="6"/>
      <c r="H51" s="1"/>
      <c r="I51" s="1"/>
      <c r="J51" s="1"/>
      <c r="K51" s="6">
        <v>4550</v>
      </c>
      <c r="L51" s="1"/>
      <c r="M51" s="1"/>
      <c r="N51" s="6">
        <v>1248</v>
      </c>
      <c r="O51" s="6">
        <v>3302</v>
      </c>
    </row>
    <row r="52" spans="1:15" x14ac:dyDescent="0.3">
      <c r="A52" s="2">
        <v>43903</v>
      </c>
      <c r="B52" s="6">
        <v>13</v>
      </c>
      <c r="C52" s="1">
        <f t="shared" si="0"/>
        <v>200</v>
      </c>
      <c r="D52" s="6">
        <v>1</v>
      </c>
      <c r="E52" s="1">
        <f t="shared" si="0"/>
        <v>97</v>
      </c>
      <c r="F52" s="6">
        <v>11</v>
      </c>
      <c r="G52" s="6"/>
      <c r="H52" s="1"/>
      <c r="I52" s="1"/>
      <c r="J52" s="1"/>
      <c r="K52" s="6">
        <v>4910</v>
      </c>
      <c r="L52" s="1"/>
      <c r="M52" s="1"/>
      <c r="N52" s="6">
        <v>1491</v>
      </c>
      <c r="O52" s="6">
        <v>3419</v>
      </c>
    </row>
    <row r="53" spans="1:15" x14ac:dyDescent="0.3">
      <c r="A53" s="2">
        <v>43904</v>
      </c>
      <c r="B53" s="6">
        <v>12</v>
      </c>
      <c r="C53" s="1">
        <f t="shared" si="0"/>
        <v>212</v>
      </c>
      <c r="D53" s="6">
        <v>8</v>
      </c>
      <c r="E53" s="1">
        <f t="shared" si="0"/>
        <v>105</v>
      </c>
      <c r="F53" s="6">
        <v>14</v>
      </c>
      <c r="G53" s="6"/>
      <c r="H53" s="1"/>
      <c r="I53" s="1"/>
      <c r="J53" s="1"/>
      <c r="K53" s="6">
        <v>5244</v>
      </c>
      <c r="L53" s="1"/>
      <c r="M53" s="1"/>
      <c r="N53" s="6">
        <v>1712</v>
      </c>
      <c r="O53" s="6">
        <v>3532</v>
      </c>
    </row>
    <row r="54" spans="1:15" x14ac:dyDescent="0.3">
      <c r="A54" s="2">
        <v>43905</v>
      </c>
      <c r="B54" s="6">
        <v>14</v>
      </c>
      <c r="C54" s="1">
        <f t="shared" si="0"/>
        <v>226</v>
      </c>
      <c r="D54" s="6">
        <v>0</v>
      </c>
      <c r="E54" s="1">
        <f t="shared" si="0"/>
        <v>105</v>
      </c>
      <c r="F54" s="6">
        <v>13</v>
      </c>
      <c r="G54" s="6"/>
      <c r="H54" s="1"/>
      <c r="I54" s="1"/>
      <c r="J54" s="1"/>
      <c r="K54" s="6">
        <v>5472</v>
      </c>
      <c r="L54" s="1"/>
      <c r="M54" s="1"/>
      <c r="N54" s="6">
        <v>1817</v>
      </c>
      <c r="O54" s="6">
        <v>3655</v>
      </c>
    </row>
    <row r="55" spans="1:15" x14ac:dyDescent="0.3">
      <c r="A55" s="2">
        <v>43906</v>
      </c>
      <c r="B55" s="6">
        <v>17</v>
      </c>
      <c r="C55" s="1">
        <f t="shared" si="0"/>
        <v>243</v>
      </c>
      <c r="D55" s="6">
        <v>4</v>
      </c>
      <c r="E55" s="1">
        <f t="shared" si="0"/>
        <v>109</v>
      </c>
      <c r="F55" s="6">
        <v>13</v>
      </c>
      <c r="G55" s="6"/>
      <c r="H55" s="1"/>
      <c r="I55" s="1"/>
      <c r="J55" s="1"/>
      <c r="K55" s="6">
        <v>5711</v>
      </c>
      <c r="L55" s="1"/>
      <c r="M55" s="1"/>
      <c r="N55" s="6">
        <v>1951</v>
      </c>
      <c r="O55" s="6">
        <v>3760</v>
      </c>
    </row>
    <row r="56" spans="1:15" x14ac:dyDescent="0.3">
      <c r="A56" s="2">
        <v>43907</v>
      </c>
      <c r="B56" s="6">
        <v>23</v>
      </c>
      <c r="C56" s="1">
        <f t="shared" si="0"/>
        <v>266</v>
      </c>
      <c r="D56" s="6">
        <v>5</v>
      </c>
      <c r="E56" s="1">
        <f t="shared" si="0"/>
        <v>114</v>
      </c>
      <c r="F56" s="6">
        <v>14</v>
      </c>
      <c r="G56" s="6"/>
      <c r="H56" s="1"/>
      <c r="I56" s="1"/>
      <c r="J56" s="1"/>
      <c r="K56" s="6">
        <v>5939</v>
      </c>
      <c r="L56" s="1"/>
      <c r="M56" s="1"/>
      <c r="N56" s="6">
        <v>2062</v>
      </c>
      <c r="O56" s="6">
        <v>3877</v>
      </c>
    </row>
    <row r="57" spans="1:15" x14ac:dyDescent="0.3">
      <c r="A57" s="2">
        <v>43908</v>
      </c>
      <c r="B57" s="6">
        <v>47</v>
      </c>
      <c r="C57" s="1">
        <f t="shared" si="0"/>
        <v>313</v>
      </c>
      <c r="D57" s="6">
        <v>3</v>
      </c>
      <c r="E57" s="1">
        <f t="shared" si="0"/>
        <v>117</v>
      </c>
      <c r="F57" s="6">
        <v>15</v>
      </c>
      <c r="G57" s="6"/>
      <c r="H57" s="1"/>
      <c r="I57" s="1"/>
      <c r="J57" s="1"/>
      <c r="K57" s="6">
        <v>6250</v>
      </c>
      <c r="L57" s="1"/>
      <c r="M57" s="1"/>
      <c r="N57" s="6">
        <v>2221</v>
      </c>
      <c r="O57" s="6">
        <v>4029</v>
      </c>
    </row>
    <row r="58" spans="1:15" x14ac:dyDescent="0.3">
      <c r="A58" s="2">
        <v>43909</v>
      </c>
      <c r="B58" s="6">
        <v>32</v>
      </c>
      <c r="C58" s="1">
        <f t="shared" si="0"/>
        <v>345</v>
      </c>
      <c r="D58" s="6">
        <v>7</v>
      </c>
      <c r="E58" s="1">
        <f t="shared" si="0"/>
        <v>124</v>
      </c>
      <c r="F58" s="6">
        <v>15</v>
      </c>
      <c r="G58" s="6"/>
      <c r="H58" s="1"/>
      <c r="I58" s="1"/>
      <c r="J58" s="1"/>
      <c r="K58" s="6">
        <v>6574</v>
      </c>
      <c r="L58" s="1"/>
      <c r="M58" s="1"/>
      <c r="N58" s="6">
        <v>2273</v>
      </c>
      <c r="O58" s="6">
        <v>4301</v>
      </c>
    </row>
    <row r="59" spans="1:15" x14ac:dyDescent="0.3">
      <c r="A59" s="2">
        <v>43910</v>
      </c>
      <c r="B59" s="6">
        <v>40</v>
      </c>
      <c r="C59" s="1">
        <f t="shared" si="0"/>
        <v>385</v>
      </c>
      <c r="D59" s="6">
        <v>7</v>
      </c>
      <c r="E59" s="1">
        <f t="shared" si="0"/>
        <v>131</v>
      </c>
      <c r="F59" s="6">
        <v>16</v>
      </c>
      <c r="G59" s="6"/>
      <c r="H59" s="1"/>
      <c r="I59" s="1"/>
      <c r="J59" s="1"/>
      <c r="K59" s="6">
        <v>7065</v>
      </c>
      <c r="L59" s="1"/>
      <c r="M59" s="1"/>
      <c r="N59" s="6">
        <v>2437</v>
      </c>
      <c r="O59" s="6">
        <v>4628</v>
      </c>
    </row>
    <row r="60" spans="1:15" x14ac:dyDescent="0.3">
      <c r="A60" s="2">
        <v>43911</v>
      </c>
      <c r="B60" s="6">
        <v>47</v>
      </c>
      <c r="C60" s="1">
        <f t="shared" si="0"/>
        <v>432</v>
      </c>
      <c r="D60" s="6">
        <v>9</v>
      </c>
      <c r="E60" s="1">
        <f t="shared" si="0"/>
        <v>140</v>
      </c>
      <c r="F60" s="6">
        <v>14</v>
      </c>
      <c r="G60" s="6">
        <v>2</v>
      </c>
      <c r="H60" s="1"/>
      <c r="I60" s="1"/>
      <c r="J60" s="1"/>
      <c r="K60" s="6">
        <v>7544</v>
      </c>
      <c r="L60" s="1"/>
      <c r="M60" s="1"/>
      <c r="N60" s="6">
        <v>2587</v>
      </c>
      <c r="O60" s="6">
        <v>4957</v>
      </c>
    </row>
    <row r="61" spans="1:15" x14ac:dyDescent="0.3">
      <c r="A61" s="2">
        <v>43912</v>
      </c>
      <c r="B61" s="6">
        <v>23</v>
      </c>
      <c r="C61" s="1">
        <f t="shared" si="0"/>
        <v>455</v>
      </c>
      <c r="D61" s="6">
        <v>4</v>
      </c>
      <c r="E61" s="1">
        <f t="shared" si="0"/>
        <v>144</v>
      </c>
      <c r="F61" s="6">
        <v>14</v>
      </c>
      <c r="G61" s="6"/>
      <c r="H61" s="1"/>
      <c r="I61" s="1"/>
      <c r="J61" s="1"/>
      <c r="K61" s="6">
        <v>7957</v>
      </c>
      <c r="L61" s="1"/>
      <c r="M61" s="1"/>
      <c r="N61" s="6">
        <v>2310</v>
      </c>
      <c r="O61" s="6">
        <v>5647</v>
      </c>
    </row>
    <row r="62" spans="1:15" x14ac:dyDescent="0.3">
      <c r="A62" s="2">
        <v>43913</v>
      </c>
      <c r="B62" s="6">
        <v>54</v>
      </c>
      <c r="C62" s="1">
        <f t="shared" si="0"/>
        <v>509</v>
      </c>
      <c r="D62" s="6">
        <v>8</v>
      </c>
      <c r="E62" s="1">
        <f t="shared" si="0"/>
        <v>152</v>
      </c>
      <c r="F62" s="6">
        <v>15</v>
      </c>
      <c r="G62" s="1"/>
      <c r="H62" s="1"/>
      <c r="I62" s="1"/>
      <c r="J62" s="1"/>
      <c r="K62" s="6">
        <v>8351</v>
      </c>
      <c r="L62" s="1"/>
      <c r="M62" s="1"/>
      <c r="N62" s="6">
        <v>2529</v>
      </c>
      <c r="O62" s="6">
        <v>5822</v>
      </c>
    </row>
    <row r="63" spans="1:15" x14ac:dyDescent="0.3">
      <c r="A63" s="2">
        <v>43914</v>
      </c>
      <c r="B63" s="6">
        <v>49</v>
      </c>
      <c r="C63" s="1">
        <f t="shared" si="0"/>
        <v>558</v>
      </c>
      <c r="D63" s="6">
        <v>3</v>
      </c>
      <c r="E63" s="1">
        <f t="shared" si="0"/>
        <v>155</v>
      </c>
      <c r="F63" s="6">
        <v>17</v>
      </c>
      <c r="G63" s="1"/>
      <c r="H63" s="1"/>
      <c r="I63" s="1"/>
      <c r="J63" s="1"/>
      <c r="K63" s="6">
        <v>8822</v>
      </c>
      <c r="L63" s="1"/>
      <c r="M63" s="1"/>
      <c r="N63" s="6">
        <v>2803</v>
      </c>
      <c r="O63" s="6">
        <v>6019</v>
      </c>
    </row>
    <row r="64" spans="1:15" x14ac:dyDescent="0.3">
      <c r="A64" s="2">
        <v>43915</v>
      </c>
      <c r="B64" s="6">
        <v>73</v>
      </c>
      <c r="C64" s="1">
        <f t="shared" si="0"/>
        <v>631</v>
      </c>
      <c r="D64" s="6">
        <v>5</v>
      </c>
      <c r="E64" s="1">
        <f t="shared" si="0"/>
        <v>160</v>
      </c>
      <c r="F64" s="6">
        <v>17</v>
      </c>
      <c r="G64" s="1"/>
      <c r="H64" s="1"/>
      <c r="I64" s="1"/>
      <c r="J64" s="1"/>
      <c r="K64" s="6">
        <v>8930</v>
      </c>
      <c r="L64" s="1"/>
      <c r="M64" s="1"/>
      <c r="N64" s="6">
        <v>2642</v>
      </c>
      <c r="O64" s="6">
        <v>6287</v>
      </c>
    </row>
    <row r="65" spans="1:15" x14ac:dyDescent="0.3">
      <c r="A65" s="2">
        <v>43916</v>
      </c>
      <c r="B65" s="6">
        <v>52</v>
      </c>
      <c r="C65" s="1">
        <f t="shared" si="0"/>
        <v>683</v>
      </c>
      <c r="D65" s="6">
        <v>12</v>
      </c>
      <c r="E65" s="1">
        <f t="shared" si="0"/>
        <v>172</v>
      </c>
      <c r="F65" s="6">
        <v>18</v>
      </c>
      <c r="G65" s="1"/>
      <c r="H65" s="1"/>
      <c r="I65" s="1"/>
      <c r="J65" s="1"/>
      <c r="K65" s="6">
        <v>9771</v>
      </c>
      <c r="L65" s="1"/>
      <c r="M65" s="1"/>
      <c r="N65" s="6">
        <v>3216</v>
      </c>
      <c r="O65" s="6">
        <v>6555</v>
      </c>
    </row>
    <row r="66" spans="1:15" x14ac:dyDescent="0.3">
      <c r="A66" s="2">
        <v>43917</v>
      </c>
      <c r="B66" s="6">
        <v>49</v>
      </c>
      <c r="C66" s="1">
        <f t="shared" si="0"/>
        <v>732</v>
      </c>
      <c r="D66" s="6">
        <v>11</v>
      </c>
      <c r="E66" s="1">
        <f t="shared" si="0"/>
        <v>183</v>
      </c>
      <c r="F66" s="6">
        <v>17</v>
      </c>
      <c r="G66" s="1"/>
      <c r="H66" s="1"/>
      <c r="I66" s="1"/>
      <c r="J66" s="1"/>
      <c r="K66" s="6">
        <v>10346</v>
      </c>
      <c r="L66" s="1"/>
      <c r="M66" s="1"/>
      <c r="N66" s="6">
        <v>3330</v>
      </c>
      <c r="O66" s="6">
        <v>7016</v>
      </c>
    </row>
    <row r="67" spans="1:15" x14ac:dyDescent="0.3">
      <c r="A67" s="2">
        <v>43918</v>
      </c>
      <c r="B67" s="6">
        <v>70</v>
      </c>
      <c r="C67" s="1">
        <f t="shared" si="0"/>
        <v>802</v>
      </c>
      <c r="D67" s="6">
        <v>15</v>
      </c>
      <c r="E67" s="1">
        <f t="shared" si="0"/>
        <v>198</v>
      </c>
      <c r="F67" s="6">
        <v>19</v>
      </c>
      <c r="G67" s="1"/>
      <c r="H67" s="1"/>
      <c r="I67" s="1"/>
      <c r="J67" s="1"/>
      <c r="K67" s="6">
        <v>10875</v>
      </c>
      <c r="L67" s="1"/>
      <c r="M67" s="1"/>
      <c r="N67" s="6">
        <v>3640</v>
      </c>
      <c r="O67" s="6">
        <v>7235</v>
      </c>
    </row>
    <row r="68" spans="1:15" x14ac:dyDescent="0.3">
      <c r="A68" s="2">
        <v>43919</v>
      </c>
      <c r="B68" s="6">
        <v>42</v>
      </c>
      <c r="C68" s="1">
        <f t="shared" si="0"/>
        <v>844</v>
      </c>
      <c r="D68" s="6">
        <v>14</v>
      </c>
      <c r="E68" s="1">
        <f t="shared" si="0"/>
        <v>212</v>
      </c>
      <c r="F68" s="6">
        <v>19</v>
      </c>
      <c r="G68" s="1">
        <v>1</v>
      </c>
      <c r="H68" s="1"/>
      <c r="I68" s="1"/>
      <c r="J68" s="1"/>
      <c r="K68" s="6">
        <v>11779</v>
      </c>
      <c r="L68" s="1"/>
      <c r="M68" s="1"/>
      <c r="N68" s="6">
        <v>4178</v>
      </c>
      <c r="O68" s="6">
        <v>7601</v>
      </c>
    </row>
    <row r="69" spans="1:15" x14ac:dyDescent="0.3">
      <c r="A69" s="48">
        <v>43920</v>
      </c>
      <c r="B69" s="51">
        <v>35</v>
      </c>
      <c r="C69" s="51">
        <f t="shared" si="0"/>
        <v>879</v>
      </c>
      <c r="D69" s="51">
        <v>16</v>
      </c>
      <c r="E69" s="51">
        <f t="shared" si="0"/>
        <v>228</v>
      </c>
      <c r="F69" s="51">
        <v>19</v>
      </c>
      <c r="G69" s="51"/>
      <c r="H69" s="51"/>
      <c r="I69" s="51"/>
      <c r="J69" s="51"/>
      <c r="K69" s="51">
        <v>12984</v>
      </c>
      <c r="L69" s="51"/>
      <c r="M69" s="51"/>
      <c r="N69" s="51">
        <v>4737</v>
      </c>
      <c r="O69" s="51">
        <v>8247</v>
      </c>
    </row>
    <row r="70" spans="1:15" x14ac:dyDescent="0.3">
      <c r="A70" s="59">
        <v>43921</v>
      </c>
      <c r="B70" s="60">
        <v>47</v>
      </c>
      <c r="C70" s="57">
        <f t="shared" si="0"/>
        <v>926</v>
      </c>
      <c r="D70" s="60">
        <v>12</v>
      </c>
      <c r="E70" s="57">
        <f t="shared" si="0"/>
        <v>240</v>
      </c>
      <c r="F70" s="60">
        <v>22</v>
      </c>
      <c r="G70" s="57"/>
      <c r="H70" s="57"/>
      <c r="I70" s="57"/>
      <c r="J70" s="57"/>
      <c r="K70" s="60">
        <v>13452</v>
      </c>
      <c r="L70" s="57"/>
      <c r="M70" s="57"/>
      <c r="N70" s="60">
        <v>4713</v>
      </c>
      <c r="O70" s="60">
        <v>8739</v>
      </c>
    </row>
    <row r="71" spans="1:15" x14ac:dyDescent="0.3">
      <c r="A71" s="53">
        <v>43922</v>
      </c>
      <c r="B71" s="62">
        <v>74</v>
      </c>
      <c r="C71" s="54">
        <f t="shared" ref="C71:C75" si="1">B71+C70</f>
        <v>1000</v>
      </c>
      <c r="D71" s="62">
        <v>5</v>
      </c>
      <c r="E71" s="54">
        <f t="shared" ref="E71:E75" si="2">D71+E70</f>
        <v>245</v>
      </c>
      <c r="F71" s="62">
        <v>24</v>
      </c>
      <c r="G71" s="54"/>
      <c r="H71" s="54"/>
      <c r="I71" s="54"/>
      <c r="J71" s="54"/>
      <c r="K71" s="62">
        <v>14050</v>
      </c>
      <c r="L71" s="54"/>
      <c r="M71" s="54"/>
      <c r="N71" s="62">
        <v>4803</v>
      </c>
      <c r="O71" s="62">
        <v>9247</v>
      </c>
    </row>
    <row r="72" spans="1:15" x14ac:dyDescent="0.3">
      <c r="A72" s="64">
        <v>43923</v>
      </c>
      <c r="B72" s="65">
        <v>49</v>
      </c>
      <c r="C72" s="65">
        <f t="shared" si="1"/>
        <v>1049</v>
      </c>
      <c r="D72" s="65">
        <v>21</v>
      </c>
      <c r="E72" s="65">
        <f t="shared" si="2"/>
        <v>266</v>
      </c>
      <c r="F72" s="65">
        <v>23</v>
      </c>
      <c r="G72" s="65">
        <v>1</v>
      </c>
      <c r="H72" s="65"/>
      <c r="I72" s="65"/>
      <c r="J72" s="65"/>
      <c r="K72" s="65">
        <v>14952</v>
      </c>
      <c r="L72" s="65"/>
      <c r="M72" s="65"/>
      <c r="N72" s="65">
        <v>5261</v>
      </c>
      <c r="O72" s="65">
        <v>9691</v>
      </c>
    </row>
    <row r="73" spans="1:15" x14ac:dyDescent="0.3">
      <c r="A73" s="68">
        <v>43924</v>
      </c>
      <c r="B73" s="70">
        <v>65</v>
      </c>
      <c r="C73" s="70">
        <f t="shared" si="1"/>
        <v>1114</v>
      </c>
      <c r="D73" s="70">
        <v>16</v>
      </c>
      <c r="E73" s="70">
        <f t="shared" si="2"/>
        <v>282</v>
      </c>
      <c r="F73" s="70">
        <v>25</v>
      </c>
      <c r="G73" s="70">
        <v>1</v>
      </c>
      <c r="H73" s="70"/>
      <c r="I73" s="70"/>
      <c r="J73" s="70"/>
      <c r="K73" s="70">
        <v>15442</v>
      </c>
      <c r="L73" s="70"/>
      <c r="M73" s="70"/>
      <c r="N73" s="70">
        <v>5007</v>
      </c>
      <c r="O73" s="70">
        <v>10435</v>
      </c>
    </row>
    <row r="74" spans="1:15" x14ac:dyDescent="0.3">
      <c r="A74" s="69">
        <v>43925</v>
      </c>
      <c r="B74" s="73">
        <v>75</v>
      </c>
      <c r="C74" s="73">
        <f t="shared" si="1"/>
        <v>1189</v>
      </c>
      <c r="D74" s="73">
        <v>15</v>
      </c>
      <c r="E74" s="73">
        <f t="shared" si="2"/>
        <v>297</v>
      </c>
      <c r="F74" s="73">
        <v>26</v>
      </c>
      <c r="G74" s="73">
        <v>1</v>
      </c>
      <c r="H74" s="73"/>
      <c r="I74" s="73"/>
      <c r="J74" s="73"/>
      <c r="K74" s="73">
        <v>16910</v>
      </c>
      <c r="L74" s="73"/>
      <c r="M74" s="73"/>
      <c r="N74" s="73">
        <v>5984</v>
      </c>
      <c r="O74" s="73">
        <v>10926</v>
      </c>
    </row>
    <row r="75" spans="1:15" x14ac:dyDescent="0.3">
      <c r="A75" s="74">
        <v>43926</v>
      </c>
      <c r="B75" s="32">
        <v>120</v>
      </c>
      <c r="C75" s="32">
        <f t="shared" si="1"/>
        <v>1309</v>
      </c>
      <c r="D75" s="32">
        <v>23</v>
      </c>
      <c r="E75" s="32">
        <f t="shared" si="2"/>
        <v>320</v>
      </c>
      <c r="F75" s="32">
        <v>25</v>
      </c>
      <c r="G75" s="32"/>
      <c r="H75" s="32"/>
      <c r="I75" s="32"/>
      <c r="J75" s="32"/>
      <c r="K75" s="32">
        <v>17345</v>
      </c>
      <c r="L75" s="32"/>
      <c r="M75" s="32"/>
      <c r="N75" s="32">
        <v>5995</v>
      </c>
      <c r="O75" s="32">
        <v>11350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Annex</vt:lpstr>
      <vt:lpstr>Cluster</vt:lpstr>
      <vt:lpstr>Sheet1</vt:lpstr>
      <vt:lpstr>Movement</vt:lpstr>
      <vt:lpstr>Relationship</vt:lpstr>
      <vt:lpstr>Case</vt:lpstr>
      <vt:lpstr>Annex!_ftn1</vt:lpstr>
      <vt:lpstr>Annex!_ftn2</vt:lpstr>
      <vt:lpstr>Annex!_ftn3</vt:lpstr>
      <vt:lpstr>Annex!_ftn4</vt:lpstr>
      <vt:lpstr>Annex!_ftn5</vt:lpstr>
      <vt:lpstr>Annex!_ftnref1</vt:lpstr>
      <vt:lpstr>Annex!_ftnref2</vt:lpstr>
      <vt:lpstr>Annex!_ftnref3</vt:lpstr>
      <vt:lpstr>Annex!_ftnref4</vt:lpstr>
      <vt:lpstr>Annex!_ftnref5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2020-04-06T06:38:16Z</dcterms:modified>
</cp:coreProperties>
</file>