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7B5C87F0-EDE0-46AE-B395-77F632032BF9}"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632" i="1" l="1"/>
  <c r="F632" i="1"/>
  <c r="E632" i="1"/>
  <c r="D632" i="1"/>
  <c r="C632" i="1"/>
  <c r="B632" i="1"/>
  <c r="A632" i="1"/>
  <c r="L631" i="1"/>
  <c r="F631" i="1"/>
  <c r="E631" i="1"/>
  <c r="D631" i="1"/>
  <c r="C631" i="1"/>
  <c r="B631" i="1"/>
  <c r="A631" i="1"/>
  <c r="L630" i="1"/>
  <c r="F630" i="1"/>
  <c r="E630" i="1"/>
  <c r="D630" i="1"/>
  <c r="C630" i="1"/>
  <c r="B630" i="1"/>
  <c r="A630" i="1"/>
  <c r="L629" i="1"/>
  <c r="F629" i="1"/>
  <c r="E629" i="1"/>
  <c r="D629" i="1"/>
  <c r="C629" i="1"/>
  <c r="B629" i="1"/>
  <c r="A629" i="1"/>
  <c r="L628" i="1"/>
  <c r="F628" i="1"/>
  <c r="E628" i="1"/>
  <c r="D628" i="1"/>
  <c r="C628" i="1"/>
  <c r="B628" i="1"/>
  <c r="A628" i="1"/>
  <c r="L627" i="1"/>
  <c r="F627" i="1"/>
  <c r="E627" i="1"/>
  <c r="D627" i="1"/>
  <c r="C627" i="1"/>
  <c r="B627" i="1"/>
  <c r="A627" i="1"/>
  <c r="L626" i="1"/>
  <c r="F626" i="1"/>
  <c r="E626" i="1"/>
  <c r="D626" i="1"/>
  <c r="C626" i="1"/>
  <c r="B626" i="1"/>
  <c r="A626" i="1"/>
  <c r="L625" i="1"/>
  <c r="F625" i="1"/>
  <c r="E625" i="1"/>
  <c r="D625" i="1"/>
  <c r="C625" i="1"/>
  <c r="B625" i="1"/>
  <c r="A625" i="1"/>
  <c r="L624" i="1"/>
  <c r="F624" i="1"/>
  <c r="E624" i="1"/>
  <c r="D624" i="1"/>
  <c r="C624" i="1"/>
  <c r="B624" i="1"/>
  <c r="A624" i="1"/>
  <c r="L623" i="1"/>
  <c r="F623" i="1"/>
  <c r="E623" i="1"/>
  <c r="D623" i="1"/>
  <c r="C623" i="1"/>
  <c r="B623" i="1"/>
  <c r="A623" i="1"/>
  <c r="L622" i="1"/>
  <c r="F622" i="1"/>
  <c r="E622" i="1"/>
  <c r="D622" i="1"/>
  <c r="C622" i="1"/>
  <c r="B622" i="1"/>
  <c r="A622" i="1"/>
  <c r="L621" i="1"/>
  <c r="F621" i="1"/>
  <c r="E621" i="1"/>
  <c r="D621" i="1"/>
  <c r="C621" i="1"/>
  <c r="B621" i="1"/>
  <c r="A621" i="1"/>
  <c r="L620" i="1"/>
  <c r="F620" i="1"/>
  <c r="E620" i="1"/>
  <c r="D620" i="1"/>
  <c r="C620" i="1"/>
  <c r="B620" i="1"/>
  <c r="A620" i="1"/>
  <c r="L619" i="1"/>
  <c r="F619" i="1"/>
  <c r="E619" i="1"/>
  <c r="D619" i="1"/>
  <c r="C619" i="1"/>
  <c r="B619" i="1"/>
  <c r="A619" i="1"/>
  <c r="L618" i="1"/>
  <c r="F618" i="1"/>
  <c r="E618" i="1"/>
  <c r="D618" i="1"/>
  <c r="C618" i="1"/>
  <c r="B618" i="1"/>
  <c r="A618" i="1"/>
  <c r="L617" i="1"/>
  <c r="F617" i="1"/>
  <c r="E617" i="1"/>
  <c r="D617" i="1"/>
  <c r="C617" i="1"/>
  <c r="B617" i="1"/>
  <c r="A617" i="1"/>
  <c r="L616" i="1"/>
  <c r="F616" i="1"/>
  <c r="E616" i="1"/>
  <c r="D616" i="1"/>
  <c r="C616" i="1"/>
  <c r="B616" i="1"/>
  <c r="A616" i="1"/>
  <c r="L615" i="1"/>
  <c r="F615" i="1"/>
  <c r="E615" i="1"/>
  <c r="D615" i="1"/>
  <c r="C615" i="1"/>
  <c r="B615" i="1"/>
  <c r="A615" i="1"/>
  <c r="L614" i="1"/>
  <c r="F614" i="1"/>
  <c r="E614" i="1"/>
  <c r="D614" i="1"/>
  <c r="C614" i="1"/>
  <c r="B614" i="1"/>
  <c r="A614" i="1"/>
  <c r="L613" i="1"/>
  <c r="F613" i="1"/>
  <c r="E613" i="1"/>
  <c r="D613" i="1"/>
  <c r="C613" i="1"/>
  <c r="B613" i="1"/>
  <c r="A613" i="1"/>
  <c r="L612" i="1"/>
  <c r="F612" i="1"/>
  <c r="E612" i="1"/>
  <c r="D612" i="1"/>
  <c r="C612" i="1"/>
  <c r="B612" i="1"/>
  <c r="A612" i="1"/>
  <c r="L611" i="1"/>
  <c r="F611" i="1"/>
  <c r="E611" i="1"/>
  <c r="D611" i="1"/>
  <c r="C611" i="1"/>
  <c r="B611" i="1"/>
  <c r="A611" i="1"/>
  <c r="L610" i="1"/>
  <c r="F610" i="1"/>
  <c r="E610" i="1"/>
  <c r="D610" i="1"/>
  <c r="C610" i="1"/>
  <c r="B610" i="1"/>
  <c r="A610" i="1"/>
  <c r="L609" i="1"/>
  <c r="F609" i="1"/>
  <c r="E609" i="1"/>
  <c r="D609" i="1"/>
  <c r="C609" i="1"/>
  <c r="B609" i="1"/>
  <c r="A609" i="1"/>
  <c r="L608" i="1"/>
  <c r="F608" i="1"/>
  <c r="E608" i="1"/>
  <c r="D608" i="1"/>
  <c r="C608" i="1"/>
  <c r="B608" i="1"/>
  <c r="A608" i="1"/>
  <c r="L607" i="1"/>
  <c r="F607" i="1"/>
  <c r="E607" i="1"/>
  <c r="D607" i="1"/>
  <c r="C607" i="1"/>
  <c r="B607" i="1"/>
  <c r="A607" i="1"/>
  <c r="L606" i="1"/>
  <c r="F606" i="1"/>
  <c r="E606" i="1"/>
  <c r="D606" i="1"/>
  <c r="C606" i="1"/>
  <c r="B606" i="1"/>
  <c r="A606" i="1"/>
  <c r="L605" i="1"/>
  <c r="F605" i="1"/>
  <c r="E605" i="1"/>
  <c r="D605" i="1"/>
  <c r="C605" i="1"/>
  <c r="B605" i="1"/>
  <c r="A605" i="1"/>
  <c r="L604" i="1"/>
  <c r="F604" i="1"/>
  <c r="E604" i="1"/>
  <c r="D604" i="1"/>
  <c r="C604" i="1"/>
  <c r="B604" i="1"/>
  <c r="A604" i="1"/>
  <c r="L603" i="1"/>
  <c r="F603" i="1"/>
  <c r="E603" i="1"/>
  <c r="D603" i="1"/>
  <c r="C603" i="1"/>
  <c r="B603" i="1"/>
  <c r="A603" i="1"/>
  <c r="L602" i="1"/>
  <c r="F602" i="1"/>
  <c r="E602" i="1"/>
  <c r="D602" i="1"/>
  <c r="C602" i="1"/>
  <c r="B602" i="1"/>
  <c r="A602" i="1"/>
  <c r="L601" i="1"/>
  <c r="F601" i="1"/>
  <c r="E601" i="1"/>
  <c r="D601" i="1"/>
  <c r="C601" i="1"/>
  <c r="B601" i="1"/>
  <c r="A601" i="1"/>
  <c r="L600" i="1"/>
  <c r="F600" i="1"/>
  <c r="E600" i="1"/>
  <c r="D600" i="1"/>
  <c r="C600" i="1"/>
  <c r="B600" i="1"/>
  <c r="A600" i="1"/>
  <c r="L599" i="1"/>
  <c r="F599" i="1"/>
  <c r="E599" i="1"/>
  <c r="D599" i="1"/>
  <c r="C599" i="1"/>
  <c r="B599" i="1"/>
  <c r="A599" i="1"/>
  <c r="L598" i="1"/>
  <c r="F598" i="1"/>
  <c r="E598" i="1"/>
  <c r="D598" i="1"/>
  <c r="C598" i="1"/>
  <c r="B598" i="1"/>
  <c r="A598" i="1"/>
  <c r="L597" i="1"/>
  <c r="F597" i="1"/>
  <c r="E597" i="1"/>
  <c r="D597" i="1"/>
  <c r="C597" i="1"/>
  <c r="B597" i="1"/>
  <c r="A597" i="1"/>
  <c r="L596" i="1"/>
  <c r="F596" i="1"/>
  <c r="E596" i="1"/>
  <c r="D596" i="1"/>
  <c r="C596" i="1"/>
  <c r="B596" i="1"/>
  <c r="A596" i="1"/>
  <c r="L595" i="1"/>
  <c r="F595" i="1"/>
  <c r="E595" i="1"/>
  <c r="D595" i="1"/>
  <c r="C595" i="1"/>
  <c r="B595" i="1"/>
  <c r="A595" i="1"/>
  <c r="L594" i="1"/>
  <c r="F594" i="1"/>
  <c r="E594" i="1"/>
  <c r="D594" i="1"/>
  <c r="C594" i="1"/>
  <c r="B594" i="1"/>
  <c r="A594" i="1"/>
  <c r="L593" i="1"/>
  <c r="F593" i="1"/>
  <c r="E593" i="1"/>
  <c r="D593" i="1"/>
  <c r="C593" i="1"/>
  <c r="B593" i="1"/>
  <c r="A593" i="1"/>
  <c r="L592" i="1"/>
  <c r="F592" i="1"/>
  <c r="E592" i="1"/>
  <c r="D592" i="1"/>
  <c r="C592" i="1"/>
  <c r="B592" i="1"/>
  <c r="A592" i="1"/>
  <c r="L591" i="1"/>
  <c r="F591" i="1"/>
  <c r="E591" i="1"/>
  <c r="D591" i="1"/>
  <c r="C591" i="1"/>
  <c r="B591" i="1"/>
  <c r="A591" i="1"/>
  <c r="L590" i="1"/>
  <c r="F590" i="1"/>
  <c r="E590" i="1"/>
  <c r="D590" i="1"/>
  <c r="C590" i="1"/>
  <c r="B590" i="1"/>
  <c r="A590" i="1"/>
  <c r="L589" i="1"/>
  <c r="F589" i="1"/>
  <c r="E589" i="1"/>
  <c r="D589" i="1"/>
  <c r="C589" i="1"/>
  <c r="B589" i="1"/>
  <c r="A589" i="1"/>
  <c r="L588" i="1"/>
  <c r="F588" i="1"/>
  <c r="E588" i="1"/>
  <c r="D588" i="1"/>
  <c r="C588" i="1"/>
  <c r="B588" i="1"/>
  <c r="A588" i="1"/>
  <c r="L587" i="1"/>
  <c r="F587" i="1"/>
  <c r="E587" i="1"/>
  <c r="D587" i="1"/>
  <c r="C587" i="1"/>
  <c r="B587" i="1"/>
  <c r="A587" i="1"/>
  <c r="L586" i="1"/>
  <c r="F586" i="1"/>
  <c r="E586" i="1"/>
  <c r="D586" i="1"/>
  <c r="C586" i="1"/>
  <c r="B586" i="1"/>
  <c r="A586" i="1"/>
  <c r="L585" i="1"/>
  <c r="F585" i="1"/>
  <c r="E585" i="1"/>
  <c r="D585" i="1"/>
  <c r="C585" i="1"/>
  <c r="B585" i="1"/>
  <c r="A585" i="1"/>
  <c r="L584" i="1"/>
  <c r="F584" i="1"/>
  <c r="E584" i="1"/>
  <c r="D584" i="1"/>
  <c r="C584" i="1"/>
  <c r="B584" i="1"/>
  <c r="A584" i="1"/>
  <c r="L583" i="1"/>
  <c r="F583" i="1"/>
  <c r="E583" i="1"/>
  <c r="D583" i="1"/>
  <c r="C583" i="1"/>
  <c r="B583" i="1"/>
  <c r="A583" i="1"/>
  <c r="L582" i="1"/>
  <c r="F582" i="1"/>
  <c r="E582" i="1"/>
  <c r="D582" i="1"/>
  <c r="C582" i="1"/>
  <c r="B582" i="1"/>
  <c r="A582" i="1"/>
  <c r="L581" i="1"/>
  <c r="F581" i="1"/>
  <c r="E581" i="1"/>
  <c r="D581" i="1"/>
  <c r="C581" i="1"/>
  <c r="B581" i="1"/>
  <c r="A581" i="1"/>
  <c r="L580" i="1"/>
  <c r="F580" i="1"/>
  <c r="E580" i="1"/>
  <c r="D580" i="1"/>
  <c r="C580" i="1"/>
  <c r="B580" i="1"/>
  <c r="A580" i="1"/>
  <c r="L579" i="1"/>
  <c r="F579" i="1"/>
  <c r="E579" i="1"/>
  <c r="D579" i="1"/>
  <c r="C579" i="1"/>
  <c r="B579" i="1"/>
  <c r="A579" i="1"/>
  <c r="L578" i="1"/>
  <c r="F578" i="1"/>
  <c r="E578" i="1"/>
  <c r="D578" i="1"/>
  <c r="C578" i="1"/>
  <c r="B578" i="1"/>
  <c r="A578" i="1"/>
  <c r="L577" i="1"/>
  <c r="F577" i="1"/>
  <c r="E577" i="1"/>
  <c r="D577" i="1"/>
  <c r="C577" i="1"/>
  <c r="B577" i="1"/>
  <c r="A577" i="1"/>
  <c r="L576" i="1"/>
  <c r="F576" i="1"/>
  <c r="E576" i="1"/>
  <c r="D576" i="1"/>
  <c r="C576" i="1"/>
  <c r="B576" i="1"/>
  <c r="A576" i="1"/>
  <c r="L575" i="1"/>
  <c r="F575" i="1"/>
  <c r="E575" i="1"/>
  <c r="D575" i="1"/>
  <c r="C575" i="1"/>
  <c r="B575" i="1"/>
  <c r="A575" i="1"/>
  <c r="L574" i="1"/>
  <c r="F574" i="1"/>
  <c r="E574" i="1"/>
  <c r="D574" i="1"/>
  <c r="C574" i="1"/>
  <c r="B574" i="1"/>
  <c r="A574" i="1"/>
  <c r="L573" i="1"/>
  <c r="F573" i="1"/>
  <c r="E573" i="1"/>
  <c r="D573" i="1"/>
  <c r="C573" i="1"/>
  <c r="B573" i="1"/>
  <c r="A573" i="1"/>
  <c r="L572" i="1"/>
  <c r="F572" i="1"/>
  <c r="E572" i="1"/>
  <c r="D572" i="1"/>
  <c r="C572" i="1"/>
  <c r="B572" i="1"/>
  <c r="A572" i="1"/>
  <c r="L571" i="1"/>
  <c r="F571" i="1"/>
  <c r="E571" i="1"/>
  <c r="D571" i="1"/>
  <c r="C571" i="1"/>
  <c r="B571" i="1"/>
  <c r="A571" i="1"/>
  <c r="L570" i="1"/>
  <c r="F570" i="1"/>
  <c r="E570" i="1"/>
  <c r="D570" i="1"/>
  <c r="C570" i="1"/>
  <c r="B570" i="1"/>
  <c r="A570" i="1"/>
  <c r="L569" i="1"/>
  <c r="F569" i="1"/>
  <c r="E569" i="1"/>
  <c r="D569" i="1"/>
  <c r="C569" i="1"/>
  <c r="B569" i="1"/>
  <c r="A569" i="1"/>
  <c r="L568" i="1"/>
  <c r="F568" i="1"/>
  <c r="E568" i="1"/>
  <c r="D568" i="1"/>
  <c r="C568" i="1"/>
  <c r="B568" i="1"/>
  <c r="A568" i="1"/>
  <c r="L567" i="1"/>
  <c r="F567" i="1"/>
  <c r="E567" i="1"/>
  <c r="D567" i="1"/>
  <c r="C567" i="1"/>
  <c r="B567" i="1"/>
  <c r="A567" i="1"/>
  <c r="L566" i="1"/>
  <c r="F566" i="1"/>
  <c r="E566" i="1"/>
  <c r="D566" i="1"/>
  <c r="C566" i="1"/>
  <c r="B566" i="1"/>
  <c r="A566" i="1"/>
  <c r="L565" i="1"/>
  <c r="F565" i="1"/>
  <c r="E565" i="1"/>
  <c r="D565" i="1"/>
  <c r="C565" i="1"/>
  <c r="B565" i="1"/>
  <c r="A565" i="1"/>
  <c r="L564" i="1"/>
  <c r="F564" i="1"/>
  <c r="E564" i="1"/>
  <c r="D564" i="1"/>
  <c r="C564" i="1"/>
  <c r="B564" i="1"/>
  <c r="A564" i="1"/>
  <c r="L563" i="1"/>
  <c r="F563" i="1"/>
  <c r="E563" i="1"/>
  <c r="D563" i="1"/>
  <c r="C563" i="1"/>
  <c r="B563" i="1"/>
  <c r="A563" i="1"/>
  <c r="L562" i="1"/>
  <c r="F562" i="1"/>
  <c r="E562" i="1"/>
  <c r="D562" i="1"/>
  <c r="C562" i="1"/>
  <c r="B562" i="1"/>
  <c r="A562" i="1"/>
  <c r="L561" i="1"/>
  <c r="F561" i="1"/>
  <c r="E561" i="1"/>
  <c r="D561" i="1"/>
  <c r="C561" i="1"/>
  <c r="B561" i="1"/>
  <c r="A561" i="1"/>
  <c r="L560" i="1"/>
  <c r="F560" i="1"/>
  <c r="E560" i="1"/>
  <c r="D560" i="1"/>
  <c r="C560" i="1"/>
  <c r="B560" i="1"/>
  <c r="A560" i="1"/>
  <c r="P366" i="7"/>
  <c r="O366" i="7"/>
  <c r="N366" i="7"/>
  <c r="M366" i="7"/>
  <c r="K366" i="7"/>
  <c r="J366" i="7"/>
  <c r="L366" i="7" s="1"/>
  <c r="P365" i="7"/>
  <c r="O365" i="7"/>
  <c r="N365" i="7"/>
  <c r="M365" i="7"/>
  <c r="L365" i="7"/>
  <c r="K365" i="7"/>
  <c r="J365" i="7"/>
  <c r="P364" i="7"/>
  <c r="O364" i="7"/>
  <c r="N364" i="7"/>
  <c r="M364" i="7"/>
  <c r="L364" i="7"/>
  <c r="K364" i="7"/>
  <c r="J364" i="7"/>
  <c r="P363" i="7"/>
  <c r="O363" i="7"/>
  <c r="N363" i="7"/>
  <c r="M363" i="7"/>
  <c r="K363" i="7"/>
  <c r="J363" i="7"/>
  <c r="L363" i="7" s="1"/>
  <c r="P362" i="7"/>
  <c r="O362" i="7"/>
  <c r="N362" i="7"/>
  <c r="M362" i="7"/>
  <c r="K362" i="7"/>
  <c r="J362" i="7"/>
  <c r="L362" i="7" s="1"/>
  <c r="P361" i="7"/>
  <c r="O361" i="7"/>
  <c r="N361" i="7"/>
  <c r="M361" i="7"/>
  <c r="L361" i="7"/>
  <c r="K361" i="7"/>
  <c r="J361" i="7"/>
  <c r="P360" i="7"/>
  <c r="O360" i="7"/>
  <c r="N360" i="7"/>
  <c r="M360" i="7"/>
  <c r="L360" i="7"/>
  <c r="K360" i="7"/>
  <c r="J360" i="7"/>
  <c r="P359" i="7"/>
  <c r="O359" i="7"/>
  <c r="N359" i="7"/>
  <c r="M359" i="7"/>
  <c r="K359" i="7"/>
  <c r="J359" i="7"/>
  <c r="L359" i="7" s="1"/>
  <c r="P358" i="7"/>
  <c r="O358" i="7"/>
  <c r="N358" i="7"/>
  <c r="M358" i="7"/>
  <c r="K358" i="7"/>
  <c r="J358" i="7"/>
  <c r="L358" i="7" s="1"/>
  <c r="P357" i="7"/>
  <c r="O357" i="7"/>
  <c r="N357" i="7"/>
  <c r="M357" i="7"/>
  <c r="L357" i="7"/>
  <c r="K357" i="7"/>
  <c r="J357" i="7"/>
  <c r="P356" i="7"/>
  <c r="O356" i="7"/>
  <c r="N356" i="7"/>
  <c r="M356" i="7"/>
  <c r="L356" i="7"/>
  <c r="K356" i="7"/>
  <c r="J356" i="7"/>
  <c r="P355" i="7"/>
  <c r="O355" i="7"/>
  <c r="N355" i="7"/>
  <c r="M355" i="7"/>
  <c r="K355" i="7"/>
  <c r="J355" i="7"/>
  <c r="L355" i="7" s="1"/>
  <c r="P354" i="7"/>
  <c r="O354" i="7"/>
  <c r="N354" i="7"/>
  <c r="M354" i="7"/>
  <c r="K354" i="7"/>
  <c r="J354" i="7"/>
  <c r="L354" i="7" s="1"/>
  <c r="P353" i="7"/>
  <c r="O353" i="7"/>
  <c r="N353" i="7"/>
  <c r="M353" i="7"/>
  <c r="L353" i="7"/>
  <c r="K353" i="7"/>
  <c r="J353" i="7"/>
  <c r="P352" i="7"/>
  <c r="O352" i="7"/>
  <c r="N352" i="7"/>
  <c r="M352" i="7"/>
  <c r="L352" i="7"/>
  <c r="K352" i="7"/>
  <c r="J352" i="7"/>
  <c r="P351" i="7"/>
  <c r="O351" i="7"/>
  <c r="N351" i="7"/>
  <c r="M351" i="7"/>
  <c r="K351" i="7"/>
  <c r="J351" i="7"/>
  <c r="L351" i="7" s="1"/>
  <c r="P350" i="7"/>
  <c r="O350" i="7"/>
  <c r="N350" i="7"/>
  <c r="M350" i="7"/>
  <c r="K350" i="7"/>
  <c r="J350" i="7"/>
  <c r="L350" i="7" s="1"/>
  <c r="P349" i="7"/>
  <c r="O349" i="7"/>
  <c r="N349" i="7"/>
  <c r="M349" i="7"/>
  <c r="L349" i="7"/>
  <c r="K349" i="7"/>
  <c r="J349" i="7"/>
  <c r="P348" i="7"/>
  <c r="O348" i="7"/>
  <c r="N348" i="7"/>
  <c r="M348" i="7"/>
  <c r="L348" i="7"/>
  <c r="K348" i="7"/>
  <c r="J348" i="7"/>
  <c r="P347" i="7"/>
  <c r="O347" i="7"/>
  <c r="N347" i="7"/>
  <c r="M347" i="7"/>
  <c r="K347" i="7"/>
  <c r="J347" i="7"/>
  <c r="L347" i="7" s="1"/>
  <c r="P346" i="7"/>
  <c r="O346" i="7"/>
  <c r="N346" i="7"/>
  <c r="M346" i="7"/>
  <c r="K346" i="7"/>
  <c r="J346" i="7"/>
  <c r="L346" i="7" s="1"/>
  <c r="P345" i="7"/>
  <c r="O345" i="7"/>
  <c r="N345" i="7"/>
  <c r="M345" i="7"/>
  <c r="L345" i="7"/>
  <c r="K345" i="7"/>
  <c r="J345" i="7"/>
  <c r="P344" i="7"/>
  <c r="O344" i="7"/>
  <c r="N344" i="7"/>
  <c r="M344" i="7"/>
  <c r="L344" i="7"/>
  <c r="K344" i="7"/>
  <c r="J344" i="7"/>
  <c r="P343" i="7"/>
  <c r="O343" i="7"/>
  <c r="N343" i="7"/>
  <c r="M343" i="7"/>
  <c r="K343" i="7"/>
  <c r="J343" i="7"/>
  <c r="L343" i="7" s="1"/>
  <c r="P342" i="7"/>
  <c r="O342" i="7"/>
  <c r="N342" i="7"/>
  <c r="M342" i="7"/>
  <c r="K342" i="7"/>
  <c r="J342" i="7"/>
  <c r="L342" i="7" s="1"/>
  <c r="P341" i="7"/>
  <c r="O341" i="7"/>
  <c r="N341" i="7"/>
  <c r="M341" i="7"/>
  <c r="L341" i="7"/>
  <c r="K341" i="7"/>
  <c r="J341" i="7"/>
  <c r="P340" i="7"/>
  <c r="O340" i="7"/>
  <c r="N340" i="7"/>
  <c r="M340" i="7"/>
  <c r="L340" i="7"/>
  <c r="K340" i="7"/>
  <c r="J340" i="7"/>
  <c r="P339" i="7"/>
  <c r="O339" i="7"/>
  <c r="N339" i="7"/>
  <c r="M339" i="7"/>
  <c r="K339" i="7"/>
  <c r="J339" i="7"/>
  <c r="L339" i="7" s="1"/>
  <c r="P338" i="7"/>
  <c r="O338" i="7"/>
  <c r="N338" i="7"/>
  <c r="M338" i="7"/>
  <c r="K338" i="7"/>
  <c r="J338" i="7"/>
  <c r="L338" i="7" s="1"/>
  <c r="P337" i="7"/>
  <c r="O337" i="7"/>
  <c r="N337" i="7"/>
  <c r="M337" i="7"/>
  <c r="L337" i="7"/>
  <c r="K337" i="7"/>
  <c r="J337" i="7"/>
  <c r="P336" i="7"/>
  <c r="O336" i="7"/>
  <c r="N336" i="7"/>
  <c r="M336" i="7"/>
  <c r="L336" i="7"/>
  <c r="K336" i="7"/>
  <c r="J336" i="7"/>
  <c r="P335" i="7"/>
  <c r="O335" i="7"/>
  <c r="N335" i="7"/>
  <c r="M335" i="7"/>
  <c r="K335" i="7"/>
  <c r="J335" i="7"/>
  <c r="L335" i="7" s="1"/>
  <c r="P334" i="7"/>
  <c r="O334" i="7"/>
  <c r="N334" i="7"/>
  <c r="M334" i="7"/>
  <c r="K334" i="7"/>
  <c r="J334" i="7"/>
  <c r="L334" i="7" s="1"/>
  <c r="P333" i="7"/>
  <c r="O333" i="7"/>
  <c r="N333" i="7"/>
  <c r="M333" i="7"/>
  <c r="L333" i="7"/>
  <c r="K333" i="7"/>
  <c r="J333" i="7"/>
  <c r="P332" i="7"/>
  <c r="O332" i="7"/>
  <c r="N332" i="7"/>
  <c r="M332" i="7"/>
  <c r="L332" i="7"/>
  <c r="K332" i="7"/>
  <c r="J332" i="7"/>
  <c r="P331" i="7"/>
  <c r="O331" i="7"/>
  <c r="N331" i="7"/>
  <c r="M331" i="7"/>
  <c r="K331" i="7"/>
  <c r="J331" i="7"/>
  <c r="L331" i="7" s="1"/>
  <c r="P330" i="7"/>
  <c r="O330" i="7"/>
  <c r="N330" i="7"/>
  <c r="M330" i="7"/>
  <c r="K330" i="7"/>
  <c r="J330" i="7"/>
  <c r="L330" i="7" s="1"/>
  <c r="P329" i="7"/>
  <c r="O329" i="7"/>
  <c r="N329" i="7"/>
  <c r="M329" i="7"/>
  <c r="L329" i="7"/>
  <c r="K329" i="7"/>
  <c r="J329" i="7"/>
  <c r="P328" i="7"/>
  <c r="O328" i="7"/>
  <c r="N328" i="7"/>
  <c r="M328" i="7"/>
  <c r="L328" i="7"/>
  <c r="K328" i="7"/>
  <c r="J328" i="7"/>
  <c r="P327" i="7"/>
  <c r="O327" i="7"/>
  <c r="N327" i="7"/>
  <c r="M327" i="7"/>
  <c r="K327" i="7"/>
  <c r="J327" i="7"/>
  <c r="L327" i="7" s="1"/>
  <c r="P326" i="7"/>
  <c r="O326" i="7"/>
  <c r="N326" i="7"/>
  <c r="M326" i="7"/>
  <c r="K326" i="7"/>
  <c r="J326" i="7"/>
  <c r="L326" i="7" s="1"/>
  <c r="P325" i="7"/>
  <c r="O325" i="7"/>
  <c r="N325" i="7"/>
  <c r="M325" i="7"/>
  <c r="L325" i="7"/>
  <c r="K325" i="7"/>
  <c r="J325" i="7"/>
  <c r="P324" i="7"/>
  <c r="O324" i="7"/>
  <c r="N324" i="7"/>
  <c r="M324" i="7"/>
  <c r="L324" i="7"/>
  <c r="K324" i="7"/>
  <c r="J324" i="7"/>
  <c r="P323" i="7"/>
  <c r="O323" i="7"/>
  <c r="N323" i="7"/>
  <c r="M323" i="7"/>
  <c r="K323" i="7"/>
  <c r="J323" i="7"/>
  <c r="L323" i="7" s="1"/>
  <c r="P322" i="7"/>
  <c r="O322" i="7"/>
  <c r="N322" i="7"/>
  <c r="M322" i="7"/>
  <c r="K322" i="7"/>
  <c r="J322" i="7"/>
  <c r="L322" i="7" s="1"/>
  <c r="P321" i="7"/>
  <c r="O321" i="7"/>
  <c r="N321" i="7"/>
  <c r="M321" i="7"/>
  <c r="L321" i="7"/>
  <c r="K321" i="7"/>
  <c r="J321" i="7"/>
  <c r="P320" i="7"/>
  <c r="O320" i="7"/>
  <c r="N320" i="7"/>
  <c r="M320" i="7"/>
  <c r="L320" i="7"/>
  <c r="K320" i="7"/>
  <c r="J320" i="7"/>
  <c r="P319" i="7"/>
  <c r="O319" i="7"/>
  <c r="N319" i="7"/>
  <c r="M319" i="7"/>
  <c r="K319" i="7"/>
  <c r="J319" i="7"/>
  <c r="L319" i="7" s="1"/>
  <c r="P318" i="7"/>
  <c r="O318" i="7"/>
  <c r="N318" i="7"/>
  <c r="M318" i="7"/>
  <c r="K318" i="7"/>
  <c r="J318" i="7"/>
  <c r="L318" i="7" s="1"/>
  <c r="P317" i="7"/>
  <c r="O317" i="7"/>
  <c r="N317" i="7"/>
  <c r="M317" i="7"/>
  <c r="L317" i="7"/>
  <c r="K317" i="7"/>
  <c r="J317" i="7"/>
  <c r="P316" i="7"/>
  <c r="O316" i="7"/>
  <c r="N316" i="7"/>
  <c r="M316" i="7"/>
  <c r="L316" i="7"/>
  <c r="K316" i="7"/>
  <c r="J316" i="7"/>
  <c r="P315" i="7"/>
  <c r="O315" i="7"/>
  <c r="N315" i="7"/>
  <c r="M315" i="7"/>
  <c r="K315" i="7"/>
  <c r="J315" i="7"/>
  <c r="L315" i="7" s="1"/>
  <c r="P314" i="7"/>
  <c r="O314" i="7"/>
  <c r="N314" i="7"/>
  <c r="M314" i="7"/>
  <c r="K314" i="7"/>
  <c r="J314" i="7"/>
  <c r="L314" i="7" s="1"/>
  <c r="P313" i="7"/>
  <c r="O313" i="7"/>
  <c r="N313" i="7"/>
  <c r="M313" i="7"/>
  <c r="L313" i="7"/>
  <c r="K313" i="7"/>
  <c r="J313" i="7"/>
  <c r="P312" i="7"/>
  <c r="O312" i="7"/>
  <c r="N312" i="7"/>
  <c r="M312" i="7"/>
  <c r="L312" i="7"/>
  <c r="K312" i="7"/>
  <c r="J312" i="7"/>
  <c r="P311" i="7"/>
  <c r="O311" i="7"/>
  <c r="N311" i="7"/>
  <c r="M311" i="7"/>
  <c r="K311" i="7"/>
  <c r="J311" i="7"/>
  <c r="L311" i="7" s="1"/>
  <c r="P310" i="7"/>
  <c r="O310" i="7"/>
  <c r="N310" i="7"/>
  <c r="M310" i="7"/>
  <c r="K310" i="7"/>
  <c r="J310" i="7"/>
  <c r="L310" i="7" s="1"/>
  <c r="P309" i="7"/>
  <c r="O309" i="7"/>
  <c r="N309" i="7"/>
  <c r="M309" i="7"/>
  <c r="L309" i="7"/>
  <c r="K309" i="7"/>
  <c r="J309" i="7"/>
  <c r="P308" i="7"/>
  <c r="O308" i="7"/>
  <c r="N308" i="7"/>
  <c r="M308" i="7"/>
  <c r="L308" i="7"/>
  <c r="K308" i="7"/>
  <c r="J308" i="7"/>
  <c r="P307" i="7"/>
  <c r="O307" i="7"/>
  <c r="N307" i="7"/>
  <c r="M307" i="7"/>
  <c r="K307" i="7"/>
  <c r="J307" i="7"/>
  <c r="L307" i="7" s="1"/>
  <c r="P306" i="7"/>
  <c r="O306" i="7"/>
  <c r="N306" i="7"/>
  <c r="M306" i="7"/>
  <c r="K306" i="7"/>
  <c r="J306" i="7"/>
  <c r="L306" i="7" s="1"/>
  <c r="P305" i="7"/>
  <c r="O305" i="7"/>
  <c r="N305" i="7"/>
  <c r="M305" i="7"/>
  <c r="L305" i="7"/>
  <c r="K305" i="7"/>
  <c r="J305" i="7"/>
  <c r="P304" i="7"/>
  <c r="O304" i="7"/>
  <c r="N304" i="7"/>
  <c r="M304" i="7"/>
  <c r="L304" i="7"/>
  <c r="K304" i="7"/>
  <c r="J304" i="7"/>
  <c r="P303" i="7"/>
  <c r="O303" i="7"/>
  <c r="N303" i="7"/>
  <c r="M303" i="7"/>
  <c r="K303" i="7"/>
  <c r="J303" i="7"/>
  <c r="L303" i="7" s="1"/>
  <c r="P302" i="7"/>
  <c r="O302" i="7"/>
  <c r="N302" i="7"/>
  <c r="M302" i="7"/>
  <c r="K302" i="7"/>
  <c r="J302" i="7"/>
  <c r="L302" i="7" s="1"/>
  <c r="P301" i="7"/>
  <c r="O301" i="7"/>
  <c r="N301" i="7"/>
  <c r="M301" i="7"/>
  <c r="L301" i="7"/>
  <c r="K301" i="7"/>
  <c r="J301" i="7"/>
  <c r="P300" i="7"/>
  <c r="O300" i="7"/>
  <c r="N300" i="7"/>
  <c r="M300" i="7"/>
  <c r="L300" i="7"/>
  <c r="K300" i="7"/>
  <c r="J300" i="7"/>
  <c r="P299" i="7"/>
  <c r="O299" i="7"/>
  <c r="N299" i="7"/>
  <c r="M299" i="7"/>
  <c r="K299" i="7"/>
  <c r="J299" i="7"/>
  <c r="L299" i="7" s="1"/>
  <c r="P298" i="7"/>
  <c r="O298" i="7"/>
  <c r="N298" i="7"/>
  <c r="M298" i="7"/>
  <c r="K298" i="7"/>
  <c r="J298" i="7"/>
  <c r="L298" i="7" s="1"/>
  <c r="P297" i="7"/>
  <c r="O297" i="7"/>
  <c r="N297" i="7"/>
  <c r="M297" i="7"/>
  <c r="L297" i="7"/>
  <c r="K297" i="7"/>
  <c r="J297" i="7"/>
  <c r="P296" i="7"/>
  <c r="O296" i="7"/>
  <c r="N296" i="7"/>
  <c r="M296" i="7"/>
  <c r="L296" i="7"/>
  <c r="K296" i="7"/>
  <c r="J296" i="7"/>
  <c r="P295" i="7"/>
  <c r="O295" i="7"/>
  <c r="N295" i="7"/>
  <c r="M295" i="7"/>
  <c r="K295" i="7"/>
  <c r="J295" i="7"/>
  <c r="L295" i="7" s="1"/>
  <c r="P294" i="7"/>
  <c r="O294" i="7"/>
  <c r="N294" i="7"/>
  <c r="M294" i="7"/>
  <c r="K294" i="7"/>
  <c r="J294" i="7"/>
  <c r="L294" i="7" s="1"/>
  <c r="C64" i="2"/>
  <c r="E64" i="2"/>
  <c r="E63" i="2" l="1"/>
  <c r="C63" i="2"/>
  <c r="L559" i="1"/>
  <c r="D559" i="1"/>
  <c r="B559" i="1"/>
  <c r="A559" i="1"/>
  <c r="L558" i="1"/>
  <c r="D558" i="1"/>
  <c r="B558" i="1"/>
  <c r="A558" i="1"/>
  <c r="L557" i="1"/>
  <c r="D557" i="1"/>
  <c r="B557" i="1"/>
  <c r="A557" i="1"/>
  <c r="L556" i="1"/>
  <c r="D556" i="1"/>
  <c r="B556" i="1"/>
  <c r="A556" i="1"/>
  <c r="L555" i="1"/>
  <c r="D555" i="1"/>
  <c r="B555" i="1"/>
  <c r="A555" i="1"/>
  <c r="L554" i="1"/>
  <c r="D554" i="1"/>
  <c r="B554" i="1"/>
  <c r="A554" i="1"/>
  <c r="L553" i="1"/>
  <c r="D553" i="1"/>
  <c r="B553" i="1"/>
  <c r="A553" i="1"/>
  <c r="L552" i="1"/>
  <c r="D552" i="1"/>
  <c r="B552" i="1"/>
  <c r="A552" i="1"/>
  <c r="L551" i="1"/>
  <c r="F551" i="1"/>
  <c r="D551" i="1"/>
  <c r="B551" i="1"/>
  <c r="A551" i="1"/>
  <c r="L550" i="1"/>
  <c r="D550" i="1"/>
  <c r="B550" i="1"/>
  <c r="A550" i="1"/>
  <c r="L549" i="1"/>
  <c r="D549" i="1"/>
  <c r="B549" i="1"/>
  <c r="A549" i="1"/>
  <c r="L548" i="1"/>
  <c r="D548" i="1"/>
  <c r="B548" i="1"/>
  <c r="A548" i="1"/>
  <c r="L547" i="1"/>
  <c r="D547" i="1"/>
  <c r="B547" i="1"/>
  <c r="A547" i="1"/>
  <c r="L546" i="1"/>
  <c r="D546" i="1"/>
  <c r="B546" i="1"/>
  <c r="A546" i="1"/>
  <c r="L545" i="1"/>
  <c r="D545" i="1"/>
  <c r="B545" i="1"/>
  <c r="A545" i="1"/>
  <c r="L544" i="1"/>
  <c r="D544" i="1"/>
  <c r="B544" i="1"/>
  <c r="A544" i="1"/>
  <c r="L543" i="1"/>
  <c r="D543" i="1"/>
  <c r="B543" i="1"/>
  <c r="A543" i="1"/>
  <c r="L542" i="1"/>
  <c r="D542" i="1"/>
  <c r="B542" i="1"/>
  <c r="A542" i="1"/>
  <c r="L541" i="1"/>
  <c r="D541" i="1"/>
  <c r="B541" i="1"/>
  <c r="A541" i="1"/>
  <c r="L540" i="1"/>
  <c r="D540" i="1"/>
  <c r="B540" i="1"/>
  <c r="A540" i="1"/>
  <c r="L539" i="1"/>
  <c r="D539" i="1"/>
  <c r="B539" i="1"/>
  <c r="A539" i="1"/>
  <c r="L538" i="1"/>
  <c r="D538" i="1"/>
  <c r="B538" i="1"/>
  <c r="A538" i="1"/>
  <c r="L537" i="1"/>
  <c r="D537" i="1"/>
  <c r="B537" i="1"/>
  <c r="A537" i="1"/>
  <c r="L536" i="1"/>
  <c r="D536" i="1"/>
  <c r="B536" i="1"/>
  <c r="A536" i="1"/>
  <c r="L535" i="1"/>
  <c r="F535" i="1"/>
  <c r="D535" i="1"/>
  <c r="B535" i="1"/>
  <c r="A535" i="1"/>
  <c r="L534" i="1"/>
  <c r="D534" i="1"/>
  <c r="B534" i="1"/>
  <c r="A534" i="1"/>
  <c r="L533" i="1"/>
  <c r="D533" i="1"/>
  <c r="B533" i="1"/>
  <c r="A533" i="1"/>
  <c r="L532" i="1"/>
  <c r="D532" i="1"/>
  <c r="B532" i="1"/>
  <c r="A532" i="1"/>
  <c r="L531" i="1"/>
  <c r="D531" i="1"/>
  <c r="B531" i="1"/>
  <c r="A531" i="1"/>
  <c r="L530" i="1"/>
  <c r="D530" i="1"/>
  <c r="B530" i="1"/>
  <c r="A530" i="1"/>
  <c r="L529" i="1"/>
  <c r="D529" i="1"/>
  <c r="B529" i="1"/>
  <c r="A529" i="1"/>
  <c r="L528" i="1"/>
  <c r="D528" i="1"/>
  <c r="B528" i="1"/>
  <c r="A528" i="1"/>
  <c r="L527" i="1"/>
  <c r="D527" i="1"/>
  <c r="B527" i="1"/>
  <c r="A527" i="1"/>
  <c r="L526" i="1"/>
  <c r="D526" i="1"/>
  <c r="B526" i="1"/>
  <c r="A526" i="1"/>
  <c r="L525" i="1"/>
  <c r="D525" i="1"/>
  <c r="B525" i="1"/>
  <c r="A525" i="1"/>
  <c r="L524" i="1"/>
  <c r="D524" i="1"/>
  <c r="C524" i="1"/>
  <c r="B524" i="1"/>
  <c r="A524" i="1"/>
  <c r="L523" i="1"/>
  <c r="D523" i="1"/>
  <c r="B523" i="1"/>
  <c r="A523" i="1"/>
  <c r="L522" i="1"/>
  <c r="D522" i="1"/>
  <c r="B522" i="1"/>
  <c r="A522" i="1"/>
  <c r="D521" i="1"/>
  <c r="B521" i="1"/>
  <c r="A521" i="1"/>
  <c r="L520" i="1"/>
  <c r="D520" i="1"/>
  <c r="B520" i="1"/>
  <c r="A520" i="1"/>
  <c r="L519" i="1"/>
  <c r="D519" i="1"/>
  <c r="B519" i="1"/>
  <c r="A519" i="1"/>
  <c r="L518" i="1"/>
  <c r="D518" i="1"/>
  <c r="B518" i="1"/>
  <c r="A518" i="1"/>
  <c r="L517" i="1"/>
  <c r="D517" i="1"/>
  <c r="C517" i="1"/>
  <c r="B517" i="1"/>
  <c r="A517" i="1"/>
  <c r="L516" i="1"/>
  <c r="D516" i="1"/>
  <c r="B516" i="1"/>
  <c r="A516" i="1"/>
  <c r="L515" i="1"/>
  <c r="D515" i="1"/>
  <c r="B515" i="1"/>
  <c r="A515" i="1"/>
  <c r="L514" i="1"/>
  <c r="D514" i="1"/>
  <c r="B514" i="1"/>
  <c r="A514" i="1"/>
  <c r="L513" i="1"/>
  <c r="D513" i="1"/>
  <c r="B513" i="1"/>
  <c r="A513" i="1"/>
  <c r="L512" i="1"/>
  <c r="D512" i="1"/>
  <c r="B512" i="1"/>
  <c r="A512" i="1"/>
  <c r="L511" i="1"/>
  <c r="D511" i="1"/>
  <c r="B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L287" i="7"/>
  <c r="F553" i="1" s="1"/>
  <c r="K287" i="7"/>
  <c r="E553" i="1" s="1"/>
  <c r="J287" i="7"/>
  <c r="C553" i="1" s="1"/>
  <c r="P286" i="7"/>
  <c r="O286" i="7"/>
  <c r="N286" i="7"/>
  <c r="M286" i="7"/>
  <c r="K286" i="7"/>
  <c r="E552" i="1" s="1"/>
  <c r="J286" i="7"/>
  <c r="C552" i="1" s="1"/>
  <c r="P285" i="7"/>
  <c r="O285" i="7"/>
  <c r="N285" i="7"/>
  <c r="M285" i="7"/>
  <c r="K285" i="7"/>
  <c r="E551" i="1" s="1"/>
  <c r="J285" i="7"/>
  <c r="L285" i="7"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L271" i="7"/>
  <c r="F537" i="1" s="1"/>
  <c r="K271" i="7"/>
  <c r="E537" i="1" s="1"/>
  <c r="J271" i="7"/>
  <c r="C537" i="1" s="1"/>
  <c r="P270" i="7"/>
  <c r="O270" i="7"/>
  <c r="N270" i="7"/>
  <c r="M270" i="7"/>
  <c r="K270" i="7"/>
  <c r="E536" i="1" s="1"/>
  <c r="J270" i="7"/>
  <c r="L270" i="7" s="1"/>
  <c r="F536" i="1" s="1"/>
  <c r="P269" i="7"/>
  <c r="O269" i="7"/>
  <c r="N269" i="7"/>
  <c r="M269" i="7"/>
  <c r="K269" i="7"/>
  <c r="E535" i="1" s="1"/>
  <c r="J269" i="7"/>
  <c r="L269" i="7" s="1"/>
  <c r="P268" i="7"/>
  <c r="O268" i="7"/>
  <c r="N268" i="7"/>
  <c r="M268" i="7"/>
  <c r="K268" i="7"/>
  <c r="E534" i="1" s="1"/>
  <c r="J268" i="7"/>
  <c r="L268" i="7" s="1"/>
  <c r="F534" i="1" s="1"/>
  <c r="P267" i="7"/>
  <c r="O267" i="7"/>
  <c r="N267" i="7"/>
  <c r="M267" i="7"/>
  <c r="K267" i="7"/>
  <c r="E533" i="1" s="1"/>
  <c r="J267" i="7"/>
  <c r="C533" i="1" s="1"/>
  <c r="P266" i="7"/>
  <c r="O266" i="7"/>
  <c r="N266" i="7"/>
  <c r="M266" i="7"/>
  <c r="L266" i="7"/>
  <c r="F532" i="1" s="1"/>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L255" i="7"/>
  <c r="F521" i="1" s="1"/>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L248" i="7"/>
  <c r="F514" i="1" s="1"/>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82" i="7" l="1"/>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F500" i="1"/>
  <c r="D500" i="1"/>
  <c r="A500" i="1"/>
  <c r="D499" i="1"/>
  <c r="A499" i="1"/>
  <c r="D498" i="1"/>
  <c r="A498" i="1"/>
  <c r="D497" i="1"/>
  <c r="A497" i="1"/>
  <c r="D496" i="1"/>
  <c r="A496" i="1"/>
  <c r="D495" i="1"/>
  <c r="A495" i="1"/>
  <c r="D494" i="1"/>
  <c r="A494" i="1"/>
  <c r="D493" i="1"/>
  <c r="A493" i="1"/>
  <c r="F492" i="1"/>
  <c r="D492" i="1"/>
  <c r="A492" i="1"/>
  <c r="D491" i="1"/>
  <c r="C491" i="1"/>
  <c r="A491" i="1"/>
  <c r="D490" i="1"/>
  <c r="A490" i="1"/>
  <c r="E489" i="1"/>
  <c r="D489" i="1"/>
  <c r="A489" i="1"/>
  <c r="D488" i="1"/>
  <c r="A488" i="1"/>
  <c r="D487" i="1"/>
  <c r="A487" i="1"/>
  <c r="D486" i="1"/>
  <c r="A486" i="1"/>
  <c r="D485" i="1"/>
  <c r="A485" i="1"/>
  <c r="D484" i="1"/>
  <c r="A484" i="1"/>
  <c r="D483" i="1"/>
  <c r="A483" i="1"/>
  <c r="D482" i="1"/>
  <c r="A482" i="1"/>
  <c r="D481" i="1"/>
  <c r="A481" i="1"/>
  <c r="D480" i="1"/>
  <c r="A480" i="1"/>
  <c r="D479" i="1"/>
  <c r="C479" i="1"/>
  <c r="A479" i="1"/>
  <c r="D478" i="1"/>
  <c r="A478" i="1"/>
  <c r="D477" i="1"/>
  <c r="A477" i="1"/>
  <c r="D476" i="1"/>
  <c r="A476" i="1"/>
  <c r="D475" i="1"/>
  <c r="A475" i="1"/>
  <c r="D474" i="1"/>
  <c r="A474" i="1"/>
  <c r="D473" i="1"/>
  <c r="A473" i="1"/>
  <c r="D472" i="1"/>
  <c r="A472" i="1"/>
  <c r="D471" i="1"/>
  <c r="A471" i="1"/>
  <c r="D470" i="1"/>
  <c r="A470" i="1"/>
  <c r="D469" i="1"/>
  <c r="A469" i="1"/>
  <c r="F468"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L238" i="7"/>
  <c r="F504" i="1" s="1"/>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L230" i="7"/>
  <c r="F496" i="1" s="1"/>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N225" i="7"/>
  <c r="M225" i="7"/>
  <c r="L225" i="7"/>
  <c r="F491" i="1" s="1"/>
  <c r="K225" i="7"/>
  <c r="E491" i="1" s="1"/>
  <c r="J225" i="7"/>
  <c r="N224" i="7"/>
  <c r="M224" i="7"/>
  <c r="K224" i="7"/>
  <c r="E490" i="1" s="1"/>
  <c r="J224" i="7"/>
  <c r="L224" i="7" s="1"/>
  <c r="F490" i="1" s="1"/>
  <c r="N223" i="7"/>
  <c r="M223" i="7"/>
  <c r="K223" i="7"/>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L209" i="7"/>
  <c r="F475" i="1" s="1"/>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14" i="7" l="1"/>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E439" i="1"/>
  <c r="E423" i="1"/>
  <c r="E407" i="1"/>
  <c r="E379"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L83" i="7"/>
  <c r="F349" i="1" s="1"/>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C391" i="1" l="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<sst xmlns="http://schemas.openxmlformats.org/spreadsheetml/2006/main" count="7645" uniqueCount="1267">
  <si>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</si>
  <si>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</si>
  <si>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</si>
  <si>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</si>
  <si>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</si>
  <si>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</si>
  <si>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</si>
  <si>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</si>
  <si>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</si>
  <si>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</si>
  <si>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</si>
  <si>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</si>
  <si>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</si>
  <si>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</si>
  <si>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</si>
  <si>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</si>
  <si>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</si>
  <si>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</si>
  <si>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</si>
  <si>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</si>
  <si>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</si>
  <si>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</si>
  <si>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</si>
  <si>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</si>
  <si>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</si>
  <si>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</si>
  <si>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</si>
  <si>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</si>
  <si>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</si>
  <si>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</si>
  <si>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</si>
  <si>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</si>
  <si>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</si>
  <si>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</si>
  <si>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</si>
  <si>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</si>
  <si>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</si>
  <si>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</si>
  <si>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</si>
  <si>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</si>
  <si>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</si>
  <si>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</si>
  <si>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</si>
  <si>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</si>
  <si>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</si>
  <si>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</si>
  <si>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</si>
  <si>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</si>
  <si>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</si>
  <si>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</si>
  <si>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</si>
  <si>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</si>
  <si>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</si>
  <si>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</si>
  <si>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</si>
  <si>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</si>
  <si>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</si>
  <si>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</si>
  <si>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</si>
  <si>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</si>
  <si>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</si>
  <si>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</si>
  <si>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</si>
  <si>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</si>
  <si>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</si>
  <si>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</si>
  <si>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</si>
  <si>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</si>
  <si>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</si>
  <si>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</si>
  <si>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</si>
  <si>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</si>
  <si>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</si>
  <si>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</si>
  <si>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</si>
  <si>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</si>
  <si>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</si>
  <si>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</si>
  <si>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</si>
  <si>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</si>
  <si>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</si>
  <si>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</si>
  <si>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</si>
  <si>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</si>
  <si>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</si>
  <si>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</si>
  <si>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</si>
  <si>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</si>
  <si>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</si>
  <si>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</si>
  <si>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</si>
  <si>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</si>
  <si>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</si>
  <si>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</si>
  <si>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</si>
  <si>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</si>
  <si>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</si>
  <si>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</si>
  <si>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</si>
  <si>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</si>
  <si>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</si>
  <si>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</si>
  <si>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</si>
  <si>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</si>
  <si>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</si>
  <si>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</si>
  <si>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</si>
  <si>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</si>
  <si>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</si>
  <si>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</si>
  <si>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</si>
  <si>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</si>
  <si>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</si>
  <si>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</si>
  <si>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</si>
  <si>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</si>
  <si>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</si>
  <si>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</si>
  <si>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</si>
  <si>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</si>
  <si>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</si>
  <si>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</si>
  <si>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</si>
  <si>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</si>
  <si>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</si>
  <si>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</si>
  <si>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</si>
  <si>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</si>
  <si>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</si>
  <si>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</si>
  <si>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</si>
  <si>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</si>
  <si>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</si>
  <si>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</si>
  <si>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</si>
  <si>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</si>
  <si>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</si>
  <si>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</si>
  <si>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</si>
  <si>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</si>
  <si>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</si>
  <si>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</si>
  <si>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</si>
  <si>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</si>
  <si>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</si>
  <si>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</si>
  <si>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</si>
  <si>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</si>
  <si>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</si>
  <si>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</si>
  <si>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</si>
  <si>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</si>
  <si>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</si>
  <si>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</si>
  <si>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</si>
  <si>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</si>
  <si>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</si>
  <si>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</si>
  <si>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</si>
  <si>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</si>
  <si>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</si>
  <si>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</si>
  <si>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</si>
  <si>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</si>
  <si>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</si>
  <si>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</si>
  <si>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</si>
  <si>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</si>
  <si>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</si>
  <si>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</si>
  <si>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</si>
  <si>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</si>
  <si>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</si>
  <si>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</si>
  <si>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</si>
  <si>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</si>
  <si>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</si>
  <si>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</si>
  <si>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</si>
  <si>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</si>
  <si>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</si>
  <si>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</si>
  <si>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</si>
  <si>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</si>
  <si>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</si>
  <si>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</si>
  <si>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</si>
  <si>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</si>
  <si>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</si>
  <si>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</si>
  <si>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</si>
  <si>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</si>
  <si>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</si>
  <si>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</si>
  <si>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</si>
  <si>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</si>
  <si>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</si>
  <si>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</si>
  <si>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</si>
  <si>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</si>
  <si>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</si>
  <si>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</si>
  <si>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</si>
  <si>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</si>
  <si>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</si>
  <si>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</si>
  <si>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</si>
  <si>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</si>
  <si>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</si>
  <si>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</si>
  <si>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</si>
  <si>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</si>
  <si>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</si>
  <si>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</si>
  <si>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</si>
  <si>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</si>
  <si>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</si>
  <si>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</si>
  <si>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</si>
  <si>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</si>
  <si>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</si>
  <si>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</si>
  <si>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</si>
  <si>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</si>
  <si>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</si>
  <si>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</si>
  <si>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</si>
  <si>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</si>
  <si>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</si>
  <si>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</si>
  <si>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</si>
  <si>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</si>
  <si>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</si>
  <si>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</si>
  <si>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</si>
  <si>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</si>
  <si>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</si>
  <si>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</si>
  <si>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</si>
  <si>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</si>
  <si>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</si>
  <si>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</si>
  <si>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</si>
  <si>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</si>
  <si>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</si>
  <si>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</si>
  <si>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</si>
  <si>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</si>
  <si>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</si>
  <si>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</si>
  <si>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</si>
  <si>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</si>
  <si>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</si>
  <si>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</si>
  <si>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</si>
  <si>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</si>
  <si>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</si>
  <si>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</si>
  <si>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</si>
  <si>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</si>
  <si>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</si>
  <si>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</si>
  <si>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</si>
  <si>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</si>
  <si>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</si>
  <si>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</si>
  <si>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</si>
  <si>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</si>
  <si>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</si>
  <si>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</si>
  <si>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</si>
  <si>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</si>
  <si>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</si>
  <si>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</si>
  <si>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</si>
  <si>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</si>
  <si>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</si>
  <si>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</si>
  <si>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</si>
  <si>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</si>
  <si>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</si>
  <si>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</si>
  <si>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</si>
  <si>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</si>
  <si>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</si>
  <si>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</si>
  <si>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</si>
  <si>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</si>
  <si>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</si>
  <si>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</si>
  <si>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</si>
  <si>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</si>
  <si>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</si>
  <si>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</si>
  <si>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</si>
  <si>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</si>
  <si>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</si>
  <si>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</si>
  <si>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</si>
  <si>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</si>
  <si>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</si>
  <si>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</si>
  <si>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</si>
  <si>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</si>
  <si>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</si>
  <si>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</si>
  <si>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</si>
  <si>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</si>
  <si>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</si>
  <si>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</si>
  <si>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</si>
  <si>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</si>
  <si>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</si>
  <si>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</si>
  <si>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</si>
  <si>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</si>
  <si>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</si>
  <si>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</si>
  <si>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</si>
  <si>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</si>
  <si>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</si>
  <si>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</si>
  <si>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</si>
  <si>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</si>
  <si>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</si>
  <si>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</si>
  <si>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</si>
  <si>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</si>
  <si>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</si>
  <si>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</si>
  <si>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</si>
  <si>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</si>
  <si>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</si>
  <si>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</si>
  <si>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</si>
  <si>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</si>
  <si>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</si>
  <si>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</si>
  <si>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</si>
  <si>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</si>
  <si>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</si>
  <si>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</si>
  <si>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</si>
  <si>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</si>
  <si>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</si>
  <si>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</si>
  <si>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</si>
  <si>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</si>
  <si>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</si>
  <si>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</si>
  <si>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</si>
  <si>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</si>
  <si>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</si>
  <si>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</si>
  <si>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</si>
  <si>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</si>
  <si>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</si>
  <si>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</si>
  <si>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</si>
  <si>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</si>
  <si>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</si>
  <si>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</si>
  <si>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</si>
  <si>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</si>
  <si>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</si>
  <si>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</si>
  <si>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</si>
  <si>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</si>
  <si>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</si>
  <si>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</si>
  <si>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</si>
  <si>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</si>
  <si>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</si>
  <si>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</si>
  <si>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</si>
  <si>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</si>
  <si>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</si>
  <si>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</si>
  <si>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</si>
  <si>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</si>
  <si>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</si>
  <si>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</si>
  <si>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</si>
  <si>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</si>
  <si>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</si>
  <si>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</si>
  <si>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</si>
  <si>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</si>
  <si>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</si>
  <si>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</si>
  <si>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</si>
  <si>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</si>
  <si>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</si>
  <si>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</si>
  <si>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</si>
  <si>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</si>
  <si>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</si>
  <si>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</si>
  <si>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</si>
  <si>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</si>
  <si>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</si>
  <si>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</si>
  <si>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</si>
  <si>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</si>
  <si>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</si>
  <si>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</si>
  <si>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</si>
  <si>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</si>
  <si>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</si>
  <si>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</si>
  <si>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</si>
  <si>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</si>
  <si>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</si>
  <si>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</si>
  <si>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</si>
  <si>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</si>
  <si>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</si>
  <si>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</si>
  <si>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</si>
  <si>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</si>
  <si>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</si>
  <si>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</si>
  <si>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</si>
  <si>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</si>
  <si>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</si>
  <si>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</si>
  <si>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</si>
  <si>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</si>
  <si>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</si>
  <si>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</si>
  <si>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</si>
  <si>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</si>
  <si>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</si>
  <si>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</si>
  <si>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</si>
  <si>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</si>
  <si>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</si>
  <si>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</si>
  <si>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</si>
  <si>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</si>
  <si>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</si>
  <si>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</si>
  <si>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</si>
  <si>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</si>
  <si>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</si>
  <si>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</si>
  <si>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</si>
  <si>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</si>
  <si>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</si>
  <si>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</si>
  <si>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</si>
  <si>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</si>
  <si>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</si>
  <si>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</si>
  <si>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</si>
  <si>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</si>
  <si>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</si>
  <si>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</si>
  <si>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</si>
  <si>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</si>
  <si>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</si>
  <si>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</si>
  <si>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</si>
  <si>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</si>
  <si>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</si>
  <si>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</si>
  <si>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</si>
  <si>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</si>
  <si>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</si>
  <si>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</si>
  <si>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</si>
  <si>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</si>
  <si>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</si>
  <si>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</si>
  <si>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</si>
  <si>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</si>
  <si>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</si>
  <si>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</si>
  <si>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</si>
  <si>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</si>
  <si>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</si>
  <si>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</si>
  <si>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</si>
  <si>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</si>
  <si>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</si>
  <si>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</si>
  <si>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</si>
  <si>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</si>
  <si>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</si>
  <si>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</si>
  <si>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</si>
  <si>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</si>
  <si>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</si>
  <si>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</si>
  <si>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</si>
  <si>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</si>
  <si>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</si>
  <si>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</si>
  <si>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</si>
  <si>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</si>
  <si>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</si>
  <si>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</si>
  <si>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</si>
  <si>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</si>
  <si>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</si>
  <si>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</si>
  <si>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</si>
  <si>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</si>
  <si>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</si>
  <si>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</si>
  <si>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</si>
  <si>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</si>
  <si>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</si>
  <si>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</si>
  <si>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</si>
  <si>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</si>
  <si>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</si>
  <si>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</si>
  <si>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</si>
  <si>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</si>
  <si>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</si>
  <si>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</si>
  <si>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</si>
  <si>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</si>
  <si>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</si>
  <si>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</si>
  <si>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</si>
  <si>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</si>
  <si>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</si>
  <si>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</si>
  <si>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</si>
  <si>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</si>
  <si>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</si>
  <si>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</si>
  <si>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</si>
  <si>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</si>
  <si>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</si>
  <si>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</si>
  <si>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</si>
  <si>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</si>
  <si>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</si>
  <si>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</si>
  <si>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</si>
  <si>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</si>
  <si>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</si>
  <si>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</si>
  <si>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</si>
  <si>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</si>
  <si>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</si>
  <si>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</si>
  <si>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</si>
  <si>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</si>
  <si>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</si>
  <si>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</si>
  <si>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</si>
  <si>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</si>
  <si>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</si>
  <si>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</si>
  <si>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</si>
  <si>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</si>
  <si>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</si>
  <si>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</si>
  <si>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</si>
  <si>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</si>
  <si>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</si>
  <si>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</si>
  <si>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</si>
  <si>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</si>
  <si>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</si>
  <si>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</si>
  <si>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</si>
  <si>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</si>
  <si>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</si>
  <si>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</si>
  <si>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</si>
  <si>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</si>
  <si>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</si>
  <si>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</si>
  <si>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</si>
  <si>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</si>
  <si>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</si>
  <si>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</si>
  <si>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</si>
  <si>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</si>
  <si>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</si>
  <si>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</si>
  <si>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</si>
  <si>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</si>
  <si>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</si>
  <si>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</si>
  <si>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</si>
  <si>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</si>
  <si>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</si>
  <si>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</si>
  <si>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</si>
  <si>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</si>
  <si>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</si>
  <si>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</si>
  <si>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</si>
  <si>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</si>
  <si>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</si>
  <si>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</si>
  <si>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</si>
  <si>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</si>
  <si>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</si>
  <si>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</si>
  <si>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</si>
  <si>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</si>
  <si>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</si>
  <si>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</si>
  <si>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</si>
  <si>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</si>
  <si>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</si>
  <si>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</si>
  <si>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</si>
  <si>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</si>
  <si>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</si>
  <si>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</si>
  <si>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</si>
  <si>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</si>
  <si>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</si>
  <si>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</si>
  <si>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</si>
  <si>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</si>
  <si>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</si>
  <si>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</si>
  <si>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</si>
  <si>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</si>
  <si>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</si>
  <si>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</si>
  <si>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</si>
  <si>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</si>
  <si>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</si>
  <si>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</si>
  <si>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</si>
  <si>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</si>
  <si>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</si>
  <si>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</si>
  <si>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</si>
  <si>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</si>
  <si>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</si>
  <si>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</si>
  <si>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</si>
  <si>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</si>
  <si>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</si>
  <si>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</si>
  <si>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</si>
  <si>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</si>
  <si>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</si>
  <si>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</si>
  <si>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</si>
  <si>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</si>
  <si>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</si>
  <si>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</si>
  <si>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</si>
  <si>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</si>
  <si>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</si>
  <si>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</si>
  <si>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</si>
  <si>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</si>
  <si>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</si>
  <si>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</si>
  <si>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</si>
  <si>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</si>
  <si>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</si>
  <si>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</si>
  <si>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</si>
  <si>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</si>
  <si>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</si>
  <si>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</si>
  <si>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</si>
  <si>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</si>
  <si>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</si>
  <si>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</si>
  <si>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</si>
  <si>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</si>
  <si>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</si>
  <si>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</si>
  <si>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</si>
  <si>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</si>
  <si>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</si>
  <si>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</si>
  <si>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</si>
  <si>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</si>
  <si>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</si>
  <si>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</si>
  <si>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</si>
  <si>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</si>
  <si>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</si>
  <si>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</si>
  <si>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</si>
  <si>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</si>
  <si>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</si>
  <si>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</si>
  <si>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</si>
  <si>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</si>
  <si>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</si>
  <si>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</si>
  <si>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</si>
  <si>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</si>
  <si>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</si>
  <si>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</si>
  <si>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</si>
  <si>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</si>
  <si>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</si>
  <si>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</si>
  <si>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</si>
  <si>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</si>
  <si>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</si>
  <si>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</si>
  <si>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</si>
  <si>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</si>
  <si>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</si>
  <si>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</si>
  <si>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</si>
  <si>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</si>
  <si>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</si>
  <si>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</si>
  <si>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</si>
  <si>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</si>
  <si>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</si>
  <si>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</si>
  <si>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</si>
  <si>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</si>
  <si>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</si>
  <si>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</si>
  <si>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</si>
  <si>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</si>
  <si>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</si>
  <si>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</si>
  <si>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</si>
  <si>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</si>
  <si>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</si>
  <si>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</si>
  <si>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</si>
  <si>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</si>
  <si>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</si>
  <si>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</si>
  <si>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</si>
  <si>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</si>
  <si>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</si>
  <si>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</si>
  <si>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</si>
  <si>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</si>
  <si>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</si>
  <si>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</si>
  <si>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</si>
  <si>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</si>
  <si>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</si>
  <si>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</si>
  <si>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</si>
  <si>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</si>
  <si>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</si>
  <si>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</si>
  <si>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</si>
  <si>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</si>
  <si>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</si>
  <si>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</si>
  <si>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</si>
  <si>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</si>
  <si>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</si>
  <si>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</si>
  <si>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</si>
  <si>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</si>
  <si>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</si>
  <si>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</si>
  <si>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</si>
  <si>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</si>
  <si>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</si>
  <si>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</si>
  <si>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</si>
  <si>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</si>
  <si>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</si>
  <si>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</si>
  <si>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</si>
  <si>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</si>
  <si>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</si>
  <si>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</si>
  <si>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</si>
  <si>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</si>
  <si>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</si>
  <si>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</si>
  <si>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</si>
  <si>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</si>
  <si>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</si>
  <si>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</si>
  <si>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</si>
  <si>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</si>
  <si>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</si>
  <si>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</si>
  <si>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</si>
  <si>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</si>
  <si>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</si>
  <si>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</si>
  <si>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</si>
  <si>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</si>
  <si>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</si>
  <si>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</si>
  <si>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</si>
  <si>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</si>
  <si>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</si>
  <si>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</si>
  <si>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</si>
  <si>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</si>
  <si>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</si>
  <si>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</si>
  <si>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</si>
  <si>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</si>
  <si>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</si>
  <si>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</si>
  <si>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</si>
  <si>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</si>
  <si>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</si>
  <si>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</si>
  <si>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</si>
  <si>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</si>
  <si>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</si>
  <si>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</si>
  <si>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</si>
  <si>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</si>
  <si>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</si>
  <si>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</si>
  <si>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</si>
  <si>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</si>
  <si>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</si>
  <si>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</si>
  <si>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</si>
  <si>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</si>
  <si>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</si>
  <si>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</si>
  <si>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</si>
  <si>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</si>
  <si>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</si>
  <si>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</si>
  <si>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</si>
  <si>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</si>
  <si>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</si>
  <si>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</si>
  <si>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</si>
  <si>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</si>
  <si>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</si>
  <si>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</si>
  <si>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</si>
  <si>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</si>
  <si>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</si>
  <si>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</si>
  <si>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</si>
  <si>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</si>
  <si>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</si>
  <si>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</si>
  <si>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</si>
  <si>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</si>
  <si>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</si>
  <si>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</si>
  <si>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</si>
  <si>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</si>
  <si>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</si>
  <si>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</si>
  <si>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</si>
  <si>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</si>
  <si>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</si>
  <si>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</si>
  <si>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</si>
  <si>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</si>
  <si>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</si>
  <si>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</si>
  <si>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</si>
  <si>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</si>
  <si>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</si>
  <si>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</si>
  <si>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</si>
  <si>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</si>
  <si>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</si>
  <si>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</si>
  <si>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</si>
  <si>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</si>
  <si>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</si>
  <si>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</si>
  <si>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</si>
  <si>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</si>
  <si>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</si>
  <si>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</si>
  <si>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</si>
  <si>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</si>
  <si>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</si>
  <si>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</si>
  <si>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</si>
  <si>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</si>
  <si>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</si>
  <si>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</si>
  <si>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</si>
  <si>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</si>
  <si>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</si>
  <si>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</si>
  <si>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</si>
  <si>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</si>
  <si>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</si>
  <si>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</si>
  <si>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</si>
  <si>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</si>
  <si>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</si>
  <si>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</si>
  <si>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</si>
  <si>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</si>
  <si>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</si>
  <si>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</si>
  <si>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</si>
  <si>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</si>
  <si>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</si>
  <si>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</si>
  <si>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</si>
  <si>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</si>
  <si>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</si>
  <si>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</si>
  <si>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</si>
  <si>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</si>
  <si>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</si>
  <si>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</si>
  <si>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</si>
  <si>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</si>
  <si>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</si>
  <si>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</si>
  <si>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</si>
  <si>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</si>
  <si>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</si>
  <si>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</si>
  <si>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</si>
  <si>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</si>
  <si>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</si>
  <si>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</si>
  <si>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</si>
  <si>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</si>
  <si>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</si>
  <si>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</si>
  <si>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</si>
  <si>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</si>
  <si>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</si>
  <si>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</si>
  <si>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</si>
  <si>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</si>
  <si>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</si>
  <si>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</si>
  <si>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</si>
  <si>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</si>
  <si>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</si>
  <si>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</si>
  <si>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</si>
  <si>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</si>
  <si>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</si>
  <si>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</si>
  <si>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</si>
  <si>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</si>
  <si>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</si>
  <si>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</si>
  <si>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</si>
  <si>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</si>
  <si>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</si>
  <si>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</si>
  <si>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</si>
  <si>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</si>
  <si>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</si>
  <si>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</si>
  <si>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</si>
  <si>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</si>
  <si>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</si>
  <si>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</si>
  <si>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</si>
  <si>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</si>
  <si>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</si>
  <si>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</si>
  <si>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</si>
  <si>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</si>
  <si>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</si>
  <si>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</si>
  <si>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</si>
  <si>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</si>
  <si>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</si>
  <si>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</si>
  <si>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</si>
  <si>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</si>
  <si>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</si>
  <si>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</si>
  <si>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</si>
  <si>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</si>
  <si>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</si>
  <si>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</si>
  <si>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</si>
  <si>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</si>
  <si>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</si>
  <si>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</si>
  <si>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</si>
  <si>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</si>
  <si>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</si>
  <si>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</si>
  <si>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</si>
  <si>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</si>
  <si>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</si>
  <si>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</si>
  <si>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</si>
  <si>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</si>
  <si>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</si>
  <si>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</si>
  <si>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</si>
  <si>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</si>
  <si>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</si>
  <si>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</si>
  <si>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</si>
  <si>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</si>
  <si>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</si>
  <si>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</si>
  <si>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</si>
  <si>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</si>
  <si>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</si>
  <si>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</si>
  <si>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</si>
  <si>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</si>
  <si>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</si>
  <si>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</si>
  <si>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</si>
  <si>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</si>
  <si>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</si>
  <si>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</si>
  <si>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</si>
  <si>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</si>
  <si>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</si>
  <si>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</si>
  <si>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</si>
  <si>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</si>
  <si>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</si>
  <si>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</si>
  <si>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</si>
  <si>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</si>
  <si>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</si>
  <si>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</si>
  <si>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</si>
  <si>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</si>
  <si>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</si>
  <si>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</si>
  <si>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</si>
  <si>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</si>
  <si>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</si>
  <si>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</si>
  <si>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</si>
  <si>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</si>
  <si>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</si>
  <si>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</si>
  <si>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</si>
  <si>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</si>
  <si>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</si>
  <si>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</si>
  <si>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</si>
  <si>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</si>
  <si>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</si>
  <si>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</si>
  <si>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</si>
  <si>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</si>
  <si>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</si>
  <si>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</si>
  <si>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</si>
  <si>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</si>
  <si>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</si>
  <si>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</si>
  <si>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</si>
  <si>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</si>
  <si>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</si>
  <si>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</si>
  <si>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</si>
  <si>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</si>
  <si>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</si>
  <si>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</si>
  <si>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</si>
  <si>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</si>
  <si>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</si>
  <si>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</si>
  <si>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</si>
  <si>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</si>
  <si>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</si>
  <si>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</si>
  <si>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</si>
  <si>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</si>
  <si>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</si>
  <si>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</si>
  <si>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</si>
  <si>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</si>
  <si>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</si>
  <si>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</si>
  <si>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</si>
  <si>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</si>
  <si>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</si>
  <si>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</si>
  <si>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</si>
  <si>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</si>
  <si>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</si>
  <si>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</si>
  <si>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</si>
  <si>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</si>
  <si>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</si>
  <si>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</si>
  <si>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</si>
  <si>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</si>
  <si>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</si>
  <si>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</si>
  <si>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</si>
  <si>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</si>
  <si>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</si>
  <si>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</si>
  <si>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</si>
  <si>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</si>
  <si>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</si>
  <si>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</si>
  <si>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</si>
  <si>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</si>
  <si>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</si>
  <si>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</si>
  <si>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</si>
  <si>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</si>
  <si>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</si>
  <si>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</si>
  <si>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</si>
  <si>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</si>
  <si>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</si>
  <si>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</si>
  <si>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</si>
  <si>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</si>
  <si>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</si>
  <si>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</si>
  <si>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</si>
  <si>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</si>
  <si>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</si>
  <si>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</si>
  <si>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</si>
  <si>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</si>
  <si>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</si>
  <si>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</si>
  <si>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</si>
  <si>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</si>
  <si>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</si>
  <si>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</si>
  <si>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</si>
  <si>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</si>
  <si>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</si>
  <si>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</si>
  <si>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</si>
  <si>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</si>
  <si>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</si>
  <si>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</si>
  <si>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</si>
  <si>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</si>
  <si>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</si>
  <si>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</si>
  <si>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</si>
  <si>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</si>
  <si>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</si>
  <si>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</si>
  <si>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</si>
  <si>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</si>
  <si>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</si>
  <si>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</si>
  <si>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</si>
  <si>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</si>
  <si>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</si>
  <si>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</si>
  <si>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</si>
  <si>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</si>
  <si>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</si>
  <si>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</si>
  <si>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</si>
  <si>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</si>
  <si>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</si>
  <si>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</si>
  <si>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</si>
  <si>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</si>
  <si>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</si>
  <si>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</si>
  <si>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</si>
  <si>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</si>
  <si>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</si>
  <si>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</si>
  <si>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</si>
  <si>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</si>
  <si>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</si>
  <si>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</si>
  <si>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</si>
  <si>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</si>
  <si>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</si>
  <si>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</si>
  <si>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</si>
  <si>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</si>
  <si>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</si>
  <si>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</si>
  <si>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</si>
  <si>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</si>
  <si>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</si>
  <si>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</si>
  <si>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</si>
  <si>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</si>
  <si>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</si>
  <si>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</si>
  <si>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</si>
  <si>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</si>
  <si>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</si>
  <si>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</si>
  <si>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</si>
  <si>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</si>
  <si>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</si>
  <si>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</si>
  <si>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</si>
  <si>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</si>
  <si>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</si>
  <si>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</si>
  <si>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</si>
  <si>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</si>
  <si>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</si>
  <si>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</si>
  <si>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</si>
  <si>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</si>
  <si>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</si>
  <si>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</si>
  <si>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</si>
  <si>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</si>
  <si>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</si>
  <si>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unlinked</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</si>
  <si>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</si>
  <si>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</si>
  <si>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</si>
  <si>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</si>
  <si>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</si>
  <si>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</si>
  <si>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</si>
  <si>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</si>
  <si>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</si>
  <si>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</si>
  <si>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</si>
  <si>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</si>
  <si>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</si>
  <si>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</si>
  <si>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</si>
  <si>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</si>
  <si>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 xml:space="preserve">Dover Court International School </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</si>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</sst>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5">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3">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632"/>
  <sheetViews>
    <sheetView tabSelected="1" topLeftCell="A628" workbookViewId="0">
      <selection activeCell="G642" sqref="G642"/>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1235</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1235</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1235</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1235</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1235</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1235</v>
      </c>
    </row>
    <row r="517" spans="1:13" ht="13.8" customHeight="1" x14ac:dyDescent="0.3">
      <c r="A517" s="1">
        <f>Annex!A251</f>
        <v>516</v>
      </c>
      <c r="B517" s="1" t="str">
        <f>IF(LEFT(Annex!H251,5)="Local","Local Transmission",Annex!H251)</f>
        <v>unlinked</v>
      </c>
      <c r="C517" s="1" t="str">
        <f>Annex!J251</f>
        <v>Female</v>
      </c>
      <c r="D517" s="1">
        <f>Annex!D251</f>
        <v>42</v>
      </c>
      <c r="E517" s="1" t="str">
        <f>Annex!K251</f>
        <v>Singaporean</v>
      </c>
      <c r="F517" s="1" t="str">
        <f>Annex!L251</f>
        <v xml:space="preserve">Case 516 is a unlinked case, 42 years old female Singapore Citizen  and has been to Local . She is currently admitted at CGH . </v>
      </c>
      <c r="G517" s="2">
        <v>43914</v>
      </c>
      <c r="H517" s="1"/>
      <c r="I517" s="1"/>
      <c r="J517" s="1"/>
      <c r="K517" s="1"/>
      <c r="L517" s="1" t="str">
        <f>Annex!C251</f>
        <v xml:space="preserve">CGH </v>
      </c>
      <c r="M517" s="5" t="s">
        <v>1235</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1235</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1235</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1235</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1235</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1235</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1235</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1235</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1235</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1235</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1235</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1235</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1235</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1235</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1235</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1235</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1235</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1235</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1235</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1235</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1235</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1235</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1235</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1235</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1235</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
      <c r="I542" s="1"/>
      <c r="J542" s="1"/>
      <c r="K542" s="1"/>
      <c r="L542" s="1" t="str">
        <f>Annex!C276</f>
        <v xml:space="preserve">NCID </v>
      </c>
      <c r="M542" s="5" t="s">
        <v>1235</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1235</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1235</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1235</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1235</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1235</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1235</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1235</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1235</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1235</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1235</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1235</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1235</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1235</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1235</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1235</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1235</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1235</v>
      </c>
    </row>
    <row r="560" spans="1:13" ht="13.8" customHeight="1" x14ac:dyDescent="0.3">
      <c r="A560" s="1">
        <f>Annex!A294</f>
        <v>559</v>
      </c>
      <c r="B560" s="1" t="str">
        <f>IF(LEFT(Annex!H294,5)="Local","Local Transmission",Annex!H294)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1266</v>
      </c>
    </row>
    <row r="561" spans="1:13" ht="13.8" customHeight="1" x14ac:dyDescent="0.3">
      <c r="A561" s="1">
        <f>Annex!A295</f>
        <v>560</v>
      </c>
      <c r="B561" s="1" t="str">
        <f>IF(LEFT(Annex!H295,5)="Local","Local Transmission",Annex!H295)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1266</v>
      </c>
    </row>
    <row r="562" spans="1:13" ht="13.8" customHeight="1" x14ac:dyDescent="0.3">
      <c r="A562" s="1">
        <f>Annex!A296</f>
        <v>561</v>
      </c>
      <c r="B562" s="1" t="str">
        <f>IF(LEFT(Annex!H296,5)="Local","Local Transmission",Annex!H296)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1266</v>
      </c>
    </row>
    <row r="563" spans="1:13" ht="13.8" customHeight="1" x14ac:dyDescent="0.3">
      <c r="A563" s="1">
        <f>Annex!A297</f>
        <v>562</v>
      </c>
      <c r="B563" s="1" t="str">
        <f>IF(LEFT(Annex!H297,5)="Local","Local Transmission",Annex!H297)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1266</v>
      </c>
    </row>
    <row r="564" spans="1:13" ht="13.8" customHeight="1" x14ac:dyDescent="0.3">
      <c r="A564" s="1">
        <f>Annex!A298</f>
        <v>563</v>
      </c>
      <c r="B564" s="1" t="str">
        <f>IF(LEFT(Annex!H298,5)="Local","Local Transmission",Annex!H298)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1266</v>
      </c>
    </row>
    <row r="565" spans="1:13" ht="13.8" customHeight="1" x14ac:dyDescent="0.3">
      <c r="A565" s="1">
        <f>Annex!A299</f>
        <v>564</v>
      </c>
      <c r="B565" s="1" t="str">
        <f>IF(LEFT(Annex!H299,5)="Local","Local Transmission",Annex!H299)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1266</v>
      </c>
    </row>
    <row r="566" spans="1:13" ht="13.8" customHeight="1" x14ac:dyDescent="0.3">
      <c r="A566" s="1">
        <f>Annex!A300</f>
        <v>565</v>
      </c>
      <c r="B566" s="1" t="str">
        <f>IF(LEFT(Annex!H300,5)="Local","Local Transmission",Annex!H300)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1266</v>
      </c>
    </row>
    <row r="567" spans="1:13" ht="13.8" customHeight="1" x14ac:dyDescent="0.3">
      <c r="A567" s="1">
        <f>Annex!A301</f>
        <v>566</v>
      </c>
      <c r="B567" s="1" t="str">
        <f>IF(LEFT(Annex!H301,5)="Local","Local Transmission",Annex!H301)</f>
        <v>Local Transmission</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1266</v>
      </c>
    </row>
    <row r="568" spans="1:13" ht="13.8" customHeight="1" x14ac:dyDescent="0.3">
      <c r="A568" s="1">
        <f>Annex!A302</f>
        <v>567</v>
      </c>
      <c r="B568" s="1" t="str">
        <f>IF(LEFT(Annex!H302,5)="Local","Local Transmission",Annex!H302)</f>
        <v>Local Transmission</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1266</v>
      </c>
    </row>
    <row r="569" spans="1:13" ht="13.8" customHeight="1" x14ac:dyDescent="0.3">
      <c r="A569" s="1">
        <f>Annex!A303</f>
        <v>568</v>
      </c>
      <c r="B569" s="1" t="str">
        <f>IF(LEFT(Annex!H303,5)="Local","Local Transmission",Annex!H303)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1266</v>
      </c>
    </row>
    <row r="570" spans="1:13" ht="13.8" customHeight="1" x14ac:dyDescent="0.3">
      <c r="A570" s="1">
        <f>Annex!A304</f>
        <v>569</v>
      </c>
      <c r="B570" s="1" t="str">
        <f>IF(LEFT(Annex!H304,5)="Local","Local Transmission",Annex!H304)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1266</v>
      </c>
    </row>
    <row r="571" spans="1:13" ht="13.8" customHeight="1" x14ac:dyDescent="0.3">
      <c r="A571" s="1">
        <f>Annex!A305</f>
        <v>570</v>
      </c>
      <c r="B571" s="1" t="str">
        <f>IF(LEFT(Annex!H305,5)="Local","Local Transmission",Annex!H305)</f>
        <v>Local Transmission</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1"/>
      <c r="I571" s="1"/>
      <c r="J571" s="1"/>
      <c r="K571" s="1"/>
      <c r="L571" s="1" t="str">
        <f>Annex!C305</f>
        <v xml:space="preserve">SKH </v>
      </c>
      <c r="M571" s="13" t="s">
        <v>1266</v>
      </c>
    </row>
    <row r="572" spans="1:13" ht="13.8" customHeight="1" x14ac:dyDescent="0.3">
      <c r="A572" s="1">
        <f>Annex!A306</f>
        <v>571</v>
      </c>
      <c r="B572" s="1" t="str">
        <f>IF(LEFT(Annex!H306,5)="Local","Local Transmission",Annex!H306)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1266</v>
      </c>
    </row>
    <row r="573" spans="1:13" ht="13.8" customHeight="1" x14ac:dyDescent="0.3">
      <c r="A573" s="1">
        <f>Annex!A307</f>
        <v>572</v>
      </c>
      <c r="B573" s="1" t="str">
        <f>IF(LEFT(Annex!H307,5)="Local","Local Transmission",Annex!H307)</f>
        <v>Local Transmission</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1266</v>
      </c>
    </row>
    <row r="574" spans="1:13" ht="13.8" customHeight="1" x14ac:dyDescent="0.3">
      <c r="A574" s="1">
        <f>Annex!A308</f>
        <v>573</v>
      </c>
      <c r="B574" s="1" t="str">
        <f>IF(LEFT(Annex!H308,5)="Local","Local Transmission",Annex!H308)</f>
        <v>Local Transmission</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1266</v>
      </c>
    </row>
    <row r="575" spans="1:13" ht="13.8" customHeight="1" x14ac:dyDescent="0.3">
      <c r="A575" s="1">
        <f>Annex!A309</f>
        <v>574</v>
      </c>
      <c r="B575" s="1" t="str">
        <f>IF(LEFT(Annex!H309,5)="Local","Local Transmission",Annex!H309)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1266</v>
      </c>
    </row>
    <row r="576" spans="1:13" ht="13.8" customHeight="1" x14ac:dyDescent="0.3">
      <c r="A576" s="1">
        <f>Annex!A310</f>
        <v>575</v>
      </c>
      <c r="B576" s="1" t="str">
        <f>IF(LEFT(Annex!H310,5)="Local","Local Transmission",Annex!H310)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1266</v>
      </c>
    </row>
    <row r="577" spans="1:13" ht="13.8" customHeight="1" x14ac:dyDescent="0.3">
      <c r="A577" s="1">
        <f>Annex!A311</f>
        <v>576</v>
      </c>
      <c r="B577" s="1" t="str">
        <f>IF(LEFT(Annex!H311,5)="Local","Local Transmission",Annex!H311)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1266</v>
      </c>
    </row>
    <row r="578" spans="1:13" ht="13.8" customHeight="1" x14ac:dyDescent="0.3">
      <c r="A578" s="1">
        <f>Annex!A312</f>
        <v>577</v>
      </c>
      <c r="B578" s="1" t="str">
        <f>IF(LEFT(Annex!H312,5)="Local","Local Transmission",Annex!H312)</f>
        <v>Local Transmission</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1266</v>
      </c>
    </row>
    <row r="579" spans="1:13" ht="13.8" customHeight="1" x14ac:dyDescent="0.3">
      <c r="A579" s="1">
        <f>Annex!A313</f>
        <v>578</v>
      </c>
      <c r="B579" s="1" t="str">
        <f>IF(LEFT(Annex!H313,5)="Local","Local Transmission",Annex!H313)</f>
        <v>Local Transmission</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1266</v>
      </c>
    </row>
    <row r="580" spans="1:13" ht="13.8" customHeight="1" x14ac:dyDescent="0.3">
      <c r="A580" s="1">
        <f>Annex!A314</f>
        <v>579</v>
      </c>
      <c r="B580" s="1" t="str">
        <f>IF(LEFT(Annex!H314,5)="Local","Local Transmission",Annex!H314)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1266</v>
      </c>
    </row>
    <row r="581" spans="1:13" ht="13.8" customHeight="1" x14ac:dyDescent="0.3">
      <c r="A581" s="1">
        <f>Annex!A315</f>
        <v>580</v>
      </c>
      <c r="B581" s="1" t="str">
        <f>IF(LEFT(Annex!H315,5)="Local","Local Transmission",Annex!H315)</f>
        <v>Local Transmission</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1266</v>
      </c>
    </row>
    <row r="582" spans="1:13" ht="13.8" customHeight="1" x14ac:dyDescent="0.3">
      <c r="A582" s="1">
        <f>Annex!A316</f>
        <v>581</v>
      </c>
      <c r="B582" s="1" t="str">
        <f>IF(LEFT(Annex!H316,5)="Local","Local Transmission",Annex!H316)</f>
        <v>Local Transmission</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1266</v>
      </c>
    </row>
    <row r="583" spans="1:13" ht="13.8" customHeight="1" x14ac:dyDescent="0.3">
      <c r="A583" s="1">
        <f>Annex!A317</f>
        <v>582</v>
      </c>
      <c r="B583" s="1" t="str">
        <f>IF(LEFT(Annex!H317,5)="Local","Local Transmission",Annex!H317)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1266</v>
      </c>
    </row>
    <row r="584" spans="1:13" ht="13.8" customHeight="1" x14ac:dyDescent="0.3">
      <c r="A584" s="1">
        <f>Annex!A318</f>
        <v>583</v>
      </c>
      <c r="B584" s="1" t="str">
        <f>IF(LEFT(Annex!H318,5)="Local","Local Transmission",Annex!H318)</f>
        <v>Local Transmission</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1266</v>
      </c>
    </row>
    <row r="585" spans="1:13" ht="13.8" customHeight="1" x14ac:dyDescent="0.3">
      <c r="A585" s="1">
        <f>Annex!A319</f>
        <v>584</v>
      </c>
      <c r="B585" s="1" t="str">
        <f>IF(LEFT(Annex!H319,5)="Local","Local Transmission",Annex!H319)</f>
        <v>Local Transmission</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1266</v>
      </c>
    </row>
    <row r="586" spans="1:13" ht="13.8" customHeight="1" x14ac:dyDescent="0.3">
      <c r="A586" s="1">
        <f>Annex!A320</f>
        <v>585</v>
      </c>
      <c r="B586" s="1" t="str">
        <f>IF(LEFT(Annex!H320,5)="Local","Local Transmission",Annex!H320)</f>
        <v>Local Transmission</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1266</v>
      </c>
    </row>
    <row r="587" spans="1:13" ht="13.8" customHeight="1" x14ac:dyDescent="0.3">
      <c r="A587" s="1">
        <f>Annex!A321</f>
        <v>586</v>
      </c>
      <c r="B587" s="1" t="str">
        <f>IF(LEFT(Annex!H321,5)="Local","Local Transmission",Annex!H321)</f>
        <v>Local Transmission</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1266</v>
      </c>
    </row>
    <row r="588" spans="1:13" ht="13.8" customHeight="1" x14ac:dyDescent="0.3">
      <c r="A588" s="1">
        <f>Annex!A322</f>
        <v>587</v>
      </c>
      <c r="B588" s="1" t="str">
        <f>IF(LEFT(Annex!H322,5)="Local","Local Transmission",Annex!H322)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1266</v>
      </c>
    </row>
    <row r="589" spans="1:13" ht="13.8" customHeight="1" x14ac:dyDescent="0.3">
      <c r="A589" s="1">
        <f>Annex!A323</f>
        <v>588</v>
      </c>
      <c r="B589" s="1" t="str">
        <f>IF(LEFT(Annex!H323,5)="Local","Local Transmission",Annex!H323)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1266</v>
      </c>
    </row>
    <row r="590" spans="1:13" ht="13.8" customHeight="1" x14ac:dyDescent="0.3">
      <c r="A590" s="1">
        <f>Annex!A324</f>
        <v>589</v>
      </c>
      <c r="B590" s="1" t="str">
        <f>IF(LEFT(Annex!H324,5)="Local","Local Transmission",Annex!H324)</f>
        <v>Local Transmission</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1266</v>
      </c>
    </row>
    <row r="591" spans="1:13" ht="13.8" customHeight="1" x14ac:dyDescent="0.3">
      <c r="A591" s="1">
        <f>Annex!A325</f>
        <v>590</v>
      </c>
      <c r="B591" s="1" t="str">
        <f>IF(LEFT(Annex!H325,5)="Local","Local Transmission",Annex!H325)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1266</v>
      </c>
    </row>
    <row r="592" spans="1:13" ht="13.8" customHeight="1" x14ac:dyDescent="0.3">
      <c r="A592" s="1">
        <f>Annex!A326</f>
        <v>591</v>
      </c>
      <c r="B592" s="1" t="str">
        <f>IF(LEFT(Annex!H326,5)="Local","Local Transmission",Annex!H326)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1266</v>
      </c>
    </row>
    <row r="593" spans="1:13" ht="13.8" customHeight="1" x14ac:dyDescent="0.3">
      <c r="A593" s="1">
        <f>Annex!A327</f>
        <v>592</v>
      </c>
      <c r="B593" s="1" t="str">
        <f>IF(LEFT(Annex!H327,5)="Local","Local Transmission",Annex!H327)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1266</v>
      </c>
    </row>
    <row r="594" spans="1:13" ht="13.8" customHeight="1" x14ac:dyDescent="0.3">
      <c r="A594" s="1">
        <f>Annex!A328</f>
        <v>593</v>
      </c>
      <c r="B594" s="1" t="str">
        <f>IF(LEFT(Annex!H328,5)="Local","Local Transmission",Annex!H328)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1"/>
      <c r="I594" s="1"/>
      <c r="J594" s="1"/>
      <c r="K594" s="1"/>
      <c r="L594" s="1" t="str">
        <f>Annex!C328</f>
        <v xml:space="preserve">NCID </v>
      </c>
      <c r="M594" s="13" t="s">
        <v>1266</v>
      </c>
    </row>
    <row r="595" spans="1:13" ht="13.8" customHeight="1" x14ac:dyDescent="0.3">
      <c r="A595" s="1">
        <f>Annex!A329</f>
        <v>594</v>
      </c>
      <c r="B595" s="1" t="str">
        <f>IF(LEFT(Annex!H329,5)="Local","Local Transmission",Annex!H329)</f>
        <v>Local Transmission</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1266</v>
      </c>
    </row>
    <row r="596" spans="1:13" ht="13.8" customHeight="1" x14ac:dyDescent="0.3">
      <c r="A596" s="1">
        <f>Annex!A330</f>
        <v>595</v>
      </c>
      <c r="B596" s="1" t="str">
        <f>IF(LEFT(Annex!H330,5)="Local","Local Transmission",Annex!H330)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1266</v>
      </c>
    </row>
    <row r="597" spans="1:13" ht="13.8" customHeight="1" x14ac:dyDescent="0.3">
      <c r="A597" s="1">
        <f>Annex!A331</f>
        <v>596</v>
      </c>
      <c r="B597" s="1" t="str">
        <f>IF(LEFT(Annex!H331,5)="Local","Local Transmission",Annex!H331)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1266</v>
      </c>
    </row>
    <row r="598" spans="1:13" ht="13.8" customHeight="1" x14ac:dyDescent="0.3">
      <c r="A598" s="1">
        <f>Annex!A332</f>
        <v>597</v>
      </c>
      <c r="B598" s="1" t="str">
        <f>IF(LEFT(Annex!H332,5)="Local","Local Transmission",Annex!H332)</f>
        <v>Local Transmission</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1266</v>
      </c>
    </row>
    <row r="599" spans="1:13" ht="13.8" customHeight="1" x14ac:dyDescent="0.3">
      <c r="A599" s="1">
        <f>Annex!A333</f>
        <v>598</v>
      </c>
      <c r="B599" s="1" t="str">
        <f>IF(LEFT(Annex!H333,5)="Local","Local Transmission",Annex!H333)</f>
        <v>Local Transmission</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1266</v>
      </c>
    </row>
    <row r="600" spans="1:13" ht="13.8" customHeight="1" x14ac:dyDescent="0.3">
      <c r="A600" s="1">
        <f>Annex!A334</f>
        <v>599</v>
      </c>
      <c r="B600" s="1" t="str">
        <f>IF(LEFT(Annex!H334,5)="Local","Local Transmission",Annex!H334)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1"/>
      <c r="I600" s="1"/>
      <c r="J600" s="1"/>
      <c r="K600" s="1"/>
      <c r="L600" s="1" t="str">
        <f>Annex!C334</f>
        <v xml:space="preserve">NCID </v>
      </c>
      <c r="M600" s="13" t="s">
        <v>1266</v>
      </c>
    </row>
    <row r="601" spans="1:13" ht="13.8" customHeight="1" x14ac:dyDescent="0.3">
      <c r="A601" s="1">
        <f>Annex!A335</f>
        <v>600</v>
      </c>
      <c r="B601" s="1" t="str">
        <f>IF(LEFT(Annex!H335,5)="Local","Local Transmission",Annex!H335)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1266</v>
      </c>
    </row>
    <row r="602" spans="1:13" ht="13.8" customHeight="1" x14ac:dyDescent="0.3">
      <c r="A602" s="1">
        <f>Annex!A336</f>
        <v>601</v>
      </c>
      <c r="B602" s="1" t="str">
        <f>IF(LEFT(Annex!H336,5)="Local","Local Transmission",Annex!H336)</f>
        <v>Local Transmission</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1"/>
      <c r="I602" s="1"/>
      <c r="J602" s="1"/>
      <c r="K602" s="1"/>
      <c r="L602" s="1" t="str">
        <f>Annex!C336</f>
        <v xml:space="preserve">NCID </v>
      </c>
      <c r="M602" s="13" t="s">
        <v>1266</v>
      </c>
    </row>
    <row r="603" spans="1:13" ht="13.8" customHeight="1" x14ac:dyDescent="0.3">
      <c r="A603" s="1">
        <f>Annex!A337</f>
        <v>602</v>
      </c>
      <c r="B603" s="1" t="str">
        <f>IF(LEFT(Annex!H337,5)="Local","Local Transmission",Annex!H337)</f>
        <v>Local Transmission</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2">
        <v>43915</v>
      </c>
      <c r="H603" s="1"/>
      <c r="I603" s="1"/>
      <c r="J603" s="1"/>
      <c r="K603" s="1"/>
      <c r="L603" s="1" t="str">
        <f>Annex!C337</f>
        <v xml:space="preserve">NCID </v>
      </c>
      <c r="M603" s="13" t="s">
        <v>1266</v>
      </c>
    </row>
    <row r="604" spans="1:13" ht="13.8" customHeight="1" x14ac:dyDescent="0.3">
      <c r="A604" s="1">
        <f>Annex!A338</f>
        <v>603</v>
      </c>
      <c r="B604" s="1" t="str">
        <f>IF(LEFT(Annex!H338,5)="Local","Local Transmission",Annex!H338)</f>
        <v>Local Transmission</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13" t="s">
        <v>1266</v>
      </c>
    </row>
    <row r="605" spans="1:13" ht="13.8" customHeight="1" x14ac:dyDescent="0.3">
      <c r="A605" s="1">
        <f>Annex!A339</f>
        <v>604</v>
      </c>
      <c r="B605" s="1" t="str">
        <f>IF(LEFT(Annex!H339,5)="Local","Local Transmission",Annex!H339)</f>
        <v>Local Transmission</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13" t="s">
        <v>1266</v>
      </c>
    </row>
    <row r="606" spans="1:13" ht="13.8" customHeight="1" x14ac:dyDescent="0.3">
      <c r="A606" s="1">
        <f>Annex!A340</f>
        <v>605</v>
      </c>
      <c r="B606" s="1" t="str">
        <f>IF(LEFT(Annex!H340,5)="Local","Local Transmission",Annex!H340)</f>
        <v>Local Transmission</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13" t="s">
        <v>1266</v>
      </c>
    </row>
    <row r="607" spans="1:13" ht="13.8" customHeight="1" x14ac:dyDescent="0.3">
      <c r="A607" s="1">
        <f>Annex!A341</f>
        <v>606</v>
      </c>
      <c r="B607" s="1" t="str">
        <f>IF(LEFT(Annex!H341,5)="Local","Local Transmission",Annex!H341)</f>
        <v>Local Transmission</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13" t="s">
        <v>1266</v>
      </c>
    </row>
    <row r="608" spans="1:13" ht="13.8" customHeight="1" x14ac:dyDescent="0.3">
      <c r="A608" s="1">
        <f>Annex!A342</f>
        <v>607</v>
      </c>
      <c r="B608" s="1" t="str">
        <f>IF(LEFT(Annex!H342,5)="Local","Local Transmission",Annex!H342)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13" t="s">
        <v>1266</v>
      </c>
    </row>
    <row r="609" spans="1:13" ht="13.8" customHeight="1" x14ac:dyDescent="0.3">
      <c r="A609" s="1">
        <f>Annex!A343</f>
        <v>608</v>
      </c>
      <c r="B609" s="1" t="str">
        <f>IF(LEFT(Annex!H343,5)="Local","Local Transmission",Annex!H343)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13" t="s">
        <v>1266</v>
      </c>
    </row>
    <row r="610" spans="1:13" ht="13.8" customHeight="1" x14ac:dyDescent="0.3">
      <c r="A610" s="1">
        <f>Annex!A344</f>
        <v>609</v>
      </c>
      <c r="B610" s="1" t="str">
        <f>IF(LEFT(Annex!H344,5)="Local","Local Transmission",Annex!H344)</f>
        <v>Local Transmission</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13" t="s">
        <v>1266</v>
      </c>
    </row>
    <row r="611" spans="1:13" ht="13.8" customHeight="1" x14ac:dyDescent="0.3">
      <c r="A611" s="1">
        <f>Annex!A345</f>
        <v>610</v>
      </c>
      <c r="B611" s="1" t="str">
        <f>IF(LEFT(Annex!H345,5)="Local","Local Transmission",Annex!H345)</f>
        <v>Local Transmission</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13" t="s">
        <v>1266</v>
      </c>
    </row>
    <row r="612" spans="1:13" ht="13.8" customHeight="1" x14ac:dyDescent="0.3">
      <c r="A612" s="1">
        <f>Annex!A346</f>
        <v>611</v>
      </c>
      <c r="B612" s="1" t="str">
        <f>IF(LEFT(Annex!H346,5)="Local","Local Transmission",Annex!H346)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13" t="s">
        <v>1266</v>
      </c>
    </row>
    <row r="613" spans="1:13" ht="13.8" customHeight="1" x14ac:dyDescent="0.3">
      <c r="A613" s="1">
        <f>Annex!A347</f>
        <v>612</v>
      </c>
      <c r="B613" s="1" t="str">
        <f>IF(LEFT(Annex!H347,5)="Local","Local Transmission",Annex!H347)</f>
        <v>Local Transmission</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13" t="s">
        <v>1266</v>
      </c>
    </row>
    <row r="614" spans="1:13" ht="13.8" customHeight="1" x14ac:dyDescent="0.3">
      <c r="A614" s="1">
        <f>Annex!A348</f>
        <v>613</v>
      </c>
      <c r="B614" s="1" t="str">
        <f>IF(LEFT(Annex!H348,5)="Local","Local Transmission",Annex!H348)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13" t="s">
        <v>1266</v>
      </c>
    </row>
    <row r="615" spans="1:13" ht="13.8" customHeight="1" x14ac:dyDescent="0.3">
      <c r="A615" s="1">
        <f>Annex!A349</f>
        <v>614</v>
      </c>
      <c r="B615" s="1" t="str">
        <f>IF(LEFT(Annex!H349,5)="Local","Local Transmission",Annex!H349)</f>
        <v>Local Transmission</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1"/>
      <c r="I615" s="1"/>
      <c r="J615" s="1"/>
      <c r="K615" s="1"/>
      <c r="L615" s="1" t="str">
        <f>Annex!C349</f>
        <v xml:space="preserve">NCID </v>
      </c>
      <c r="M615" s="13" t="s">
        <v>1266</v>
      </c>
    </row>
    <row r="616" spans="1:13" ht="13.8" customHeight="1" x14ac:dyDescent="0.3">
      <c r="A616" s="1">
        <f>Annex!A350</f>
        <v>615</v>
      </c>
      <c r="B616" s="1" t="str">
        <f>IF(LEFT(Annex!H350,5)="Local","Local Transmission",Annex!H350)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13" t="s">
        <v>1266</v>
      </c>
    </row>
    <row r="617" spans="1:13" ht="13.8" customHeight="1" x14ac:dyDescent="0.3">
      <c r="A617" s="1">
        <f>Annex!A351</f>
        <v>616</v>
      </c>
      <c r="B617" s="1" t="str">
        <f>IF(LEFT(Annex!H351,5)="Local","Local Transmission",Annex!H351)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13" t="s">
        <v>1266</v>
      </c>
    </row>
    <row r="618" spans="1:13" ht="13.8" customHeight="1" x14ac:dyDescent="0.3">
      <c r="A618" s="1">
        <f>Annex!A352</f>
        <v>617</v>
      </c>
      <c r="B618" s="1" t="str">
        <f>IF(LEFT(Annex!H352,5)="Local","Local Transmission",Annex!H352)</f>
        <v>Local Transmission</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13" t="s">
        <v>1266</v>
      </c>
    </row>
    <row r="619" spans="1:13" ht="13.8" customHeight="1" x14ac:dyDescent="0.3">
      <c r="A619" s="1">
        <f>Annex!A353</f>
        <v>618</v>
      </c>
      <c r="B619" s="1" t="str">
        <f>IF(LEFT(Annex!H353,5)="Local","Local Transmission",Annex!H353)</f>
        <v>Local Transmission</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13" t="s">
        <v>1266</v>
      </c>
    </row>
    <row r="620" spans="1:13" ht="13.8" customHeight="1" x14ac:dyDescent="0.3">
      <c r="A620" s="1">
        <f>Annex!A354</f>
        <v>619</v>
      </c>
      <c r="B620" s="1" t="str">
        <f>IF(LEFT(Annex!H354,5)="Local","Local Transmission",Annex!H354)</f>
        <v>Local Transmission</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13" t="s">
        <v>1266</v>
      </c>
    </row>
    <row r="621" spans="1:13" ht="13.8" customHeight="1" x14ac:dyDescent="0.3">
      <c r="A621" s="1">
        <f>Annex!A355</f>
        <v>620</v>
      </c>
      <c r="B621" s="1" t="str">
        <f>IF(LEFT(Annex!H355,5)="Local","Local Transmission",Annex!H355)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13" t="s">
        <v>1266</v>
      </c>
    </row>
    <row r="622" spans="1:13" ht="13.8" customHeight="1" x14ac:dyDescent="0.3">
      <c r="A622" s="1">
        <f>Annex!A356</f>
        <v>621</v>
      </c>
      <c r="B622" s="1" t="str">
        <f>IF(LEFT(Annex!H356,5)="Local","Local Transmission",Annex!H356)</f>
        <v>Local Transmission</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13" t="s">
        <v>1266</v>
      </c>
    </row>
    <row r="623" spans="1:13" ht="13.8" customHeight="1" x14ac:dyDescent="0.3">
      <c r="A623" s="1">
        <f>Annex!A357</f>
        <v>622</v>
      </c>
      <c r="B623" s="1" t="str">
        <f>IF(LEFT(Annex!H357,5)="Local","Local Transmission",Annex!H357)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1"/>
      <c r="I623" s="1"/>
      <c r="J623" s="1"/>
      <c r="K623" s="1"/>
      <c r="L623" s="1" t="str">
        <f>Annex!C357</f>
        <v xml:space="preserve">NCID </v>
      </c>
      <c r="M623" s="13" t="s">
        <v>1266</v>
      </c>
    </row>
    <row r="624" spans="1:13" ht="13.8" customHeight="1" x14ac:dyDescent="0.3">
      <c r="A624" s="1">
        <f>Annex!A358</f>
        <v>623</v>
      </c>
      <c r="B624" s="1" t="str">
        <f>IF(LEFT(Annex!H358,5)="Local","Local Transmission",Annex!H358)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13" t="s">
        <v>1266</v>
      </c>
    </row>
    <row r="625" spans="1:13" ht="13.8" customHeight="1" x14ac:dyDescent="0.3">
      <c r="A625" s="1">
        <f>Annex!A359</f>
        <v>624</v>
      </c>
      <c r="B625" s="1" t="str">
        <f>IF(LEFT(Annex!H359,5)="Local","Local Transmission",Annex!H359)</f>
        <v>Local Transmission</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13" t="s">
        <v>1266</v>
      </c>
    </row>
    <row r="626" spans="1:13" ht="13.8" customHeight="1" x14ac:dyDescent="0.3">
      <c r="A626" s="1">
        <f>Annex!A360</f>
        <v>625</v>
      </c>
      <c r="B626" s="1" t="str">
        <f>IF(LEFT(Annex!H360,5)="Local","Local Transmission",Annex!H360)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1"/>
      <c r="I626" s="1"/>
      <c r="J626" s="1"/>
      <c r="K626" s="1"/>
      <c r="L626" s="1" t="str">
        <f>Annex!C360</f>
        <v xml:space="preserve">CGH </v>
      </c>
      <c r="M626" s="13" t="s">
        <v>1266</v>
      </c>
    </row>
    <row r="627" spans="1:13" ht="13.8" customHeight="1" x14ac:dyDescent="0.3">
      <c r="A627" s="1">
        <f>Annex!A361</f>
        <v>626</v>
      </c>
      <c r="B627" s="1" t="str">
        <f>IF(LEFT(Annex!H361,5)="Local","Local Transmission",Annex!H361)</f>
        <v>Local Transmission</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13" t="s">
        <v>1266</v>
      </c>
    </row>
    <row r="628" spans="1:13" ht="13.8" customHeight="1" x14ac:dyDescent="0.3">
      <c r="A628" s="1">
        <f>Annex!A362</f>
        <v>627</v>
      </c>
      <c r="B628" s="1" t="str">
        <f>IF(LEFT(Annex!H362,5)="Local","Local Transmission",Annex!H362)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13" t="s">
        <v>1266</v>
      </c>
    </row>
    <row r="629" spans="1:13" ht="13.8" customHeight="1" x14ac:dyDescent="0.3">
      <c r="A629" s="1">
        <f>Annex!A363</f>
        <v>628</v>
      </c>
      <c r="B629" s="1" t="str">
        <f>IF(LEFT(Annex!H363,5)="Local","Local Transmission",Annex!H363)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13" t="s">
        <v>1266</v>
      </c>
    </row>
    <row r="630" spans="1:13" ht="13.8" customHeight="1" x14ac:dyDescent="0.3">
      <c r="A630" s="1">
        <f>Annex!A364</f>
        <v>629</v>
      </c>
      <c r="B630" s="1" t="str">
        <f>IF(LEFT(Annex!H364,5)="Local","Local Transmission",Annex!H364)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1"/>
      <c r="I630" s="1"/>
      <c r="J630" s="1"/>
      <c r="K630" s="1"/>
      <c r="L630" s="1" t="str">
        <f>Annex!C364</f>
        <v xml:space="preserve">SGH </v>
      </c>
      <c r="M630" s="13" t="s">
        <v>1266</v>
      </c>
    </row>
    <row r="631" spans="1:13" ht="13.8" customHeight="1" x14ac:dyDescent="0.3">
      <c r="A631" s="1">
        <f>Annex!A365</f>
        <v>630</v>
      </c>
      <c r="B631" s="1" t="str">
        <f>IF(LEFT(Annex!H365,5)="Local","Local Transmission",Annex!H365)</f>
        <v>Local Transmission</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13" t="s">
        <v>1266</v>
      </c>
    </row>
    <row r="632" spans="1:13" ht="13.8" customHeight="1" x14ac:dyDescent="0.3">
      <c r="A632" s="1">
        <f>Annex!A366</f>
        <v>631</v>
      </c>
      <c r="B632" s="1" t="str">
        <f>IF(LEFT(Annex!H366,5)="Local","Local Transmission",Annex!H366)</f>
        <v>Local Transmission</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13" t="s">
        <v>1266</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366"/>
  <sheetViews>
    <sheetView topLeftCell="A342" workbookViewId="0">
      <selection activeCell="O294" sqref="O294:P366"/>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G251" t="s">
        <v>1176</v>
      </c>
      <c r="H251" t="s">
        <v>1221</v>
      </c>
      <c r="J251" t="str">
        <f t="shared" si="24"/>
        <v>Female</v>
      </c>
      <c r="K251" t="str">
        <f t="shared" si="25"/>
        <v>Singaporean</v>
      </c>
      <c r="L251" t="str">
        <f t="shared" si="26"/>
        <v xml:space="preserve">Case 516 is a unlinked case, 42 years old female Singapore Citizen  and has been to Local . She is currently admitted at CGH . </v>
      </c>
      <c r="M251">
        <f t="shared" si="27"/>
        <v>516</v>
      </c>
      <c r="N251" t="str">
        <f t="shared" si="28"/>
        <v xml:space="preserve">Local </v>
      </c>
      <c r="O251" t="str">
        <f t="shared" si="29"/>
        <v/>
      </c>
      <c r="P251" t="str">
        <f t="shared" si="30"/>
        <v/>
      </c>
    </row>
    <row r="252" spans="1:16" x14ac:dyDescent="0.3">
      <c r="A252">
        <v>517</v>
      </c>
      <c r="B252" s="24">
        <v>43913</v>
      </c>
      <c r="C252" t="s">
        <v>1071</v>
      </c>
      <c r="D252">
        <v>37</v>
      </c>
      <c r="E252" t="s">
        <v>1059</v>
      </c>
      <c r="F252" t="s">
        <v>1060</v>
      </c>
      <c r="G252" t="s">
        <v>1213</v>
      </c>
      <c r="H252" t="s">
        <v>1069</v>
      </c>
      <c r="I252" t="s">
        <v>1222</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1223</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1224</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1225</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1226</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1227</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1226</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1228</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1226</v>
      </c>
      <c r="H280" t="s">
        <v>1069</v>
      </c>
      <c r="I280" t="s">
        <v>1229</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1230</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1231</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1232</v>
      </c>
      <c r="G289" t="s">
        <v>1233</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1234</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4">
        <v>43914</v>
      </c>
      <c r="C294" t="s">
        <v>1071</v>
      </c>
      <c r="D294">
        <v>22</v>
      </c>
      <c r="E294" t="s">
        <v>1059</v>
      </c>
      <c r="F294" t="s">
        <v>1060</v>
      </c>
      <c r="G294" t="s">
        <v>1063</v>
      </c>
      <c r="H294" t="s">
        <v>77</v>
      </c>
      <c r="J294" s="32" t="str">
        <f t="shared" ref="J294" si="31">IF(TRIM(E294)="M","Male",IF(TRIM(E294)="F","Female",""))</f>
        <v>Male</v>
      </c>
      <c r="K294" s="32" t="str">
        <f t="shared" ref="K294" si="32">IF(LEFT(F294,9)="Singapore","Singaporean",IF(ISERR(FIND("(",F294)),F294,LEFT(F294,FIND("(",F294)-2)))</f>
        <v>Singaporean</v>
      </c>
      <c r="L294" s="32"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2">
        <f t="shared" ref="M294" si="34">IF(G294="","",A294)</f>
        <v>559</v>
      </c>
      <c r="N294" s="32" t="str">
        <f t="shared" ref="N294" si="35">IF(G294="","",G294)</f>
        <v xml:space="preserve">UK </v>
      </c>
      <c r="O294" s="32" t="str">
        <f t="shared" ref="O294" si="36">IF(I294="","",A294)</f>
        <v/>
      </c>
      <c r="P294" s="32" t="str">
        <f t="shared" ref="P294" si="37">IF(I294="","",I294)</f>
        <v/>
      </c>
    </row>
    <row r="295" spans="1:16" x14ac:dyDescent="0.3">
      <c r="A295">
        <v>560</v>
      </c>
      <c r="B295" s="24">
        <v>43914</v>
      </c>
      <c r="C295" t="s">
        <v>1071</v>
      </c>
      <c r="D295">
        <v>24</v>
      </c>
      <c r="E295" t="s">
        <v>1059</v>
      </c>
      <c r="F295" t="s">
        <v>1060</v>
      </c>
      <c r="G295" t="s">
        <v>1085</v>
      </c>
      <c r="H295" t="s">
        <v>77</v>
      </c>
      <c r="J295" s="32" t="str">
        <f t="shared" ref="J295:J358" si="38">IF(TRIM(E295)="M","Male",IF(TRIM(E295)="F","Female",""))</f>
        <v>Male</v>
      </c>
      <c r="K295" s="32" t="str">
        <f t="shared" ref="K295:K358" si="39">IF(LEFT(F295,9)="Singapore","Singaporean",IF(ISERR(FIND("(",F295)),F295,LEFT(F295,FIND("(",F295)-2)))</f>
        <v>Singaporean</v>
      </c>
      <c r="L295" s="32"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2">
        <f t="shared" ref="M295:M358" si="41">IF(G295="","",A295)</f>
        <v>560</v>
      </c>
      <c r="N295" s="32" t="str">
        <f t="shared" ref="N295:N358" si="42">IF(G295="","",G295)</f>
        <v xml:space="preserve">US </v>
      </c>
      <c r="O295" s="32" t="str">
        <f t="shared" ref="O295:O358" si="43">IF(I295="","",A295)</f>
        <v/>
      </c>
      <c r="P295" s="32" t="str">
        <f t="shared" ref="P295:P358" si="44">IF(I295="","",I295)</f>
        <v/>
      </c>
    </row>
    <row r="296" spans="1:16" x14ac:dyDescent="0.3">
      <c r="A296">
        <v>561</v>
      </c>
      <c r="B296" s="24">
        <v>43914</v>
      </c>
      <c r="C296" t="s">
        <v>1071</v>
      </c>
      <c r="D296">
        <v>30</v>
      </c>
      <c r="E296" t="s">
        <v>1059</v>
      </c>
      <c r="F296" t="s">
        <v>1060</v>
      </c>
      <c r="G296" t="s">
        <v>703</v>
      </c>
      <c r="H296" t="s">
        <v>77</v>
      </c>
      <c r="J296" s="32" t="str">
        <f t="shared" si="38"/>
        <v>Male</v>
      </c>
      <c r="K296" s="32" t="str">
        <f t="shared" si="39"/>
        <v>Singaporean</v>
      </c>
      <c r="L296" s="32" t="str">
        <f t="shared" si="40"/>
        <v xml:space="preserve">Case 561 is a Imported case, 30 years old male Singapore Citizen  and has been to France . He is currently admitted at NCID . </v>
      </c>
      <c r="M296" s="32">
        <f t="shared" si="41"/>
        <v>561</v>
      </c>
      <c r="N296" s="32" t="str">
        <f t="shared" si="42"/>
        <v xml:space="preserve">France </v>
      </c>
      <c r="O296" s="32" t="str">
        <f t="shared" si="43"/>
        <v/>
      </c>
      <c r="P296" s="32" t="str">
        <f t="shared" si="44"/>
        <v/>
      </c>
    </row>
    <row r="297" spans="1:16" x14ac:dyDescent="0.3">
      <c r="A297">
        <v>562</v>
      </c>
      <c r="B297" s="24">
        <v>43914</v>
      </c>
      <c r="C297" t="s">
        <v>1062</v>
      </c>
      <c r="D297">
        <v>28</v>
      </c>
      <c r="E297" t="s">
        <v>1073</v>
      </c>
      <c r="F297" t="s">
        <v>1072</v>
      </c>
      <c r="G297" t="s">
        <v>687</v>
      </c>
      <c r="H297" t="s">
        <v>77</v>
      </c>
      <c r="J297" s="32" t="str">
        <f t="shared" si="38"/>
        <v>Female</v>
      </c>
      <c r="K297" s="32" t="str">
        <f t="shared" si="39"/>
        <v>Singaporean</v>
      </c>
      <c r="L297" s="32" t="str">
        <f t="shared" si="40"/>
        <v xml:space="preserve">Case 562 is a Imported case, 28 years old female Singapore Permanent Resident  and has been to Indonesia . She is currently admitted at NTFGH . </v>
      </c>
      <c r="M297" s="32">
        <f t="shared" si="41"/>
        <v>562</v>
      </c>
      <c r="N297" s="32" t="str">
        <f t="shared" si="42"/>
        <v xml:space="preserve">Indonesia </v>
      </c>
      <c r="O297" s="32" t="str">
        <f t="shared" si="43"/>
        <v/>
      </c>
      <c r="P297" s="32" t="str">
        <f t="shared" si="44"/>
        <v/>
      </c>
    </row>
    <row r="298" spans="1:16" x14ac:dyDescent="0.3">
      <c r="A298">
        <v>563</v>
      </c>
      <c r="B298" s="24">
        <v>43914</v>
      </c>
      <c r="C298" t="s">
        <v>1071</v>
      </c>
      <c r="D298">
        <v>25</v>
      </c>
      <c r="E298" t="s">
        <v>1059</v>
      </c>
      <c r="F298" t="s">
        <v>1060</v>
      </c>
      <c r="G298" t="s">
        <v>1063</v>
      </c>
      <c r="H298" t="s">
        <v>77</v>
      </c>
      <c r="J298" s="32" t="str">
        <f t="shared" si="38"/>
        <v>Male</v>
      </c>
      <c r="K298" s="32" t="str">
        <f t="shared" si="39"/>
        <v>Singaporean</v>
      </c>
      <c r="L298" s="32" t="str">
        <f t="shared" si="40"/>
        <v xml:space="preserve">Case 563 is a Imported case, 25 years old male Singapore Citizen  and has been to UK . He is currently admitted at NCID . </v>
      </c>
      <c r="M298" s="32">
        <f t="shared" si="41"/>
        <v>563</v>
      </c>
      <c r="N298" s="32" t="str">
        <f t="shared" si="42"/>
        <v xml:space="preserve">UK </v>
      </c>
      <c r="O298" s="32" t="str">
        <f t="shared" si="43"/>
        <v/>
      </c>
      <c r="P298" s="32" t="str">
        <f t="shared" si="44"/>
        <v/>
      </c>
    </row>
    <row r="299" spans="1:16" x14ac:dyDescent="0.3">
      <c r="A299">
        <v>564</v>
      </c>
      <c r="B299" s="24">
        <v>43914</v>
      </c>
      <c r="C299" t="s">
        <v>1071</v>
      </c>
      <c r="D299">
        <v>29</v>
      </c>
      <c r="E299" t="s">
        <v>1059</v>
      </c>
      <c r="F299" t="s">
        <v>1240</v>
      </c>
      <c r="G299" t="s">
        <v>1177</v>
      </c>
      <c r="H299" t="s">
        <v>77</v>
      </c>
      <c r="J299" s="32" t="str">
        <f t="shared" si="38"/>
        <v>Male</v>
      </c>
      <c r="K299" s="32" t="str">
        <f t="shared" si="39"/>
        <v>France</v>
      </c>
      <c r="L299" s="32" t="str">
        <f t="shared" si="40"/>
        <v xml:space="preserve">Case 564 is a Imported case, 29 years old male France (Singapore Work Pass holder)  and has been to Pending . He is currently admitted at NCID . </v>
      </c>
      <c r="M299" s="32">
        <f t="shared" si="41"/>
        <v>564</v>
      </c>
      <c r="N299" s="32" t="str">
        <f t="shared" si="42"/>
        <v xml:space="preserve">Pending </v>
      </c>
      <c r="O299" s="32" t="str">
        <f t="shared" si="43"/>
        <v/>
      </c>
      <c r="P299" s="32" t="str">
        <f t="shared" si="44"/>
        <v/>
      </c>
    </row>
    <row r="300" spans="1:16" x14ac:dyDescent="0.3">
      <c r="A300">
        <v>565</v>
      </c>
      <c r="B300" s="24">
        <v>43914</v>
      </c>
      <c r="C300" t="s">
        <v>1071</v>
      </c>
      <c r="D300">
        <v>46</v>
      </c>
      <c r="E300" t="s">
        <v>1073</v>
      </c>
      <c r="F300" t="s">
        <v>1072</v>
      </c>
      <c r="G300" t="s">
        <v>1063</v>
      </c>
      <c r="H300" t="s">
        <v>77</v>
      </c>
      <c r="J300" s="32" t="str">
        <f t="shared" si="38"/>
        <v>Female</v>
      </c>
      <c r="K300" s="32" t="str">
        <f t="shared" si="39"/>
        <v>Singaporean</v>
      </c>
      <c r="L300" s="32" t="str">
        <f t="shared" si="40"/>
        <v xml:space="preserve">Case 565 is a Imported case, 46 years old female Singapore Permanent Resident  and has been to UK . She is currently admitted at NCID . </v>
      </c>
      <c r="M300" s="32">
        <f t="shared" si="41"/>
        <v>565</v>
      </c>
      <c r="N300" s="32" t="str">
        <f t="shared" si="42"/>
        <v xml:space="preserve">UK </v>
      </c>
      <c r="O300" s="32" t="str">
        <f t="shared" si="43"/>
        <v/>
      </c>
      <c r="P300" s="32" t="str">
        <f t="shared" si="44"/>
        <v/>
      </c>
    </row>
    <row r="301" spans="1:16" x14ac:dyDescent="0.3">
      <c r="A301">
        <v>566</v>
      </c>
      <c r="B301" s="24">
        <v>43914</v>
      </c>
      <c r="C301" t="s">
        <v>135</v>
      </c>
      <c r="D301">
        <v>67</v>
      </c>
      <c r="E301" t="s">
        <v>1073</v>
      </c>
      <c r="F301" t="s">
        <v>1060</v>
      </c>
      <c r="G301" t="s">
        <v>360</v>
      </c>
      <c r="H301" t="s">
        <v>1086</v>
      </c>
      <c r="I301" t="s">
        <v>1241</v>
      </c>
      <c r="J301" s="32" t="str">
        <f t="shared" si="38"/>
        <v>Female</v>
      </c>
      <c r="K301" s="32" t="str">
        <f t="shared" si="39"/>
        <v>Singaporean</v>
      </c>
      <c r="L301" s="32" t="str">
        <f t="shared" si="40"/>
        <v>Case 566 is a Local linked  case, 67 years old female Singapore Citizen  and has been to Malaysia . She is currently admitted at CGH. Family member of Cases 521, 567, 572 and 601 PCF Fengshan</v>
      </c>
      <c r="M301" s="32">
        <f t="shared" si="41"/>
        <v>566</v>
      </c>
      <c r="N301" s="32" t="str">
        <f t="shared" si="42"/>
        <v xml:space="preserve">Malaysia </v>
      </c>
      <c r="O301" s="32">
        <f t="shared" si="43"/>
        <v>566</v>
      </c>
      <c r="P301" s="32" t="str">
        <f t="shared" si="44"/>
        <v>Family member of Cases 521, 567, 572 and 601 PCF Fengshan</v>
      </c>
    </row>
    <row r="302" spans="1:16" x14ac:dyDescent="0.3">
      <c r="A302">
        <v>567</v>
      </c>
      <c r="B302" s="24">
        <v>43914</v>
      </c>
      <c r="C302" t="s">
        <v>1064</v>
      </c>
      <c r="D302">
        <v>70</v>
      </c>
      <c r="E302" t="s">
        <v>1059</v>
      </c>
      <c r="F302" t="s">
        <v>1060</v>
      </c>
      <c r="G302" t="s">
        <v>360</v>
      </c>
      <c r="H302" t="s">
        <v>1086</v>
      </c>
      <c r="I302" t="s">
        <v>1242</v>
      </c>
      <c r="J302" s="32" t="str">
        <f t="shared" si="38"/>
        <v>Male</v>
      </c>
      <c r="K302" s="32" t="str">
        <f t="shared" si="39"/>
        <v>Singaporean</v>
      </c>
      <c r="L302" s="32" t="str">
        <f t="shared" si="40"/>
        <v>Case 567 is a Local linked  case, 70 years old male Singapore Citizen  and has been to Malaysia . He is currently admitted at CGH . Family member of Cases 521, 566, 572 and 601 PCF Fengshan</v>
      </c>
      <c r="M302" s="32">
        <f t="shared" si="41"/>
        <v>567</v>
      </c>
      <c r="N302" s="32" t="str">
        <f t="shared" si="42"/>
        <v xml:space="preserve">Malaysia </v>
      </c>
      <c r="O302" s="32">
        <f t="shared" si="43"/>
        <v>567</v>
      </c>
      <c r="P302" s="32" t="str">
        <f t="shared" si="44"/>
        <v>Family member of Cases 521, 566, 572 and 601 PCF Fengshan</v>
      </c>
    </row>
    <row r="303" spans="1:16" x14ac:dyDescent="0.3">
      <c r="A303">
        <v>568</v>
      </c>
      <c r="B303" s="24">
        <v>43914</v>
      </c>
      <c r="C303" t="s">
        <v>1071</v>
      </c>
      <c r="D303">
        <v>30</v>
      </c>
      <c r="E303" t="s">
        <v>1059</v>
      </c>
      <c r="F303" t="s">
        <v>1156</v>
      </c>
      <c r="G303" t="s">
        <v>360</v>
      </c>
      <c r="H303" t="s">
        <v>77</v>
      </c>
      <c r="J303" s="32" t="str">
        <f t="shared" si="38"/>
        <v>Male</v>
      </c>
      <c r="K303" s="32" t="str">
        <f t="shared" si="39"/>
        <v>Malaysia</v>
      </c>
      <c r="L303" s="32" t="str">
        <f t="shared" si="40"/>
        <v xml:space="preserve">Case 568 is a Imported case, 30 years old male Malaysia (Singapore Work Pass holder)  and has been to Malaysia . He is currently admitted at NCID . </v>
      </c>
      <c r="M303" s="32">
        <f t="shared" si="41"/>
        <v>568</v>
      </c>
      <c r="N303" s="32" t="str">
        <f t="shared" si="42"/>
        <v xml:space="preserve">Malaysia </v>
      </c>
      <c r="O303" s="32" t="str">
        <f t="shared" si="43"/>
        <v/>
      </c>
      <c r="P303" s="32" t="str">
        <f t="shared" si="44"/>
        <v/>
      </c>
    </row>
    <row r="304" spans="1:16" x14ac:dyDescent="0.3">
      <c r="A304">
        <v>569</v>
      </c>
      <c r="B304" s="24">
        <v>43914</v>
      </c>
      <c r="C304" t="s">
        <v>1071</v>
      </c>
      <c r="D304">
        <v>22</v>
      </c>
      <c r="E304" t="s">
        <v>1073</v>
      </c>
      <c r="F304" t="s">
        <v>1060</v>
      </c>
      <c r="G304" t="s">
        <v>1063</v>
      </c>
      <c r="H304" t="s">
        <v>77</v>
      </c>
      <c r="J304" s="32" t="str">
        <f t="shared" si="38"/>
        <v>Female</v>
      </c>
      <c r="K304" s="32" t="str">
        <f t="shared" si="39"/>
        <v>Singaporean</v>
      </c>
      <c r="L304" s="32" t="str">
        <f t="shared" si="40"/>
        <v xml:space="preserve">Case 569 is a Imported case, 22 years old female Singapore Citizen  and has been to UK . She is currently admitted at NCID . </v>
      </c>
      <c r="M304" s="32">
        <f t="shared" si="41"/>
        <v>569</v>
      </c>
      <c r="N304" s="32" t="str">
        <f t="shared" si="42"/>
        <v xml:space="preserve">UK </v>
      </c>
      <c r="O304" s="32" t="str">
        <f t="shared" si="43"/>
        <v/>
      </c>
      <c r="P304" s="32" t="str">
        <f t="shared" si="44"/>
        <v/>
      </c>
    </row>
    <row r="305" spans="1:16" x14ac:dyDescent="0.3">
      <c r="A305">
        <v>570</v>
      </c>
      <c r="B305" s="24">
        <v>43914</v>
      </c>
      <c r="C305" t="s">
        <v>1066</v>
      </c>
      <c r="D305">
        <v>50</v>
      </c>
      <c r="E305" t="s">
        <v>1059</v>
      </c>
      <c r="F305" t="s">
        <v>1060</v>
      </c>
      <c r="H305" t="s">
        <v>1086</v>
      </c>
      <c r="I305" t="s">
        <v>1243</v>
      </c>
      <c r="J305" s="32" t="str">
        <f t="shared" si="38"/>
        <v>Male</v>
      </c>
      <c r="K305" s="32" t="str">
        <f t="shared" si="39"/>
        <v>Singaporean</v>
      </c>
      <c r="L305" s="32" t="str">
        <f t="shared" si="40"/>
        <v>Case 570 is a Local linked  case, 50 years old male Singapore Citizen  and has not been overseas. He is currently admitted at SKH . Family member of Case 597</v>
      </c>
      <c r="M305" s="32" t="str">
        <f t="shared" si="41"/>
        <v/>
      </c>
      <c r="N305" s="32" t="str">
        <f t="shared" si="42"/>
        <v/>
      </c>
      <c r="O305" s="32">
        <f t="shared" si="43"/>
        <v>570</v>
      </c>
      <c r="P305" s="32" t="str">
        <f t="shared" si="44"/>
        <v>Family member of Case 597</v>
      </c>
    </row>
    <row r="306" spans="1:16" x14ac:dyDescent="0.3">
      <c r="A306">
        <v>571</v>
      </c>
      <c r="B306" s="24">
        <v>43914</v>
      </c>
      <c r="C306" t="s">
        <v>1172</v>
      </c>
      <c r="D306">
        <v>52</v>
      </c>
      <c r="E306" t="s">
        <v>1059</v>
      </c>
      <c r="F306" t="s">
        <v>1063</v>
      </c>
      <c r="G306" t="s">
        <v>1063</v>
      </c>
      <c r="H306" t="s">
        <v>77</v>
      </c>
      <c r="J306" s="32" t="str">
        <f t="shared" si="38"/>
        <v>Male</v>
      </c>
      <c r="K306" s="32" t="str">
        <f t="shared" si="39"/>
        <v xml:space="preserve">UK </v>
      </c>
      <c r="L306" s="32" t="str">
        <f t="shared" si="40"/>
        <v xml:space="preserve">Case 571 is a Imported case, 52 years old male UK  and has been to UK . He is currently admitted at MEH . </v>
      </c>
      <c r="M306" s="32">
        <f t="shared" si="41"/>
        <v>571</v>
      </c>
      <c r="N306" s="32" t="str">
        <f t="shared" si="42"/>
        <v xml:space="preserve">UK </v>
      </c>
      <c r="O306" s="32" t="str">
        <f t="shared" si="43"/>
        <v/>
      </c>
      <c r="P306" s="32" t="str">
        <f t="shared" si="44"/>
        <v/>
      </c>
    </row>
    <row r="307" spans="1:16" x14ac:dyDescent="0.3">
      <c r="A307">
        <v>572</v>
      </c>
      <c r="B307" s="24">
        <v>43914</v>
      </c>
      <c r="C307" t="s">
        <v>1064</v>
      </c>
      <c r="D307">
        <v>26</v>
      </c>
      <c r="E307" t="s">
        <v>1073</v>
      </c>
      <c r="F307" t="s">
        <v>1060</v>
      </c>
      <c r="H307" t="s">
        <v>1086</v>
      </c>
      <c r="I307" t="s">
        <v>1244</v>
      </c>
      <c r="J307" s="32" t="str">
        <f t="shared" si="38"/>
        <v>Female</v>
      </c>
      <c r="K307" s="32" t="str">
        <f t="shared" si="39"/>
        <v>Singaporean</v>
      </c>
      <c r="L307" s="32" t="str">
        <f t="shared" si="40"/>
        <v>Case 572 is a Local linked  case, 26 years old female Singapore Citizen  and has not been overseas. She is currently admitted at CGH . Family member of Cases 521, 566, 567 and 601 PCF Fengshan</v>
      </c>
      <c r="M307" s="32" t="str">
        <f t="shared" si="41"/>
        <v/>
      </c>
      <c r="N307" s="32" t="str">
        <f t="shared" si="42"/>
        <v/>
      </c>
      <c r="O307" s="32">
        <f t="shared" si="43"/>
        <v>572</v>
      </c>
      <c r="P307" s="32" t="str">
        <f t="shared" si="44"/>
        <v>Family member of Cases 521, 566, 567 and 601 PCF Fengshan</v>
      </c>
    </row>
    <row r="308" spans="1:16" x14ac:dyDescent="0.3">
      <c r="A308">
        <v>573</v>
      </c>
      <c r="B308" s="24">
        <v>43914</v>
      </c>
      <c r="C308" t="s">
        <v>1064</v>
      </c>
      <c r="D308">
        <v>45</v>
      </c>
      <c r="E308" t="s">
        <v>1059</v>
      </c>
      <c r="F308" t="s">
        <v>1060</v>
      </c>
      <c r="H308" t="s">
        <v>1061</v>
      </c>
      <c r="J308" s="32" t="str">
        <f t="shared" si="38"/>
        <v>Male</v>
      </c>
      <c r="K308" s="32" t="str">
        <f t="shared" si="39"/>
        <v>Singaporean</v>
      </c>
      <c r="L308" s="32" t="str">
        <f t="shared" si="40"/>
        <v xml:space="preserve">Case 573 is a Local unlinked case, 45 years old male Singapore Citizen  and has not been overseas. He is currently admitted at CGH . </v>
      </c>
      <c r="M308" s="32" t="str">
        <f t="shared" si="41"/>
        <v/>
      </c>
      <c r="N308" s="32" t="str">
        <f t="shared" si="42"/>
        <v/>
      </c>
      <c r="O308" s="32" t="str">
        <f t="shared" si="43"/>
        <v/>
      </c>
      <c r="P308" s="32" t="str">
        <f t="shared" si="44"/>
        <v/>
      </c>
    </row>
    <row r="309" spans="1:16" x14ac:dyDescent="0.3">
      <c r="A309">
        <v>574</v>
      </c>
      <c r="B309" s="24">
        <v>43914</v>
      </c>
      <c r="C309" t="s">
        <v>1071</v>
      </c>
      <c r="D309">
        <v>24</v>
      </c>
      <c r="E309" t="s">
        <v>1059</v>
      </c>
      <c r="F309" t="s">
        <v>1060</v>
      </c>
      <c r="G309" t="s">
        <v>1177</v>
      </c>
      <c r="H309" t="s">
        <v>77</v>
      </c>
      <c r="J309" s="32" t="str">
        <f t="shared" si="38"/>
        <v>Male</v>
      </c>
      <c r="K309" s="32" t="str">
        <f t="shared" si="39"/>
        <v>Singaporean</v>
      </c>
      <c r="L309" s="32" t="str">
        <f t="shared" si="40"/>
        <v xml:space="preserve">Case 574 is a Imported case, 24 years old male Singapore Citizen  and has been to Pending . He is currently admitted at NCID . </v>
      </c>
      <c r="M309" s="32">
        <f t="shared" si="41"/>
        <v>574</v>
      </c>
      <c r="N309" s="32" t="str">
        <f t="shared" si="42"/>
        <v xml:space="preserve">Pending </v>
      </c>
      <c r="O309" s="32" t="str">
        <f t="shared" si="43"/>
        <v/>
      </c>
      <c r="P309" s="32" t="str">
        <f t="shared" si="44"/>
        <v/>
      </c>
    </row>
    <row r="310" spans="1:16" x14ac:dyDescent="0.3">
      <c r="A310">
        <v>575</v>
      </c>
      <c r="B310" s="24">
        <v>43914</v>
      </c>
      <c r="C310" t="s">
        <v>1062</v>
      </c>
      <c r="D310">
        <v>28</v>
      </c>
      <c r="E310" t="s">
        <v>1059</v>
      </c>
      <c r="F310" t="s">
        <v>1072</v>
      </c>
      <c r="G310" t="s">
        <v>1177</v>
      </c>
      <c r="H310" t="s">
        <v>1069</v>
      </c>
      <c r="J310" s="32" t="str">
        <f t="shared" si="38"/>
        <v>Male</v>
      </c>
      <c r="K310" s="32" t="str">
        <f t="shared" si="39"/>
        <v>Singaporean</v>
      </c>
      <c r="L310" s="32" t="str">
        <f t="shared" si="40"/>
        <v xml:space="preserve">Case 575 is a Imported  case, 28 years old male Singapore Permanent Resident  and has been to Pending . He is currently admitted at NTFGH . </v>
      </c>
      <c r="M310" s="32">
        <f t="shared" si="41"/>
        <v>575</v>
      </c>
      <c r="N310" s="32" t="str">
        <f t="shared" si="42"/>
        <v xml:space="preserve">Pending </v>
      </c>
      <c r="O310" s="32" t="str">
        <f t="shared" si="43"/>
        <v/>
      </c>
      <c r="P310" s="32" t="str">
        <f t="shared" si="44"/>
        <v/>
      </c>
    </row>
    <row r="311" spans="1:16" x14ac:dyDescent="0.3">
      <c r="A311">
        <v>576</v>
      </c>
      <c r="B311" s="24">
        <v>43914</v>
      </c>
      <c r="C311" t="s">
        <v>343</v>
      </c>
      <c r="D311">
        <v>21</v>
      </c>
      <c r="E311" t="s">
        <v>1073</v>
      </c>
      <c r="F311" t="s">
        <v>1072</v>
      </c>
      <c r="G311" t="s">
        <v>1085</v>
      </c>
      <c r="H311" t="s">
        <v>77</v>
      </c>
      <c r="J311" s="32" t="str">
        <f t="shared" si="38"/>
        <v>Female</v>
      </c>
      <c r="K311" s="32" t="str">
        <f t="shared" si="39"/>
        <v>Singaporean</v>
      </c>
      <c r="L311" s="32" t="str">
        <f t="shared" si="40"/>
        <v xml:space="preserve">Case 576 is a Imported case, 21 years old female Singapore Permanent Resident  and has been to US . She is currently admitted at NUH . </v>
      </c>
      <c r="M311" s="32">
        <f t="shared" si="41"/>
        <v>576</v>
      </c>
      <c r="N311" s="32" t="str">
        <f t="shared" si="42"/>
        <v xml:space="preserve">US </v>
      </c>
      <c r="O311" s="32" t="str">
        <f t="shared" si="43"/>
        <v/>
      </c>
      <c r="P311" s="32" t="str">
        <f t="shared" si="44"/>
        <v/>
      </c>
    </row>
    <row r="312" spans="1:16" x14ac:dyDescent="0.3">
      <c r="A312">
        <v>577</v>
      </c>
      <c r="B312" s="24">
        <v>43914</v>
      </c>
      <c r="C312" t="s">
        <v>1058</v>
      </c>
      <c r="D312">
        <v>37</v>
      </c>
      <c r="E312" t="s">
        <v>1073</v>
      </c>
      <c r="F312" t="s">
        <v>1177</v>
      </c>
      <c r="H312" t="s">
        <v>1086</v>
      </c>
      <c r="I312" t="s">
        <v>1245</v>
      </c>
      <c r="J312" s="32" t="str">
        <f t="shared" si="38"/>
        <v>Female</v>
      </c>
      <c r="K312" s="32" t="str">
        <f t="shared" si="39"/>
        <v xml:space="preserve">Pending </v>
      </c>
      <c r="L312" s="32" t="str">
        <f t="shared" si="40"/>
        <v>Case 577 is a Local linked  case, 37 years old female Pending  and has not been overseas. She is currently admitted at KTPH . Contact of Case 527</v>
      </c>
      <c r="M312" s="32" t="str">
        <f t="shared" si="41"/>
        <v/>
      </c>
      <c r="N312" s="32" t="str">
        <f t="shared" si="42"/>
        <v/>
      </c>
      <c r="O312" s="32">
        <f t="shared" si="43"/>
        <v>577</v>
      </c>
      <c r="P312" s="32" t="str">
        <f t="shared" si="44"/>
        <v>Contact of Case 527</v>
      </c>
    </row>
    <row r="313" spans="1:16" x14ac:dyDescent="0.3">
      <c r="A313">
        <v>578</v>
      </c>
      <c r="B313" s="24">
        <v>43914</v>
      </c>
      <c r="C313" t="s">
        <v>1161</v>
      </c>
      <c r="D313">
        <v>11</v>
      </c>
      <c r="E313" t="s">
        <v>1059</v>
      </c>
      <c r="F313" t="s">
        <v>1060</v>
      </c>
      <c r="H313" t="s">
        <v>1086</v>
      </c>
      <c r="I313" t="s">
        <v>1246</v>
      </c>
      <c r="J313" s="32" t="str">
        <f t="shared" si="38"/>
        <v>Male</v>
      </c>
      <c r="K313" s="32" t="str">
        <f t="shared" si="39"/>
        <v>Singaporean</v>
      </c>
      <c r="L313" s="32" t="str">
        <f t="shared" si="40"/>
        <v>Case 578 is a Local linked  case, 11 years old male Singapore Citizen  and has not been overseas. He is currently admitted at KKH . Contact of Case 532</v>
      </c>
      <c r="M313" s="32" t="str">
        <f t="shared" si="41"/>
        <v/>
      </c>
      <c r="N313" s="32" t="str">
        <f t="shared" si="42"/>
        <v/>
      </c>
      <c r="O313" s="32">
        <f t="shared" si="43"/>
        <v>578</v>
      </c>
      <c r="P313" s="32" t="str">
        <f t="shared" si="44"/>
        <v>Contact of Case 532</v>
      </c>
    </row>
    <row r="314" spans="1:16" x14ac:dyDescent="0.3">
      <c r="A314">
        <v>579</v>
      </c>
      <c r="B314" s="24">
        <v>43914</v>
      </c>
      <c r="C314" t="s">
        <v>1138</v>
      </c>
      <c r="D314">
        <v>25</v>
      </c>
      <c r="E314" t="s">
        <v>1059</v>
      </c>
      <c r="F314" t="s">
        <v>1060</v>
      </c>
      <c r="G314" t="s">
        <v>1063</v>
      </c>
      <c r="H314" t="s">
        <v>77</v>
      </c>
      <c r="J314" s="32" t="str">
        <f t="shared" si="38"/>
        <v>Male</v>
      </c>
      <c r="K314" s="32" t="str">
        <f t="shared" si="39"/>
        <v>Singaporean</v>
      </c>
      <c r="L314" s="32" t="str">
        <f t="shared" si="40"/>
        <v xml:space="preserve">Case 579 is a Imported case, 25 years old male Singapore Citizen  and has been to UK . He is currently admitted at SGH . </v>
      </c>
      <c r="M314" s="32">
        <f t="shared" si="41"/>
        <v>579</v>
      </c>
      <c r="N314" s="32" t="str">
        <f t="shared" si="42"/>
        <v xml:space="preserve">UK </v>
      </c>
      <c r="O314" s="32" t="str">
        <f t="shared" si="43"/>
        <v/>
      </c>
      <c r="P314" s="32" t="str">
        <f t="shared" si="44"/>
        <v/>
      </c>
    </row>
    <row r="315" spans="1:16" x14ac:dyDescent="0.3">
      <c r="A315">
        <v>580</v>
      </c>
      <c r="B315" s="24">
        <v>43914</v>
      </c>
      <c r="C315" t="s">
        <v>1138</v>
      </c>
      <c r="D315">
        <v>35</v>
      </c>
      <c r="E315" t="s">
        <v>1073</v>
      </c>
      <c r="F315" t="s">
        <v>1247</v>
      </c>
      <c r="H315" t="s">
        <v>1086</v>
      </c>
      <c r="I315" t="s">
        <v>1248</v>
      </c>
      <c r="J315" s="32" t="str">
        <f t="shared" si="38"/>
        <v>Female</v>
      </c>
      <c r="K315" s="32" t="str">
        <f t="shared" si="39"/>
        <v>US</v>
      </c>
      <c r="L315" s="32" t="str">
        <f t="shared" si="40"/>
        <v>Case 580 is a Local linked  case, 35 years old female US (Singapore Work Pass holder)  and has not been overseas. She is currently admitted at SGH . Contact of Case 518</v>
      </c>
      <c r="M315" s="32" t="str">
        <f t="shared" si="41"/>
        <v/>
      </c>
      <c r="N315" s="32" t="str">
        <f t="shared" si="42"/>
        <v/>
      </c>
      <c r="O315" s="32">
        <f t="shared" si="43"/>
        <v>580</v>
      </c>
      <c r="P315" s="32" t="str">
        <f t="shared" si="44"/>
        <v>Contact of Case 518</v>
      </c>
    </row>
    <row r="316" spans="1:16" x14ac:dyDescent="0.3">
      <c r="A316">
        <v>581</v>
      </c>
      <c r="B316" s="24">
        <v>43914</v>
      </c>
      <c r="C316" t="s">
        <v>1138</v>
      </c>
      <c r="D316">
        <v>47</v>
      </c>
      <c r="E316" t="s">
        <v>1059</v>
      </c>
      <c r="F316" t="s">
        <v>1072</v>
      </c>
      <c r="H316" t="s">
        <v>1061</v>
      </c>
      <c r="J316" s="32" t="str">
        <f t="shared" si="38"/>
        <v>Male</v>
      </c>
      <c r="K316" s="32" t="str">
        <f t="shared" si="39"/>
        <v>Singaporean</v>
      </c>
      <c r="L316" s="32" t="str">
        <f t="shared" si="40"/>
        <v xml:space="preserve">Case 581 is a Local unlinked case, 47 years old male Singapore Permanent Resident  and has not been overseas. He is currently admitted at SGH . </v>
      </c>
      <c r="M316" s="32" t="str">
        <f t="shared" si="41"/>
        <v/>
      </c>
      <c r="N316" s="32" t="str">
        <f t="shared" si="42"/>
        <v/>
      </c>
      <c r="O316" s="32" t="str">
        <f t="shared" si="43"/>
        <v/>
      </c>
      <c r="P316" s="32" t="str">
        <f t="shared" si="44"/>
        <v/>
      </c>
    </row>
    <row r="317" spans="1:16" x14ac:dyDescent="0.3">
      <c r="A317">
        <v>582</v>
      </c>
      <c r="B317" s="24">
        <v>43914</v>
      </c>
      <c r="C317" t="s">
        <v>1161</v>
      </c>
      <c r="D317">
        <v>3</v>
      </c>
      <c r="E317" t="s">
        <v>1073</v>
      </c>
      <c r="F317" t="s">
        <v>1060</v>
      </c>
      <c r="G317" t="s">
        <v>1085</v>
      </c>
      <c r="H317" t="s">
        <v>1069</v>
      </c>
      <c r="I317" t="s">
        <v>1249</v>
      </c>
      <c r="J317" s="32" t="str">
        <f t="shared" si="38"/>
        <v>Female</v>
      </c>
      <c r="K317" s="32" t="str">
        <f t="shared" si="39"/>
        <v>Singaporean</v>
      </c>
      <c r="L317" s="32" t="str">
        <f t="shared" si="40"/>
        <v>Case 582 is a Imported  case, 3 years old female Singapore Citizen  and has been to US . She is currently admitted at KKH . Contact of Case 418</v>
      </c>
      <c r="M317" s="32">
        <f t="shared" si="41"/>
        <v>582</v>
      </c>
      <c r="N317" s="32" t="str">
        <f t="shared" si="42"/>
        <v xml:space="preserve">US </v>
      </c>
      <c r="O317" s="32">
        <f t="shared" si="43"/>
        <v>582</v>
      </c>
      <c r="P317" s="32" t="str">
        <f t="shared" si="44"/>
        <v>Contact of Case 418</v>
      </c>
    </row>
    <row r="318" spans="1:16" x14ac:dyDescent="0.3">
      <c r="A318">
        <v>583</v>
      </c>
      <c r="B318" s="24">
        <v>43914</v>
      </c>
      <c r="C318" t="s">
        <v>1071</v>
      </c>
      <c r="D318">
        <v>61</v>
      </c>
      <c r="E318" t="s">
        <v>1073</v>
      </c>
      <c r="F318" t="s">
        <v>1060</v>
      </c>
      <c r="H318" t="s">
        <v>1086</v>
      </c>
      <c r="I318" t="s">
        <v>1250</v>
      </c>
      <c r="J318" s="32" t="str">
        <f t="shared" si="38"/>
        <v>Female</v>
      </c>
      <c r="K318" s="32" t="str">
        <f t="shared" si="39"/>
        <v>Singaporean</v>
      </c>
      <c r="L318" s="32" t="str">
        <f t="shared" si="40"/>
        <v>Case 583 is a Local linked  case, 61 years old female Singapore Citizen  and has not been overseas. She is currently admitted at NCID . Contact of Cases 516 and 584 PCF Fengshan</v>
      </c>
      <c r="M318" s="32" t="str">
        <f t="shared" si="41"/>
        <v/>
      </c>
      <c r="N318" s="32" t="str">
        <f t="shared" si="42"/>
        <v/>
      </c>
      <c r="O318" s="32">
        <f t="shared" si="43"/>
        <v>583</v>
      </c>
      <c r="P318" s="32" t="str">
        <f t="shared" si="44"/>
        <v>Contact of Cases 516 and 584 PCF Fengshan</v>
      </c>
    </row>
    <row r="319" spans="1:16" x14ac:dyDescent="0.3">
      <c r="A319">
        <v>584</v>
      </c>
      <c r="B319" s="24">
        <v>43914</v>
      </c>
      <c r="C319" t="s">
        <v>1071</v>
      </c>
      <c r="D319">
        <v>37</v>
      </c>
      <c r="E319" t="s">
        <v>1073</v>
      </c>
      <c r="F319" t="s">
        <v>1072</v>
      </c>
      <c r="H319" t="s">
        <v>1086</v>
      </c>
      <c r="I319" t="s">
        <v>1251</v>
      </c>
      <c r="J319" s="32" t="str">
        <f t="shared" si="38"/>
        <v>Female</v>
      </c>
      <c r="K319" s="32" t="str">
        <f t="shared" si="39"/>
        <v>Singaporean</v>
      </c>
      <c r="L319" s="32" t="str">
        <f t="shared" si="40"/>
        <v>Case 584 is a Local linked  case, 37 years old female Singapore Permanent Resident  and has not been overseas. She is currently admitted at NCID . Contact of Cases 516 and 583 PCF Fengshan</v>
      </c>
      <c r="M319" s="32" t="str">
        <f t="shared" si="41"/>
        <v/>
      </c>
      <c r="N319" s="32" t="str">
        <f t="shared" si="42"/>
        <v/>
      </c>
      <c r="O319" s="32">
        <f t="shared" si="43"/>
        <v>584</v>
      </c>
      <c r="P319" s="32" t="str">
        <f t="shared" si="44"/>
        <v>Contact of Cases 516 and 583 PCF Fengshan</v>
      </c>
    </row>
    <row r="320" spans="1:16" x14ac:dyDescent="0.3">
      <c r="A320">
        <v>585</v>
      </c>
      <c r="B320" s="24">
        <v>43914</v>
      </c>
      <c r="C320" t="s">
        <v>1161</v>
      </c>
      <c r="D320">
        <v>38</v>
      </c>
      <c r="E320" t="s">
        <v>1073</v>
      </c>
      <c r="F320" t="s">
        <v>1252</v>
      </c>
      <c r="H320" t="s">
        <v>1086</v>
      </c>
      <c r="I320" t="s">
        <v>1253</v>
      </c>
      <c r="J320" s="32" t="str">
        <f t="shared" si="38"/>
        <v>Female</v>
      </c>
      <c r="K320" s="32" t="str">
        <f t="shared" si="39"/>
        <v>Philippines</v>
      </c>
      <c r="L320" s="32" t="str">
        <f t="shared" si="40"/>
        <v>Case 585 is a Local linked  case, 38 years old female Philippines (Singapore Work Pass holder)  and has not been overseas. She is currently admitted at KKH . Contact of Case 523</v>
      </c>
      <c r="M320" s="32" t="str">
        <f t="shared" si="41"/>
        <v/>
      </c>
      <c r="N320" s="32" t="str">
        <f t="shared" si="42"/>
        <v/>
      </c>
      <c r="O320" s="32">
        <f t="shared" si="43"/>
        <v>585</v>
      </c>
      <c r="P320" s="32" t="str">
        <f t="shared" si="44"/>
        <v>Contact of Case 523</v>
      </c>
    </row>
    <row r="321" spans="1:16" x14ac:dyDescent="0.3">
      <c r="A321">
        <v>586</v>
      </c>
      <c r="B321" s="24">
        <v>43914</v>
      </c>
      <c r="C321" t="s">
        <v>1062</v>
      </c>
      <c r="D321">
        <v>51</v>
      </c>
      <c r="E321" t="s">
        <v>1059</v>
      </c>
      <c r="F321" t="s">
        <v>1060</v>
      </c>
      <c r="H321" t="s">
        <v>1061</v>
      </c>
      <c r="J321" s="32" t="str">
        <f t="shared" si="38"/>
        <v>Male</v>
      </c>
      <c r="K321" s="32" t="str">
        <f t="shared" si="39"/>
        <v>Singaporean</v>
      </c>
      <c r="L321" s="32" t="str">
        <f t="shared" si="40"/>
        <v xml:space="preserve">Case 586 is a Local unlinked case, 51 years old male Singapore Citizen  and has not been overseas. He is currently admitted at NTFGH . </v>
      </c>
      <c r="M321" s="32" t="str">
        <f t="shared" si="41"/>
        <v/>
      </c>
      <c r="N321" s="32" t="str">
        <f t="shared" si="42"/>
        <v/>
      </c>
      <c r="O321" s="32" t="str">
        <f t="shared" si="43"/>
        <v/>
      </c>
      <c r="P321" s="32" t="str">
        <f t="shared" si="44"/>
        <v/>
      </c>
    </row>
    <row r="322" spans="1:16" x14ac:dyDescent="0.3">
      <c r="A322">
        <v>587</v>
      </c>
      <c r="B322" s="24">
        <v>43914</v>
      </c>
      <c r="C322" t="s">
        <v>1071</v>
      </c>
      <c r="D322">
        <v>25</v>
      </c>
      <c r="E322" t="s">
        <v>1059</v>
      </c>
      <c r="F322" t="s">
        <v>1060</v>
      </c>
      <c r="G322" t="s">
        <v>1063</v>
      </c>
      <c r="H322" t="s">
        <v>77</v>
      </c>
      <c r="J322" s="32" t="str">
        <f t="shared" si="38"/>
        <v>Male</v>
      </c>
      <c r="K322" s="32" t="str">
        <f t="shared" si="39"/>
        <v>Singaporean</v>
      </c>
      <c r="L322" s="32" t="str">
        <f t="shared" si="40"/>
        <v xml:space="preserve">Case 587 is a Imported case, 25 years old male Singapore Citizen  and has been to UK . He is currently admitted at NCID . </v>
      </c>
      <c r="M322" s="32">
        <f t="shared" si="41"/>
        <v>587</v>
      </c>
      <c r="N322" s="32" t="str">
        <f t="shared" si="42"/>
        <v xml:space="preserve">UK </v>
      </c>
      <c r="O322" s="32" t="str">
        <f t="shared" si="43"/>
        <v/>
      </c>
      <c r="P322" s="32" t="str">
        <f t="shared" si="44"/>
        <v/>
      </c>
    </row>
    <row r="323" spans="1:16" x14ac:dyDescent="0.3">
      <c r="A323">
        <v>588</v>
      </c>
      <c r="B323" s="24">
        <v>43914</v>
      </c>
      <c r="C323" t="s">
        <v>1071</v>
      </c>
      <c r="D323">
        <v>62</v>
      </c>
      <c r="E323" t="s">
        <v>1059</v>
      </c>
      <c r="F323" t="s">
        <v>1254</v>
      </c>
      <c r="G323" t="s">
        <v>1063</v>
      </c>
      <c r="H323" t="s">
        <v>77</v>
      </c>
      <c r="J323" s="32" t="str">
        <f t="shared" si="38"/>
        <v>Male</v>
      </c>
      <c r="K323" s="32" t="str">
        <f t="shared" si="39"/>
        <v>UK</v>
      </c>
      <c r="L323" s="32" t="str">
        <f t="shared" si="40"/>
        <v xml:space="preserve">Case 588 is a Imported case, 62 years old male UK (Singapore Work Pass holder) and has been to UK . He is currently admitted at NCID . </v>
      </c>
      <c r="M323" s="32">
        <f t="shared" si="41"/>
        <v>588</v>
      </c>
      <c r="N323" s="32" t="str">
        <f t="shared" si="42"/>
        <v xml:space="preserve">UK </v>
      </c>
      <c r="O323" s="32" t="str">
        <f t="shared" si="43"/>
        <v/>
      </c>
      <c r="P323" s="32" t="str">
        <f t="shared" si="44"/>
        <v/>
      </c>
    </row>
    <row r="324" spans="1:16" x14ac:dyDescent="0.3">
      <c r="A324">
        <v>589</v>
      </c>
      <c r="B324" s="24">
        <v>43914</v>
      </c>
      <c r="C324" t="s">
        <v>1071</v>
      </c>
      <c r="D324">
        <v>47</v>
      </c>
      <c r="E324" t="s">
        <v>1059</v>
      </c>
      <c r="F324" t="s">
        <v>1060</v>
      </c>
      <c r="H324" t="s">
        <v>1061</v>
      </c>
      <c r="J324" s="32" t="str">
        <f t="shared" si="38"/>
        <v>Male</v>
      </c>
      <c r="K324" s="32" t="str">
        <f t="shared" si="39"/>
        <v>Singaporean</v>
      </c>
      <c r="L324" s="32" t="str">
        <f t="shared" si="40"/>
        <v xml:space="preserve">Case 589 is a Local unlinked case, 47 years old male Singapore Citizen  and has not been overseas. He is currently admitted at NCID . </v>
      </c>
      <c r="M324" s="32" t="str">
        <f t="shared" si="41"/>
        <v/>
      </c>
      <c r="N324" s="32" t="str">
        <f t="shared" si="42"/>
        <v/>
      </c>
      <c r="O324" s="32" t="str">
        <f t="shared" si="43"/>
        <v/>
      </c>
      <c r="P324" s="32" t="str">
        <f t="shared" si="44"/>
        <v/>
      </c>
    </row>
    <row r="325" spans="1:16" x14ac:dyDescent="0.3">
      <c r="A325">
        <v>590</v>
      </c>
      <c r="B325" s="24">
        <v>43914</v>
      </c>
      <c r="C325" t="s">
        <v>343</v>
      </c>
      <c r="D325">
        <v>21</v>
      </c>
      <c r="E325" t="s">
        <v>1073</v>
      </c>
      <c r="F325" t="s">
        <v>1072</v>
      </c>
      <c r="G325" t="s">
        <v>1063</v>
      </c>
      <c r="H325" t="s">
        <v>77</v>
      </c>
      <c r="J325" s="32" t="str">
        <f t="shared" si="38"/>
        <v>Female</v>
      </c>
      <c r="K325" s="32" t="str">
        <f t="shared" si="39"/>
        <v>Singaporean</v>
      </c>
      <c r="L325" s="32" t="str">
        <f t="shared" si="40"/>
        <v xml:space="preserve">Case 590 is a Imported case, 21 years old female Singapore Permanent Resident  and has been to UK . She is currently admitted at NUH . </v>
      </c>
      <c r="M325" s="32">
        <f t="shared" si="41"/>
        <v>590</v>
      </c>
      <c r="N325" s="32" t="str">
        <f t="shared" si="42"/>
        <v xml:space="preserve">UK </v>
      </c>
      <c r="O325" s="32" t="str">
        <f t="shared" si="43"/>
        <v/>
      </c>
      <c r="P325" s="32" t="str">
        <f t="shared" si="44"/>
        <v/>
      </c>
    </row>
    <row r="326" spans="1:16" x14ac:dyDescent="0.3">
      <c r="A326">
        <v>591</v>
      </c>
      <c r="B326" s="24">
        <v>43914</v>
      </c>
      <c r="C326" t="s">
        <v>1138</v>
      </c>
      <c r="D326">
        <v>64</v>
      </c>
      <c r="E326" t="s">
        <v>1059</v>
      </c>
      <c r="F326" t="s">
        <v>1060</v>
      </c>
      <c r="G326" t="s">
        <v>355</v>
      </c>
      <c r="H326" t="s">
        <v>77</v>
      </c>
      <c r="J326" s="32" t="str">
        <f t="shared" si="38"/>
        <v>Male</v>
      </c>
      <c r="K326" s="32" t="str">
        <f t="shared" si="39"/>
        <v>Singaporean</v>
      </c>
      <c r="L326" s="32" t="str">
        <f t="shared" si="40"/>
        <v xml:space="preserve">Case 591 is a Imported case, 64 years old male Singapore Citizen  and has been to Portugal . He is currently admitted at SGH . </v>
      </c>
      <c r="M326" s="32">
        <f t="shared" si="41"/>
        <v>591</v>
      </c>
      <c r="N326" s="32" t="str">
        <f t="shared" si="42"/>
        <v xml:space="preserve">Portugal </v>
      </c>
      <c r="O326" s="32" t="str">
        <f t="shared" si="43"/>
        <v/>
      </c>
      <c r="P326" s="32" t="str">
        <f t="shared" si="44"/>
        <v/>
      </c>
    </row>
    <row r="327" spans="1:16" x14ac:dyDescent="0.3">
      <c r="A327">
        <v>592</v>
      </c>
      <c r="B327" s="24">
        <v>43914</v>
      </c>
      <c r="C327" t="s">
        <v>1071</v>
      </c>
      <c r="D327">
        <v>24</v>
      </c>
      <c r="E327" t="s">
        <v>1059</v>
      </c>
      <c r="F327" t="s">
        <v>1060</v>
      </c>
      <c r="G327" t="s">
        <v>1063</v>
      </c>
      <c r="H327" t="s">
        <v>77</v>
      </c>
      <c r="J327" s="32" t="str">
        <f t="shared" si="38"/>
        <v>Male</v>
      </c>
      <c r="K327" s="32" t="str">
        <f t="shared" si="39"/>
        <v>Singaporean</v>
      </c>
      <c r="L327" s="32" t="str">
        <f t="shared" si="40"/>
        <v xml:space="preserve">Case 592 is a Imported case, 24 years old male Singapore Citizen  and has been to UK . He is currently admitted at NCID . </v>
      </c>
      <c r="M327" s="32">
        <f t="shared" si="41"/>
        <v>592</v>
      </c>
      <c r="N327" s="32" t="str">
        <f t="shared" si="42"/>
        <v xml:space="preserve">UK </v>
      </c>
      <c r="O327" s="32" t="str">
        <f t="shared" si="43"/>
        <v/>
      </c>
      <c r="P327" s="32" t="str">
        <f t="shared" si="44"/>
        <v/>
      </c>
    </row>
    <row r="328" spans="1:16" x14ac:dyDescent="0.3">
      <c r="A328">
        <v>593</v>
      </c>
      <c r="B328" s="24">
        <v>43914</v>
      </c>
      <c r="C328" t="s">
        <v>1071</v>
      </c>
      <c r="D328">
        <v>24</v>
      </c>
      <c r="E328" t="s">
        <v>1059</v>
      </c>
      <c r="F328" t="s">
        <v>1060</v>
      </c>
      <c r="G328" t="s">
        <v>1085</v>
      </c>
      <c r="H328" t="s">
        <v>77</v>
      </c>
      <c r="J328" s="32" t="str">
        <f t="shared" si="38"/>
        <v>Male</v>
      </c>
      <c r="K328" s="32" t="str">
        <f t="shared" si="39"/>
        <v>Singaporean</v>
      </c>
      <c r="L328" s="32" t="str">
        <f t="shared" si="40"/>
        <v xml:space="preserve">Case 593 is a Imported case, 24 years old male Singapore Citizen  and has been to US . He is currently admitted at NCID . </v>
      </c>
      <c r="M328" s="32">
        <f t="shared" si="41"/>
        <v>593</v>
      </c>
      <c r="N328" s="32" t="str">
        <f t="shared" si="42"/>
        <v xml:space="preserve">US </v>
      </c>
      <c r="O328" s="32" t="str">
        <f t="shared" si="43"/>
        <v/>
      </c>
      <c r="P328" s="32" t="str">
        <f t="shared" si="44"/>
        <v/>
      </c>
    </row>
    <row r="329" spans="1:16" x14ac:dyDescent="0.3">
      <c r="A329">
        <v>594</v>
      </c>
      <c r="B329" s="24">
        <v>43914</v>
      </c>
      <c r="C329" t="s">
        <v>1071</v>
      </c>
      <c r="D329">
        <v>23</v>
      </c>
      <c r="E329" t="s">
        <v>1073</v>
      </c>
      <c r="F329" t="s">
        <v>1255</v>
      </c>
      <c r="H329" t="s">
        <v>1061</v>
      </c>
      <c r="J329" s="32" t="str">
        <f t="shared" si="38"/>
        <v>Female</v>
      </c>
      <c r="K329" s="32" t="str">
        <f t="shared" si="39"/>
        <v>China</v>
      </c>
      <c r="L329" s="32" t="str">
        <f t="shared" si="40"/>
        <v xml:space="preserve">Case 594 is a Local unlinked case, 23 years old female China (Long Term Pass holder)  and has not been overseas. She is currently admitted at NCID . </v>
      </c>
      <c r="M329" s="32" t="str">
        <f t="shared" si="41"/>
        <v/>
      </c>
      <c r="N329" s="32" t="str">
        <f t="shared" si="42"/>
        <v/>
      </c>
      <c r="O329" s="32" t="str">
        <f t="shared" si="43"/>
        <v/>
      </c>
      <c r="P329" s="32" t="str">
        <f t="shared" si="44"/>
        <v/>
      </c>
    </row>
    <row r="330" spans="1:16" x14ac:dyDescent="0.3">
      <c r="A330">
        <v>595</v>
      </c>
      <c r="B330" s="24">
        <v>43914</v>
      </c>
      <c r="C330" t="s">
        <v>1071</v>
      </c>
      <c r="D330">
        <v>19</v>
      </c>
      <c r="E330" t="s">
        <v>1073</v>
      </c>
      <c r="F330" t="s">
        <v>1060</v>
      </c>
      <c r="G330" t="s">
        <v>1177</v>
      </c>
      <c r="H330" t="s">
        <v>77</v>
      </c>
      <c r="J330" s="32" t="str">
        <f t="shared" si="38"/>
        <v>Female</v>
      </c>
      <c r="K330" s="32" t="str">
        <f t="shared" si="39"/>
        <v>Singaporean</v>
      </c>
      <c r="L330" s="32" t="str">
        <f t="shared" si="40"/>
        <v xml:space="preserve">Case 595 is a Imported case, 19 years old female Singapore Citizen  and has been to Pending . She is currently admitted at NCID . </v>
      </c>
      <c r="M330" s="32">
        <f t="shared" si="41"/>
        <v>595</v>
      </c>
      <c r="N330" s="32" t="str">
        <f t="shared" si="42"/>
        <v xml:space="preserve">Pending </v>
      </c>
      <c r="O330" s="32" t="str">
        <f t="shared" si="43"/>
        <v/>
      </c>
      <c r="P330" s="32" t="str">
        <f t="shared" si="44"/>
        <v/>
      </c>
    </row>
    <row r="331" spans="1:16" x14ac:dyDescent="0.3">
      <c r="A331">
        <v>596</v>
      </c>
      <c r="B331" s="24">
        <v>43915</v>
      </c>
      <c r="C331" t="s">
        <v>1071</v>
      </c>
      <c r="D331">
        <v>35</v>
      </c>
      <c r="E331" t="s">
        <v>1059</v>
      </c>
      <c r="F331" t="s">
        <v>1060</v>
      </c>
      <c r="G331" t="s">
        <v>1063</v>
      </c>
      <c r="H331" t="s">
        <v>77</v>
      </c>
      <c r="J331" s="32" t="str">
        <f t="shared" si="38"/>
        <v>Male</v>
      </c>
      <c r="K331" s="32" t="str">
        <f t="shared" si="39"/>
        <v>Singaporean</v>
      </c>
      <c r="L331" s="32" t="str">
        <f t="shared" si="40"/>
        <v xml:space="preserve">Case 596 is a Imported case, 35 years old male Singapore Citizen  and has been to UK . He is currently admitted at NCID . </v>
      </c>
      <c r="M331" s="32">
        <f t="shared" si="41"/>
        <v>596</v>
      </c>
      <c r="N331" s="32" t="str">
        <f t="shared" si="42"/>
        <v xml:space="preserve">UK </v>
      </c>
      <c r="O331" s="32" t="str">
        <f t="shared" si="43"/>
        <v/>
      </c>
      <c r="P331" s="32" t="str">
        <f t="shared" si="44"/>
        <v/>
      </c>
    </row>
    <row r="332" spans="1:16" x14ac:dyDescent="0.3">
      <c r="A332">
        <v>597</v>
      </c>
      <c r="B332" s="24">
        <v>43915</v>
      </c>
      <c r="C332" t="s">
        <v>1066</v>
      </c>
      <c r="D332">
        <v>50</v>
      </c>
      <c r="E332" t="s">
        <v>1073</v>
      </c>
      <c r="F332" t="s">
        <v>1060</v>
      </c>
      <c r="H332" t="s">
        <v>1086</v>
      </c>
      <c r="I332" t="s">
        <v>1256</v>
      </c>
      <c r="J332" s="32" t="str">
        <f t="shared" si="38"/>
        <v>Female</v>
      </c>
      <c r="K332" s="32" t="str">
        <f t="shared" si="39"/>
        <v>Singaporean</v>
      </c>
      <c r="L332" s="32" t="str">
        <f t="shared" si="40"/>
        <v>Case 597 is a Local linked  case, 50 years old female Singapore Citizen  and has not been overseas. She is currently admitted at SKH . Family member of Case 570</v>
      </c>
      <c r="M332" s="32" t="str">
        <f t="shared" si="41"/>
        <v/>
      </c>
      <c r="N332" s="32" t="str">
        <f t="shared" si="42"/>
        <v/>
      </c>
      <c r="O332" s="32">
        <f t="shared" si="43"/>
        <v>597</v>
      </c>
      <c r="P332" s="32" t="str">
        <f t="shared" si="44"/>
        <v>Family member of Case 570</v>
      </c>
    </row>
    <row r="333" spans="1:16" x14ac:dyDescent="0.3">
      <c r="A333">
        <v>598</v>
      </c>
      <c r="B333" s="24">
        <v>43915</v>
      </c>
      <c r="C333" t="s">
        <v>1066</v>
      </c>
      <c r="D333">
        <v>35</v>
      </c>
      <c r="E333" t="s">
        <v>1073</v>
      </c>
      <c r="F333" t="s">
        <v>1257</v>
      </c>
      <c r="H333" t="s">
        <v>1061</v>
      </c>
      <c r="J333" s="32" t="str">
        <f t="shared" si="38"/>
        <v>Female</v>
      </c>
      <c r="K333" s="32" t="str">
        <f t="shared" si="39"/>
        <v>India</v>
      </c>
      <c r="L333" s="32" t="str">
        <f t="shared" si="40"/>
        <v xml:space="preserve">Case 598 is a Local unlinked case, 35 years old female India (Singapore Work Pass holder)  and has not been overseas. She is currently admitted at SKH . </v>
      </c>
      <c r="M333" s="32" t="str">
        <f t="shared" si="41"/>
        <v/>
      </c>
      <c r="N333" s="32" t="str">
        <f t="shared" si="42"/>
        <v/>
      </c>
      <c r="O333" s="32" t="str">
        <f t="shared" si="43"/>
        <v/>
      </c>
      <c r="P333" s="32" t="str">
        <f t="shared" si="44"/>
        <v/>
      </c>
    </row>
    <row r="334" spans="1:16" x14ac:dyDescent="0.3">
      <c r="A334">
        <v>599</v>
      </c>
      <c r="B334" s="24">
        <v>43915</v>
      </c>
      <c r="C334" t="s">
        <v>1071</v>
      </c>
      <c r="D334">
        <v>32</v>
      </c>
      <c r="E334" t="s">
        <v>1059</v>
      </c>
      <c r="F334" t="s">
        <v>1060</v>
      </c>
      <c r="G334" t="s">
        <v>1063</v>
      </c>
      <c r="H334" t="s">
        <v>1069</v>
      </c>
      <c r="I334" t="s">
        <v>1258</v>
      </c>
      <c r="J334" s="32" t="str">
        <f t="shared" si="38"/>
        <v>Male</v>
      </c>
      <c r="K334" s="32" t="str">
        <f t="shared" si="39"/>
        <v>Singaporean</v>
      </c>
      <c r="L334" s="32" t="str">
        <f t="shared" si="40"/>
        <v>Case 599 is a Imported  case, 32 years old male Singapore Citizen  and has been to UK . He is currently admitted at NCID . Contact of Case 385</v>
      </c>
      <c r="M334" s="32">
        <f t="shared" si="41"/>
        <v>599</v>
      </c>
      <c r="N334" s="32" t="str">
        <f t="shared" si="42"/>
        <v xml:space="preserve">UK </v>
      </c>
      <c r="O334" s="32">
        <f t="shared" si="43"/>
        <v>599</v>
      </c>
      <c r="P334" s="32" t="str">
        <f t="shared" si="44"/>
        <v>Contact of Case 385</v>
      </c>
    </row>
    <row r="335" spans="1:16" x14ac:dyDescent="0.3">
      <c r="A335">
        <v>600</v>
      </c>
      <c r="B335" s="24">
        <v>43915</v>
      </c>
      <c r="C335" t="s">
        <v>1071</v>
      </c>
      <c r="D335">
        <v>66</v>
      </c>
      <c r="E335" t="s">
        <v>1059</v>
      </c>
      <c r="F335" t="s">
        <v>1072</v>
      </c>
      <c r="G335" t="s">
        <v>1177</v>
      </c>
      <c r="H335" t="s">
        <v>77</v>
      </c>
      <c r="J335" s="32" t="str">
        <f t="shared" si="38"/>
        <v>Male</v>
      </c>
      <c r="K335" s="32" t="str">
        <f t="shared" si="39"/>
        <v>Singaporean</v>
      </c>
      <c r="L335" s="32" t="str">
        <f t="shared" si="40"/>
        <v xml:space="preserve">Case 600 is a Imported case, 66 years old male Singapore Permanent Resident  and has been to Pending . He is currently admitted at NCID . </v>
      </c>
      <c r="M335" s="32">
        <f t="shared" si="41"/>
        <v>600</v>
      </c>
      <c r="N335" s="32" t="str">
        <f t="shared" si="42"/>
        <v xml:space="preserve">Pending </v>
      </c>
      <c r="O335" s="32" t="str">
        <f t="shared" si="43"/>
        <v/>
      </c>
      <c r="P335" s="32" t="str">
        <f t="shared" si="44"/>
        <v/>
      </c>
    </row>
    <row r="336" spans="1:16" x14ac:dyDescent="0.3">
      <c r="A336">
        <v>601</v>
      </c>
      <c r="B336" s="24">
        <v>43914</v>
      </c>
      <c r="C336" t="s">
        <v>1071</v>
      </c>
      <c r="D336">
        <v>47</v>
      </c>
      <c r="E336" t="s">
        <v>1073</v>
      </c>
      <c r="F336" t="s">
        <v>1060</v>
      </c>
      <c r="H336" t="s">
        <v>1086</v>
      </c>
      <c r="I336" t="s">
        <v>1259</v>
      </c>
      <c r="J336" s="32" t="str">
        <f t="shared" si="38"/>
        <v>Female</v>
      </c>
      <c r="K336" s="32" t="str">
        <f t="shared" si="39"/>
        <v>Singaporean</v>
      </c>
      <c r="L336" s="32" t="str">
        <f t="shared" si="40"/>
        <v>Case 601 is a Local linked  case, 47 years old female Singapore Citizen  and has not been overseas. She is currently admitted at NCID . Family member of Cases 521, 566, 567 and 572 PCF Fengshan</v>
      </c>
      <c r="M336" s="32" t="str">
        <f t="shared" si="41"/>
        <v/>
      </c>
      <c r="N336" s="32" t="str">
        <f t="shared" si="42"/>
        <v/>
      </c>
      <c r="O336" s="32">
        <f t="shared" si="43"/>
        <v>601</v>
      </c>
      <c r="P336" s="32" t="str">
        <f t="shared" si="44"/>
        <v>Family member of Cases 521, 566, 567 and 572 PCF Fengshan</v>
      </c>
    </row>
    <row r="337" spans="1:16" x14ac:dyDescent="0.3">
      <c r="A337">
        <v>602</v>
      </c>
      <c r="B337" s="24">
        <v>43914</v>
      </c>
      <c r="C337" t="s">
        <v>1071</v>
      </c>
      <c r="D337">
        <v>56</v>
      </c>
      <c r="E337" t="s">
        <v>1073</v>
      </c>
      <c r="F337" t="s">
        <v>1060</v>
      </c>
      <c r="H337" t="s">
        <v>1086</v>
      </c>
      <c r="I337" t="s">
        <v>1260</v>
      </c>
      <c r="J337" s="32" t="str">
        <f t="shared" si="38"/>
        <v>Female</v>
      </c>
      <c r="K337" s="32" t="str">
        <f t="shared" si="39"/>
        <v>Singaporean</v>
      </c>
      <c r="L337" s="32" t="str">
        <f t="shared" si="40"/>
        <v>Case 602 is a Local linked  case, 56 years old female Singapore Citizen  and has not been overseas. She is currently admitted at NCID . Contact of Case 516 PCF Fengshan</v>
      </c>
      <c r="M337" s="32" t="str">
        <f t="shared" si="41"/>
        <v/>
      </c>
      <c r="N337" s="32" t="str">
        <f t="shared" si="42"/>
        <v/>
      </c>
      <c r="O337" s="32">
        <f t="shared" si="43"/>
        <v>602</v>
      </c>
      <c r="P337" s="32" t="str">
        <f t="shared" si="44"/>
        <v>Contact of Case 516 PCF Fengshan</v>
      </c>
    </row>
    <row r="338" spans="1:16" x14ac:dyDescent="0.3">
      <c r="A338">
        <v>603</v>
      </c>
      <c r="B338" s="24">
        <v>43914</v>
      </c>
      <c r="C338" t="s">
        <v>1071</v>
      </c>
      <c r="D338">
        <v>23</v>
      </c>
      <c r="E338" t="s">
        <v>1073</v>
      </c>
      <c r="F338" t="s">
        <v>1060</v>
      </c>
      <c r="H338" t="s">
        <v>1086</v>
      </c>
      <c r="I338" t="s">
        <v>1261</v>
      </c>
      <c r="J338" s="32" t="str">
        <f t="shared" si="38"/>
        <v>Female</v>
      </c>
      <c r="K338" s="32" t="str">
        <f t="shared" si="39"/>
        <v>Singaporean</v>
      </c>
      <c r="L338" s="32" t="str">
        <f t="shared" si="40"/>
        <v>Case 603 is a Local linked  case, 23 years old female Singapore Citizen  and has not been overseas. She is currently admitted at NCID . PCF Fengshan</v>
      </c>
      <c r="M338" s="32" t="str">
        <f t="shared" si="41"/>
        <v/>
      </c>
      <c r="N338" s="32" t="str">
        <f t="shared" si="42"/>
        <v/>
      </c>
      <c r="O338" s="32">
        <f t="shared" si="43"/>
        <v>603</v>
      </c>
      <c r="P338" s="32" t="str">
        <f t="shared" si="44"/>
        <v>PCF Fengshan</v>
      </c>
    </row>
    <row r="339" spans="1:16" x14ac:dyDescent="0.3">
      <c r="A339">
        <v>604</v>
      </c>
      <c r="B339" s="24">
        <v>43914</v>
      </c>
      <c r="C339" t="s">
        <v>1071</v>
      </c>
      <c r="D339">
        <v>36</v>
      </c>
      <c r="E339" t="s">
        <v>1073</v>
      </c>
      <c r="F339" t="s">
        <v>1165</v>
      </c>
      <c r="H339" t="s">
        <v>1086</v>
      </c>
      <c r="I339" t="s">
        <v>1261</v>
      </c>
      <c r="J339" s="32" t="str">
        <f t="shared" si="38"/>
        <v>Female</v>
      </c>
      <c r="K339" s="32" t="str">
        <f t="shared" si="39"/>
        <v>Philippines</v>
      </c>
      <c r="L339" s="32" t="str">
        <f t="shared" si="40"/>
        <v>Case 604 is a Local linked  case, 36 years old female Philippines (Long Term Pass holder)  and has not been overseas. She is currently admitted at NCID . PCF Fengshan</v>
      </c>
      <c r="M339" s="32" t="str">
        <f t="shared" si="41"/>
        <v/>
      </c>
      <c r="N339" s="32" t="str">
        <f t="shared" si="42"/>
        <v/>
      </c>
      <c r="O339" s="32">
        <f t="shared" si="43"/>
        <v>604</v>
      </c>
      <c r="P339" s="32" t="str">
        <f t="shared" si="44"/>
        <v>PCF Fengshan</v>
      </c>
    </row>
    <row r="340" spans="1:16" x14ac:dyDescent="0.3">
      <c r="A340">
        <v>605</v>
      </c>
      <c r="B340" s="24">
        <v>43914</v>
      </c>
      <c r="C340" t="s">
        <v>1071</v>
      </c>
      <c r="D340">
        <v>29</v>
      </c>
      <c r="E340" t="s">
        <v>1073</v>
      </c>
      <c r="F340" t="s">
        <v>1060</v>
      </c>
      <c r="H340" t="s">
        <v>1086</v>
      </c>
      <c r="I340" t="s">
        <v>1261</v>
      </c>
      <c r="J340" s="32" t="str">
        <f t="shared" si="38"/>
        <v>Female</v>
      </c>
      <c r="K340" s="32" t="str">
        <f t="shared" si="39"/>
        <v>Singaporean</v>
      </c>
      <c r="L340" s="32" t="str">
        <f t="shared" si="40"/>
        <v>Case 605 is a Local linked  case, 29 years old female Singapore Citizen  and has not been overseas. She is currently admitted at NCID . PCF Fengshan</v>
      </c>
      <c r="M340" s="32" t="str">
        <f t="shared" si="41"/>
        <v/>
      </c>
      <c r="N340" s="32" t="str">
        <f t="shared" si="42"/>
        <v/>
      </c>
      <c r="O340" s="32">
        <f t="shared" si="43"/>
        <v>605</v>
      </c>
      <c r="P340" s="32" t="str">
        <f t="shared" si="44"/>
        <v>PCF Fengshan</v>
      </c>
    </row>
    <row r="341" spans="1:16" x14ac:dyDescent="0.3">
      <c r="A341">
        <v>606</v>
      </c>
      <c r="B341" s="24">
        <v>43915</v>
      </c>
      <c r="C341" t="s">
        <v>1071</v>
      </c>
      <c r="D341">
        <v>55</v>
      </c>
      <c r="E341" t="s">
        <v>1059</v>
      </c>
      <c r="F341" t="s">
        <v>1060</v>
      </c>
      <c r="H341" t="s">
        <v>1061</v>
      </c>
      <c r="J341" s="32" t="str">
        <f t="shared" si="38"/>
        <v>Male</v>
      </c>
      <c r="K341" s="32" t="str">
        <f t="shared" si="39"/>
        <v>Singaporean</v>
      </c>
      <c r="L341" s="32" t="str">
        <f t="shared" si="40"/>
        <v xml:space="preserve">Case 606 is a Local unlinked case, 55 years old male Singapore Citizen  and has not been overseas. He is currently admitted at NCID . </v>
      </c>
      <c r="M341" s="32" t="str">
        <f t="shared" si="41"/>
        <v/>
      </c>
      <c r="N341" s="32" t="str">
        <f t="shared" si="42"/>
        <v/>
      </c>
      <c r="O341" s="32" t="str">
        <f t="shared" si="43"/>
        <v/>
      </c>
      <c r="P341" s="32" t="str">
        <f t="shared" si="44"/>
        <v/>
      </c>
    </row>
    <row r="342" spans="1:16" x14ac:dyDescent="0.3">
      <c r="A342">
        <v>607</v>
      </c>
      <c r="B342" s="24">
        <v>43915</v>
      </c>
      <c r="C342" t="s">
        <v>1071</v>
      </c>
      <c r="D342">
        <v>40</v>
      </c>
      <c r="E342" t="s">
        <v>1073</v>
      </c>
      <c r="F342" t="s">
        <v>1060</v>
      </c>
      <c r="G342" t="s">
        <v>1063</v>
      </c>
      <c r="H342" t="s">
        <v>77</v>
      </c>
      <c r="J342" s="32" t="str">
        <f t="shared" si="38"/>
        <v>Female</v>
      </c>
      <c r="K342" s="32" t="str">
        <f t="shared" si="39"/>
        <v>Singaporean</v>
      </c>
      <c r="L342" s="32" t="str">
        <f t="shared" si="40"/>
        <v xml:space="preserve">Case 607 is a Imported case, 40 years old female Singapore Citizen  and has been to UK . She is currently admitted at NCID . </v>
      </c>
      <c r="M342" s="32">
        <f t="shared" si="41"/>
        <v>607</v>
      </c>
      <c r="N342" s="32" t="str">
        <f t="shared" si="42"/>
        <v xml:space="preserve">UK </v>
      </c>
      <c r="O342" s="32" t="str">
        <f t="shared" si="43"/>
        <v/>
      </c>
      <c r="P342" s="32" t="str">
        <f t="shared" si="44"/>
        <v/>
      </c>
    </row>
    <row r="343" spans="1:16" x14ac:dyDescent="0.3">
      <c r="A343">
        <v>608</v>
      </c>
      <c r="B343" s="24">
        <v>43915</v>
      </c>
      <c r="C343" t="s">
        <v>1071</v>
      </c>
      <c r="D343">
        <v>18</v>
      </c>
      <c r="E343" t="s">
        <v>1073</v>
      </c>
      <c r="F343" t="s">
        <v>1180</v>
      </c>
      <c r="G343" t="s">
        <v>809</v>
      </c>
      <c r="H343" t="s">
        <v>77</v>
      </c>
      <c r="J343" s="32" t="str">
        <f t="shared" si="38"/>
        <v>Female</v>
      </c>
      <c r="K343" s="32" t="str">
        <f t="shared" si="39"/>
        <v>France</v>
      </c>
      <c r="L343" s="32" t="str">
        <f t="shared" si="40"/>
        <v xml:space="preserve">Case 608 is a Imported case, 18 years old female France (Long Term Pass holder)  and has been to Canada . She is currently admitted at NCID . </v>
      </c>
      <c r="M343" s="32">
        <f t="shared" si="41"/>
        <v>608</v>
      </c>
      <c r="N343" s="32" t="str">
        <f t="shared" si="42"/>
        <v xml:space="preserve">Canada </v>
      </c>
      <c r="O343" s="32" t="str">
        <f t="shared" si="43"/>
        <v/>
      </c>
      <c r="P343" s="32" t="str">
        <f t="shared" si="44"/>
        <v/>
      </c>
    </row>
    <row r="344" spans="1:16" x14ac:dyDescent="0.3">
      <c r="A344">
        <v>609</v>
      </c>
      <c r="B344" s="24">
        <v>43914</v>
      </c>
      <c r="C344" t="s">
        <v>1071</v>
      </c>
      <c r="D344">
        <v>30</v>
      </c>
      <c r="E344" t="s">
        <v>1073</v>
      </c>
      <c r="F344" t="s">
        <v>1060</v>
      </c>
      <c r="H344" t="s">
        <v>1086</v>
      </c>
      <c r="I344" t="s">
        <v>1260</v>
      </c>
      <c r="J344" s="32" t="str">
        <f t="shared" si="38"/>
        <v>Female</v>
      </c>
      <c r="K344" s="32" t="str">
        <f t="shared" si="39"/>
        <v>Singaporean</v>
      </c>
      <c r="L344" s="32" t="str">
        <f t="shared" si="40"/>
        <v>Case 609 is a Local linked  case, 30 years old female Singapore Citizen  and has not been overseas. She is currently admitted at NCID . Contact of Case 516 PCF Fengshan</v>
      </c>
      <c r="M344" s="32" t="str">
        <f t="shared" si="41"/>
        <v/>
      </c>
      <c r="N344" s="32" t="str">
        <f t="shared" si="42"/>
        <v/>
      </c>
      <c r="O344" s="32">
        <f t="shared" si="43"/>
        <v>609</v>
      </c>
      <c r="P344" s="32" t="str">
        <f t="shared" si="44"/>
        <v>Contact of Case 516 PCF Fengshan</v>
      </c>
    </row>
    <row r="345" spans="1:16" x14ac:dyDescent="0.3">
      <c r="A345">
        <v>610</v>
      </c>
      <c r="B345" s="24">
        <v>43914</v>
      </c>
      <c r="C345" t="s">
        <v>1071</v>
      </c>
      <c r="D345">
        <v>25</v>
      </c>
      <c r="E345" t="s">
        <v>1073</v>
      </c>
      <c r="F345" t="s">
        <v>1060</v>
      </c>
      <c r="H345" t="s">
        <v>1086</v>
      </c>
      <c r="I345" t="s">
        <v>1260</v>
      </c>
      <c r="J345" s="32" t="str">
        <f t="shared" si="38"/>
        <v>Female</v>
      </c>
      <c r="K345" s="32" t="str">
        <f t="shared" si="39"/>
        <v>Singaporean</v>
      </c>
      <c r="L345" s="32" t="str">
        <f t="shared" si="40"/>
        <v>Case 610 is a Local linked  case, 25 years old female Singapore Citizen  and has not been overseas. She is currently admitted at NCID . Contact of Case 516 PCF Fengshan</v>
      </c>
      <c r="M345" s="32" t="str">
        <f t="shared" si="41"/>
        <v/>
      </c>
      <c r="N345" s="32" t="str">
        <f t="shared" si="42"/>
        <v/>
      </c>
      <c r="O345" s="32">
        <f t="shared" si="43"/>
        <v>610</v>
      </c>
      <c r="P345" s="32" t="str">
        <f t="shared" si="44"/>
        <v>Contact of Case 516 PCF Fengshan</v>
      </c>
    </row>
    <row r="346" spans="1:16" x14ac:dyDescent="0.3">
      <c r="A346">
        <v>611</v>
      </c>
      <c r="B346" s="24">
        <v>43915</v>
      </c>
      <c r="C346" t="s">
        <v>1071</v>
      </c>
      <c r="D346">
        <v>24</v>
      </c>
      <c r="E346" t="s">
        <v>1059</v>
      </c>
      <c r="F346" t="s">
        <v>1060</v>
      </c>
      <c r="G346" t="s">
        <v>1063</v>
      </c>
      <c r="H346" t="s">
        <v>77</v>
      </c>
      <c r="J346" s="32" t="str">
        <f t="shared" si="38"/>
        <v>Male</v>
      </c>
      <c r="K346" s="32" t="str">
        <f t="shared" si="39"/>
        <v>Singaporean</v>
      </c>
      <c r="L346" s="32" t="str">
        <f t="shared" si="40"/>
        <v xml:space="preserve">Case 611 is a Imported case, 24 years old male Singapore Citizen  and has been to UK . He is currently admitted at NCID . </v>
      </c>
      <c r="M346" s="32">
        <f t="shared" si="41"/>
        <v>611</v>
      </c>
      <c r="N346" s="32" t="str">
        <f t="shared" si="42"/>
        <v xml:space="preserve">UK </v>
      </c>
      <c r="O346" s="32" t="str">
        <f t="shared" si="43"/>
        <v/>
      </c>
      <c r="P346" s="32" t="str">
        <f t="shared" si="44"/>
        <v/>
      </c>
    </row>
    <row r="347" spans="1:16" x14ac:dyDescent="0.3">
      <c r="A347">
        <v>612</v>
      </c>
      <c r="B347" s="24">
        <v>43914</v>
      </c>
      <c r="C347" t="s">
        <v>1071</v>
      </c>
      <c r="D347">
        <v>22</v>
      </c>
      <c r="E347" t="s">
        <v>1073</v>
      </c>
      <c r="F347" t="s">
        <v>1060</v>
      </c>
      <c r="H347" t="s">
        <v>1086</v>
      </c>
      <c r="I347" t="s">
        <v>1261</v>
      </c>
      <c r="J347" s="32" t="str">
        <f t="shared" si="38"/>
        <v>Female</v>
      </c>
      <c r="K347" s="32" t="str">
        <f t="shared" si="39"/>
        <v>Singaporean</v>
      </c>
      <c r="L347" s="32" t="str">
        <f t="shared" si="40"/>
        <v>Case 612 is a Local linked  case, 22 years old female Singapore Citizen  and has not been overseas. She is currently admitted at NCID . PCF Fengshan</v>
      </c>
      <c r="M347" s="32" t="str">
        <f t="shared" si="41"/>
        <v/>
      </c>
      <c r="N347" s="32" t="str">
        <f t="shared" si="42"/>
        <v/>
      </c>
      <c r="O347" s="32">
        <f t="shared" si="43"/>
        <v>612</v>
      </c>
      <c r="P347" s="32" t="str">
        <f t="shared" si="44"/>
        <v>PCF Fengshan</v>
      </c>
    </row>
    <row r="348" spans="1:16" x14ac:dyDescent="0.3">
      <c r="A348">
        <v>613</v>
      </c>
      <c r="B348" s="24">
        <v>43915</v>
      </c>
      <c r="C348" t="s">
        <v>1071</v>
      </c>
      <c r="D348">
        <v>62</v>
      </c>
      <c r="E348" t="s">
        <v>1073</v>
      </c>
      <c r="F348" t="s">
        <v>1060</v>
      </c>
      <c r="G348" t="s">
        <v>794</v>
      </c>
      <c r="H348" t="s">
        <v>77</v>
      </c>
      <c r="J348" s="32" t="str">
        <f t="shared" si="38"/>
        <v>Female</v>
      </c>
      <c r="K348" s="32" t="str">
        <f t="shared" si="39"/>
        <v>Singaporean</v>
      </c>
      <c r="L348" s="32" t="str">
        <f t="shared" si="40"/>
        <v xml:space="preserve">Case 613 is a Imported case, 62 years old female Singapore Citizen  and has been to Thailand . She is currently admitted at NCID . </v>
      </c>
      <c r="M348" s="32">
        <f t="shared" si="41"/>
        <v>613</v>
      </c>
      <c r="N348" s="32" t="str">
        <f t="shared" si="42"/>
        <v xml:space="preserve">Thailand </v>
      </c>
      <c r="O348" s="32" t="str">
        <f t="shared" si="43"/>
        <v/>
      </c>
      <c r="P348" s="32" t="str">
        <f t="shared" si="44"/>
        <v/>
      </c>
    </row>
    <row r="349" spans="1:16" x14ac:dyDescent="0.3">
      <c r="A349">
        <v>614</v>
      </c>
      <c r="B349" s="24">
        <v>43915</v>
      </c>
      <c r="C349" t="s">
        <v>1071</v>
      </c>
      <c r="D349">
        <v>62</v>
      </c>
      <c r="E349" t="s">
        <v>1073</v>
      </c>
      <c r="F349" t="s">
        <v>1060</v>
      </c>
      <c r="H349" t="s">
        <v>1086</v>
      </c>
      <c r="I349" t="s">
        <v>1261</v>
      </c>
      <c r="J349" s="32" t="str">
        <f t="shared" si="38"/>
        <v>Female</v>
      </c>
      <c r="K349" s="32" t="str">
        <f t="shared" si="39"/>
        <v>Singaporean</v>
      </c>
      <c r="L349" s="32" t="str">
        <f t="shared" si="40"/>
        <v>Case 614 is a Local linked  case, 62 years old female Singapore Citizen  and has not been overseas. She is currently admitted at NCID . PCF Fengshan</v>
      </c>
      <c r="M349" s="32" t="str">
        <f t="shared" si="41"/>
        <v/>
      </c>
      <c r="N349" s="32" t="str">
        <f t="shared" si="42"/>
        <v/>
      </c>
      <c r="O349" s="32">
        <f t="shared" si="43"/>
        <v>614</v>
      </c>
      <c r="P349" s="32" t="str">
        <f t="shared" si="44"/>
        <v>PCF Fengshan</v>
      </c>
    </row>
    <row r="350" spans="1:16" x14ac:dyDescent="0.3">
      <c r="A350">
        <v>615</v>
      </c>
      <c r="B350" s="24">
        <v>43915</v>
      </c>
      <c r="C350" t="s">
        <v>1071</v>
      </c>
      <c r="D350">
        <v>44</v>
      </c>
      <c r="E350" t="s">
        <v>1073</v>
      </c>
      <c r="F350" t="s">
        <v>1060</v>
      </c>
      <c r="G350" t="s">
        <v>802</v>
      </c>
      <c r="H350" t="s">
        <v>77</v>
      </c>
      <c r="J350" s="32" t="str">
        <f t="shared" si="38"/>
        <v>Female</v>
      </c>
      <c r="K350" s="32" t="str">
        <f t="shared" si="39"/>
        <v>Singaporean</v>
      </c>
      <c r="L350" s="32" t="str">
        <f t="shared" si="40"/>
        <v xml:space="preserve">Case 615 is a Imported case, 44 years old female Singapore Citizen  and has been to Germany . She is currently admitted at NCID . </v>
      </c>
      <c r="M350" s="32">
        <f t="shared" si="41"/>
        <v>615</v>
      </c>
      <c r="N350" s="32" t="str">
        <f t="shared" si="42"/>
        <v xml:space="preserve">Germany </v>
      </c>
      <c r="O350" s="32" t="str">
        <f t="shared" si="43"/>
        <v/>
      </c>
      <c r="P350" s="32" t="str">
        <f t="shared" si="44"/>
        <v/>
      </c>
    </row>
    <row r="351" spans="1:16" x14ac:dyDescent="0.3">
      <c r="A351">
        <v>616</v>
      </c>
      <c r="B351" s="24">
        <v>43915</v>
      </c>
      <c r="C351" t="s">
        <v>1071</v>
      </c>
      <c r="D351">
        <v>39</v>
      </c>
      <c r="E351" t="s">
        <v>1059</v>
      </c>
      <c r="F351" t="s">
        <v>1156</v>
      </c>
      <c r="G351" t="s">
        <v>360</v>
      </c>
      <c r="H351" t="s">
        <v>77</v>
      </c>
      <c r="J351" s="32" t="str">
        <f t="shared" si="38"/>
        <v>Male</v>
      </c>
      <c r="K351" s="32" t="str">
        <f t="shared" si="39"/>
        <v>Malaysia</v>
      </c>
      <c r="L351" s="32" t="str">
        <f t="shared" si="40"/>
        <v xml:space="preserve">Case 616 is a Imported case, 39 years old male Malaysia (Singapore Work Pass holder)  and has been to Malaysia . He is currently admitted at NCID . </v>
      </c>
      <c r="M351" s="32">
        <f t="shared" si="41"/>
        <v>616</v>
      </c>
      <c r="N351" s="32" t="str">
        <f t="shared" si="42"/>
        <v xml:space="preserve">Malaysia </v>
      </c>
      <c r="O351" s="32" t="str">
        <f t="shared" si="43"/>
        <v/>
      </c>
      <c r="P351" s="32" t="str">
        <f t="shared" si="44"/>
        <v/>
      </c>
    </row>
    <row r="352" spans="1:16" x14ac:dyDescent="0.3">
      <c r="A352">
        <v>617</v>
      </c>
      <c r="B352" s="24">
        <v>43915</v>
      </c>
      <c r="C352" t="s">
        <v>1071</v>
      </c>
      <c r="D352">
        <v>26</v>
      </c>
      <c r="E352" t="s">
        <v>1073</v>
      </c>
      <c r="F352" t="s">
        <v>1252</v>
      </c>
      <c r="H352" t="s">
        <v>1086</v>
      </c>
      <c r="I352" t="s">
        <v>1261</v>
      </c>
      <c r="J352" s="32" t="str">
        <f t="shared" si="38"/>
        <v>Female</v>
      </c>
      <c r="K352" s="32" t="str">
        <f t="shared" si="39"/>
        <v>Philippines</v>
      </c>
      <c r="L352" s="32" t="str">
        <f t="shared" si="40"/>
        <v>Case 617 is a Local linked  case, 26 years old female Philippines (Singapore Work Pass holder)  and has not been overseas. She is currently admitted at NCID . PCF Fengshan</v>
      </c>
      <c r="M352" s="32" t="str">
        <f t="shared" si="41"/>
        <v/>
      </c>
      <c r="N352" s="32" t="str">
        <f t="shared" si="42"/>
        <v/>
      </c>
      <c r="O352" s="32">
        <f t="shared" si="43"/>
        <v>617</v>
      </c>
      <c r="P352" s="32" t="str">
        <f t="shared" si="44"/>
        <v>PCF Fengshan</v>
      </c>
    </row>
    <row r="353" spans="1:16" x14ac:dyDescent="0.3">
      <c r="A353">
        <v>618</v>
      </c>
      <c r="B353" s="24">
        <v>43915</v>
      </c>
      <c r="C353" t="s">
        <v>1071</v>
      </c>
      <c r="D353">
        <v>29</v>
      </c>
      <c r="E353" t="s">
        <v>1073</v>
      </c>
      <c r="F353" t="s">
        <v>1186</v>
      </c>
      <c r="H353" t="s">
        <v>1086</v>
      </c>
      <c r="I353" t="s">
        <v>1262</v>
      </c>
      <c r="J353" s="32" t="str">
        <f t="shared" si="38"/>
        <v>Female</v>
      </c>
      <c r="K353" s="32" t="str">
        <f t="shared" si="39"/>
        <v>UK</v>
      </c>
      <c r="L353" s="32" t="str">
        <f t="shared" si="40"/>
        <v>Case 618 is a Local linked  case, 29 years old female UK (Singapore Work Pass holder)  and has not been overseas. She is currently admitted at NCID . Contact of Case 556 Dover Court International School</v>
      </c>
      <c r="M353" s="32" t="str">
        <f t="shared" si="41"/>
        <v/>
      </c>
      <c r="N353" s="32" t="str">
        <f t="shared" si="42"/>
        <v/>
      </c>
      <c r="O353" s="32">
        <f t="shared" si="43"/>
        <v>618</v>
      </c>
      <c r="P353" s="32" t="str">
        <f t="shared" si="44"/>
        <v>Contact of Case 556 Dover Court International School</v>
      </c>
    </row>
    <row r="354" spans="1:16" x14ac:dyDescent="0.3">
      <c r="A354">
        <v>619</v>
      </c>
      <c r="B354" s="24">
        <v>43915</v>
      </c>
      <c r="C354" t="s">
        <v>1071</v>
      </c>
      <c r="D354">
        <v>65</v>
      </c>
      <c r="E354" t="s">
        <v>1073</v>
      </c>
      <c r="F354" t="s">
        <v>1060</v>
      </c>
      <c r="H354" t="s">
        <v>1086</v>
      </c>
      <c r="I354" t="s">
        <v>1263</v>
      </c>
      <c r="J354" s="32" t="str">
        <f t="shared" si="38"/>
        <v>Female</v>
      </c>
      <c r="K354" s="32" t="str">
        <f t="shared" si="39"/>
        <v>Singaporean</v>
      </c>
      <c r="L354" s="32" t="str">
        <f t="shared" si="40"/>
        <v>Case 619 is a Local linked  case, 65 years old female Singapore Citizen  and has not been overseas. She is currently admitted at NCID . Family member of Case 557</v>
      </c>
      <c r="M354" s="32" t="str">
        <f t="shared" si="41"/>
        <v/>
      </c>
      <c r="N354" s="32" t="str">
        <f t="shared" si="42"/>
        <v/>
      </c>
      <c r="O354" s="32">
        <f t="shared" si="43"/>
        <v>619</v>
      </c>
      <c r="P354" s="32" t="str">
        <f t="shared" si="44"/>
        <v>Family member of Case 557</v>
      </c>
    </row>
    <row r="355" spans="1:16" x14ac:dyDescent="0.3">
      <c r="A355">
        <v>620</v>
      </c>
      <c r="B355" s="24">
        <v>43915</v>
      </c>
      <c r="C355" t="s">
        <v>1071</v>
      </c>
      <c r="D355">
        <v>18</v>
      </c>
      <c r="E355" t="s">
        <v>1073</v>
      </c>
      <c r="F355" t="s">
        <v>1060</v>
      </c>
      <c r="G355" t="s">
        <v>1063</v>
      </c>
      <c r="H355" t="s">
        <v>77</v>
      </c>
      <c r="J355" s="32" t="str">
        <f t="shared" si="38"/>
        <v>Female</v>
      </c>
      <c r="K355" s="32" t="str">
        <f t="shared" si="39"/>
        <v>Singaporean</v>
      </c>
      <c r="L355" s="32" t="str">
        <f t="shared" si="40"/>
        <v xml:space="preserve">Case 620 is a Imported case, 18 years old female Singapore Citizen  and has been to UK . She is currently admitted at NCID . </v>
      </c>
      <c r="M355" s="32">
        <f t="shared" si="41"/>
        <v>620</v>
      </c>
      <c r="N355" s="32" t="str">
        <f t="shared" si="42"/>
        <v xml:space="preserve">UK </v>
      </c>
      <c r="O355" s="32" t="str">
        <f t="shared" si="43"/>
        <v/>
      </c>
      <c r="P355" s="32" t="str">
        <f t="shared" si="44"/>
        <v/>
      </c>
    </row>
    <row r="356" spans="1:16" x14ac:dyDescent="0.3">
      <c r="A356">
        <v>621</v>
      </c>
      <c r="B356" s="24">
        <v>43915</v>
      </c>
      <c r="C356" t="s">
        <v>1071</v>
      </c>
      <c r="D356">
        <v>50</v>
      </c>
      <c r="E356" t="s">
        <v>1059</v>
      </c>
      <c r="F356" t="s">
        <v>1072</v>
      </c>
      <c r="H356" t="s">
        <v>1061</v>
      </c>
      <c r="J356" s="32" t="str">
        <f t="shared" si="38"/>
        <v>Male</v>
      </c>
      <c r="K356" s="32" t="str">
        <f t="shared" si="39"/>
        <v>Singaporean</v>
      </c>
      <c r="L356" s="32" t="str">
        <f t="shared" si="40"/>
        <v xml:space="preserve">Case 621 is a Local unlinked case, 50 years old male Singapore Permanent Resident  and has not been overseas. He is currently admitted at NCID . </v>
      </c>
      <c r="M356" s="32" t="str">
        <f t="shared" si="41"/>
        <v/>
      </c>
      <c r="N356" s="32" t="str">
        <f t="shared" si="42"/>
        <v/>
      </c>
      <c r="O356" s="32" t="str">
        <f t="shared" si="43"/>
        <v/>
      </c>
      <c r="P356" s="32" t="str">
        <f t="shared" si="44"/>
        <v/>
      </c>
    </row>
    <row r="357" spans="1:16" x14ac:dyDescent="0.3">
      <c r="A357">
        <v>622</v>
      </c>
      <c r="B357" s="24">
        <v>43915</v>
      </c>
      <c r="C357" t="s">
        <v>1071</v>
      </c>
      <c r="D357">
        <v>27</v>
      </c>
      <c r="E357" t="s">
        <v>1073</v>
      </c>
      <c r="F357" t="s">
        <v>1060</v>
      </c>
      <c r="G357" t="s">
        <v>1063</v>
      </c>
      <c r="H357" t="s">
        <v>77</v>
      </c>
      <c r="J357" s="32" t="str">
        <f t="shared" si="38"/>
        <v>Female</v>
      </c>
      <c r="K357" s="32" t="str">
        <f t="shared" si="39"/>
        <v>Singaporean</v>
      </c>
      <c r="L357" s="32" t="str">
        <f t="shared" si="40"/>
        <v xml:space="preserve">Case 622 is a Imported case, 27 years old female Singapore Citizen  and has been to UK . She is currently admitted at NCID . </v>
      </c>
      <c r="M357" s="32">
        <f t="shared" si="41"/>
        <v>622</v>
      </c>
      <c r="N357" s="32" t="str">
        <f t="shared" si="42"/>
        <v xml:space="preserve">UK </v>
      </c>
      <c r="O357" s="32" t="str">
        <f t="shared" si="43"/>
        <v/>
      </c>
      <c r="P357" s="32" t="str">
        <f t="shared" si="44"/>
        <v/>
      </c>
    </row>
    <row r="358" spans="1:16" x14ac:dyDescent="0.3">
      <c r="A358">
        <v>623</v>
      </c>
      <c r="B358" s="24">
        <v>43915</v>
      </c>
      <c r="C358" t="s">
        <v>1071</v>
      </c>
      <c r="D358">
        <v>58</v>
      </c>
      <c r="E358" t="s">
        <v>1073</v>
      </c>
      <c r="F358" t="s">
        <v>1173</v>
      </c>
      <c r="G358" t="s">
        <v>687</v>
      </c>
      <c r="H358" t="s">
        <v>77</v>
      </c>
      <c r="J358" s="32" t="str">
        <f t="shared" si="38"/>
        <v>Female</v>
      </c>
      <c r="K358" s="32" t="str">
        <f t="shared" si="39"/>
        <v>Indonesia</v>
      </c>
      <c r="L358" s="32" t="str">
        <f t="shared" si="40"/>
        <v xml:space="preserve">Case 623 is a Imported case, 58 years old female Indonesia (Long Term Pass holder)  and has been to Indonesia . She is currently admitted at NCID . </v>
      </c>
      <c r="M358" s="32">
        <f t="shared" si="41"/>
        <v>623</v>
      </c>
      <c r="N358" s="32" t="str">
        <f t="shared" si="42"/>
        <v xml:space="preserve">Indonesia </v>
      </c>
      <c r="O358" s="32" t="str">
        <f t="shared" si="43"/>
        <v/>
      </c>
      <c r="P358" s="32" t="str">
        <f t="shared" si="44"/>
        <v/>
      </c>
    </row>
    <row r="359" spans="1:16" x14ac:dyDescent="0.3">
      <c r="A359">
        <v>624</v>
      </c>
      <c r="B359" s="24">
        <v>43915</v>
      </c>
      <c r="C359" t="s">
        <v>1071</v>
      </c>
      <c r="D359">
        <v>48</v>
      </c>
      <c r="E359" t="s">
        <v>1073</v>
      </c>
      <c r="F359" t="s">
        <v>1060</v>
      </c>
      <c r="H359" t="s">
        <v>1086</v>
      </c>
      <c r="I359" t="s">
        <v>1261</v>
      </c>
      <c r="J359" s="32" t="str">
        <f t="shared" ref="J359:J366" si="45">IF(TRIM(E359)="M","Male",IF(TRIM(E359)="F","Female",""))</f>
        <v>Female</v>
      </c>
      <c r="K359" s="32" t="str">
        <f t="shared" ref="K359:K366" si="46">IF(LEFT(F359,9)="Singapore","Singaporean",IF(ISERR(FIND("(",F359)),F359,LEFT(F359,FIND("(",F359)-2)))</f>
        <v>Singaporean</v>
      </c>
      <c r="L359" s="32"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2" t="str">
        <f t="shared" ref="M359:M366" si="48">IF(G359="","",A359)</f>
        <v/>
      </c>
      <c r="N359" s="32" t="str">
        <f t="shared" ref="N359:N366" si="49">IF(G359="","",G359)</f>
        <v/>
      </c>
      <c r="O359" s="32">
        <f t="shared" ref="O359:O366" si="50">IF(I359="","",A359)</f>
        <v>624</v>
      </c>
      <c r="P359" s="32" t="str">
        <f t="shared" ref="P359:P366" si="51">IF(I359="","",I359)</f>
        <v>PCF Fengshan</v>
      </c>
    </row>
    <row r="360" spans="1:16" x14ac:dyDescent="0.3">
      <c r="A360">
        <v>625</v>
      </c>
      <c r="B360" s="24">
        <v>43915</v>
      </c>
      <c r="C360" t="s">
        <v>1064</v>
      </c>
      <c r="D360">
        <v>27</v>
      </c>
      <c r="E360" t="s">
        <v>1059</v>
      </c>
      <c r="F360" t="s">
        <v>1252</v>
      </c>
      <c r="G360" t="s">
        <v>706</v>
      </c>
      <c r="H360" t="s">
        <v>77</v>
      </c>
      <c r="J360" s="32" t="str">
        <f t="shared" si="45"/>
        <v>Male</v>
      </c>
      <c r="K360" s="32" t="str">
        <f t="shared" si="46"/>
        <v>Philippines</v>
      </c>
      <c r="L360" s="32" t="str">
        <f t="shared" si="47"/>
        <v xml:space="preserve">Case 625 is a Imported case, 27 years old male Philippines (Singapore Work Pass holder)  and has been to Philippines . He is currently admitted at CGH . </v>
      </c>
      <c r="M360" s="32">
        <f t="shared" si="48"/>
        <v>625</v>
      </c>
      <c r="N360" s="32" t="str">
        <f t="shared" si="49"/>
        <v xml:space="preserve">Philippines </v>
      </c>
      <c r="O360" s="32" t="str">
        <f t="shared" si="50"/>
        <v/>
      </c>
      <c r="P360" s="32" t="str">
        <f t="shared" si="51"/>
        <v/>
      </c>
    </row>
    <row r="361" spans="1:16" x14ac:dyDescent="0.3">
      <c r="A361">
        <v>626</v>
      </c>
      <c r="B361" s="24">
        <v>43915</v>
      </c>
      <c r="C361" t="s">
        <v>343</v>
      </c>
      <c r="D361">
        <v>44</v>
      </c>
      <c r="E361" t="s">
        <v>1073</v>
      </c>
      <c r="F361" t="s">
        <v>1186</v>
      </c>
      <c r="H361" t="s">
        <v>1086</v>
      </c>
      <c r="I361" t="s">
        <v>1262</v>
      </c>
      <c r="J361" s="32" t="str">
        <f t="shared" si="45"/>
        <v>Female</v>
      </c>
      <c r="K361" s="32" t="str">
        <f t="shared" si="46"/>
        <v>UK</v>
      </c>
      <c r="L361" s="32" t="str">
        <f t="shared" si="47"/>
        <v>Case 626 is a Local linked  case, 44 years old female UK (Singapore Work Pass holder)  and has not been overseas. She is currently admitted at NUH . Contact of Case 556 Dover Court International School</v>
      </c>
      <c r="M361" s="32" t="str">
        <f t="shared" si="48"/>
        <v/>
      </c>
      <c r="N361" s="32" t="str">
        <f t="shared" si="49"/>
        <v/>
      </c>
      <c r="O361" s="32">
        <f t="shared" si="50"/>
        <v>626</v>
      </c>
      <c r="P361" s="32" t="str">
        <f t="shared" si="51"/>
        <v>Contact of Case 556 Dover Court International School</v>
      </c>
    </row>
    <row r="362" spans="1:16" x14ac:dyDescent="0.3">
      <c r="A362">
        <v>627</v>
      </c>
      <c r="B362" s="24">
        <v>43915</v>
      </c>
      <c r="C362" t="s">
        <v>1066</v>
      </c>
      <c r="D362">
        <v>18</v>
      </c>
      <c r="E362" t="s">
        <v>1073</v>
      </c>
      <c r="F362" t="s">
        <v>1060</v>
      </c>
      <c r="G362" t="s">
        <v>1063</v>
      </c>
      <c r="H362" t="s">
        <v>1069</v>
      </c>
      <c r="J362" s="32" t="str">
        <f t="shared" si="45"/>
        <v>Female</v>
      </c>
      <c r="K362" s="32" t="str">
        <f t="shared" si="46"/>
        <v>Singaporean</v>
      </c>
      <c r="L362" s="32" t="str">
        <f t="shared" si="47"/>
        <v xml:space="preserve">Case 627 is a Imported  case, 18 years old female Singapore Citizen  and has been to UK . She is currently admitted at SKH . </v>
      </c>
      <c r="M362" s="32">
        <f t="shared" si="48"/>
        <v>627</v>
      </c>
      <c r="N362" s="32" t="str">
        <f t="shared" si="49"/>
        <v xml:space="preserve">UK </v>
      </c>
      <c r="O362" s="32" t="str">
        <f t="shared" si="50"/>
        <v/>
      </c>
      <c r="P362" s="32" t="str">
        <f t="shared" si="51"/>
        <v/>
      </c>
    </row>
    <row r="363" spans="1:16" x14ac:dyDescent="0.3">
      <c r="A363">
        <v>628</v>
      </c>
      <c r="B363" s="24">
        <v>43915</v>
      </c>
      <c r="C363" t="s">
        <v>1071</v>
      </c>
      <c r="D363">
        <v>23</v>
      </c>
      <c r="E363" t="s">
        <v>1059</v>
      </c>
      <c r="F363" t="s">
        <v>1060</v>
      </c>
      <c r="G363" t="s">
        <v>1063</v>
      </c>
      <c r="H363" t="s">
        <v>77</v>
      </c>
      <c r="J363" s="32" t="str">
        <f t="shared" si="45"/>
        <v>Male</v>
      </c>
      <c r="K363" s="32" t="str">
        <f t="shared" si="46"/>
        <v>Singaporean</v>
      </c>
      <c r="L363" s="32" t="str">
        <f t="shared" si="47"/>
        <v xml:space="preserve">Case 628 is a Imported case, 23 years old male Singapore Citizen  and has been to UK . He is currently admitted at NCID . </v>
      </c>
      <c r="M363" s="32">
        <f t="shared" si="48"/>
        <v>628</v>
      </c>
      <c r="N363" s="32" t="str">
        <f t="shared" si="49"/>
        <v xml:space="preserve">UK </v>
      </c>
      <c r="O363" s="32" t="str">
        <f t="shared" si="50"/>
        <v/>
      </c>
      <c r="P363" s="32" t="str">
        <f t="shared" si="51"/>
        <v/>
      </c>
    </row>
    <row r="364" spans="1:16" x14ac:dyDescent="0.3">
      <c r="A364">
        <v>629</v>
      </c>
      <c r="B364" s="24">
        <v>43915</v>
      </c>
      <c r="C364" t="s">
        <v>1138</v>
      </c>
      <c r="D364">
        <v>46</v>
      </c>
      <c r="E364" t="s">
        <v>1059</v>
      </c>
      <c r="F364" t="s">
        <v>1060</v>
      </c>
      <c r="G364" t="s">
        <v>1234</v>
      </c>
      <c r="H364" t="s">
        <v>1069</v>
      </c>
      <c r="I364" t="s">
        <v>1264</v>
      </c>
      <c r="J364" s="32" t="str">
        <f t="shared" si="45"/>
        <v>Male</v>
      </c>
      <c r="K364" s="32" t="str">
        <f t="shared" si="46"/>
        <v>Singaporean</v>
      </c>
      <c r="L364" s="32" t="str">
        <f t="shared" si="47"/>
        <v>Case 629 is a Imported  case, 46 years old male Singapore Citizen  and has been to Pakistan . He is currently admitted at SGH . Contact of Case 557</v>
      </c>
      <c r="M364" s="32">
        <f t="shared" si="48"/>
        <v>629</v>
      </c>
      <c r="N364" s="32" t="str">
        <f t="shared" si="49"/>
        <v xml:space="preserve">Pakistan </v>
      </c>
      <c r="O364" s="32">
        <f t="shared" si="50"/>
        <v>629</v>
      </c>
      <c r="P364" s="32" t="str">
        <f t="shared" si="51"/>
        <v>Contact of Case 557</v>
      </c>
    </row>
    <row r="365" spans="1:16" x14ac:dyDescent="0.3">
      <c r="A365">
        <v>630</v>
      </c>
      <c r="B365" s="24">
        <v>43915</v>
      </c>
      <c r="C365" t="s">
        <v>1138</v>
      </c>
      <c r="D365">
        <v>43</v>
      </c>
      <c r="E365" t="s">
        <v>1073</v>
      </c>
      <c r="F365" t="s">
        <v>1060</v>
      </c>
      <c r="H365" t="s">
        <v>1086</v>
      </c>
      <c r="I365" t="s">
        <v>1246</v>
      </c>
      <c r="J365" s="32" t="str">
        <f t="shared" si="45"/>
        <v>Female</v>
      </c>
      <c r="K365" s="32" t="str">
        <f t="shared" si="46"/>
        <v>Singaporean</v>
      </c>
      <c r="L365" s="32" t="str">
        <f t="shared" si="47"/>
        <v>Case 630 is a Local linked  case, 43 years old female Singapore Citizen  and has not been overseas. She is currently admitted at SGH . Contact of Case 532</v>
      </c>
      <c r="M365" s="32" t="str">
        <f t="shared" si="48"/>
        <v/>
      </c>
      <c r="N365" s="32" t="str">
        <f t="shared" si="49"/>
        <v/>
      </c>
      <c r="O365" s="32">
        <f t="shared" si="50"/>
        <v>630</v>
      </c>
      <c r="P365" s="32" t="str">
        <f t="shared" si="51"/>
        <v>Contact of Case 532</v>
      </c>
    </row>
    <row r="366" spans="1:16" x14ac:dyDescent="0.3">
      <c r="A366">
        <v>631</v>
      </c>
      <c r="B366" s="24">
        <v>43915</v>
      </c>
      <c r="C366" t="s">
        <v>1161</v>
      </c>
      <c r="D366">
        <v>3</v>
      </c>
      <c r="E366" t="s">
        <v>1073</v>
      </c>
      <c r="F366" t="s">
        <v>1194</v>
      </c>
      <c r="H366" t="s">
        <v>1086</v>
      </c>
      <c r="I366" t="s">
        <v>1265</v>
      </c>
      <c r="J366" s="32" t="str">
        <f t="shared" si="45"/>
        <v>Female</v>
      </c>
      <c r="K366" s="32" t="str">
        <f t="shared" si="46"/>
        <v>India</v>
      </c>
      <c r="L366" s="32" t="str">
        <f t="shared" si="47"/>
        <v>Case 631 is a Local linked  case, 3 years old female India (Long Term Pass holder)  and has not been overseas. She is currently admitted at KKH . Contact of Case 453</v>
      </c>
      <c r="M366" s="32" t="str">
        <f t="shared" si="48"/>
        <v/>
      </c>
      <c r="N366" s="32" t="str">
        <f t="shared" si="49"/>
        <v/>
      </c>
      <c r="O366" s="32">
        <f t="shared" si="50"/>
        <v>631</v>
      </c>
      <c r="P366" s="32" t="str">
        <f t="shared" si="51"/>
        <v>Contact of Case 453</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51"/>
  <sheetViews>
    <sheetView topLeftCell="A127" workbookViewId="0">
      <selection activeCell="B151" sqref="A130:B151"/>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row r="131" spans="1:2" x14ac:dyDescent="0.3">
      <c r="A131" s="1">
        <v>516</v>
      </c>
      <c r="B131" s="1" t="s">
        <v>1239</v>
      </c>
    </row>
    <row r="132" spans="1:2" x14ac:dyDescent="0.3">
      <c r="A132" s="1">
        <v>521</v>
      </c>
      <c r="B132" s="1" t="s">
        <v>1239</v>
      </c>
    </row>
    <row r="133" spans="1:2" x14ac:dyDescent="0.3">
      <c r="A133" s="1">
        <v>566</v>
      </c>
      <c r="B133" s="1" t="s">
        <v>1239</v>
      </c>
    </row>
    <row r="134" spans="1:2" x14ac:dyDescent="0.3">
      <c r="A134" s="1">
        <v>567</v>
      </c>
      <c r="B134" s="1" t="s">
        <v>1239</v>
      </c>
    </row>
    <row r="135" spans="1:2" x14ac:dyDescent="0.3">
      <c r="A135" s="1">
        <v>572</v>
      </c>
      <c r="B135" s="1" t="s">
        <v>1239</v>
      </c>
    </row>
    <row r="136" spans="1:2" x14ac:dyDescent="0.3">
      <c r="A136" s="1">
        <v>583</v>
      </c>
      <c r="B136" s="1" t="s">
        <v>1239</v>
      </c>
    </row>
    <row r="137" spans="1:2" x14ac:dyDescent="0.3">
      <c r="A137" s="1">
        <v>584</v>
      </c>
      <c r="B137" s="1" t="s">
        <v>1239</v>
      </c>
    </row>
    <row r="138" spans="1:2" x14ac:dyDescent="0.3">
      <c r="A138" s="1">
        <v>601</v>
      </c>
      <c r="B138" s="1" t="s">
        <v>1239</v>
      </c>
    </row>
    <row r="139" spans="1:2" x14ac:dyDescent="0.3">
      <c r="A139" s="1">
        <v>602</v>
      </c>
      <c r="B139" s="1" t="s">
        <v>1239</v>
      </c>
    </row>
    <row r="140" spans="1:2" x14ac:dyDescent="0.3">
      <c r="A140" s="1">
        <v>603</v>
      </c>
      <c r="B140" s="1" t="s">
        <v>1239</v>
      </c>
    </row>
    <row r="141" spans="1:2" x14ac:dyDescent="0.3">
      <c r="A141" s="1">
        <v>604</v>
      </c>
      <c r="B141" s="1" t="s">
        <v>1239</v>
      </c>
    </row>
    <row r="142" spans="1:2" x14ac:dyDescent="0.3">
      <c r="A142" s="1">
        <v>605</v>
      </c>
      <c r="B142" s="1" t="s">
        <v>1239</v>
      </c>
    </row>
    <row r="143" spans="1:2" x14ac:dyDescent="0.3">
      <c r="A143" s="1">
        <v>609</v>
      </c>
      <c r="B143" s="1" t="s">
        <v>1239</v>
      </c>
    </row>
    <row r="144" spans="1:2" x14ac:dyDescent="0.3">
      <c r="A144" s="1">
        <v>610</v>
      </c>
      <c r="B144" s="1" t="s">
        <v>1239</v>
      </c>
    </row>
    <row r="145" spans="1:2" x14ac:dyDescent="0.3">
      <c r="A145" s="1">
        <v>612</v>
      </c>
      <c r="B145" s="1" t="s">
        <v>1239</v>
      </c>
    </row>
    <row r="146" spans="1:2" x14ac:dyDescent="0.3">
      <c r="A146" s="1">
        <v>614</v>
      </c>
      <c r="B146" s="1" t="s">
        <v>1239</v>
      </c>
    </row>
    <row r="147" spans="1:2" x14ac:dyDescent="0.3">
      <c r="A147" s="1">
        <v>617</v>
      </c>
      <c r="B147" s="1" t="s">
        <v>1239</v>
      </c>
    </row>
    <row r="148" spans="1:2" x14ac:dyDescent="0.3">
      <c r="A148" s="1">
        <v>624</v>
      </c>
      <c r="B148" s="1" t="s">
        <v>1239</v>
      </c>
    </row>
    <row r="149" spans="1:2" x14ac:dyDescent="0.3">
      <c r="A149" s="1">
        <v>556</v>
      </c>
      <c r="B149" s="1" t="s">
        <v>1237</v>
      </c>
    </row>
    <row r="150" spans="1:2" x14ac:dyDescent="0.3">
      <c r="A150" s="1">
        <v>618</v>
      </c>
      <c r="B150" s="1" t="s">
        <v>1238</v>
      </c>
    </row>
    <row r="151" spans="1:2" x14ac:dyDescent="0.3">
      <c r="A151" s="1">
        <v>626</v>
      </c>
      <c r="B151" s="1" t="s">
        <v>1237</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892"/>
  <sheetViews>
    <sheetView topLeftCell="A839" workbookViewId="0">
      <selection activeCell="C852" sqref="A852:C892"/>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1226</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1226</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1226</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1236</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1234</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1234</v>
      </c>
      <c r="C892"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81"/>
  <sheetViews>
    <sheetView topLeftCell="A157" workbookViewId="0">
      <selection activeCell="C181" sqref="A159:C181"/>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4"/>
  <sheetViews>
    <sheetView topLeftCell="A53" workbookViewId="0">
      <selection activeCell="O64" sqref="A64:O64"/>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4"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2020-03-26T00:52:02Z</dcterms:modified>
</cp:coreProperties>
</file>