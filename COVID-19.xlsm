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Users\eaa\Documents\GitHub\covid-19-singapore\"/>
    </mc:Choice>
  </mc:AlternateContent>
  <xr:revisionPtr revIDLastSave="0" documentId="10_ncr:100000_{CC22AB34-2354-4B00-8B11-7D5EB4167AB5}" xr6:coauthVersionLast="31" xr6:coauthVersionMax="31" xr10:uidLastSave="{00000000-0000-0000-0000-000000000000}"/>
  <bookViews>
    <workbookView xWindow="0" yWindow="0" windowWidth="19008" windowHeight="8496" xr2:uid="{31FC31E5-BF5D-4DF9-8764-C97F6AC0BEA7}"/>
  </bookViews>
  <sheets>
    <sheet name="Details" sheetId="1" r:id="rId1"/>
    <sheet name="Annex" sheetId="7" r:id="rId2"/>
    <sheet name="Cluster" sheetId="6" r:id="rId3"/>
    <sheet name="Sheet1" sheetId="5" r:id="rId4"/>
    <sheet name="Movement" sheetId="4" r:id="rId5"/>
    <sheet name="Relationship" sheetId="3" r:id="rId6"/>
    <sheet name="Case" sheetId="2" r:id="rId7"/>
  </sheets>
  <definedNames>
    <definedName name="_xlnm._FilterDatabase" localSheetId="0" hidden="1">Details!$A$1:$M$90</definedName>
    <definedName name="_ftn1" localSheetId="1">Annex!$A$50</definedName>
    <definedName name="_ftn2" localSheetId="1">Annex!$A$51</definedName>
    <definedName name="_ftn3" localSheetId="1">Annex!$A$52</definedName>
    <definedName name="_ftn4" localSheetId="1">Annex!$A$53</definedName>
    <definedName name="_ftn5" localSheetId="1">Annex!$A$54</definedName>
    <definedName name="_ftnref1" localSheetId="1">Annex!$C$2</definedName>
    <definedName name="_ftnref2" localSheetId="1">Annex!$C$3</definedName>
    <definedName name="_ftnref3" localSheetId="1">Annex!$C$5</definedName>
    <definedName name="_ftnref4" localSheetId="1">Annex!$C$8</definedName>
    <definedName name="_ftnref5" localSheetId="1">Annex!$C$12</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10" i="1" l="1"/>
  <c r="B509" i="1"/>
  <c r="B508" i="1"/>
  <c r="B507" i="1"/>
  <c r="B506" i="1"/>
  <c r="B505" i="1"/>
  <c r="B504" i="1"/>
  <c r="B503" i="1"/>
  <c r="B502" i="1"/>
  <c r="B501" i="1"/>
  <c r="B500" i="1"/>
  <c r="B499" i="1"/>
  <c r="B498" i="1"/>
  <c r="B497" i="1"/>
  <c r="B496" i="1"/>
  <c r="B495" i="1"/>
  <c r="B494" i="1"/>
  <c r="B493" i="1"/>
  <c r="B492" i="1"/>
  <c r="B491" i="1"/>
  <c r="B490" i="1"/>
  <c r="B489" i="1"/>
  <c r="B488" i="1"/>
  <c r="B487" i="1"/>
  <c r="B486" i="1"/>
  <c r="B485" i="1"/>
  <c r="B484" i="1"/>
  <c r="B483" i="1"/>
  <c r="B482" i="1"/>
  <c r="B481" i="1"/>
  <c r="B480" i="1"/>
  <c r="B479" i="1"/>
  <c r="B478" i="1"/>
  <c r="B477" i="1"/>
  <c r="B476" i="1"/>
  <c r="B475" i="1"/>
  <c r="B474" i="1"/>
  <c r="B473" i="1"/>
  <c r="B472" i="1"/>
  <c r="B471" i="1"/>
  <c r="B470" i="1"/>
  <c r="B469" i="1"/>
  <c r="B468" i="1"/>
  <c r="B467" i="1"/>
  <c r="B466" i="1"/>
  <c r="B465" i="1"/>
  <c r="B464" i="1"/>
  <c r="B463" i="1"/>
  <c r="B462" i="1"/>
  <c r="B461" i="1"/>
  <c r="B460" i="1"/>
  <c r="B459" i="1"/>
  <c r="B458" i="1"/>
  <c r="B457" i="1"/>
  <c r="B456" i="1"/>
  <c r="B455" i="1"/>
  <c r="B454" i="1"/>
  <c r="B453" i="1"/>
  <c r="B452" i="1"/>
  <c r="B451" i="1"/>
  <c r="B450" i="1"/>
  <c r="B449" i="1"/>
  <c r="B448" i="1"/>
  <c r="B447" i="1"/>
  <c r="B446" i="1"/>
  <c r="B445" i="1"/>
  <c r="B444" i="1"/>
  <c r="B443" i="1"/>
  <c r="B442" i="1"/>
  <c r="B441" i="1"/>
  <c r="B440" i="1"/>
  <c r="B439" i="1"/>
  <c r="B438" i="1"/>
  <c r="B437" i="1"/>
  <c r="B436" i="1"/>
  <c r="B435" i="1"/>
  <c r="B434" i="1"/>
  <c r="B433" i="1"/>
  <c r="B432" i="1"/>
  <c r="B431" i="1"/>
  <c r="B430" i="1"/>
  <c r="B429" i="1"/>
  <c r="B428" i="1"/>
  <c r="B427" i="1"/>
  <c r="B426" i="1"/>
  <c r="B425" i="1"/>
  <c r="B424" i="1"/>
  <c r="B423" i="1"/>
  <c r="B422" i="1"/>
  <c r="B421" i="1"/>
  <c r="B420" i="1"/>
  <c r="B419" i="1"/>
  <c r="B418" i="1"/>
  <c r="B417" i="1"/>
  <c r="B416" i="1"/>
  <c r="B415" i="1"/>
  <c r="B414" i="1"/>
  <c r="B413" i="1"/>
  <c r="B412" i="1"/>
  <c r="B411" i="1"/>
  <c r="B410" i="1"/>
  <c r="B409" i="1"/>
  <c r="B408" i="1"/>
  <c r="B407" i="1"/>
  <c r="B406" i="1"/>
  <c r="B405" i="1"/>
  <c r="B404" i="1"/>
  <c r="B403" i="1"/>
  <c r="B402" i="1"/>
  <c r="B401" i="1"/>
  <c r="B400" i="1"/>
  <c r="B399" i="1"/>
  <c r="B398" i="1"/>
  <c r="B397" i="1"/>
  <c r="B396" i="1"/>
  <c r="B395" i="1"/>
  <c r="B394" i="1"/>
  <c r="B393" i="1"/>
  <c r="B392" i="1"/>
  <c r="B391" i="1"/>
  <c r="B390" i="1"/>
  <c r="B389" i="1"/>
  <c r="B388" i="1"/>
  <c r="B387" i="1"/>
  <c r="B386" i="1"/>
  <c r="B385" i="1"/>
  <c r="B384" i="1"/>
  <c r="B383" i="1"/>
  <c r="B382" i="1"/>
  <c r="B381" i="1"/>
  <c r="B380" i="1"/>
  <c r="B379" i="1"/>
  <c r="B378" i="1"/>
  <c r="B377" i="1"/>
  <c r="B376" i="1"/>
  <c r="B375" i="1"/>
  <c r="B374" i="1"/>
  <c r="B373" i="1"/>
  <c r="B372" i="1"/>
  <c r="B371" i="1"/>
  <c r="B370" i="1"/>
  <c r="B369" i="1"/>
  <c r="B368" i="1"/>
  <c r="B367" i="1"/>
  <c r="B366" i="1"/>
  <c r="B365" i="1"/>
  <c r="B364" i="1"/>
  <c r="B363" i="1"/>
  <c r="B362" i="1"/>
  <c r="B361" i="1"/>
  <c r="B360" i="1"/>
  <c r="B359" i="1"/>
  <c r="B358" i="1"/>
  <c r="B357" i="1"/>
  <c r="B356" i="1"/>
  <c r="B355" i="1"/>
  <c r="B354" i="1"/>
  <c r="B353" i="1"/>
  <c r="B352" i="1"/>
  <c r="B351" i="1"/>
  <c r="B350" i="1"/>
  <c r="B347" i="1"/>
  <c r="B348" i="1"/>
  <c r="B349" i="1"/>
  <c r="P243" i="7" l="1"/>
  <c r="O243" i="7"/>
  <c r="P242" i="7"/>
  <c r="O242" i="7"/>
  <c r="P241" i="7"/>
  <c r="O241" i="7"/>
  <c r="P240" i="7"/>
  <c r="O240" i="7"/>
  <c r="P239" i="7"/>
  <c r="O239" i="7"/>
  <c r="P238" i="7"/>
  <c r="O238" i="7"/>
  <c r="P237" i="7"/>
  <c r="O237" i="7"/>
  <c r="P236" i="7"/>
  <c r="O236" i="7"/>
  <c r="P235" i="7"/>
  <c r="O235" i="7"/>
  <c r="P234" i="7"/>
  <c r="O234" i="7"/>
  <c r="P233" i="7"/>
  <c r="O233" i="7"/>
  <c r="P232" i="7"/>
  <c r="O232" i="7"/>
  <c r="P231" i="7"/>
  <c r="O231" i="7"/>
  <c r="P230" i="7"/>
  <c r="O230" i="7"/>
  <c r="P229" i="7"/>
  <c r="O229" i="7"/>
  <c r="P228" i="7"/>
  <c r="O228" i="7"/>
  <c r="P227" i="7"/>
  <c r="O227" i="7"/>
  <c r="P226" i="7"/>
  <c r="O226" i="7"/>
  <c r="P225" i="7"/>
  <c r="O225" i="7"/>
  <c r="P224" i="7"/>
  <c r="O224" i="7"/>
  <c r="P223" i="7"/>
  <c r="O223" i="7"/>
  <c r="P222" i="7"/>
  <c r="O222" i="7"/>
  <c r="P221" i="7"/>
  <c r="O221" i="7"/>
  <c r="P220" i="7"/>
  <c r="O220" i="7"/>
  <c r="P219" i="7"/>
  <c r="O219" i="7"/>
  <c r="P218" i="7"/>
  <c r="O218" i="7"/>
  <c r="P217" i="7"/>
  <c r="O217" i="7"/>
  <c r="P216" i="7"/>
  <c r="O216" i="7"/>
  <c r="P215" i="7"/>
  <c r="O215" i="7"/>
  <c r="P214" i="7"/>
  <c r="O214" i="7"/>
  <c r="P213" i="7"/>
  <c r="O213" i="7"/>
  <c r="P212" i="7"/>
  <c r="O212" i="7"/>
  <c r="P211" i="7"/>
  <c r="O211" i="7"/>
  <c r="P210" i="7"/>
  <c r="O210" i="7"/>
  <c r="P209" i="7"/>
  <c r="O209" i="7"/>
  <c r="P208" i="7"/>
  <c r="O208" i="7"/>
  <c r="P207" i="7"/>
  <c r="O207" i="7"/>
  <c r="P206" i="7"/>
  <c r="O206" i="7"/>
  <c r="P205" i="7"/>
  <c r="O205" i="7"/>
  <c r="P204" i="7"/>
  <c r="O204" i="7"/>
  <c r="P203" i="7"/>
  <c r="O203" i="7"/>
  <c r="P202" i="7"/>
  <c r="O202" i="7"/>
  <c r="P201" i="7"/>
  <c r="O201" i="7"/>
  <c r="P200" i="7"/>
  <c r="O200" i="7"/>
  <c r="P199" i="7"/>
  <c r="O199" i="7"/>
  <c r="P198" i="7"/>
  <c r="O198" i="7"/>
  <c r="P197" i="7"/>
  <c r="O197" i="7"/>
  <c r="P196" i="7"/>
  <c r="O196" i="7"/>
  <c r="P195" i="7"/>
  <c r="O195" i="7"/>
  <c r="P194" i="7"/>
  <c r="O194" i="7"/>
  <c r="P193" i="7"/>
  <c r="O193" i="7"/>
  <c r="P192" i="7"/>
  <c r="O192" i="7"/>
  <c r="P191" i="7"/>
  <c r="O191" i="7"/>
  <c r="P190" i="7"/>
  <c r="O190" i="7"/>
  <c r="P189" i="7"/>
  <c r="O189" i="7"/>
  <c r="P188" i="7"/>
  <c r="O188" i="7"/>
  <c r="P187" i="7"/>
  <c r="O187" i="7"/>
  <c r="P186" i="7"/>
  <c r="O186" i="7"/>
  <c r="P185" i="7"/>
  <c r="O185" i="7"/>
  <c r="P184" i="7"/>
  <c r="O184" i="7"/>
  <c r="P183" i="7"/>
  <c r="O183" i="7"/>
  <c r="P182" i="7"/>
  <c r="O182" i="7"/>
  <c r="P181" i="7"/>
  <c r="O181" i="7"/>
  <c r="P244" i="7"/>
  <c r="O244" i="7"/>
  <c r="L510" i="1"/>
  <c r="L509" i="1"/>
  <c r="L508" i="1"/>
  <c r="L507" i="1"/>
  <c r="L506" i="1"/>
  <c r="L505" i="1"/>
  <c r="L504" i="1"/>
  <c r="L503" i="1"/>
  <c r="L502" i="1"/>
  <c r="L501" i="1"/>
  <c r="L500" i="1"/>
  <c r="L499" i="1"/>
  <c r="L498" i="1"/>
  <c r="L497" i="1"/>
  <c r="L496" i="1"/>
  <c r="L495" i="1"/>
  <c r="L494" i="1"/>
  <c r="L493" i="1"/>
  <c r="L492" i="1"/>
  <c r="L491" i="1"/>
  <c r="L490" i="1"/>
  <c r="L489" i="1"/>
  <c r="L488" i="1"/>
  <c r="L487" i="1"/>
  <c r="L486" i="1"/>
  <c r="L485" i="1"/>
  <c r="L484" i="1"/>
  <c r="L483" i="1"/>
  <c r="L482" i="1"/>
  <c r="L481" i="1"/>
  <c r="L480" i="1"/>
  <c r="L479" i="1"/>
  <c r="L478" i="1"/>
  <c r="L477" i="1"/>
  <c r="L476" i="1"/>
  <c r="L475" i="1"/>
  <c r="L474" i="1"/>
  <c r="L473" i="1"/>
  <c r="L472" i="1"/>
  <c r="L471" i="1"/>
  <c r="L470" i="1"/>
  <c r="L469" i="1"/>
  <c r="L468" i="1"/>
  <c r="L467" i="1"/>
  <c r="L466" i="1"/>
  <c r="L465" i="1"/>
  <c r="L464" i="1"/>
  <c r="L463" i="1"/>
  <c r="L462" i="1"/>
  <c r="L461" i="1"/>
  <c r="L460" i="1"/>
  <c r="L459" i="1"/>
  <c r="L458" i="1"/>
  <c r="L457" i="1"/>
  <c r="F510" i="1"/>
  <c r="E510" i="1"/>
  <c r="D510" i="1"/>
  <c r="C510" i="1"/>
  <c r="A510" i="1"/>
  <c r="F509" i="1"/>
  <c r="E509" i="1"/>
  <c r="D509" i="1"/>
  <c r="C509" i="1"/>
  <c r="A509" i="1"/>
  <c r="F508" i="1"/>
  <c r="E508" i="1"/>
  <c r="D508" i="1"/>
  <c r="C508" i="1"/>
  <c r="A508" i="1"/>
  <c r="F507" i="1"/>
  <c r="E507" i="1"/>
  <c r="D507" i="1"/>
  <c r="C507" i="1"/>
  <c r="A507" i="1"/>
  <c r="F506" i="1"/>
  <c r="E506" i="1"/>
  <c r="D506" i="1"/>
  <c r="C506" i="1"/>
  <c r="A506" i="1"/>
  <c r="F505" i="1"/>
  <c r="E505" i="1"/>
  <c r="D505" i="1"/>
  <c r="C505" i="1"/>
  <c r="A505" i="1"/>
  <c r="F504" i="1"/>
  <c r="E504" i="1"/>
  <c r="D504" i="1"/>
  <c r="C504" i="1"/>
  <c r="A504" i="1"/>
  <c r="F503" i="1"/>
  <c r="E503" i="1"/>
  <c r="D503" i="1"/>
  <c r="C503" i="1"/>
  <c r="A503" i="1"/>
  <c r="F502" i="1"/>
  <c r="E502" i="1"/>
  <c r="D502" i="1"/>
  <c r="C502" i="1"/>
  <c r="A502" i="1"/>
  <c r="F501" i="1"/>
  <c r="E501" i="1"/>
  <c r="D501" i="1"/>
  <c r="C501" i="1"/>
  <c r="A501" i="1"/>
  <c r="F500" i="1"/>
  <c r="E500" i="1"/>
  <c r="D500" i="1"/>
  <c r="C500" i="1"/>
  <c r="A500" i="1"/>
  <c r="F499" i="1"/>
  <c r="E499" i="1"/>
  <c r="D499" i="1"/>
  <c r="C499" i="1"/>
  <c r="A499" i="1"/>
  <c r="F498" i="1"/>
  <c r="E498" i="1"/>
  <c r="D498" i="1"/>
  <c r="C498" i="1"/>
  <c r="A498" i="1"/>
  <c r="F497" i="1"/>
  <c r="E497" i="1"/>
  <c r="D497" i="1"/>
  <c r="C497" i="1"/>
  <c r="A497" i="1"/>
  <c r="F496" i="1"/>
  <c r="E496" i="1"/>
  <c r="D496" i="1"/>
  <c r="C496" i="1"/>
  <c r="A496" i="1"/>
  <c r="F495" i="1"/>
  <c r="E495" i="1"/>
  <c r="D495" i="1"/>
  <c r="C495" i="1"/>
  <c r="A495" i="1"/>
  <c r="F494" i="1"/>
  <c r="E494" i="1"/>
  <c r="D494" i="1"/>
  <c r="C494" i="1"/>
  <c r="A494" i="1"/>
  <c r="F493" i="1"/>
  <c r="E493" i="1"/>
  <c r="D493" i="1"/>
  <c r="C493" i="1"/>
  <c r="A493" i="1"/>
  <c r="F492" i="1"/>
  <c r="E492" i="1"/>
  <c r="D492" i="1"/>
  <c r="C492" i="1"/>
  <c r="A492" i="1"/>
  <c r="F491" i="1"/>
  <c r="E491" i="1"/>
  <c r="D491" i="1"/>
  <c r="C491" i="1"/>
  <c r="A491" i="1"/>
  <c r="F490" i="1"/>
  <c r="E490" i="1"/>
  <c r="D490" i="1"/>
  <c r="C490" i="1"/>
  <c r="A490" i="1"/>
  <c r="F489" i="1"/>
  <c r="E489" i="1"/>
  <c r="D489" i="1"/>
  <c r="C489" i="1"/>
  <c r="A489" i="1"/>
  <c r="F488" i="1"/>
  <c r="E488" i="1"/>
  <c r="D488" i="1"/>
  <c r="C488" i="1"/>
  <c r="A488" i="1"/>
  <c r="F487" i="1"/>
  <c r="E487" i="1"/>
  <c r="D487" i="1"/>
  <c r="C487" i="1"/>
  <c r="A487" i="1"/>
  <c r="F486" i="1"/>
  <c r="E486" i="1"/>
  <c r="D486" i="1"/>
  <c r="C486" i="1"/>
  <c r="A486" i="1"/>
  <c r="F485" i="1"/>
  <c r="E485" i="1"/>
  <c r="D485" i="1"/>
  <c r="C485" i="1"/>
  <c r="A485" i="1"/>
  <c r="F484" i="1"/>
  <c r="E484" i="1"/>
  <c r="D484" i="1"/>
  <c r="C484" i="1"/>
  <c r="A484" i="1"/>
  <c r="F483" i="1"/>
  <c r="E483" i="1"/>
  <c r="D483" i="1"/>
  <c r="C483" i="1"/>
  <c r="A483" i="1"/>
  <c r="F482" i="1"/>
  <c r="E482" i="1"/>
  <c r="D482" i="1"/>
  <c r="C482" i="1"/>
  <c r="A482" i="1"/>
  <c r="F481" i="1"/>
  <c r="E481" i="1"/>
  <c r="D481" i="1"/>
  <c r="C481" i="1"/>
  <c r="A481" i="1"/>
  <c r="F480" i="1"/>
  <c r="E480" i="1"/>
  <c r="D480" i="1"/>
  <c r="C480" i="1"/>
  <c r="A480" i="1"/>
  <c r="F479" i="1"/>
  <c r="E479" i="1"/>
  <c r="D479" i="1"/>
  <c r="C479" i="1"/>
  <c r="A479" i="1"/>
  <c r="F478" i="1"/>
  <c r="E478" i="1"/>
  <c r="D478" i="1"/>
  <c r="C478" i="1"/>
  <c r="A478" i="1"/>
  <c r="F477" i="1"/>
  <c r="E477" i="1"/>
  <c r="D477" i="1"/>
  <c r="C477" i="1"/>
  <c r="A477" i="1"/>
  <c r="F476" i="1"/>
  <c r="E476" i="1"/>
  <c r="D476" i="1"/>
  <c r="C476" i="1"/>
  <c r="A476" i="1"/>
  <c r="F475" i="1"/>
  <c r="E475" i="1"/>
  <c r="D475" i="1"/>
  <c r="C475" i="1"/>
  <c r="A475" i="1"/>
  <c r="F474" i="1"/>
  <c r="E474" i="1"/>
  <c r="D474" i="1"/>
  <c r="C474" i="1"/>
  <c r="A474" i="1"/>
  <c r="F473" i="1"/>
  <c r="E473" i="1"/>
  <c r="D473" i="1"/>
  <c r="C473" i="1"/>
  <c r="A473" i="1"/>
  <c r="F472" i="1"/>
  <c r="E472" i="1"/>
  <c r="D472" i="1"/>
  <c r="C472" i="1"/>
  <c r="A472" i="1"/>
  <c r="F471" i="1"/>
  <c r="E471" i="1"/>
  <c r="D471" i="1"/>
  <c r="C471" i="1"/>
  <c r="A471" i="1"/>
  <c r="F470" i="1"/>
  <c r="E470" i="1"/>
  <c r="D470" i="1"/>
  <c r="C470" i="1"/>
  <c r="A470" i="1"/>
  <c r="F469" i="1"/>
  <c r="E469" i="1"/>
  <c r="D469" i="1"/>
  <c r="C469" i="1"/>
  <c r="A469" i="1"/>
  <c r="F468" i="1"/>
  <c r="E468" i="1"/>
  <c r="D468" i="1"/>
  <c r="C468" i="1"/>
  <c r="A468" i="1"/>
  <c r="F467" i="1"/>
  <c r="E467" i="1"/>
  <c r="D467" i="1"/>
  <c r="C467" i="1"/>
  <c r="A467" i="1"/>
  <c r="F466" i="1"/>
  <c r="E466" i="1"/>
  <c r="D466" i="1"/>
  <c r="C466" i="1"/>
  <c r="A466" i="1"/>
  <c r="F465" i="1"/>
  <c r="E465" i="1"/>
  <c r="D465" i="1"/>
  <c r="C465" i="1"/>
  <c r="A465" i="1"/>
  <c r="F464" i="1"/>
  <c r="E464" i="1"/>
  <c r="D464" i="1"/>
  <c r="C464" i="1"/>
  <c r="A464" i="1"/>
  <c r="F463" i="1"/>
  <c r="E463" i="1"/>
  <c r="D463" i="1"/>
  <c r="C463" i="1"/>
  <c r="A463" i="1"/>
  <c r="F462" i="1"/>
  <c r="E462" i="1"/>
  <c r="D462" i="1"/>
  <c r="C462" i="1"/>
  <c r="A462" i="1"/>
  <c r="F461" i="1"/>
  <c r="E461" i="1"/>
  <c r="D461" i="1"/>
  <c r="C461" i="1"/>
  <c r="A461" i="1"/>
  <c r="F460" i="1"/>
  <c r="E460" i="1"/>
  <c r="D460" i="1"/>
  <c r="C460" i="1"/>
  <c r="A460" i="1"/>
  <c r="F459" i="1"/>
  <c r="E459" i="1"/>
  <c r="D459" i="1"/>
  <c r="C459" i="1"/>
  <c r="A459" i="1"/>
  <c r="F458" i="1"/>
  <c r="E458" i="1"/>
  <c r="D458" i="1"/>
  <c r="C458" i="1"/>
  <c r="A458" i="1"/>
  <c r="F457" i="1"/>
  <c r="E457" i="1"/>
  <c r="D457" i="1"/>
  <c r="C457"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N244" i="7"/>
  <c r="M244" i="7"/>
  <c r="K244" i="7"/>
  <c r="J244" i="7"/>
  <c r="L244" i="7" s="1"/>
  <c r="N243" i="7"/>
  <c r="M243" i="7"/>
  <c r="K243" i="7"/>
  <c r="J243" i="7"/>
  <c r="L243" i="7" s="1"/>
  <c r="N242" i="7"/>
  <c r="M242" i="7"/>
  <c r="L242" i="7"/>
  <c r="K242" i="7"/>
  <c r="J242" i="7"/>
  <c r="N241" i="7"/>
  <c r="M241" i="7"/>
  <c r="K241" i="7"/>
  <c r="J241" i="7"/>
  <c r="L241" i="7" s="1"/>
  <c r="N240" i="7"/>
  <c r="M240" i="7"/>
  <c r="K240" i="7"/>
  <c r="J240" i="7"/>
  <c r="L240" i="7" s="1"/>
  <c r="N239" i="7"/>
  <c r="M239" i="7"/>
  <c r="K239" i="7"/>
  <c r="J239" i="7"/>
  <c r="L239" i="7" s="1"/>
  <c r="N238" i="7"/>
  <c r="M238" i="7"/>
  <c r="L238" i="7"/>
  <c r="K238" i="7"/>
  <c r="J238" i="7"/>
  <c r="N237" i="7"/>
  <c r="M237" i="7"/>
  <c r="K237" i="7"/>
  <c r="J237" i="7"/>
  <c r="L237" i="7" s="1"/>
  <c r="N236" i="7"/>
  <c r="M236" i="7"/>
  <c r="K236" i="7"/>
  <c r="J236" i="7"/>
  <c r="L236" i="7" s="1"/>
  <c r="N235" i="7"/>
  <c r="M235" i="7"/>
  <c r="K235" i="7"/>
  <c r="J235" i="7"/>
  <c r="L235" i="7" s="1"/>
  <c r="N234" i="7"/>
  <c r="M234" i="7"/>
  <c r="K234" i="7"/>
  <c r="J234" i="7"/>
  <c r="L234" i="7" s="1"/>
  <c r="N233" i="7"/>
  <c r="M233" i="7"/>
  <c r="L233" i="7"/>
  <c r="K233" i="7"/>
  <c r="J233" i="7"/>
  <c r="N232" i="7"/>
  <c r="M232" i="7"/>
  <c r="K232" i="7"/>
  <c r="J232" i="7"/>
  <c r="L232" i="7" s="1"/>
  <c r="N231" i="7"/>
  <c r="M231" i="7"/>
  <c r="K231" i="7"/>
  <c r="J231" i="7"/>
  <c r="L231" i="7" s="1"/>
  <c r="N230" i="7"/>
  <c r="M230" i="7"/>
  <c r="L230" i="7"/>
  <c r="K230" i="7"/>
  <c r="J230" i="7"/>
  <c r="N229" i="7"/>
  <c r="M229" i="7"/>
  <c r="K229" i="7"/>
  <c r="J229" i="7"/>
  <c r="L229" i="7" s="1"/>
  <c r="N228" i="7"/>
  <c r="M228" i="7"/>
  <c r="K228" i="7"/>
  <c r="J228" i="7"/>
  <c r="L228" i="7" s="1"/>
  <c r="N227" i="7"/>
  <c r="M227" i="7"/>
  <c r="K227" i="7"/>
  <c r="J227" i="7"/>
  <c r="L227" i="7" s="1"/>
  <c r="N226" i="7"/>
  <c r="M226" i="7"/>
  <c r="K226" i="7"/>
  <c r="J226" i="7"/>
  <c r="L226" i="7" s="1"/>
  <c r="N225" i="7"/>
  <c r="M225" i="7"/>
  <c r="L225" i="7"/>
  <c r="K225" i="7"/>
  <c r="J225" i="7"/>
  <c r="N224" i="7"/>
  <c r="M224" i="7"/>
  <c r="K224" i="7"/>
  <c r="J224" i="7"/>
  <c r="L224" i="7" s="1"/>
  <c r="N223" i="7"/>
  <c r="M223" i="7"/>
  <c r="K223" i="7"/>
  <c r="J223" i="7"/>
  <c r="L223" i="7" s="1"/>
  <c r="N222" i="7"/>
  <c r="M222" i="7"/>
  <c r="L222" i="7"/>
  <c r="K222" i="7"/>
  <c r="J222" i="7"/>
  <c r="N221" i="7"/>
  <c r="M221" i="7"/>
  <c r="K221" i="7"/>
  <c r="J221" i="7"/>
  <c r="L221" i="7" s="1"/>
  <c r="N220" i="7"/>
  <c r="M220" i="7"/>
  <c r="K220" i="7"/>
  <c r="J220" i="7"/>
  <c r="L220" i="7" s="1"/>
  <c r="N219" i="7"/>
  <c r="M219" i="7"/>
  <c r="K219" i="7"/>
  <c r="J219" i="7"/>
  <c r="L219" i="7" s="1"/>
  <c r="N218" i="7"/>
  <c r="M218" i="7"/>
  <c r="K218" i="7"/>
  <c r="J218" i="7"/>
  <c r="L218" i="7" s="1"/>
  <c r="N217" i="7"/>
  <c r="M217" i="7"/>
  <c r="L217" i="7"/>
  <c r="K217" i="7"/>
  <c r="J217" i="7"/>
  <c r="N216" i="7"/>
  <c r="M216" i="7"/>
  <c r="K216" i="7"/>
  <c r="J216" i="7"/>
  <c r="L216" i="7" s="1"/>
  <c r="N215" i="7"/>
  <c r="M215" i="7"/>
  <c r="K215" i="7"/>
  <c r="J215" i="7"/>
  <c r="L215" i="7" s="1"/>
  <c r="N214" i="7"/>
  <c r="M214" i="7"/>
  <c r="L214" i="7"/>
  <c r="K214" i="7"/>
  <c r="J214" i="7"/>
  <c r="N213" i="7"/>
  <c r="M213" i="7"/>
  <c r="K213" i="7"/>
  <c r="J213" i="7"/>
  <c r="L213" i="7" s="1"/>
  <c r="N212" i="7"/>
  <c r="M212" i="7"/>
  <c r="K212" i="7"/>
  <c r="J212" i="7"/>
  <c r="L212" i="7" s="1"/>
  <c r="N211" i="7"/>
  <c r="M211" i="7"/>
  <c r="K211" i="7"/>
  <c r="J211" i="7"/>
  <c r="L211" i="7" s="1"/>
  <c r="N210" i="7"/>
  <c r="M210" i="7"/>
  <c r="K210" i="7"/>
  <c r="J210" i="7"/>
  <c r="L210" i="7" s="1"/>
  <c r="N209" i="7"/>
  <c r="M209" i="7"/>
  <c r="L209" i="7"/>
  <c r="K209" i="7"/>
  <c r="J209" i="7"/>
  <c r="N208" i="7"/>
  <c r="M208" i="7"/>
  <c r="K208" i="7"/>
  <c r="J208" i="7"/>
  <c r="L208" i="7" s="1"/>
  <c r="N207" i="7"/>
  <c r="M207" i="7"/>
  <c r="K207" i="7"/>
  <c r="J207" i="7"/>
  <c r="L207" i="7" s="1"/>
  <c r="N206" i="7"/>
  <c r="M206" i="7"/>
  <c r="L206" i="7"/>
  <c r="K206" i="7"/>
  <c r="J206" i="7"/>
  <c r="N205" i="7"/>
  <c r="M205" i="7"/>
  <c r="K205" i="7"/>
  <c r="J205" i="7"/>
  <c r="L205" i="7" s="1"/>
  <c r="N204" i="7"/>
  <c r="M204" i="7"/>
  <c r="K204" i="7"/>
  <c r="J204" i="7"/>
  <c r="L204" i="7" s="1"/>
  <c r="N203" i="7"/>
  <c r="M203" i="7"/>
  <c r="K203" i="7"/>
  <c r="J203" i="7"/>
  <c r="L203" i="7" s="1"/>
  <c r="N202" i="7"/>
  <c r="M202" i="7"/>
  <c r="K202" i="7"/>
  <c r="J202" i="7"/>
  <c r="L202" i="7" s="1"/>
  <c r="N201" i="7"/>
  <c r="M201" i="7"/>
  <c r="L201" i="7"/>
  <c r="K201" i="7"/>
  <c r="J201" i="7"/>
  <c r="N200" i="7"/>
  <c r="M200" i="7"/>
  <c r="K200" i="7"/>
  <c r="J200" i="7"/>
  <c r="L200" i="7" s="1"/>
  <c r="N199" i="7"/>
  <c r="M199" i="7"/>
  <c r="K199" i="7"/>
  <c r="J199" i="7"/>
  <c r="L199" i="7" s="1"/>
  <c r="N198" i="7"/>
  <c r="M198" i="7"/>
  <c r="L198" i="7"/>
  <c r="K198" i="7"/>
  <c r="J198" i="7"/>
  <c r="N197" i="7"/>
  <c r="M197" i="7"/>
  <c r="K197" i="7"/>
  <c r="J197" i="7"/>
  <c r="L197" i="7" s="1"/>
  <c r="N196" i="7"/>
  <c r="M196" i="7"/>
  <c r="K196" i="7"/>
  <c r="J196" i="7"/>
  <c r="L196" i="7" s="1"/>
  <c r="N195" i="7"/>
  <c r="M195" i="7"/>
  <c r="K195" i="7"/>
  <c r="J195" i="7"/>
  <c r="L195" i="7" s="1"/>
  <c r="N194" i="7"/>
  <c r="M194" i="7"/>
  <c r="K194" i="7"/>
  <c r="J194" i="7"/>
  <c r="L194" i="7" s="1"/>
  <c r="N193" i="7"/>
  <c r="M193" i="7"/>
  <c r="L193" i="7"/>
  <c r="K193" i="7"/>
  <c r="J193" i="7"/>
  <c r="N192" i="7"/>
  <c r="M192" i="7"/>
  <c r="K192" i="7"/>
  <c r="J192" i="7"/>
  <c r="L192" i="7" s="1"/>
  <c r="N191" i="7"/>
  <c r="M191" i="7"/>
  <c r="K191" i="7"/>
  <c r="J191" i="7"/>
  <c r="L191" i="7" s="1"/>
  <c r="N190" i="7"/>
  <c r="M190" i="7"/>
  <c r="L190" i="7"/>
  <c r="K190" i="7"/>
  <c r="J190" i="7"/>
  <c r="E62" i="2"/>
  <c r="C62" i="2"/>
  <c r="E61" i="2" l="1"/>
  <c r="C61" i="2"/>
  <c r="L456" i="1" l="1"/>
  <c r="L455" i="1"/>
  <c r="L454" i="1"/>
  <c r="L453" i="1"/>
  <c r="L452" i="1"/>
  <c r="L451" i="1"/>
  <c r="L450" i="1"/>
  <c r="L449" i="1"/>
  <c r="L448" i="1"/>
  <c r="L447" i="1"/>
  <c r="L446" i="1"/>
  <c r="L445" i="1"/>
  <c r="L444" i="1"/>
  <c r="L443" i="1"/>
  <c r="L442" i="1"/>
  <c r="L441" i="1"/>
  <c r="L440" i="1"/>
  <c r="L439" i="1"/>
  <c r="L438" i="1"/>
  <c r="L437" i="1"/>
  <c r="L436" i="1"/>
  <c r="L435" i="1"/>
  <c r="L434" i="1"/>
  <c r="L433" i="1"/>
  <c r="L432" i="1"/>
  <c r="L431" i="1"/>
  <c r="L430" i="1"/>
  <c r="L429" i="1"/>
  <c r="L428" i="1"/>
  <c r="L427" i="1"/>
  <c r="L426" i="1"/>
  <c r="L425" i="1"/>
  <c r="L424" i="1"/>
  <c r="L423" i="1"/>
  <c r="L422" i="1"/>
  <c r="L421" i="1"/>
  <c r="L420" i="1"/>
  <c r="L419" i="1"/>
  <c r="L418" i="1"/>
  <c r="L417" i="1"/>
  <c r="L416" i="1"/>
  <c r="L415" i="1"/>
  <c r="L414" i="1"/>
  <c r="L413" i="1"/>
  <c r="L412" i="1"/>
  <c r="L411" i="1"/>
  <c r="L410" i="1"/>
  <c r="L409" i="1"/>
  <c r="L408" i="1"/>
  <c r="L407" i="1"/>
  <c r="L406" i="1"/>
  <c r="L405" i="1"/>
  <c r="L404" i="1"/>
  <c r="L403" i="1"/>
  <c r="L402" i="1"/>
  <c r="L401" i="1"/>
  <c r="L400" i="1"/>
  <c r="L399" i="1"/>
  <c r="L398" i="1"/>
  <c r="L397" i="1"/>
  <c r="L396" i="1"/>
  <c r="L395" i="1"/>
  <c r="L394" i="1"/>
  <c r="L393" i="1"/>
  <c r="L392" i="1"/>
  <c r="L391" i="1"/>
  <c r="L390" i="1"/>
  <c r="L389" i="1"/>
  <c r="L388" i="1"/>
  <c r="L387" i="1"/>
  <c r="L386" i="1"/>
  <c r="L385" i="1"/>
  <c r="L384" i="1"/>
  <c r="L383" i="1"/>
  <c r="L382" i="1"/>
  <c r="L381" i="1"/>
  <c r="L380" i="1"/>
  <c r="L379" i="1"/>
  <c r="L378" i="1"/>
  <c r="L377" i="1"/>
  <c r="L376" i="1"/>
  <c r="L375" i="1"/>
  <c r="L374" i="1"/>
  <c r="L373" i="1"/>
  <c r="L372" i="1"/>
  <c r="L371" i="1"/>
  <c r="L370" i="1"/>
  <c r="L369" i="1"/>
  <c r="L368" i="1"/>
  <c r="L367" i="1"/>
  <c r="L366" i="1"/>
  <c r="L365" i="1"/>
  <c r="L364" i="1"/>
  <c r="L363" i="1"/>
  <c r="L362" i="1"/>
  <c r="L361" i="1"/>
  <c r="L360" i="1"/>
  <c r="L359" i="1"/>
  <c r="L358" i="1"/>
  <c r="L357" i="1"/>
  <c r="L356" i="1"/>
  <c r="L355" i="1"/>
  <c r="L354" i="1"/>
  <c r="L353" i="1"/>
  <c r="L352" i="1"/>
  <c r="L351" i="1"/>
  <c r="L350" i="1"/>
  <c r="L349" i="1"/>
  <c r="L348" i="1"/>
  <c r="L347" i="1"/>
  <c r="F456" i="1"/>
  <c r="F455" i="1"/>
  <c r="F349" i="1"/>
  <c r="E456" i="1"/>
  <c r="E455" i="1"/>
  <c r="E454" i="1"/>
  <c r="E450" i="1"/>
  <c r="E443" i="1"/>
  <c r="E439" i="1"/>
  <c r="E434" i="1"/>
  <c r="E433" i="1"/>
  <c r="E429" i="1"/>
  <c r="E427" i="1"/>
  <c r="E423" i="1"/>
  <c r="E422" i="1"/>
  <c r="E418" i="1"/>
  <c r="E411" i="1"/>
  <c r="E407" i="1"/>
  <c r="E402" i="1"/>
  <c r="E401" i="1"/>
  <c r="E397" i="1"/>
  <c r="E395" i="1"/>
  <c r="E391" i="1"/>
  <c r="E390" i="1"/>
  <c r="E386" i="1"/>
  <c r="E379" i="1"/>
  <c r="E375" i="1"/>
  <c r="E370" i="1"/>
  <c r="E369" i="1"/>
  <c r="E365" i="1"/>
  <c r="E358" i="1"/>
  <c r="E354" i="1"/>
  <c r="D456" i="1"/>
  <c r="D455" i="1"/>
  <c r="D454" i="1"/>
  <c r="D453" i="1"/>
  <c r="D452" i="1"/>
  <c r="D451" i="1"/>
  <c r="D450" i="1"/>
  <c r="D449" i="1"/>
  <c r="D448" i="1"/>
  <c r="D447" i="1"/>
  <c r="D446" i="1"/>
  <c r="D445" i="1"/>
  <c r="D444" i="1"/>
  <c r="D443" i="1"/>
  <c r="D442" i="1"/>
  <c r="D441" i="1"/>
  <c r="D440" i="1"/>
  <c r="D439" i="1"/>
  <c r="D438" i="1"/>
  <c r="D437" i="1"/>
  <c r="D436" i="1"/>
  <c r="D435" i="1"/>
  <c r="D434" i="1"/>
  <c r="D433" i="1"/>
  <c r="D432" i="1"/>
  <c r="D431" i="1"/>
  <c r="D430" i="1"/>
  <c r="D429" i="1"/>
  <c r="D428" i="1"/>
  <c r="D427" i="1"/>
  <c r="D426" i="1"/>
  <c r="D425" i="1"/>
  <c r="D424" i="1"/>
  <c r="D423" i="1"/>
  <c r="D422" i="1"/>
  <c r="D421" i="1"/>
  <c r="D420" i="1"/>
  <c r="D419" i="1"/>
  <c r="D418" i="1"/>
  <c r="D417" i="1"/>
  <c r="D416" i="1"/>
  <c r="D415" i="1"/>
  <c r="D414" i="1"/>
  <c r="D413" i="1"/>
  <c r="D412" i="1"/>
  <c r="D411" i="1"/>
  <c r="D410" i="1"/>
  <c r="D409" i="1"/>
  <c r="D408" i="1"/>
  <c r="D407" i="1"/>
  <c r="D406" i="1"/>
  <c r="D405" i="1"/>
  <c r="D404" i="1"/>
  <c r="D403" i="1"/>
  <c r="D402" i="1"/>
  <c r="D401" i="1"/>
  <c r="D400" i="1"/>
  <c r="D399" i="1"/>
  <c r="D398" i="1"/>
  <c r="D397" i="1"/>
  <c r="D396" i="1"/>
  <c r="D395" i="1"/>
  <c r="D394" i="1"/>
  <c r="D393" i="1"/>
  <c r="D392" i="1"/>
  <c r="D391" i="1"/>
  <c r="D390" i="1"/>
  <c r="D389" i="1"/>
  <c r="D388" i="1"/>
  <c r="D387" i="1"/>
  <c r="D386" i="1"/>
  <c r="D385" i="1"/>
  <c r="D384" i="1"/>
  <c r="D383" i="1"/>
  <c r="D382" i="1"/>
  <c r="D381" i="1"/>
  <c r="D380" i="1"/>
  <c r="D379" i="1"/>
  <c r="D378" i="1"/>
  <c r="D377" i="1"/>
  <c r="D376" i="1"/>
  <c r="D375" i="1"/>
  <c r="D374" i="1"/>
  <c r="D373" i="1"/>
  <c r="D372" i="1"/>
  <c r="D371" i="1"/>
  <c r="D370" i="1"/>
  <c r="D369" i="1"/>
  <c r="D368" i="1"/>
  <c r="D367" i="1"/>
  <c r="D366" i="1"/>
  <c r="D365" i="1"/>
  <c r="D364" i="1"/>
  <c r="D363" i="1"/>
  <c r="D362" i="1"/>
  <c r="D361" i="1"/>
  <c r="D360" i="1"/>
  <c r="D359" i="1"/>
  <c r="D358" i="1"/>
  <c r="D357" i="1"/>
  <c r="D356" i="1"/>
  <c r="D355" i="1"/>
  <c r="D354" i="1"/>
  <c r="D353" i="1"/>
  <c r="D352" i="1"/>
  <c r="D351" i="1"/>
  <c r="D350" i="1"/>
  <c r="D349" i="1"/>
  <c r="D348" i="1"/>
  <c r="D347" i="1"/>
  <c r="C456" i="1"/>
  <c r="C455" i="1"/>
  <c r="C451" i="1"/>
  <c r="C430" i="1"/>
  <c r="C423" i="1"/>
  <c r="C419" i="1"/>
  <c r="C398" i="1"/>
  <c r="C391" i="1"/>
  <c r="C387" i="1"/>
  <c r="C366" i="1"/>
  <c r="C359" i="1"/>
  <c r="C355" i="1"/>
  <c r="C349" i="1"/>
  <c r="N189" i="7"/>
  <c r="M189" i="7"/>
  <c r="N188" i="7"/>
  <c r="M188" i="7"/>
  <c r="N187" i="7"/>
  <c r="M187" i="7"/>
  <c r="N186" i="7"/>
  <c r="M186" i="7"/>
  <c r="L186" i="7"/>
  <c r="F452" i="1" s="1"/>
  <c r="N185" i="7"/>
  <c r="M185" i="7"/>
  <c r="N184" i="7"/>
  <c r="M184" i="7"/>
  <c r="N183" i="7"/>
  <c r="M183" i="7"/>
  <c r="N182" i="7"/>
  <c r="M182" i="7"/>
  <c r="L182" i="7"/>
  <c r="F448" i="1" s="1"/>
  <c r="N181" i="7"/>
  <c r="M181" i="7"/>
  <c r="N180" i="7"/>
  <c r="M180" i="7"/>
  <c r="N179" i="7"/>
  <c r="M179" i="7"/>
  <c r="N178" i="7"/>
  <c r="M178" i="7"/>
  <c r="N177" i="7"/>
  <c r="M177" i="7"/>
  <c r="N176" i="7"/>
  <c r="M176" i="7"/>
  <c r="N175" i="7"/>
  <c r="M175" i="7"/>
  <c r="N174" i="7"/>
  <c r="M174" i="7"/>
  <c r="N173" i="7"/>
  <c r="M173" i="7"/>
  <c r="L173" i="7"/>
  <c r="F439" i="1" s="1"/>
  <c r="N172" i="7"/>
  <c r="M172" i="7"/>
  <c r="N171" i="7"/>
  <c r="M171" i="7"/>
  <c r="N170" i="7"/>
  <c r="M170" i="7"/>
  <c r="N169" i="7"/>
  <c r="M169" i="7"/>
  <c r="N168" i="7"/>
  <c r="M168" i="7"/>
  <c r="N167" i="7"/>
  <c r="M167" i="7"/>
  <c r="N166" i="7"/>
  <c r="M166" i="7"/>
  <c r="N165" i="7"/>
  <c r="M165" i="7"/>
  <c r="L165" i="7"/>
  <c r="F431" i="1" s="1"/>
  <c r="N164" i="7"/>
  <c r="M164" i="7"/>
  <c r="N163" i="7"/>
  <c r="M163" i="7"/>
  <c r="N162" i="7"/>
  <c r="M162" i="7"/>
  <c r="N161" i="7"/>
  <c r="M161" i="7"/>
  <c r="N160" i="7"/>
  <c r="M160" i="7"/>
  <c r="N159" i="7"/>
  <c r="M159" i="7"/>
  <c r="N158" i="7"/>
  <c r="M158" i="7"/>
  <c r="N157" i="7"/>
  <c r="M157" i="7"/>
  <c r="L157" i="7"/>
  <c r="F423" i="1" s="1"/>
  <c r="N156" i="7"/>
  <c r="M156" i="7"/>
  <c r="N155" i="7"/>
  <c r="M155" i="7"/>
  <c r="N154" i="7"/>
  <c r="M154" i="7"/>
  <c r="N153" i="7"/>
  <c r="M153" i="7"/>
  <c r="N152" i="7"/>
  <c r="M152" i="7"/>
  <c r="N151" i="7"/>
  <c r="M151" i="7"/>
  <c r="N150" i="7"/>
  <c r="M150" i="7"/>
  <c r="N149" i="7"/>
  <c r="M149" i="7"/>
  <c r="L149" i="7"/>
  <c r="F415" i="1" s="1"/>
  <c r="N148" i="7"/>
  <c r="M148" i="7"/>
  <c r="N147" i="7"/>
  <c r="M147" i="7"/>
  <c r="N146" i="7"/>
  <c r="M146" i="7"/>
  <c r="N145" i="7"/>
  <c r="M145" i="7"/>
  <c r="N144" i="7"/>
  <c r="M144" i="7"/>
  <c r="N143" i="7"/>
  <c r="M143" i="7"/>
  <c r="N142" i="7"/>
  <c r="M142" i="7"/>
  <c r="N141" i="7"/>
  <c r="M141" i="7"/>
  <c r="L141" i="7"/>
  <c r="F407" i="1" s="1"/>
  <c r="N140" i="7"/>
  <c r="M140" i="7"/>
  <c r="N139" i="7"/>
  <c r="M139" i="7"/>
  <c r="N138" i="7"/>
  <c r="M138" i="7"/>
  <c r="N137" i="7"/>
  <c r="M137" i="7"/>
  <c r="N136" i="7"/>
  <c r="M136" i="7"/>
  <c r="N135" i="7"/>
  <c r="M135" i="7"/>
  <c r="N134" i="7"/>
  <c r="M134" i="7"/>
  <c r="N133" i="7"/>
  <c r="M133" i="7"/>
  <c r="L133" i="7"/>
  <c r="F399" i="1" s="1"/>
  <c r="N132" i="7"/>
  <c r="M132" i="7"/>
  <c r="N131" i="7"/>
  <c r="M131" i="7"/>
  <c r="N130" i="7"/>
  <c r="M130" i="7"/>
  <c r="N129" i="7"/>
  <c r="M129" i="7"/>
  <c r="N128" i="7"/>
  <c r="M128" i="7"/>
  <c r="N127" i="7"/>
  <c r="M127" i="7"/>
  <c r="N126" i="7"/>
  <c r="M126" i="7"/>
  <c r="N125" i="7"/>
  <c r="M125" i="7"/>
  <c r="L125" i="7"/>
  <c r="F391" i="1" s="1"/>
  <c r="N124" i="7"/>
  <c r="M124" i="7"/>
  <c r="N123" i="7"/>
  <c r="M123" i="7"/>
  <c r="N122" i="7"/>
  <c r="M122" i="7"/>
  <c r="N121" i="7"/>
  <c r="M121" i="7"/>
  <c r="N120" i="7"/>
  <c r="M120" i="7"/>
  <c r="N119" i="7"/>
  <c r="M119" i="7"/>
  <c r="N118" i="7"/>
  <c r="M118" i="7"/>
  <c r="N117" i="7"/>
  <c r="M117" i="7"/>
  <c r="L117" i="7"/>
  <c r="F383" i="1" s="1"/>
  <c r="N116" i="7"/>
  <c r="M116" i="7"/>
  <c r="N115" i="7"/>
  <c r="M115" i="7"/>
  <c r="N114" i="7"/>
  <c r="M114" i="7"/>
  <c r="N113" i="7"/>
  <c r="M113" i="7"/>
  <c r="N112" i="7"/>
  <c r="M112" i="7"/>
  <c r="N111" i="7"/>
  <c r="M111" i="7"/>
  <c r="N110" i="7"/>
  <c r="M110" i="7"/>
  <c r="N109" i="7"/>
  <c r="M109" i="7"/>
  <c r="L109" i="7"/>
  <c r="F375" i="1" s="1"/>
  <c r="N108" i="7"/>
  <c r="M108" i="7"/>
  <c r="N107" i="7"/>
  <c r="M107" i="7"/>
  <c r="N106" i="7"/>
  <c r="M106" i="7"/>
  <c r="N105" i="7"/>
  <c r="M105" i="7"/>
  <c r="N104" i="7"/>
  <c r="M104" i="7"/>
  <c r="N103" i="7"/>
  <c r="M103" i="7"/>
  <c r="N102" i="7"/>
  <c r="M102" i="7"/>
  <c r="N101" i="7"/>
  <c r="M101" i="7"/>
  <c r="L101" i="7"/>
  <c r="F367" i="1" s="1"/>
  <c r="N100" i="7"/>
  <c r="M100" i="7"/>
  <c r="N99" i="7"/>
  <c r="M99" i="7"/>
  <c r="N98" i="7"/>
  <c r="M98" i="7"/>
  <c r="N97" i="7"/>
  <c r="M97" i="7"/>
  <c r="N96" i="7"/>
  <c r="M96" i="7"/>
  <c r="N95" i="7"/>
  <c r="M95" i="7"/>
  <c r="N94" i="7"/>
  <c r="M94" i="7"/>
  <c r="N93" i="7"/>
  <c r="M93" i="7"/>
  <c r="L93" i="7"/>
  <c r="F359" i="1" s="1"/>
  <c r="N92" i="7"/>
  <c r="M92" i="7"/>
  <c r="N91" i="7"/>
  <c r="M91" i="7"/>
  <c r="N90" i="7"/>
  <c r="M90" i="7"/>
  <c r="N89" i="7"/>
  <c r="M89" i="7"/>
  <c r="L89" i="7"/>
  <c r="F355" i="1" s="1"/>
  <c r="N88" i="7"/>
  <c r="M88" i="7"/>
  <c r="N87" i="7"/>
  <c r="M87" i="7"/>
  <c r="N86" i="7"/>
  <c r="M86" i="7"/>
  <c r="N85" i="7"/>
  <c r="M85" i="7"/>
  <c r="L85" i="7"/>
  <c r="F351" i="1" s="1"/>
  <c r="N84" i="7"/>
  <c r="M84" i="7"/>
  <c r="N83" i="7"/>
  <c r="M83" i="7"/>
  <c r="L83" i="7"/>
  <c r="N82" i="7"/>
  <c r="M82" i="7"/>
  <c r="N81" i="7"/>
  <c r="M81" i="7"/>
  <c r="L81" i="7"/>
  <c r="F347" i="1" s="1"/>
  <c r="K189" i="7"/>
  <c r="K188" i="7"/>
  <c r="K187" i="7"/>
  <c r="E453" i="1" s="1"/>
  <c r="K186" i="7"/>
  <c r="E452" i="1" s="1"/>
  <c r="K185" i="7"/>
  <c r="E451" i="1" s="1"/>
  <c r="K184" i="7"/>
  <c r="K183" i="7"/>
  <c r="E449" i="1" s="1"/>
  <c r="K182" i="7"/>
  <c r="E448" i="1" s="1"/>
  <c r="K181" i="7"/>
  <c r="E447" i="1" s="1"/>
  <c r="K180" i="7"/>
  <c r="E446" i="1" s="1"/>
  <c r="K179" i="7"/>
  <c r="E445" i="1" s="1"/>
  <c r="K178" i="7"/>
  <c r="E444" i="1" s="1"/>
  <c r="K177" i="7"/>
  <c r="K176" i="7"/>
  <c r="E442" i="1" s="1"/>
  <c r="K175" i="7"/>
  <c r="E441" i="1" s="1"/>
  <c r="K174" i="7"/>
  <c r="E440" i="1" s="1"/>
  <c r="K173" i="7"/>
  <c r="K172" i="7"/>
  <c r="E438" i="1" s="1"/>
  <c r="K171" i="7"/>
  <c r="E437" i="1" s="1"/>
  <c r="K170" i="7"/>
  <c r="E436" i="1" s="1"/>
  <c r="K169" i="7"/>
  <c r="E435" i="1" s="1"/>
  <c r="K168" i="7"/>
  <c r="K167" i="7"/>
  <c r="K166" i="7"/>
  <c r="E432" i="1" s="1"/>
  <c r="K165" i="7"/>
  <c r="E431" i="1" s="1"/>
  <c r="K164" i="7"/>
  <c r="E430" i="1" s="1"/>
  <c r="K163" i="7"/>
  <c r="K162" i="7"/>
  <c r="E428" i="1" s="1"/>
  <c r="K161" i="7"/>
  <c r="K160" i="7"/>
  <c r="E426" i="1" s="1"/>
  <c r="K159" i="7"/>
  <c r="E425" i="1" s="1"/>
  <c r="K158" i="7"/>
  <c r="E424" i="1" s="1"/>
  <c r="K157" i="7"/>
  <c r="K156" i="7"/>
  <c r="K155" i="7"/>
  <c r="E421" i="1" s="1"/>
  <c r="K154" i="7"/>
  <c r="E420" i="1" s="1"/>
  <c r="K153" i="7"/>
  <c r="E419" i="1" s="1"/>
  <c r="K152" i="7"/>
  <c r="K151" i="7"/>
  <c r="E417" i="1" s="1"/>
  <c r="K150" i="7"/>
  <c r="E416" i="1" s="1"/>
  <c r="K149" i="7"/>
  <c r="E415" i="1" s="1"/>
  <c r="K148" i="7"/>
  <c r="E414" i="1" s="1"/>
  <c r="K147" i="7"/>
  <c r="E413" i="1" s="1"/>
  <c r="K146" i="7"/>
  <c r="E412" i="1" s="1"/>
  <c r="K145" i="7"/>
  <c r="K144" i="7"/>
  <c r="E410" i="1" s="1"/>
  <c r="K143" i="7"/>
  <c r="E409" i="1" s="1"/>
  <c r="K142" i="7"/>
  <c r="E408" i="1" s="1"/>
  <c r="K141" i="7"/>
  <c r="K140" i="7"/>
  <c r="E406" i="1" s="1"/>
  <c r="K139" i="7"/>
  <c r="E405" i="1" s="1"/>
  <c r="K138" i="7"/>
  <c r="E404" i="1" s="1"/>
  <c r="K137" i="7"/>
  <c r="E403" i="1" s="1"/>
  <c r="K136" i="7"/>
  <c r="K135" i="7"/>
  <c r="K134" i="7"/>
  <c r="E400" i="1" s="1"/>
  <c r="K133" i="7"/>
  <c r="E399" i="1" s="1"/>
  <c r="K132" i="7"/>
  <c r="E398" i="1" s="1"/>
  <c r="K131" i="7"/>
  <c r="K130" i="7"/>
  <c r="E396" i="1" s="1"/>
  <c r="K129" i="7"/>
  <c r="K128" i="7"/>
  <c r="E394" i="1" s="1"/>
  <c r="K127" i="7"/>
  <c r="E393" i="1" s="1"/>
  <c r="K126" i="7"/>
  <c r="E392" i="1" s="1"/>
  <c r="K125" i="7"/>
  <c r="K124" i="7"/>
  <c r="K123" i="7"/>
  <c r="E389" i="1" s="1"/>
  <c r="K122" i="7"/>
  <c r="E388" i="1" s="1"/>
  <c r="K121" i="7"/>
  <c r="E387" i="1" s="1"/>
  <c r="K120" i="7"/>
  <c r="K119" i="7"/>
  <c r="E385" i="1" s="1"/>
  <c r="K118" i="7"/>
  <c r="E384" i="1" s="1"/>
  <c r="K117" i="7"/>
  <c r="E383" i="1" s="1"/>
  <c r="K116" i="7"/>
  <c r="E382" i="1" s="1"/>
  <c r="K115" i="7"/>
  <c r="E381" i="1" s="1"/>
  <c r="K114" i="7"/>
  <c r="E380" i="1" s="1"/>
  <c r="K113" i="7"/>
  <c r="K112" i="7"/>
  <c r="E378" i="1" s="1"/>
  <c r="K111" i="7"/>
  <c r="E377" i="1" s="1"/>
  <c r="K110" i="7"/>
  <c r="E376" i="1" s="1"/>
  <c r="K109" i="7"/>
  <c r="K108" i="7"/>
  <c r="E374" i="1" s="1"/>
  <c r="K107" i="7"/>
  <c r="E373" i="1" s="1"/>
  <c r="K106" i="7"/>
  <c r="E372" i="1" s="1"/>
  <c r="K105" i="7"/>
  <c r="E371" i="1" s="1"/>
  <c r="K104" i="7"/>
  <c r="K103" i="7"/>
  <c r="K102" i="7"/>
  <c r="E368" i="1" s="1"/>
  <c r="K101" i="7"/>
  <c r="E367" i="1" s="1"/>
  <c r="K100" i="7"/>
  <c r="E366" i="1" s="1"/>
  <c r="K99" i="7"/>
  <c r="K98" i="7"/>
  <c r="E364" i="1" s="1"/>
  <c r="K97" i="7"/>
  <c r="E363" i="1" s="1"/>
  <c r="K96" i="7"/>
  <c r="E362" i="1" s="1"/>
  <c r="K95" i="7"/>
  <c r="E361" i="1" s="1"/>
  <c r="K94" i="7"/>
  <c r="E360" i="1" s="1"/>
  <c r="K93" i="7"/>
  <c r="E359" i="1" s="1"/>
  <c r="K92" i="7"/>
  <c r="J189" i="7"/>
  <c r="L189" i="7" s="1"/>
  <c r="J188" i="7"/>
  <c r="J187" i="7"/>
  <c r="J186" i="7"/>
  <c r="C452" i="1" s="1"/>
  <c r="J185" i="7"/>
  <c r="L185" i="7" s="1"/>
  <c r="F451" i="1" s="1"/>
  <c r="J184" i="7"/>
  <c r="L184" i="7" s="1"/>
  <c r="F450" i="1" s="1"/>
  <c r="J183" i="7"/>
  <c r="C449" i="1" s="1"/>
  <c r="J182" i="7"/>
  <c r="C448" i="1" s="1"/>
  <c r="J181" i="7"/>
  <c r="J180" i="7"/>
  <c r="C446" i="1" s="1"/>
  <c r="J179" i="7"/>
  <c r="C445" i="1" s="1"/>
  <c r="J178" i="7"/>
  <c r="J177" i="7"/>
  <c r="J176" i="7"/>
  <c r="C442" i="1" s="1"/>
  <c r="J175" i="7"/>
  <c r="L175" i="7" s="1"/>
  <c r="F441" i="1" s="1"/>
  <c r="J174" i="7"/>
  <c r="J173" i="7"/>
  <c r="C439" i="1" s="1"/>
  <c r="J172" i="7"/>
  <c r="C438" i="1" s="1"/>
  <c r="J171" i="7"/>
  <c r="J170" i="7"/>
  <c r="J169" i="7"/>
  <c r="C435" i="1" s="1"/>
  <c r="J168" i="7"/>
  <c r="L168" i="7" s="1"/>
  <c r="F434" i="1" s="1"/>
  <c r="J167" i="7"/>
  <c r="J166" i="7"/>
  <c r="J165" i="7"/>
  <c r="C431" i="1" s="1"/>
  <c r="J164" i="7"/>
  <c r="L164" i="7" s="1"/>
  <c r="F430" i="1" s="1"/>
  <c r="J163" i="7"/>
  <c r="L163" i="7" s="1"/>
  <c r="F429" i="1" s="1"/>
  <c r="J162" i="7"/>
  <c r="J161" i="7"/>
  <c r="C427" i="1" s="1"/>
  <c r="J160" i="7"/>
  <c r="C426" i="1" s="1"/>
  <c r="J159" i="7"/>
  <c r="L159" i="7" s="1"/>
  <c r="F425" i="1" s="1"/>
  <c r="J158" i="7"/>
  <c r="J157" i="7"/>
  <c r="J156" i="7"/>
  <c r="C422" i="1" s="1"/>
  <c r="J155" i="7"/>
  <c r="J154" i="7"/>
  <c r="J153" i="7"/>
  <c r="L153" i="7" s="1"/>
  <c r="F419" i="1" s="1"/>
  <c r="J152" i="7"/>
  <c r="C418" i="1" s="1"/>
  <c r="J151" i="7"/>
  <c r="J150" i="7"/>
  <c r="J149" i="7"/>
  <c r="C415" i="1" s="1"/>
  <c r="J148" i="7"/>
  <c r="L148" i="7" s="1"/>
  <c r="F414" i="1" s="1"/>
  <c r="J147" i="7"/>
  <c r="L147" i="7" s="1"/>
  <c r="F413" i="1" s="1"/>
  <c r="J146" i="7"/>
  <c r="J145" i="7"/>
  <c r="C411" i="1" s="1"/>
  <c r="J144" i="7"/>
  <c r="C410" i="1" s="1"/>
  <c r="J143" i="7"/>
  <c r="L143" i="7" s="1"/>
  <c r="F409" i="1" s="1"/>
  <c r="J142" i="7"/>
  <c r="J141" i="7"/>
  <c r="C407" i="1" s="1"/>
  <c r="J140" i="7"/>
  <c r="C406" i="1" s="1"/>
  <c r="J139" i="7"/>
  <c r="J138" i="7"/>
  <c r="J137" i="7"/>
  <c r="C403" i="1" s="1"/>
  <c r="J136" i="7"/>
  <c r="L136" i="7" s="1"/>
  <c r="F402" i="1" s="1"/>
  <c r="J135" i="7"/>
  <c r="J134" i="7"/>
  <c r="J133" i="7"/>
  <c r="C399" i="1" s="1"/>
  <c r="J132" i="7"/>
  <c r="L132" i="7" s="1"/>
  <c r="F398" i="1" s="1"/>
  <c r="J131" i="7"/>
  <c r="L131" i="7" s="1"/>
  <c r="F397" i="1" s="1"/>
  <c r="J130" i="7"/>
  <c r="J129" i="7"/>
  <c r="C395" i="1" s="1"/>
  <c r="J128" i="7"/>
  <c r="C394" i="1" s="1"/>
  <c r="J127" i="7"/>
  <c r="L127" i="7" s="1"/>
  <c r="F393" i="1" s="1"/>
  <c r="J126" i="7"/>
  <c r="J125" i="7"/>
  <c r="J124" i="7"/>
  <c r="C390" i="1" s="1"/>
  <c r="J123" i="7"/>
  <c r="J122" i="7"/>
  <c r="J121" i="7"/>
  <c r="L121" i="7" s="1"/>
  <c r="F387" i="1" s="1"/>
  <c r="J120" i="7"/>
  <c r="C386" i="1" s="1"/>
  <c r="J119" i="7"/>
  <c r="J118" i="7"/>
  <c r="J117" i="7"/>
  <c r="C383" i="1" s="1"/>
  <c r="J116" i="7"/>
  <c r="C382" i="1" s="1"/>
  <c r="J115" i="7"/>
  <c r="L115" i="7" s="1"/>
  <c r="F381" i="1" s="1"/>
  <c r="J114" i="7"/>
  <c r="J113" i="7"/>
  <c r="C379" i="1" s="1"/>
  <c r="J112" i="7"/>
  <c r="C378" i="1" s="1"/>
  <c r="J111" i="7"/>
  <c r="L111" i="7" s="1"/>
  <c r="F377" i="1" s="1"/>
  <c r="J110" i="7"/>
  <c r="J109" i="7"/>
  <c r="C375" i="1" s="1"/>
  <c r="J108" i="7"/>
  <c r="C374" i="1" s="1"/>
  <c r="J107" i="7"/>
  <c r="J106" i="7"/>
  <c r="J105" i="7"/>
  <c r="L105" i="7" s="1"/>
  <c r="F371" i="1" s="1"/>
  <c r="J104" i="7"/>
  <c r="L104" i="7" s="1"/>
  <c r="F370" i="1" s="1"/>
  <c r="J103" i="7"/>
  <c r="J102" i="7"/>
  <c r="J101" i="7"/>
  <c r="C367" i="1" s="1"/>
  <c r="J100" i="7"/>
  <c r="L100" i="7" s="1"/>
  <c r="F366" i="1" s="1"/>
  <c r="J99" i="7"/>
  <c r="L99" i="7" s="1"/>
  <c r="F365" i="1" s="1"/>
  <c r="J98" i="7"/>
  <c r="J97" i="7"/>
  <c r="C363" i="1" s="1"/>
  <c r="J96" i="7"/>
  <c r="C362" i="1" s="1"/>
  <c r="J95" i="7"/>
  <c r="L95" i="7" s="1"/>
  <c r="F361" i="1" s="1"/>
  <c r="J94" i="7"/>
  <c r="J93" i="7"/>
  <c r="J92" i="7"/>
  <c r="C358" i="1" s="1"/>
  <c r="K91" i="7"/>
  <c r="E357" i="1" s="1"/>
  <c r="J91" i="7"/>
  <c r="K90" i="7"/>
  <c r="E356" i="1" s="1"/>
  <c r="J90" i="7"/>
  <c r="K89" i="7"/>
  <c r="E355" i="1" s="1"/>
  <c r="J89" i="7"/>
  <c r="K88" i="7"/>
  <c r="J88" i="7"/>
  <c r="C354" i="1" s="1"/>
  <c r="K87" i="7"/>
  <c r="E353" i="1" s="1"/>
  <c r="J87" i="7"/>
  <c r="K86" i="7"/>
  <c r="E352" i="1" s="1"/>
  <c r="J86" i="7"/>
  <c r="K85" i="7"/>
  <c r="E351" i="1" s="1"/>
  <c r="J85" i="7"/>
  <c r="C351" i="1" s="1"/>
  <c r="K84" i="7"/>
  <c r="E350" i="1" s="1"/>
  <c r="J84" i="7"/>
  <c r="C350" i="1" s="1"/>
  <c r="K83" i="7"/>
  <c r="E349" i="1" s="1"/>
  <c r="J83" i="7"/>
  <c r="K82" i="7"/>
  <c r="E348" i="1" s="1"/>
  <c r="J82" i="7"/>
  <c r="K81" i="7"/>
  <c r="E347" i="1" s="1"/>
  <c r="J81" i="7"/>
  <c r="C347" i="1" s="1"/>
  <c r="C60" i="2"/>
  <c r="E60" i="2"/>
  <c r="E59" i="2"/>
  <c r="C59" i="2"/>
  <c r="C369" i="1" l="1"/>
  <c r="L103" i="7"/>
  <c r="F369" i="1" s="1"/>
  <c r="C385" i="1"/>
  <c r="L119" i="7"/>
  <c r="F385" i="1" s="1"/>
  <c r="C389" i="1"/>
  <c r="L123" i="7"/>
  <c r="F389" i="1" s="1"/>
  <c r="C401" i="1"/>
  <c r="L135" i="7"/>
  <c r="F401" i="1" s="1"/>
  <c r="C405" i="1"/>
  <c r="L139" i="7"/>
  <c r="F405" i="1" s="1"/>
  <c r="C377" i="1"/>
  <c r="C409" i="1"/>
  <c r="C441" i="1"/>
  <c r="C348" i="1"/>
  <c r="L82" i="7"/>
  <c r="F348" i="1" s="1"/>
  <c r="L84" i="7"/>
  <c r="F350" i="1" s="1"/>
  <c r="L92" i="7"/>
  <c r="F358" i="1" s="1"/>
  <c r="L108" i="7"/>
  <c r="F374" i="1" s="1"/>
  <c r="L124" i="7"/>
  <c r="F390" i="1" s="1"/>
  <c r="L140" i="7"/>
  <c r="F406" i="1" s="1"/>
  <c r="L156" i="7"/>
  <c r="F422" i="1" s="1"/>
  <c r="L172" i="7"/>
  <c r="F438" i="1" s="1"/>
  <c r="L180" i="7"/>
  <c r="F446" i="1" s="1"/>
  <c r="C370" i="1"/>
  <c r="C381" i="1"/>
  <c r="L97" i="7"/>
  <c r="F363" i="1" s="1"/>
  <c r="L129" i="7"/>
  <c r="F395" i="1" s="1"/>
  <c r="L137" i="7"/>
  <c r="F403" i="1" s="1"/>
  <c r="L161" i="7"/>
  <c r="F427" i="1" s="1"/>
  <c r="L169" i="7"/>
  <c r="F435" i="1" s="1"/>
  <c r="L179" i="7"/>
  <c r="F445" i="1" s="1"/>
  <c r="C371" i="1"/>
  <c r="C393" i="1"/>
  <c r="C414" i="1"/>
  <c r="C373" i="1"/>
  <c r="L107" i="7"/>
  <c r="F373" i="1" s="1"/>
  <c r="C417" i="1"/>
  <c r="L151" i="7"/>
  <c r="F417" i="1" s="1"/>
  <c r="C421" i="1"/>
  <c r="L155" i="7"/>
  <c r="F421" i="1" s="1"/>
  <c r="C433" i="1"/>
  <c r="L167" i="7"/>
  <c r="F433" i="1" s="1"/>
  <c r="C437" i="1"/>
  <c r="L171" i="7"/>
  <c r="F437" i="1" s="1"/>
  <c r="L187" i="7"/>
  <c r="F453" i="1" s="1"/>
  <c r="C453" i="1"/>
  <c r="C352" i="1"/>
  <c r="L86" i="7"/>
  <c r="F352" i="1" s="1"/>
  <c r="C356" i="1"/>
  <c r="L90" i="7"/>
  <c r="F356" i="1" s="1"/>
  <c r="C454" i="1"/>
  <c r="L188" i="7"/>
  <c r="F454" i="1" s="1"/>
  <c r="L116" i="7"/>
  <c r="F382" i="1" s="1"/>
  <c r="L183" i="7"/>
  <c r="F449" i="1" s="1"/>
  <c r="C402" i="1"/>
  <c r="C413" i="1"/>
  <c r="C434" i="1"/>
  <c r="L177" i="7"/>
  <c r="F443" i="1" s="1"/>
  <c r="C443" i="1"/>
  <c r="L181" i="7"/>
  <c r="F447" i="1" s="1"/>
  <c r="C447" i="1"/>
  <c r="L113" i="7"/>
  <c r="F379" i="1" s="1"/>
  <c r="L145" i="7"/>
  <c r="F411" i="1" s="1"/>
  <c r="C361" i="1"/>
  <c r="C425" i="1"/>
  <c r="C353" i="1"/>
  <c r="L87" i="7"/>
  <c r="F353" i="1" s="1"/>
  <c r="C357" i="1"/>
  <c r="L91" i="7"/>
  <c r="F357" i="1" s="1"/>
  <c r="C360" i="1"/>
  <c r="L94" i="7"/>
  <c r="F360" i="1" s="1"/>
  <c r="C364" i="1"/>
  <c r="L98" i="7"/>
  <c r="F364" i="1" s="1"/>
  <c r="C368" i="1"/>
  <c r="L102" i="7"/>
  <c r="F368" i="1" s="1"/>
  <c r="C372" i="1"/>
  <c r="L106" i="7"/>
  <c r="F372" i="1" s="1"/>
  <c r="C376" i="1"/>
  <c r="L110" i="7"/>
  <c r="F376" i="1" s="1"/>
  <c r="C380" i="1"/>
  <c r="L114" i="7"/>
  <c r="F380" i="1" s="1"/>
  <c r="C384" i="1"/>
  <c r="L118" i="7"/>
  <c r="F384" i="1" s="1"/>
  <c r="C388" i="1"/>
  <c r="L122" i="7"/>
  <c r="F388" i="1" s="1"/>
  <c r="C392" i="1"/>
  <c r="L126" i="7"/>
  <c r="F392" i="1" s="1"/>
  <c r="C396" i="1"/>
  <c r="L130" i="7"/>
  <c r="F396" i="1" s="1"/>
  <c r="C400" i="1"/>
  <c r="L134" i="7"/>
  <c r="F400" i="1" s="1"/>
  <c r="C404" i="1"/>
  <c r="L138" i="7"/>
  <c r="F404" i="1" s="1"/>
  <c r="C408" i="1"/>
  <c r="L142" i="7"/>
  <c r="F408" i="1" s="1"/>
  <c r="C412" i="1"/>
  <c r="L146" i="7"/>
  <c r="F412" i="1" s="1"/>
  <c r="C416" i="1"/>
  <c r="L150" i="7"/>
  <c r="F416" i="1" s="1"/>
  <c r="C420" i="1"/>
  <c r="L154" i="7"/>
  <c r="F420" i="1" s="1"/>
  <c r="C424" i="1"/>
  <c r="L158" i="7"/>
  <c r="F424" i="1" s="1"/>
  <c r="C428" i="1"/>
  <c r="L162" i="7"/>
  <c r="F428" i="1" s="1"/>
  <c r="C432" i="1"/>
  <c r="L166" i="7"/>
  <c r="F432" i="1" s="1"/>
  <c r="C436" i="1"/>
  <c r="L170" i="7"/>
  <c r="F436" i="1" s="1"/>
  <c r="C440" i="1"/>
  <c r="L174" i="7"/>
  <c r="F440" i="1" s="1"/>
  <c r="C444" i="1"/>
  <c r="L178" i="7"/>
  <c r="F444" i="1" s="1"/>
  <c r="L88" i="7"/>
  <c r="F354" i="1" s="1"/>
  <c r="L96" i="7"/>
  <c r="F362" i="1" s="1"/>
  <c r="L112" i="7"/>
  <c r="F378" i="1" s="1"/>
  <c r="L120" i="7"/>
  <c r="F386" i="1" s="1"/>
  <c r="L128" i="7"/>
  <c r="F394" i="1" s="1"/>
  <c r="L144" i="7"/>
  <c r="F410" i="1" s="1"/>
  <c r="L152" i="7"/>
  <c r="F418" i="1" s="1"/>
  <c r="L160" i="7"/>
  <c r="F426" i="1" s="1"/>
  <c r="L176" i="7"/>
  <c r="F442" i="1" s="1"/>
  <c r="C365" i="1"/>
  <c r="C397" i="1"/>
  <c r="C429" i="1"/>
  <c r="C450" i="1"/>
  <c r="N80" i="7"/>
  <c r="M80" i="7"/>
  <c r="N79" i="7"/>
  <c r="M79" i="7"/>
  <c r="N78" i="7"/>
  <c r="M78" i="7"/>
  <c r="N77" i="7"/>
  <c r="M77" i="7"/>
  <c r="N76" i="7"/>
  <c r="M76" i="7"/>
  <c r="N75" i="7"/>
  <c r="M75" i="7"/>
  <c r="N74" i="7"/>
  <c r="M74" i="7"/>
  <c r="N73" i="7"/>
  <c r="M73" i="7"/>
  <c r="N72" i="7"/>
  <c r="M72" i="7"/>
  <c r="N71" i="7"/>
  <c r="M71" i="7"/>
  <c r="N70" i="7"/>
  <c r="M70" i="7"/>
  <c r="N69" i="7"/>
  <c r="M69" i="7"/>
  <c r="N68" i="7"/>
  <c r="M68" i="7"/>
  <c r="N67" i="7"/>
  <c r="M67" i="7"/>
  <c r="N66" i="7"/>
  <c r="M66" i="7"/>
  <c r="N65" i="7"/>
  <c r="M65" i="7"/>
  <c r="N64" i="7"/>
  <c r="M64" i="7"/>
  <c r="N63" i="7"/>
  <c r="M63" i="7"/>
  <c r="N62" i="7"/>
  <c r="M62" i="7"/>
  <c r="N61" i="7"/>
  <c r="M61" i="7"/>
  <c r="N60" i="7"/>
  <c r="M60" i="7"/>
  <c r="N59" i="7"/>
  <c r="M59" i="7"/>
  <c r="N58" i="7"/>
  <c r="M58" i="7"/>
  <c r="N57" i="7"/>
  <c r="M57" i="7"/>
  <c r="N56" i="7"/>
  <c r="M56" i="7"/>
  <c r="N55" i="7"/>
  <c r="M55" i="7"/>
  <c r="N54" i="7"/>
  <c r="M54" i="7"/>
  <c r="N53" i="7"/>
  <c r="M53" i="7"/>
  <c r="N52" i="7"/>
  <c r="M52" i="7"/>
  <c r="N51" i="7"/>
  <c r="M51" i="7"/>
  <c r="N50" i="7"/>
  <c r="M50" i="7"/>
  <c r="N49" i="7"/>
  <c r="M49" i="7"/>
  <c r="K80" i="7"/>
  <c r="K79" i="7"/>
  <c r="K78" i="7"/>
  <c r="K77" i="7"/>
  <c r="K76" i="7"/>
  <c r="K75" i="7"/>
  <c r="K74" i="7"/>
  <c r="K73" i="7"/>
  <c r="K72" i="7"/>
  <c r="K71" i="7"/>
  <c r="K70" i="7"/>
  <c r="K69" i="7"/>
  <c r="K68" i="7"/>
  <c r="K67" i="7"/>
  <c r="K66" i="7"/>
  <c r="K65" i="7"/>
  <c r="K64" i="7"/>
  <c r="K63" i="7"/>
  <c r="K62" i="7"/>
  <c r="K61" i="7"/>
  <c r="K60" i="7"/>
  <c r="K59" i="7"/>
  <c r="K58" i="7"/>
  <c r="K57" i="7"/>
  <c r="K56" i="7"/>
  <c r="K55" i="7"/>
  <c r="K54" i="7"/>
  <c r="K53" i="7"/>
  <c r="K52" i="7"/>
  <c r="K51" i="7"/>
  <c r="K50" i="7"/>
  <c r="K49" i="7"/>
  <c r="J80" i="7"/>
  <c r="L80" i="7" s="1"/>
  <c r="J79" i="7"/>
  <c r="L79" i="7" s="1"/>
  <c r="J78" i="7"/>
  <c r="L78" i="7" s="1"/>
  <c r="J77" i="7"/>
  <c r="L77" i="7" s="1"/>
  <c r="J76" i="7"/>
  <c r="L76" i="7" s="1"/>
  <c r="J75" i="7"/>
  <c r="L75" i="7" s="1"/>
  <c r="J74" i="7"/>
  <c r="L74" i="7" s="1"/>
  <c r="J73" i="7"/>
  <c r="L73" i="7" s="1"/>
  <c r="J72" i="7"/>
  <c r="L72" i="7" s="1"/>
  <c r="J71" i="7"/>
  <c r="L71" i="7" s="1"/>
  <c r="J70" i="7"/>
  <c r="L70" i="7" s="1"/>
  <c r="J69" i="7"/>
  <c r="L69" i="7" s="1"/>
  <c r="J68" i="7"/>
  <c r="L68" i="7" s="1"/>
  <c r="J67" i="7"/>
  <c r="L67" i="7" s="1"/>
  <c r="J66" i="7"/>
  <c r="L66" i="7" s="1"/>
  <c r="J65" i="7"/>
  <c r="L65" i="7" s="1"/>
  <c r="J64" i="7"/>
  <c r="L64" i="7" s="1"/>
  <c r="J63" i="7"/>
  <c r="L63" i="7" s="1"/>
  <c r="J62" i="7"/>
  <c r="L62" i="7" s="1"/>
  <c r="J61" i="7"/>
  <c r="L61" i="7" s="1"/>
  <c r="J60" i="7"/>
  <c r="L60" i="7" s="1"/>
  <c r="J59" i="7"/>
  <c r="L59" i="7" s="1"/>
  <c r="J58" i="7"/>
  <c r="L58" i="7" s="1"/>
  <c r="J57" i="7"/>
  <c r="L57" i="7" s="1"/>
  <c r="J56" i="7"/>
  <c r="L56" i="7" s="1"/>
  <c r="J55" i="7"/>
  <c r="L55" i="7" s="1"/>
  <c r="J54" i="7"/>
  <c r="L54" i="7" s="1"/>
  <c r="J53" i="7"/>
  <c r="L53" i="7" s="1"/>
  <c r="J52" i="7"/>
  <c r="L52" i="7" s="1"/>
  <c r="J51" i="7"/>
  <c r="L51" i="7" s="1"/>
  <c r="J50" i="7"/>
  <c r="L50" i="7" s="1"/>
  <c r="J49" i="7"/>
  <c r="L49" i="7" s="1"/>
  <c r="E58" i="2"/>
  <c r="C58" i="2"/>
  <c r="E57" i="2" l="1"/>
  <c r="C57" i="2"/>
  <c r="E56" i="2"/>
  <c r="C56" i="2"/>
  <c r="L48" i="7"/>
  <c r="L47" i="7"/>
  <c r="L46" i="7"/>
  <c r="L45" i="7"/>
  <c r="L44" i="7"/>
  <c r="L43" i="7"/>
  <c r="L42" i="7"/>
  <c r="L41" i="7"/>
  <c r="L40" i="7"/>
  <c r="L39" i="7"/>
  <c r="L38" i="7"/>
  <c r="L37" i="7"/>
  <c r="L36" i="7"/>
  <c r="L35" i="7"/>
  <c r="L34" i="7"/>
  <c r="L33" i="7"/>
  <c r="L32" i="7"/>
  <c r="L31" i="7"/>
  <c r="L30" i="7"/>
  <c r="L29" i="7"/>
  <c r="L28" i="7"/>
  <c r="L27" i="7"/>
  <c r="L26" i="7"/>
  <c r="L25" i="7"/>
  <c r="L24" i="7"/>
  <c r="L23" i="7"/>
  <c r="L22" i="7"/>
  <c r="L21" i="7"/>
  <c r="L20" i="7"/>
  <c r="L19" i="7"/>
  <c r="L18" i="7"/>
  <c r="L17" i="7"/>
  <c r="L16" i="7"/>
  <c r="L15" i="7"/>
  <c r="L14" i="7"/>
  <c r="L13" i="7"/>
  <c r="L12" i="7"/>
  <c r="L11" i="7"/>
  <c r="L10" i="7"/>
  <c r="L9" i="7"/>
  <c r="L7" i="7"/>
  <c r="L6" i="7"/>
  <c r="L5" i="7"/>
  <c r="L4" i="7"/>
  <c r="L3" i="7"/>
  <c r="L2" i="7"/>
  <c r="L8" i="7"/>
  <c r="E55" i="2" l="1"/>
  <c r="E54" i="2" l="1"/>
  <c r="C54" i="2"/>
  <c r="C55" i="2" s="1"/>
  <c r="E53" i="2"/>
  <c r="C53" i="2"/>
  <c r="E52" i="2"/>
  <c r="C52" i="2"/>
  <c r="E51" i="2" l="1"/>
  <c r="C51" i="2"/>
  <c r="E50" i="2" l="1"/>
  <c r="C50" i="2"/>
  <c r="E49" i="2" l="1"/>
  <c r="C49" i="2"/>
  <c r="E48" i="2" l="1"/>
  <c r="C48" i="2"/>
  <c r="E47" i="2" l="1"/>
  <c r="C47" i="2"/>
  <c r="E46" i="2"/>
  <c r="C46" i="2"/>
  <c r="E45" i="2" l="1"/>
  <c r="C45" i="2"/>
  <c r="E44" i="2" l="1"/>
  <c r="C44" i="2"/>
  <c r="E43" i="2" l="1"/>
  <c r="C43" i="2"/>
  <c r="E42" i="2" l="1"/>
  <c r="C42" i="2"/>
  <c r="E41" i="2" l="1"/>
  <c r="C41" i="2"/>
  <c r="E40" i="2" l="1"/>
  <c r="C40" i="2"/>
  <c r="E39" i="2" l="1"/>
  <c r="C39" i="2"/>
  <c r="E38" i="2"/>
  <c r="C38" i="2"/>
  <c r="E37" i="2" l="1"/>
  <c r="C37" i="2"/>
  <c r="E36" i="2" l="1"/>
  <c r="C36" i="2"/>
  <c r="E35" i="2" l="1"/>
  <c r="C35" i="2"/>
  <c r="C34" i="2" l="1"/>
  <c r="E34" i="2"/>
  <c r="C33" i="2" l="1"/>
  <c r="E33" i="2"/>
  <c r="E32" i="2"/>
  <c r="C32" i="2"/>
  <c r="E31" i="2" l="1"/>
  <c r="C31" i="2"/>
  <c r="E30" i="2" l="1"/>
  <c r="C30" i="2"/>
  <c r="E29" i="2" l="1"/>
  <c r="C29" i="2"/>
  <c r="E28" i="2" l="1"/>
  <c r="C28" i="2"/>
  <c r="C27" i="2"/>
  <c r="E27" i="2"/>
  <c r="E26" i="2"/>
  <c r="C26" i="2"/>
  <c r="E25" i="2"/>
  <c r="E23" i="2"/>
  <c r="E24" i="2" s="1"/>
  <c r="C24" i="2"/>
  <c r="C25" i="2" s="1"/>
  <c r="E16" i="2" l="1"/>
  <c r="E17" i="2" s="1"/>
  <c r="E18" i="2" s="1"/>
  <c r="E19" i="2" s="1"/>
  <c r="E20" i="2" s="1"/>
  <c r="E21" i="2" s="1"/>
  <c r="E22" i="2" s="1"/>
  <c r="E15" i="2"/>
  <c r="E14" i="2"/>
  <c r="C23" i="2"/>
  <c r="C22" i="2"/>
  <c r="C21" i="2" l="1"/>
  <c r="C20" i="2"/>
  <c r="C19" i="2"/>
  <c r="C18" i="2"/>
  <c r="C17" i="2"/>
  <c r="C16" i="2"/>
  <c r="C15" i="2"/>
  <c r="C14" i="2"/>
  <c r="C13" i="2"/>
  <c r="C12" i="2"/>
  <c r="C11" i="2"/>
  <c r="C10" i="2"/>
  <c r="C9" i="2"/>
  <c r="C8" i="2"/>
  <c r="C7" i="2"/>
  <c r="C6" i="2"/>
  <c r="C5" i="2"/>
  <c r="C4" i="2"/>
  <c r="C3" i="2"/>
  <c r="C2" i="2"/>
</calcChain>
</file>

<file path=xl/sharedStrings.xml><?xml version="1.0" encoding="utf-8"?>
<sst xmlns="http://schemas.openxmlformats.org/spreadsheetml/2006/main" count="6712" uniqueCount="1222">
  <si>
    <t>Case</t>
  </si>
  <si>
    <t>Case 34 is a 40-year-old female Singapore Citizen with no recent travel history to China. She is currently warded in an isolation room at the National Centre for Infectious Diseases (NCID).
She reported onset of symptoms on 27 January, and had visited two general practitioner (GP) clinics on 27 January and 1 February respectively. As she works at Yong Thai Hang, she was identified as a close contact of Cases 19 and 20, and placed under home quarantine on 4 February. She was admitted to NCID on 6 February, and subsequent test results confirmed 2019-nCoV infection on 7 February afternoon.
Prior to hospital admission, she had gone to work at Yong Thai Hang, and stays at Sin Ming Road.</t>
  </si>
  <si>
    <t>Case 35 is a 64-year-old male Singapore Citizen with no recent travel history to China. He is currently warded in an isolation room at the Singapore General Hospital (SGH).
He reported onset of symptoms on 30 January, and had visited Bukit Merah Polyclinic on 31 January. He was admitted to SGH on 6 February. Subsequent test results confirmed 2019-nCoV infection on 7 February afternoon.
Prior to hospital admission, he worked as a taxi driver and had largely stayed at his home at Henderson Crescent after onset of symptoms, except to visit Redhill Market and a hawker centre at Bukit Merah for meals.</t>
  </si>
  <si>
    <t>Case 36 is a 38 year-old female Singapore Permanent Resident with no recent travel history to China but had been in Johor Bahru from 25 to 28 January. She is currently warded in an isolation room at NCID.
She reported onset of symptoms on 24 January, and had visited a GP clinic on 1 February. She was isolated and admitted to KK Women’s and Children’s Hospital on 4 February. Subsequent test results confirmed 2019-nCoV infection on 7 February afternoon.
Prior to hospital admission, she had attended the same private business meeting as Cases 30 and 39 at Grand Hyatt Singapore from 20 to 22 January, and visited a family member at Ng Teng Fong General Hospital (NTFGH). She stays at Bukit Batok Street 31.</t>
  </si>
  <si>
    <t>Case 37 is a 53 year-old male Singapore Citizen with no recent travel history to China. He is currently warded in an isolation room at NCID.
+He reported onset of symptoms on 30 January, and had visited two GP clinics on 1 February and 3 February respectively. He was admitted to NTFGH on 6February, and transferred to NCID on 8 February. Subsequent test results confirmed 2019-nCoV infection on 7 February afternoon.
Prior to hospital admission, he worked as a private hire car driver and stays at Jurong East Street 32.</t>
  </si>
  <si>
    <t>Case 38 is a 52 year-old female Singapore Citizen with no recent travel history to China. She is currently warded in an isolation room at NCID.
She reported onset of symptoms on 3 February and visited Choa Chu Kang Polyclinic on 4 February. She was admitted to NCID on 7 February. Subsequent test results confirmed 2019-nCoV infection on 8 February morning.
Prior to hospital admission, she had visited The Life Church and Missions Singapore, Marina Bay Sands, Chinatown and Plaza Singapura and had travelled by public transport. She stays at Choa Chu Kang Avenue 3.</t>
  </si>
  <si>
    <t>Case 39 is a 51 year-old male Singapore Citizen with no recent travel history to China, but who had travelled to Malaysia from 23 January to 2 February. He is currently warded in an isolation room at NCID.
He reported onset of symptoms on 29 January, and had visited two GP clinics on 3 and 5 February respectively. He was admitted to NCID on 6 February. Subsequent test results confirmed 2019-nCoV infection on 8 February morning.
Prior to hospital admission, he had attended the same private business meeting as Cases 30 and 36 at Grand Hyatt Singapore from 20 to 22 January, and stays at Jurong West Central.</t>
  </si>
  <si>
    <t>Case 40 is a 36-year-old male Singapore Citizen with no recent travel history to China. He is currently warded in an isolation room at NCID.
He reported onset of symptoms on 30 January, and had visited a GP clinic on the same day. As he works at Yong Thai Hang (24 Cavan Road), he was identified as a close contact of Cases 19 and 20, and placed under home quarantine on 4 February. He was admitted to NCID on 7 February. Subsequent test results confirmed 2019-nCoV infection on 8 February morning.
Prior to hospital admission, he went to work at Yong Thai Hang and stays at Bedok North Street.</t>
  </si>
  <si>
    <t>Date</t>
  </si>
  <si>
    <t>Discharged</t>
  </si>
  <si>
    <t>ICU</t>
  </si>
  <si>
    <t>Additional O2 support</t>
  </si>
  <si>
    <t>Tested -ve</t>
  </si>
  <si>
    <t>Pending Test</t>
  </si>
  <si>
    <t>Close Contacts</t>
  </si>
  <si>
    <t>Close Contacts in SG</t>
  </si>
  <si>
    <t>Quarantined or Isolated</t>
  </si>
  <si>
    <t>The Life Church and Missions Singapore (146b Paya Lebar Road)</t>
  </si>
  <si>
    <t>Cluster</t>
  </si>
  <si>
    <t>Yong Thai Hang (24 Cavan Road)</t>
  </si>
  <si>
    <t>Private business meeting at Grand Hyatt Singapore</t>
  </si>
  <si>
    <t>Case 41 is a 71 year-old male Singapore Citizen with no recent travel history to China. He is currently warded in an isolation room at the National Centre for Infectious Diseases (NCID).
He reported onset of symptoms on 1 February, and had visited a general practitioner (GP) clinic on the same day, and again on 5 February. He sought treatment at Hougang Polyclinic on 6 February, and at Tan Tock Seng Hospital’s emergency department on 7 February where he was immediately isolated. Subsequent test results confirmed 2019-nCoV infection on 8 February afternoon.
Prior to hospital admission, he had visited Paya Lebar Methodist Church (5 Boundary Road), and a gathering at Braddell Heights Residents’ Committee. He had also picked up his grandchild outside Pat’s Schoolhouse Kovan (755 Upper Serangoon Road). He stays at Upper Serangoon Road.</t>
  </si>
  <si>
    <t>Case 42 is a 39 year-old male Bangladesh national who is a Singapore Work Pass holder, and has no recent travel history to China. He is currently warded in an isolation room at NCID.
He reported onset of symptoms on 1 February, and had sought treatment at a GP clinic on 3 February, and at Changi General Hospital (CGH) on 5 February. He went for a follow-up appointment at Bedok Polyclinic on 7 February and was thereafter admitted to the intensive care unit at CGH. Subsequent test results confirmed 2019-nCoV infection on 8 February afternoon, and he was transferred to NCID.
+Prior to hospital admission, he had visited Mustafa Centre (145 Syed Alwi Road), and stayed at The Leo dormitory (25 Kaki Bukit Road).</t>
  </si>
  <si>
    <t>Case 43 is a 54 year-old male Singapore Citizen with no recent travel history to China. He was in Malaysia on 26 January. He is currently warded in an isolation room at Sengkang General Hospital (SKH).
He reported onset of symptoms on 30 January, and had visited two GP clinics on 30 January, 5 February and 6 February. He sought treatment at SKH on 6 February and was warded in an isolation room on 7 February. Subsequent test results confirmed 2019-nCoV infection on 8 February night.
Prior to hospital admission, he had stayed at home, except for trips to seek medical treatment and once to work at Resorts World Sentosa. He lives at Fernvale Close.</t>
  </si>
  <si>
    <t>Case 44 is a 37 year-old male Singapore Citizen with no recent travel history to China. He is currently warded in an isolation room at Khoo Teck Puat Hospital (KTPH).
He reported onset of symptoms on 31 January, and had sought treatment at a general practitioner clinic on 2 February. He went to KTPH on 6 February where he was immediately isolated. Subsequent test results confirmed 2019-nCoV infection on 9 February afternoon.
Prior to hospital admission, he hadgone to work at Certis Cisco Centre (20 Jalan Afifi), and had been on duty at Chingay 2020. Prior to onset of symptoms, he had served Quarantine Orders on two individuals from Wuhan who were subsequently tested positive for 2019-nCoV. He had not served any Quarantine Order after onset of symptoms. He stays at Sembawang Drive.</t>
  </si>
  <si>
    <t>Case 45 is a two year-old female Singapore Citizen who was evacuated from Wuhan on 30 January. She was without symptoms when she boarded the flight, and was placed under quarantine upon landing in Singapore. She was referred to KK Women’s and Children’s Hospital (KKH) on 7 February based on initial test results, and was immediately isolated. She was subsequently confirmed to have 2019-nCoV infection on 10 February morning.</t>
  </si>
  <si>
    <t xml:space="preserve">Case 46 is a 35 year-old male Singapore Permanent Resident with no recent travel history to China. He lives in Johor Bahru and works in Singapore. He is currently warded in an isolation room at the National Centre for Infectious Diseases (NCID).
He reported onset of symptoms on 5 February, and had sought treatment at a general practitioner (GP) clinic on 9 February. He was transferred to Tan Tock Seng Hospital via an ambulance on the same day, and was immediately isolated. Subsequent test results confirmed 2019-nCoV infection on 10 February afternoon.
Prior to hospital admission, he had gone to work at Resorts World Sentosa Casino (8 Sentosa Gateway). </t>
  </si>
  <si>
    <t>Case 47 is a 39 year-old male Bangladesh national who is a Singapore Work Pass holder, and has no recent travel history to China. He is currently warded in an isolation room at NCID.
He reported onset of symptoms on 6 February, and sought treatment at a GP clinic on 7 February. He went to NCID on 10 February, and test results confirmed 2019-nCoV infection on 10 February afternoon.
Prior to hospital admission, he had gone to work at 10 Seletar Aerospace Heights, the same location where Case 42 had worked. He reported that he had stayed at his rental apartment at Veerasamy Road since the onset of symptoms, except to visit the GP clinic.</t>
  </si>
  <si>
    <t>10 Seletar Aerospace Heights</t>
  </si>
  <si>
    <t>The 19th case is a 28-year-old Singapore permanent resident, a woman who had no recent travel history to China. She works as a sales staff member at health product shop Yong Thai Hang at 24, Cavan Road, in Lavender, that primarily served Chinese tourists.
She developed a sore throat and fever on Jan 29 and was taken to Tan Tock Seng Hospital (TTSH) last Thursday, but was discharged from hospital after her chest X-Ray result came back negative for pneumonia.
She did not leave her home in Jalan Bukit Merah from Friday to Sunday and was admitted to the Singapore General Hospital (SGH) on Monday.</t>
  </si>
  <si>
    <t>The 20th case is a 48-year-old Singaporean, a woman who also had no recent travel history to China. She lived in Hougang Street 61 and also worked at Yong Thai Hang.
She reported symptoms on Jan 25 and was admitted to the National Centre for Infectious Diseases (NCID) on Monday.</t>
  </si>
  <si>
    <t>The 21st case is a 44-year-old Indonesian woman who also had no recent travel history to China. She is the domestic helper of case 19, and stayed with her employer in her home in Jalan Bukit Merah. She reported symptoms on Sunday and had not left her home since then.
She was admitted to SGH on Monday.</t>
  </si>
  <si>
    <t>The case is a 53 year-old male Singapore Citizen with no recent travel history to China, but had been in Malaysia on 6, 11 and 17 January 2020. He is currently warded in an isolation room at Changi General Hospital (CGH).
He reported onset of symptoms on 23 January, and had visited a general practitioner (GP) clinic on the same day. He visited another GP clinic on 28 January, and was admitted to CGH on 1 February. Subsequent test results confirmed 2019-nCoV infection on 6 February at about 11pm.
He stays at Tampines Street 24. Prior to hospital admission, he had been to The Life Church and Missions Singapore (146B Paya Lebar Road) and had gone visiting family and friends during Chinese New Year.</t>
  </si>
  <si>
    <t>https://www.moh.gov.sg/news-highlights/details/three-more-confirmed-cases-of-novel-coronavirus-infection-in-singapore</t>
  </si>
  <si>
    <t>Case 32 is a 42 year-old female Singapore Citizen who has no recent travel history to mainland China. She is currently warded in an isolation room at the National Centre for Infectious Diseases (NCID).
She reported onset of symptoms on 2 February and was admitted to Parkway East Hospital on 5 February. Subsequent test results confirmed 2019-nCoV infection on 6 February at about 11pm.
Prior to hospital admission, she worked at Victoria Junior College, but had not interacted with her colleagues and students after onset of symptoms. She stays at Elias Road and had visited Changi Airport and Singapore Zoo.</t>
  </si>
  <si>
    <t>Case 33 is a 39 year-old female Singapore Citizen who has no recent travel history to mainland China, but who had been in Malaysia from 22 to 29 January. She is currently warded in an isolation room at Sengkang General Hospital (SKH).
She reported that she had developed symptoms on 30 January, and went to the emergency department at SKH on 2 February where she was admitted. Subsequent test results confirmed 2019-nCoV infection on 6 February at about 11pm.</t>
  </si>
  <si>
    <t>Case 30 is a 27 year-old male Singapore Citizen who had attended a private business meeting at Grand Hyatt Singapore from 20 to 22 January, and was confirmed to have 2019-nCoV infection on 6 February at about 2pm.
He reported onset of fever on 21 January and visited a GP clinic on 28 January. He sought treatment at another GP clinic on 3 February before being admitted to the National Centre for Infectious Diseases on 6 February.
Prior to hospital admission, he had gone to Far East Square (19 China Street) and Junction 8 (9 Bishan Place), and stays at Shunfu Road.</t>
  </si>
  <si>
    <t>https://www.moh.gov.sg/news-highlights/details/four-more-cases-discharged-three-new-confirmed-cases-of-novel-coronavirus-infection</t>
  </si>
  <si>
    <t>https://www.moh.gov.sg/news-highlights/details/one-more-case-discharged-two-new-cases-of-novel-coronavirus-infection-confirmed-10feb</t>
  </si>
  <si>
    <t>https://www.moh.gov.sg/news-highlights/details/seven-more-confirmed-cases-of-novel-coronavirus-infection-in-singapore</t>
  </si>
  <si>
    <t>https://www.moh.gov.sg/news-highlights/details/two-more-cases-discharged-two-new-cases-of-novel-coronavirus-infection-confirmed</t>
  </si>
  <si>
    <t>https://www.straitstimes.com/singapore/coronavirus-spore-reports-first-cases-of-local-transmission-4-out-of-6-new-cases-did-not?utm_medium=Social&amp;utm_campaign=STFB&amp;utm_source=Facebook</t>
  </si>
  <si>
    <t>https://www.moh.gov.sg/news-highlights/details/four-more-confirmed-cases-of-novel-coronavirus-infection-in-singapore</t>
  </si>
  <si>
    <t>Case 24 is a 32-year-old Singaporean who had no recent travel history in China.
She is a tour guide who took groups to Yong Thai Hang, the same shop where cases 19 and 20 worked.
She went to NCID on 3 February, and was confirmed to have 2019-nCoV infection on 4 February at about 2pm. She is currently warded in an isolation room at NCID.
While she had previously reported that she was asymptomatic when she went to NCID, she subsequently informed NCID on 4 February night that she had developed a fever on 30 January.
Prior to hospital admission, the case stayed at her home at Buangkok Green,and worked at Jalan Besar. She visited Hougang Polyclinic on 30 January, and went to a supermarket near her home.</t>
  </si>
  <si>
    <t>Case 25, a 40 year-old male Singapore Citizen who has no recent travel history to China, is the husband of Case 24. He is currently warded in an isolation room at NCID.
The case reported that he developed a fever on 24 January. He visited Hougang Polyclinic with his wife on 30 January, and self-presented at NCID on 3 February, where he was immediately isolated. Subsequent test results confirmed 2019-nCoV infection on 4 February at about 8pm.
Prior to hospital admission, the case stayed at his home at Buangkok Green, and worked at Diamond Industries Jewellery Company at Harbour Drive which was visited by the same tour group from Guangxi. He indicated that he had visited Pasir Panjang Hawker Centre and had travelled by public transport. The risk of infection from transient contact, such as on public transport or in public places, is assessed to be low.</t>
  </si>
  <si>
    <t>Cases 27 and 28 are family members of Case 19[2] who have no recent travel history to China. Case 27 is a 45 year-old male Singapore Citizen who is the husband of Case 19. He was tested positive for 2019-nCoV infection on 5 February at about 2pm, and is currently warded in an isolation room at NCID.
Case 28 is a six month-old male Singapore Citizen who is the child of Cases 19 and 27. He was tested positive for 2019-nCoV infection on 5 February at about 2pm, and is currently warded in an isolation room at KK Women’s and Children’s Hospital.
MOH has initiated epidemiological investigations and contact tracing to identify individuals who had close contact with the cases.</t>
  </si>
  <si>
    <t>Case 29 is a 41 year-old Singapore Citizen who has no recent travel history to mainland China. He was admitted to Mount Elizabeth Novena Hospital (MEN) on 3 February. Subsequent test results confirmed 2019-nCov infection on 5 February at about 11pm. He has been transferred to NCID for further treatment and is currently warded in an isolation room.
He reported that he had developed a fever on 28 January, and visited a general practitioner (GP) clinic the next day. He sought treatment at another GP clinic on 30 January before being admitted to MEN on 3 February.
Epidemiological investigations and contact tracing are ongoing to identify individuals who had close contact with the case, and to establish any link he may have had with confirmed cases in Singapore or travellers from mainland China. We are interviewing the patient and his close contacts, and investigating the locations he had recently been to.</t>
  </si>
  <si>
    <t>https://www.moh.gov.sg/news-highlights/details/two-more-confirmed-cases-of-novel-coronavirus-infection-in-singapore</t>
  </si>
  <si>
    <t>Sources</t>
  </si>
  <si>
    <t>Date Discharged</t>
  </si>
  <si>
    <t>Date Confirmed</t>
  </si>
  <si>
    <t>Description</t>
  </si>
  <si>
    <t>Imported Case, Chinese Nationals, Man, 66</t>
  </si>
  <si>
    <t>Imported Case, Chinese Nationals, Woman, 54</t>
  </si>
  <si>
    <t>Imported Case, Chinese Nationals, Man, 37</t>
  </si>
  <si>
    <t>Relationship</t>
  </si>
  <si>
    <t>Related to</t>
  </si>
  <si>
    <t xml:space="preserve">Close Contact </t>
  </si>
  <si>
    <t>Imported Case, Chinese Nationals, Man, 36</t>
  </si>
  <si>
    <t>Imported Case, Chinese Nationals, Woman, 56</t>
  </si>
  <si>
    <t>Imported Case, Chinese Nationals, Man, 56</t>
  </si>
  <si>
    <t>Imported Case, Chinese Nationals, Man, 35</t>
  </si>
  <si>
    <t xml:space="preserve">Imported Case, Chinese Nationals, Woman, 56, married couple, Chinese nationals from Wuhan who arrived in Singapore on 19 January. She was tested positive for 2019-nCoV on 28 January </t>
  </si>
  <si>
    <t xml:space="preserve">Imported Case, Chinese Nationals, Man, 56, married couple, Chinese nationals from Wuhan who arrived in Singapore on 19 January. He was tested positive for 2019-nCoV on 29 January </t>
  </si>
  <si>
    <t>Imported Case, Chinese Nationals, Woman, 31</t>
  </si>
  <si>
    <t>Imported Case, Chinese Nationals, Woman, 37</t>
  </si>
  <si>
    <t>Imported Case, Chinese Nationals, Woman, 73, arrived in Singapore from Wuhan on 21 January, and was tested positive for 2019-nCoV on 30 January.</t>
  </si>
  <si>
    <t>Imported Case, Chinese Nationals, Man, 31</t>
  </si>
  <si>
    <t>Imported Case, Chinese Nationals, Man, 38</t>
  </si>
  <si>
    <t>Imported Case, Chinese Nationals, Woman, 42, Case 26 is a 42 year-old female Chinese national who arrived in Singapore from Wuhan on 21 January, and is the daughter of Case 13[1]. As she was symptomatic, she was conveyed by ambulance to NCID on the same day as her mother, and immediately isolated. She is currently warded in an isolation room at NCID. Subsequent test results confirmed 2019-nCoV infection on 4 February at about 8pm.</t>
  </si>
  <si>
    <t>Evacuatd Singaporeans from Wuhan, Woman, 47</t>
  </si>
  <si>
    <t>Evacuatd Singaporeans from Wuhan, Woman, 17</t>
  </si>
  <si>
    <t>Travelling Companions</t>
  </si>
  <si>
    <t>Married</t>
  </si>
  <si>
    <t>Child</t>
  </si>
  <si>
    <t>Maid</t>
  </si>
  <si>
    <t>Type</t>
  </si>
  <si>
    <t>Imported</t>
  </si>
  <si>
    <t>Local Transmission</t>
  </si>
  <si>
    <t>Evacuated</t>
  </si>
  <si>
    <t>Total Case</t>
  </si>
  <si>
    <t>Total Discharged</t>
  </si>
  <si>
    <t>Grace Assembly of God</t>
  </si>
  <si>
    <t>Case 48 is a 34 year-old male Singapore Citizen with no recent travel history to China but was in Malaysia on 26 January 2020. He is currently warded in an isolation room at the National Centre for Infectious Diseases (NCID).
He reported onset of symptoms on 1 February, and had sought treatment at four general practitioner (GP) clinics on 2 February, 4 February, 7 February, 9 February and 10 February. He went to NCID on 10 February, and was subsequently confirmed to have COVID-19 infection on 11 February afternoon.
Prior to hospital admission, he had visited Plaza Singapura (68 Orchard Road), Star Vista (1 Vista Exchange Green) and Fusionopolis (1 Fusionopolis Place). He also went to work at Grace Assembly of God (Tanglin) (355 Tanglin Road) and Grace Assembly of God (Bukit Batok) (1 Bukit Batok West Avenue 4). He stays at Bukit Batok Street 25.</t>
  </si>
  <si>
    <t>https://www.moh.gov.sg/news-highlights/details/six-more-cases-discharged-three-new-cases-of-covid-19-infection-confirmed</t>
  </si>
  <si>
    <t>Case 49 is a 46 year-old male Singapore Citizen with no recent travel history to China. He is currently warded in an isolation room at National University Hospital (NUH).
He reported onset of symptoms on 3 February, and sought treatment at a GP clinic on 8 February. He went to the emergency department at NUH on 8 February and was discharged on the same day. He was admitted to NUH on 10 February. Subsequent test results confirmed COVID-19 infection on 11 February afternoon.
Prior to hospital admission, he had gone to work at Grace Assembly of God (Tanglin) and Grace Assembly of God (Bukit Batok). He stays at Toh Guan Road.</t>
  </si>
  <si>
    <t>https://www.moh.gov.sg/news-highlights/details/eight-more-confirmed-cases-of-covid-19-infection</t>
  </si>
  <si>
    <t>Case 51 is a 48 year-old male Singapore Citizen with no recent travel history to China. He is currently warded in an isolation room at the National Centre for Infectious Diseases (NCID). He is linked to the cluster at Grace Assembly of God.
He reported onset of symptoms on 4 February and sought treatment at a general practitioner (GP) clinic on 5 February and 10 February. He went to NCID on 11 February, and subsequent test results confirmed COVID-19 infection on 12 February afternoon.
Prior to hospital admission, he went to work at Grace Assembly of God (Tanglin) (355 Tanglin Road) and Grace Assembly of God (Bukit Batok) (1 Bukit Batok West Avenue 4). He stays at Bishan Street 13.</t>
  </si>
  <si>
    <t>Case 52 is a 37 year-old male Bangladesh national who is a Singapore Work Pass holder, and has no recent travel history to China. He is currently warded in an isolation room at NCID. He is linked to the cluster at Seletar Aerospace Heights construction site.
He reported onset of symptoms on 7 February. As he was identified as a close contact of Cases 42 and 47, he was transported by an ambulance to Tan Tock Seng Hospital on 11 February. Subsequent test results confirmed COVID-19 infection on 12 February afternoon.
Prior to hospital admission, he had gone to work at the Seletar Aerospace Heights construction site, the same location where Cases 42 and 47 had worked. He reported that he had mostly stayed at his rental apartment at Campbell Lane since the onset of symptoms.</t>
  </si>
  <si>
    <t>Case 53 is a 54 year-old male Singapore Citizen with no recent travel history to China. He is currently warded in an isolation room at NCID. He is linked to the cluster at Grace Assembly of God.
He reported onset of symptoms on 10 February, and went to NCID on 12 February where he was immediately isolated. Subsequent test results confirmed COVID-19 infection on 12 February afternoon.
Prior to hospital admission, he reported that he had mostly stayed at home at Hillview Avenue. He works at the National University of Singapore, but had not interacted with colleagues and students after onset of symptoms.</t>
  </si>
  <si>
    <t>Case 50 is a 62 year-old male Singapore Citizen with no recent travel history to China. He is currently warded in an isolation room at NCID. Prior to hospital admission, he went to work at DBS Asia Central at Marina Bay Financial Centre (12 Marina Boulevard). He was confirmed to have COVID-19 infection on 12 February morning.
He reported onset of symptoms on 7 February and had sought treatment at two GP clinics on 7 February, 10 February and 11 February. He was admitted to NCID on 11 February and was immediately isolated. Subsequent test results confirmed COVID-19 infection on 12 February morning.
Prior to hospital admission, other than going to work at DBS Asia Central at Marina Bay Financial Centre (12 Marina Boulevard), he had stayed at his home at Mei Hwan Drive, except to seek medical treatment.</t>
  </si>
  <si>
    <t>Gender</t>
  </si>
  <si>
    <t>Age</t>
  </si>
  <si>
    <t>Male</t>
  </si>
  <si>
    <t>Female</t>
  </si>
  <si>
    <t xml:space="preserve">Case 59 is a 61 year-old male Singapore Citizen with no recent travel history to China. He is currently warded in an isolation room at the National Centre for Infectious Diseases (NCID).
He reported onset of symptoms on 7 February and sought treatment at Farrer Park Hospital’s emergency care clinic on 10 February. He went to the emergency department at Mount Elizabeth Hospital on 12 February and was conveyed by ambulance to NCID on 13 February. Subsequent test results confirmed COVID-19 infection on 13 February afternoon.
Prior to hospital admission, he had mostly stayed home at Wilkinson Road except to seek medical treatment. He works at a private hospital in Singapore, and was not at work since the onset of symptoms. He has no known interactions with past cases. </t>
  </si>
  <si>
    <t xml:space="preserve">Case 60 is a 51 year-old female Singapore Citizen with no recent travel history to China. She is currently warded in an isolation room at NCID. She is linked to the cluster at Grace Assembly of God.
She reported onset of symptoms on 8 February and sought treatment at a general practitioner (GP) clinic on the same day. She went to NCID on 12 February and was immediately isolated. Subsequent test results confirmed COVID-19 infection on 13 February afternoon.
Prior to hospital admission, she had mostly stayed at her home at Ang Mo Kio Avenue 3 and went to work at Grace Assembly of God (Tanglin). </t>
  </si>
  <si>
    <t>Case 61 is a 57 year-old male Singapore Citizen with no recent travel history to China. He is currently warded in an isolation room at the National University Hospital (NUH). He is linked to the cluster at Grace Assembly of God.
He reported onset of symptoms on 6 February, and sought treatment at a GP clinic on the same day and again on 8 February. He went to Ng Teng Fong General Hospital on 9 February and Pioneer Polyclinic on 11 February and 12 February. Subsequent test results confirmed COVID-19 infection on 13 February afternoon.
Prior to hospital admission, he reported that he had mostly stayed at home at Jurong West Street 64, except to go to work for a day at Legacy Office Supplies Pte Ltd (56 Senang Crescent).</t>
  </si>
  <si>
    <t>Case 62 is a 44 year-old female Singapore Citizen with no recent travel history to China. She is currently warded in an isolation room at the Singapore General Hospital (SGH). She is linked to the cluster at Grace Assembly of God.
She reported onset of symptoms on 9 February, and sought treatment at a GP clinic the next day. She went to SGH on 12 February and was immediately isolated. Subsequent test results confirmed COVID-19 infection on 13 February afternoon.
Prior to hospital admission, she reported that he had mostly stayed at home at Tanjong Pagar Road, except to seek medical treatment.</t>
  </si>
  <si>
    <t>Case 54 is a 55 year-old female Singapore Citizen with no recent travel history to China. She is currently warded in an isolation room at NCID. She works at Grace Assembly of God (Tanglin) (355 Tanglin Road).
She reported onset of symptoms on 10 February and had sought treatment at a GP clinic the next day. She went to NCID on 12 February and was subsequently tested positive for COVID-19 infection on 13 February morning.
Prior to hospital admission, she had mostly stayed at her home at Ang Mo Kio Avenue 5, except to seek medical treatment .</t>
  </si>
  <si>
    <t xml:space="preserve">Case 55 is a 30 year-old male Singapore Citizen with no recent travel history to China. He is currently warded in an isolation room at NCID. He is a family member of Case 50.
He reported onset of symptoms on 30 January and had sought treatment at a GP clinic on the same day, and again on 3 February. He went to NCID on 12 February and was subsequently tested positive for COVID-19 infection on 13 February morning.
Prior to hospital admission, he had gone to work at Pulau Bukom and attended mass at the Church of Christ the King (2221 Ang Mo Kio Avenue 8). He stays at Mei Hwan Drive. </t>
  </si>
  <si>
    <t>Case 56 is a 30 year-old male Bangladesh national with no recent travel history to China. He is currently warded in an isolation room at NCID. He is linked to the cluster at the Seletar Aerospace Heights construction site.
He had been identified as a close contact of Case 47, and was quarantined. He reported onset of symptoms on 12 February and was brought to Tan Tock Seng Hospital where he was immediately isolated. Subsequent test results confirmed COVID-19 infection on 13 February morning.
Prior to hospital admission, he had been quarantined at a government quarantine facility.</t>
  </si>
  <si>
    <t xml:space="preserve">Case 57 is a 26 year-old male Singapore Citizen with no recent travel history to China. He is currently warded in an isolation room at NCID. He is linked to the cluster at Grace Assembly of God.
He reported onset of symptoms on 11 February and had gone to NCID on the same day where he was immediately isolated. Subsequent test results confirmed COVID-19 infection on 13 February morning.
Prior to hospital admission, he had gone to work at Grace Assembly of God, and stays at Senja Road. </t>
  </si>
  <si>
    <t xml:space="preserve">Case 58 is a 55 year-old male Singapore Citizen with no recent travel history to China. He is currently warded in an isolation room at NCID. He is linked to the cluster at Grace Assembly of God.
He reported onset of symptoms on 10 February and went to NCID on 12 February. Subsequent test results confirmed COVID-19 infection on 13 February morning.
Prior to hospital admission, he had gone to work at Grace Assembly of God, and stays at Jalan Kelichap. </t>
  </si>
  <si>
    <t>https://www.moh.gov.sg/news-highlights/details/two-more-cases-discharged-nine-new-cases-of-covid-19-infection-confirmed</t>
  </si>
  <si>
    <t>https://www.moh.gov.sg/news-highlights/details/one-more-case-discharged-five-new-cases-of-covid19-infection-confirmed</t>
  </si>
  <si>
    <t xml:space="preserve">Case 63 is a 54 year-old female Singapore Citizen with no recent travel history to China. She is currently warded in an isolation room at NCID. She is linked to the cluster at Grace Assembly of God.
She reported onset of symptoms on 10 February. She sought treatment at a general practitioner (GP) clinic on 13 February, and was subsequently sent to NCID by an ambulance. Subsequent test results confirmed COVID-19 infection on 14 February morning.
Prior to hospital admission, she had gone to work at PUB and self-isolated at Marisson Hotel Bugis (103 Beach Road). She stays at Potong Pasir Avenue 3. </t>
  </si>
  <si>
    <t>Case 64 is a 50 year-old male Singapore Citizen with no recent travel history to China. He is currently warded in an isolation room at the National University Hospital (NUH).
He reported onset of symptoms on 3 February and had sought treatment at two GP clinics on 5 February, 7 February, 10 February and 13 February. He was referred to the emergency department at NUH on 13 February. Subsequent test results confirmed COVID-19 infection on 14 February morning.
He is a taxi driver and prior to hospital admission, he had been working. He stays at Jurong West Street 81.
MOH is working with the Ministry of Transport to reach out to all taxi and private hire car drivers on the steps they should take to protect themselves in the course of their work. For the general public, the risk of infection from transient contact, such as on public transport or in public places, is assessed to be low.</t>
  </si>
  <si>
    <t>Case 65 is a 61 year-old female Singapore Citizen with no recent travel history to China. She is a family member of Case 50.
She had been identified as a close contact of Case 50, and was sent to NCID by an ambulance for assessment on 12 February. Subsequent test results confirmed COVID-19 infection on 14 February morning.
Prior to hospital admission, she had attended church services at Church of Christ the King (2221 Ang Mo Kio Avenue 8). She stays at Mei Hwan Drive.</t>
  </si>
  <si>
    <t>Case 66 is a 28 year-old male Singapore Citizen with no recent travel history to China. He is currently warded in an isolation room at NCID. He is linked to the cluster at Grace Assembly of God.
He reported onset of symptoms on 29 January and had sought treatment at a GP clinic on 2 February, 5 February and 12 February. He was referred to NCID on 12 February. Subsequent test results confirmed COVID-19 infection on 14 February morning.
Prior to hospital admission, he had gone to work at Grace Assembly of God, and attended church services at God’s Kingdom Bread of Life Church (37 Jalan Pemimpin). He stays at Mei Hwan Drive.</t>
  </si>
  <si>
    <t>Case 67 is a 56 year-old female Singapore Citizen with no recent travel history to China. She is currently warded in an isolation room at NCID. She is linked to the cluster at Grace Assembly of God, and family member of Case 61.
She reported onset of symptoms on 9 February. As she was identified as a close contact of Case 61, she was sent to NCID by an ambulance on 13 February. Subsequent test results confirmed COVID-19 infection on 14 February morning.
Prior to hospital admission, she had attended church service at Grace Assembly of God (Bukit Batok), and had accompanied Case 61 to Ng Teng Fong General Hospital and NUH. She stays at Jurong West Street 64.</t>
  </si>
  <si>
    <t>Father-Son</t>
  </si>
  <si>
    <t>Mother-Daughter</t>
  </si>
  <si>
    <t>Mother-Child</t>
  </si>
  <si>
    <t>Case 73 is a 43 year-old male Singapore Citizen with no recent travel history to China. He is currently warded in an isolation room at the National Centre for Infectious Diseases (NCID). He is linked to the cluster at Grace Assembly of God.
He reported onset of symptoms on 9 February and sought treatment at a general practitioner (GP) clinic on 10 February. As he was identified as a close contact of Case 51[1], he was served a home quarantine order on 13 February and conveyed to NCID on 14 February. Subsequent test results confirmed COVID-19 infection on 15 February afternoon.
Prior to hospital admission, he had attended church service at Grace Assembly of God (Tanglin) (355 Tanglin Road). He is a regular serviceman in the Singapore Armed Forces (SAF) but had not gone to work since onset of symptoms. He stays at Lorong 8 Toa Payoh.</t>
  </si>
  <si>
    <t>https://www.moh.gov.sg/news-highlights/details/one-more-case-discharged-three-new-cases-of-covid-19-infection-confirmed</t>
  </si>
  <si>
    <t>Case 74 is a 29 year-old male Singapore Citizen with no recent travel history to China. He is currently warded in an isolation room at Alexandra Hospital (AH). He is linked to the cluster at Grace Assembly of God.
He reported onset of symptoms on 12 February. He had sought treatment at the Urgent Care Centre at AH on 12 February, and again on 15 February when he was admitted and immediately isolated. Subsequent test results confirmed COVID-19 infection on 15 February afternoon.
Prior to hospital admission, he had gone to work at Hi-Yew Technology Pte Ltd (3031A Ubi Road). He stays at Mei Ling Street.</t>
  </si>
  <si>
    <t>Case 75 is a 71 year-old female Singapore Citizen with no recent travel history to China. She is a family member of Case 41[2] and had been under quarantine since 7 February. She was confirmed to have COVID-19 infection on 16 February morning and is currently warded in an isolation room at NCID.</t>
  </si>
  <si>
    <t>Case 68 is a 79 year-old female Singapore Citizen with no recent travel history to China. She is currently warded in an isolation room at NCID. She is a family member of Case 66[3].
She reported onset of symptoms on 30 January, and went to NCID on 14 February. Subsequent test results confirmed COVID-19 infection on 14 February afternoon.
Prior to hospital admission, she had attended church service at Bethany Presbyterian Church (364A Paya Lebar Road). She stays at Mei Hwan Drive.</t>
  </si>
  <si>
    <t>Case 69 is a 26 year-old Bangladesh national who is a Singapore Work Pass holder, and has no recent travel history to China. He is currently warded in an isolation room at NCID. He is linked to the cluster at Seletar Aerospace Heights construction site.
He had been identified as a close contact of Cases 42, 47, 52 and 56, and had been quarantined at a government quarantine facility from 11 February. He reported onset of symptoms that night and was conveyed by ambulance to NCID on 14 February. Subsequent test results confirmed COVID-19 infection on 15 February morning.</t>
  </si>
  <si>
    <t>Case 70 is a 27 year-old female Singapore Citizen with no recent travel history to China. She is currently warded in an isolation room at NCID. She is a family member of Case 66.
She reported onset of symptoms on 3 February and sought treatment at a GP clinic on the same day. She went to NCID on 14 February. Subsequent test results confirmed COVID-19 infection on 15 February morning.
Prior to hospital admission, she had attended church services at God’s Kingdom Bread of Life Church (37 Jalan Pemimpin), and had gone to work at HipVan Singapore (19 Kallang Avenue). She stays at Mei Hwan Drive.</t>
  </si>
  <si>
    <t>Case 71 is a 25 year-old male Singapore Citizen with no recent travel history to China. He is currently warded in an isolation room at NCID. He is a contact of Cases 66 and 70.
He reported onset of symptoms on 1 February and had sought treatment at a GP clinic on 10 February. He went to Sengkang General Hospital on 14 February and was transferred to NCID on 15 February. Subsequent test results confirmed COVID-19 infection on 15 February morning.
Prior to hospital admission, he had gone to work at a construction site at Fernvale Lane and had attended church services at God’s Kingdom Bread of Life Church. He stays at Fernvale Road.</t>
  </si>
  <si>
    <t>Case 72 is a 40 year-old male Chinese national who is a Singapore Work Pass holder, and has no recent travel history to China. He is a non-medical contact of Case 59[4].
He reported onset of symptoms on 10 February and sought treatment at a GP clinic on 11 February and 13 February. As he was identified as a close contact of Case 59, he was sent to NCID by an ambulance on 14 February. Subsequent test results confirmed COVID-19 infection on 15 February morning.
Prior to hospital admission, he had visited Marina Bay Sands Casino (10 Bayfront Avenue) and gone to work at Aim Heng Car Service Pte Ltd (Woodlands Industrial Park). He stays at a rental apartment at Woodlands Crescent.</t>
  </si>
  <si>
    <t>https://www.moh.gov.sg/news-highlights/details/five-more-cases-discharged-two-new-cases-of-covid-19-infection-confirmed</t>
  </si>
  <si>
    <t>Case 76 is a 1 year-old male Singapore Citizen who was among the group of Singaporeans who were evacuated from Wuhan on 9 February. He was without symptoms when he boarded the flight and was put under quarantine upon landing in Singapore. He is currently warded in an isolation room at the KK Women’s and Children’s Hospital (KKH).
All Singaporeans evacuated from Wuhan were tested for COVID-19 as an added precaution. He was confirmed to have COVID-19 infection on 16 February afternoon.</t>
  </si>
  <si>
    <t>Case 77 is a 35 year-old male Singapore Citizen with no recent travel history to China. He is currently warded in an isolation room at NCID. He is a contact of Case 50 [3]. 
14.           He reported onset of symptoms on 10 February and sought treatment at a GP clinic on the same day, and again on 11 February. He went to Tan Tock Seng Hospital on 12 February and was transferred to NCID on the same day. Subsequent test results confirmed COVID-19 infection on 17 February morning.
15.         Prior to hospital admission, he had mostly stayed at his home at McNair Road.</t>
  </si>
  <si>
    <t>Current Quarantined</t>
  </si>
  <si>
    <t>Completed Quarantined</t>
  </si>
  <si>
    <t>https://www.moh.gov.sg/news-highlights/details/five-more-cases-discharged-four-new-cases-of-covid-19-infection-confirmed</t>
  </si>
  <si>
    <t xml:space="preserve">Case 78 is a 57 year-old female Singapore Citizen with no recent travel history to China. She is currently warded in an isolation room at the National Centre for Infectious Diseases (NCID). She is linked to the cluster at Grace Assembly of God. 
She reported onset of symptoms on 9 February and had sought treatment at two general practitioner (GP) clinics on 10 February and 17 February. She was conveyed to NCID on 17 February. Subsequent test results confirmed COVID-19 infection on 17 February afternoon. 
Prior to hospital admission, she had gone to work at a VWO-run community hospital. She performs an administrative function at the community hospital, and had not interacted with patients since onset of symptoms. She stays at the Dairy Farm area.  </t>
  </si>
  <si>
    <t xml:space="preserve">Case 79 is a 35 year-old female Malaysian national who is a Singapore Work Pass holder, and has no recent travel history to China. She is currently warded in an isolation room at NCID. She is a family member of Case 72 [1]. 
She reported onset of symptoms on 12 February. As she had been identified as a close contact of Case 72, she was placed under home quarantine from 15 February. She was conveyed to NCID via an ambulance on 17 February. Subsequent test results confirmed COVID-19 infection on 17 February afternoon.  
Before she was served a Quarantine Order, she had gone to work at FoodXchange @ Admiralty (8A Admiralty Street). Her job function at FoodXchange does not entail handling of food. She stays at Woodlands Crescent. </t>
  </si>
  <si>
    <t>Warded</t>
  </si>
  <si>
    <t>SGH</t>
  </si>
  <si>
    <t>NCID</t>
  </si>
  <si>
    <t>SKH</t>
  </si>
  <si>
    <t>CGH</t>
  </si>
  <si>
    <t>KKH</t>
  </si>
  <si>
    <t>KTPH</t>
  </si>
  <si>
    <t>NUH</t>
  </si>
  <si>
    <t>AH</t>
  </si>
  <si>
    <t>Case 82 is a 57 year-old female Singapore Citizen with no recent travel history to China. She is currently warded in an isolation room at Ng Teng Fong General Hospital (NTFGH).
She reported onset of symptoms on 9 February and had sought treatment at Jurong Polyclinic on 10 February on 14 February, as well as a general practitioner (GP) clinic on 12 February. She went to the emergency department at NTFGH on 13 February and 15 February, and was admitted as a dengue patient in a general ward on 15 February. Subsequent test results confirmed COVID-19 infection on 18 February afternoon, and she was immediately transferred to an isolation room.
As a precautionary measure, the patients who had shared the same room as the case while she was in the general ward have been transferred to single rooms. They have been tested for COVID-19 infection, and the results are pending. So far, none of the contacts have any respiratory symptoms. Contact tracing of NTFGH staff who had been in contact with the case is underway. The room has also been thoroughly cleaned and disinfected.
Prior to hospital admission, she had mostly stayed at her home at Jurong West Street 41, except to seek medical treatment.</t>
  </si>
  <si>
    <t>https://www.moh.gov.sg/news-highlights/details/FIVE-MORE-CASES-DISCHARGED-THREE-NEW-CASES-OF-COVID-19-INFECTION-CONFIRMED</t>
  </si>
  <si>
    <t>NTFGH</t>
  </si>
  <si>
    <t>Case 80 is a 38 year-old female Singapore Citizen with no recent travel history to China. She is currently warded in an isolation room at the National University Hospital (NUH). She is linked to Case 66.
She reported onset of symptoms on 4 February and had sought treatment at a GP clinic on 4 February and 10 February. She was referred to NUH for a chest X-ray on 11 February, and went back to NUH again on 17 February. Subsequent test results confirmed COVID-19 infection on 18 February morning.
Prior to hospitalisation, she had gone to work at NUH, where she performs an administrative function, and had not interacted with patients since onset of symptoms. She stays at Fernvale Link.</t>
  </si>
  <si>
    <t xml:space="preserve">Case 81 is a 50 year-old male Singapore Citizen with no recent travel history to China. He is currently warded in an isolation room at NCID. He is linked to the cluster at Grace Assembly of God.
He reported onset of symptoms on 16 February and had been conveyed by ambulance to NCID following a phone consultation with a GP. Subsequent test results confirmed COVID-19 infection on 18 February morning.
Prior to hospitalisation, he had mostly remained at his home at Lower Delta Road. </t>
  </si>
  <si>
    <t>https://www.moh.gov.sg/news-highlights/details/three-more-cases-discharged-one-new-case-of-covid-19-infection-confirmed</t>
  </si>
  <si>
    <t xml:space="preserve">Case 83 is a 54 year-old male Singapore Citizen with no recent travel history to China, but who travels frequently to Malaysia for work purposes. He is currently warded in an isolation room at NCID.
He reported onset of symptoms on 28 January and had sought treatment at a general practitioner (GP) clinic on 1 February, 5 February, 6 February and 10 February. He went to NCID on 18 February, and subsequent test results confirmed COVID-19 infection on 19 February morning.
Prior to hospital admission, he had gone to work at Philemon Singapore Pte Ltd (16 Kallang Place). He stays at Rivervale Drive. </t>
  </si>
  <si>
    <t>Case 84 is a 35 year-old female Singapore Citizen with no recent travel history to China. She is currently warded in an isolation room at NCID. She is linked to Case 66 [1].
She reported onset of symptoms on 4 February and had sought treatment at a GP clinic on 4 February and 5 February. As she had been identified as a contact of Case 66, she was referred to NCID on 18 February. Subsequent test results confirmed COVID-19 infection on 19 February morning.
Prior to hospital admission, she had gone to work at Lonza Biologics (35 Tuas South Avenue 6), and visited Bugis Junction. She stays at the Aljunied Road area.</t>
  </si>
  <si>
    <t>Case 86 is a 24 year-old male Singapore Citizen with no recent travel history to China. He is currently warded in an isolation room at Ng Teng Fong General Hospital (NTFGH). He is linked to Case 82[1].
He reported onset of symptoms on 14 February and had sought treatment at two general practitioner (GP) clinics on 16 February and 18 February. He went to the emergency department at Ng Teng Feng General Hospital on 19 February and was immediately isolated. Subsequent test results confirmed COVID-19 infection on 20 February afternoon.
Prior to hospital admission, he had mostly stayed at his home at Bukit Batok East Avenue 5. He is a student at Singapore Institute of Technology, but had not gone to school since onset of symptoms.</t>
  </si>
  <si>
    <t>https://www.moh.gov.sg/news-highlights/details/ten-more-cases-discharged-one-new-case-of-covid-19-infection-confirmed?0</t>
  </si>
  <si>
    <t>Case 85 is a 36 year-old male Chinese national who is a Singapore Work Pass holder, and has no recent travel history to China. He is currently warded in an isolation room at the National Centre for Infectious Diseases (NCID).
He reported onset of symptoms on 14 February and had sought treatment at a GP clinic on 14 February, 16 February and 19 February, as well as Yishun Polyclinic on 19 February. He was conveyed to Khoo Teck Puat Hospital in an ambulance on the same day. Subsequent test results confirmed COVID-19 infection on 20 February morning.
Prior to hospital admission, he had mostly stayed at his rental apartment at Woodlands Avenue 6, except to seek medical treatment.</t>
  </si>
  <si>
    <t>Evacuated Singaporeans from Wuhan, Man, 41, Cases 22 is male Singapore Citizens aged 41.  He was among the Singaporeans who had been evacuated from Wuhan on 30 January. He is now warded in isolation rooms at the National Centre for Infectious Diseases (NCID).</t>
  </si>
  <si>
    <t>Evacuated Singaporeans from Wuhan, Man, 17, Cases 23 is male Singapore Citizens aged 17.  He was among the Singaporeans who had been evacuated from Wuhan on 30 January. He is now warded in isolation rooms at the National Centre for Infectious Diseases (NCID).</t>
  </si>
  <si>
    <t>Case 87 is a 32 year-old male Singapore Citizen who was among the group of Singaporeans who were evacuated from Wuhan on 9 February. He was without symptoms when he boarded the flight and was put under quarantine upon landing in Singapore. He is currently warded in an isolation room at the National Centre for Infectious Diseases (NCID). He is linked to Case 76[1].
All Singaporeans evacuated from Wuhan were tested for COVID-19 as an added precaution. He was confirmed to have COVID-19 infection on 21 February afternoon.</t>
  </si>
  <si>
    <t>https://www.moh.gov.sg/news-highlights/details/two-more-cases-discharged-three-new-cases-of-covid-19-infection-confirmed</t>
  </si>
  <si>
    <t>Case 88 is a 30 year-old female Singapore Citizen who has no recent travel history to China. She is currently warded in an isolation room at NCID. She is linked to Case 66[2].
She reported onset of symptoms on 16 February and had sought treatment at a general practitioner (GP) clinic on 17 February. As she had been identified as a contact of Case 66, she was referred by MOH to NCID on 21 February. Subsequent test results confirmed COVID-19 infection on 21 February afternoon.
Prior to hospital admission, she had mostly stayed at her home at Hougang Street 91.</t>
  </si>
  <si>
    <t>Case 89 is a 41 year-old male Singapore Permanent Resident who has no recent travel history to China. He is currently warded in an isolation room at the National Centre for Infectious Diseases (NCID).
He reported onset of symptoms on 3 February and had sought treatment at two general practitioner (GP) clinics on 3 February, 7 February, 10 February, 17 February and 21 February. He was referred to NCID on 21 February, and subsequent test results confirmed COVID-19 infection on 22 February morning.
Prior to hospital admission, he had gone to work at Affinity Equity Partners (S) Pte Ltd (8 Temasek Boulevard) and visited Bishan Community Club (51 Bishan Street 13). He stays at Serangoon Avenue 3.</t>
  </si>
  <si>
    <t xml:space="preserve">Case 90 is a 75 year-old female Singapore Citizen who has no recent travel history to China. She is currently warded in an isolation room at the National Centre for Infectious Diseases (NCID). She is linked to the cluster at The Life Church and Missions Singapore.
She reported onset of symptoms on 9 February and had sought treatment at a general practitioner (GP) clinic on 9 February, 17 February and 23 February. She was conveyed in an ambulance to the emergency department at Tan Tock Seng Hospital on 23 February, where she was immediately isolated. Subsequent test results confirmed COVID-19 infection on 23 February afternoon. 
Prior to hospital admission, she had mostly stayed at her home at Bishan Street 12. </t>
  </si>
  <si>
    <t>https://www.moh.gov.sg/news-highlights/details/two-more-cases-discharged-one-new-case-of-covid-19-infection-confirmed</t>
  </si>
  <si>
    <t>Action</t>
  </si>
  <si>
    <t>Location</t>
  </si>
  <si>
    <t>Visit</t>
  </si>
  <si>
    <t>Work</t>
  </si>
  <si>
    <t>Live</t>
  </si>
  <si>
    <t>Jalan Bukit Merah</t>
  </si>
  <si>
    <t>Hougang Street 61</t>
  </si>
  <si>
    <t>Buangkok Green</t>
  </si>
  <si>
    <t>Jalan Besar</t>
  </si>
  <si>
    <t>Hougang Polyclinic</t>
  </si>
  <si>
    <t>Shunfu Road</t>
  </si>
  <si>
    <t>Tampines Street 24</t>
  </si>
  <si>
    <t>Malaysia</t>
  </si>
  <si>
    <t>Parkway East Hospital</t>
  </si>
  <si>
    <t>Victoria Junior College</t>
  </si>
  <si>
    <t>Changi Airport</t>
  </si>
  <si>
    <t>Singapore Zoo</t>
  </si>
  <si>
    <t>Stay</t>
  </si>
  <si>
    <t>Sin Ming Road</t>
  </si>
  <si>
    <t>Bukit Merah Polyclinic</t>
  </si>
  <si>
    <t>Henderson Crescent</t>
  </si>
  <si>
    <t>Redhill Market</t>
  </si>
  <si>
    <t>Bukit Batok Street 31</t>
  </si>
  <si>
    <t>Jurong East Street 32</t>
  </si>
  <si>
    <t>Choa Chu Kang Polyclinic</t>
  </si>
  <si>
    <t>Marina Bay Sands</t>
  </si>
  <si>
    <t>Chinatown</t>
  </si>
  <si>
    <t>Plaza Singapura</t>
  </si>
  <si>
    <t>Choa Chu Kang Avenue 3</t>
  </si>
  <si>
    <t>Jurong West Central</t>
  </si>
  <si>
    <t>Bedok North Street</t>
  </si>
  <si>
    <t>Upper Serangoon Road</t>
  </si>
  <si>
    <t>Bedok Polyclinic</t>
  </si>
  <si>
    <t>Resorts World Sentosa</t>
  </si>
  <si>
    <t>Fernvale Close</t>
  </si>
  <si>
    <t>Sembawang Drive</t>
  </si>
  <si>
    <t>Johor Bahru</t>
  </si>
  <si>
    <t>Tan Tock Seng Hospital</t>
  </si>
  <si>
    <t>Veerasamy Road</t>
  </si>
  <si>
    <t>Bukit Batok Street 25</t>
  </si>
  <si>
    <t>Toh Guan Road</t>
  </si>
  <si>
    <t>Mei Hwan Drive</t>
  </si>
  <si>
    <t>Bishan Street 13</t>
  </si>
  <si>
    <t>Campbell Lane</t>
  </si>
  <si>
    <t>Hillview Avenue</t>
  </si>
  <si>
    <t>National University of Singapore</t>
  </si>
  <si>
    <t>Ang Mo Kio Avenue 5</t>
  </si>
  <si>
    <t>Pulau Bukom</t>
  </si>
  <si>
    <t>Senja Road</t>
  </si>
  <si>
    <t>Jalan Kelichap</t>
  </si>
  <si>
    <t>Mount Elizabeth Hospital</t>
  </si>
  <si>
    <t>Wilkinson Road</t>
  </si>
  <si>
    <t>Ang Mo Kio Avenue 3</t>
  </si>
  <si>
    <t>Ng Teng Fong General Hospital</t>
  </si>
  <si>
    <t>Pioneer Polyclinic</t>
  </si>
  <si>
    <t>Jurong West Street 64</t>
  </si>
  <si>
    <t>Tanjong Pagar Road</t>
  </si>
  <si>
    <t>PUB</t>
  </si>
  <si>
    <t>Potong Pasir Avenue 3</t>
  </si>
  <si>
    <t>Jurong West Street 81</t>
  </si>
  <si>
    <t>Sengkang General Hospital</t>
  </si>
  <si>
    <t>Fernvale Lane</t>
  </si>
  <si>
    <t>Fernvale Road</t>
  </si>
  <si>
    <t>Woodlands Crescent</t>
  </si>
  <si>
    <t>Singapore Armed Forces (SAF)</t>
  </si>
  <si>
    <t>Lorong 8 Toa Payoh</t>
  </si>
  <si>
    <t>Mei Ling Street</t>
  </si>
  <si>
    <t>McNair Road</t>
  </si>
  <si>
    <t>VWO-run community hospital</t>
  </si>
  <si>
    <t>Dairy Farm</t>
  </si>
  <si>
    <t>Fernvale Link</t>
  </si>
  <si>
    <t>Lower Delta Road</t>
  </si>
  <si>
    <t>Jurong Polyclinic</t>
  </si>
  <si>
    <t>Jurong West Street 41</t>
  </si>
  <si>
    <t>Rivervale Drive</t>
  </si>
  <si>
    <t>Bugis Junction</t>
  </si>
  <si>
    <t>Aljunied Road area</t>
  </si>
  <si>
    <t>Yishun Polyclinic</t>
  </si>
  <si>
    <t>Khoo Teck Puat Hospital</t>
  </si>
  <si>
    <t>Woodlands Avenue 6</t>
  </si>
  <si>
    <t>Bukit Batok East Avenue 5</t>
  </si>
  <si>
    <t>Study</t>
  </si>
  <si>
    <t>Singapore Institute of Technology</t>
  </si>
  <si>
    <t>Hougang Street 91</t>
  </si>
  <si>
    <t>Serangoon Avenue 3</t>
  </si>
  <si>
    <t>Bishan Street 12</t>
  </si>
  <si>
    <t>Singapore General Hospital</t>
  </si>
  <si>
    <t>Harbour Drive</t>
  </si>
  <si>
    <t xml:space="preserve">Mount Elizabeth Novena Hospital </t>
  </si>
  <si>
    <t>19 China Street</t>
  </si>
  <si>
    <t>9 Bishan Place</t>
  </si>
  <si>
    <t xml:space="preserve">Bukit Merah hawker centre </t>
  </si>
  <si>
    <t>755 Upper Serangoon Road</t>
  </si>
  <si>
    <t xml:space="preserve">Changi General Hospital </t>
  </si>
  <si>
    <t>Mustafa Centre</t>
  </si>
  <si>
    <t>25 Kaki Bukit Road</t>
  </si>
  <si>
    <t>20 Jalan Afifi</t>
  </si>
  <si>
    <t>Resorts World Sentosa Casino</t>
  </si>
  <si>
    <t>Star Vista</t>
  </si>
  <si>
    <t>1 Fusionopolis Place</t>
  </si>
  <si>
    <t>355 Tanglin Road</t>
  </si>
  <si>
    <t>1 Bukit Batok West Avenue 4</t>
  </si>
  <si>
    <t>12 Marina Boulevard</t>
  </si>
  <si>
    <t>2221 Ang Mo Kio Avenue 8</t>
  </si>
  <si>
    <t>Farrer Park Hospital</t>
  </si>
  <si>
    <t>5 Boundary Road</t>
  </si>
  <si>
    <t>56 Senang Crescent</t>
  </si>
  <si>
    <t>103 Beach Road</t>
  </si>
  <si>
    <t>37 Jalan Pemimpin</t>
  </si>
  <si>
    <t>364A Paya Lebar Road</t>
  </si>
  <si>
    <t>19 Kallang Avenue</t>
  </si>
  <si>
    <t>Marina Bay Sands Casino</t>
  </si>
  <si>
    <t>Woodlands Industrial Park</t>
  </si>
  <si>
    <t>3031A Ubi Road</t>
  </si>
  <si>
    <t>8A Admiralty Street</t>
  </si>
  <si>
    <t>16 Kallang Place</t>
  </si>
  <si>
    <t>35 Tuas South Avenue 6</t>
  </si>
  <si>
    <t>51 Bishan Street 13</t>
  </si>
  <si>
    <t>8 Temasek Boulevard</t>
  </si>
  <si>
    <t>Pasir Panjang Food Centre</t>
  </si>
  <si>
    <t>Braddell Heights</t>
  </si>
  <si>
    <t>The Pit Building</t>
  </si>
  <si>
    <t xml:space="preserve">37 Jalan Pemimpin </t>
  </si>
  <si>
    <t>Case 91 is a 58 year-old female Singapore Citizen who has no recent travel history to China. She is linked to Case 66 [1].
She reported onset of symptoms on 23 January and had sought treatment at a general practitioner (GP) clinic on 1 February, 6 February and 10 February. As she had been identified as a contact of Case 66, she was referred by MOH to the National Centre for Infectious Diseases (NCID) on 18 February. Subsequent test results confirmed COVID-19 infection on 22 February afternoon.
Prior to hospital admission, she had mostly stayed at her home at Rivervale Drive.</t>
  </si>
  <si>
    <t>https://www.moh.gov.sg/news-highlights/details/five-more-cases-discharged-one-new-case-of-covid-19-infection-confirmed</t>
  </si>
  <si>
    <t>Rivervale Drive+</t>
  </si>
  <si>
    <t>https://www.moh.gov.sg/news-highlights/details/four-more-cases-discharged-two-new-cases-of-covid-19-infection-confirmed</t>
  </si>
  <si>
    <t>Case 94 is a 64 year-old female Singapore Citizen who has no recent travel history to China, Daegu and Cheongdo. She is currently warded in an isolation room at Singapore General Hospital (SGH).
She reported onset of symptoms on 11 February and had sought treatment at a general practitioner (GP) clinic on 17 February, 20 February and 24 February. She was referred to SGH on 24 February and was immediately isolated. Subsequent test results confirmed COVID-19 infection on 26 February afternoon.
Prior to hospital admission, she had mostly stayed at her home in the Jalan Jurong Kechil area.</t>
  </si>
  <si>
    <t xml:space="preserve">Jalan Jurong Kechil </t>
  </si>
  <si>
    <t>https://www.moh.gov.sg/news-highlights/details/four-more-cases-discharged-three-new-cases-of-covid-19-infection-confirmed</t>
  </si>
  <si>
    <t>Case 92 is a 47 year-old male Singapore Citizen who has no recent travel history to China, Daegu and Cheongdo. He is currently warded in an isolation room at Sengkang General Hospital (SKGH).
He reported onset of symptoms on 17 February and had sought treatment at a GP clinic on 21 February and 24 February. He presented at SKGH on 24 February and was immediately isolated. Subsequent test results confirmed COVID-19 infection on 26 February morning.
Prior to hospital admission, he had mostly stayed at his home at Serangoon Avenue 3.</t>
  </si>
  <si>
    <t>Case 93 is a 38 year-old male Singapore Citizen who has no recent travel history to China, Daegu and Cheongdo. He is currently warded in an isolation room at Ng Teng Fong General Hospital (NTFGH).
He reported onset of symptoms on 17 February and had sought treatment at a GP clinic on 18 February and 23 February. He presented at NTFGH on 25 February and was immediately isolated. Subsequent test results confirmed COVID-19 infection on 26 February morning.
Prior to hospital admission, he had mostly stayed at his home at Bukit Batok Street 31.</t>
  </si>
  <si>
    <t>Wizlearn Technologies Pte Ltd</t>
  </si>
  <si>
    <t xml:space="preserve">Case 97 is a 44 year-old female Singapore Permanent Resident who has no recent travel history to China, Daegu and Cheongdo. She is currently warded in an isolation room at the National Centre for Infectious Diseases (NCID). She is linked to Cases 93 [1] and 95.
She reported onset of symptoms on 20 February and had sought treatment at a general practitioner (GP) clinic on the same day. As she had been identified as a close contact of Case 93, she was referred by MOH to NCID on 27 February and immediately isolated. Subsequent test results confirmed COVID-19 infection on 27 February afternoon.
Prior to hospital admission, she had gone to work at Wizlearn Technologies Pte Ltd and attended a business meeting at the Agency for Integrated Care (5 Maxwell Road). She stays at Choa Chu Kang North 5. </t>
  </si>
  <si>
    <t>https://www.moh.gov.sg/news-highlights/details/three-more-cases-discharged-two-new-cases-of-covid-19-infection-confirmed</t>
  </si>
  <si>
    <t>10 Science Park Road</t>
  </si>
  <si>
    <t>5 Maxwell Road</t>
  </si>
  <si>
    <t>Choa Chu Kang North 5.</t>
  </si>
  <si>
    <t xml:space="preserve">Case 95 is a 44 year-old male Singapore Citizen who has no recent travel history to China, Daegu and Cheongdo. He is currently warded in an isolation room at NCID. He is linked to Case 93.
He reported onset of symptoms on 22 February and had sought treatment at two GP clinics on 25 February and 26 February. He was referred to NCID on 26 February and was immediately isolated. Subsequent test results confirmed COVID-19 infection on 27 February morning.
Prior to hospital admission, he had attended business meetings at Sport Singapore (3 Stadium Drive), Singapore Aviation Academy (1 Aviation Drive) and Toa Payoh Hub (490 Lorong 6 Toa Payoh), and visited Toa Payoh Sport Centre (297 Lorong 6 Toa Payoh). He stays at Choa Chu Kang Crescent. </t>
  </si>
  <si>
    <t>3 Stadium Drive</t>
  </si>
  <si>
    <t>1 Aviation Drive</t>
  </si>
  <si>
    <t>490 Lorong 6 Toa Payoh</t>
  </si>
  <si>
    <t>297 Lorong 6 Toa Payoh</t>
  </si>
  <si>
    <t xml:space="preserve">Case 96 is a 12 year-old male Singapore Citizen who has no recent travel history to China, Daegu and Cheongdo. He is currently warded in an isolation room at KK Women’s and Children’s Hospital (KKH). He is a family member of Case 94 [2].
He reported onset of symptoms on 21 February and had sought treatment at a GP clinic on 22 February. As he had been identified as a close contact of Case 94, he was referred by MOH to KKH on 26 February and was immediately isolated. Subsequent test results confirmed COVID-19 infection on 27 February afternoon. 
He is a student at Raffles Institution and stays in the Jalan Jurong Kechil area. </t>
  </si>
  <si>
    <t>Raffles Institution</t>
  </si>
  <si>
    <t>Jalan Jurong Kechil</t>
  </si>
  <si>
    <t>Case 99 is a 27 year-old male Singapore Citizen who has no recent travel history to China, Daegu and Cheongdo. He is currently warded in an isolation room at the National Centre for Infectious Diseases (NCID). He is linked to the cluster at Wizlearn Technologies Pte Ltd.
He reported onset of symptoms on 21 February. He had sought treatment at a general practitioner (GP) clinic on 25 February, and Pioneer Polyclinic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Jurong West Street 81.</t>
  </si>
  <si>
    <t>Case 100 is a 20 year-old male Malaysian national, who has no recent travel history to China, Daegu and Cheongdo. He is currently warded in an isolation room at NCID. He is linked to the cluster at Wizlearn Technologies Pte Ltd.
He reported onset of symptoms on 27 February and had sought treatment at a GP 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Holland Avenue.</t>
  </si>
  <si>
    <t>https://www.moh.gov.sg/news-highlights/details/three-more-cases-discharged-four-new-cases-of-covid-19-infection-confirmed</t>
  </si>
  <si>
    <t>Case 98 is a 24 year-old male Singapore Permanent Resident who has no recent travel history to China, Daegu and Cheongdo. He is currently warded in an isolation room at NCID. He is linked to the cluster at Wizlearn Technologies Pte Ltd.
He reported onset of symptoms on 27 February and had sought treatment at a GP clinic on the same day where he was conveyed to NCID by ambulance. Subsequent test results confirmed COVID-19 infection on 28 February morning.
Prior to hospital admission, he had mostly stayed at his home at Jurong West Street 61.</t>
  </si>
  <si>
    <t>Works for</t>
  </si>
  <si>
    <t>Choa Chu Kang North 5</t>
  </si>
  <si>
    <t>Jurong West Street 61</t>
  </si>
  <si>
    <t>Holland Avenue</t>
  </si>
  <si>
    <t>Choa Chu Kang Crescent</t>
  </si>
  <si>
    <t>https://www.moh.gov.sg/news-highlights/details/two-more-cases-discharged-four-new-cases-of-covid-19-infection-confirmed</t>
  </si>
  <si>
    <t>Case 103 is a 37 year-old female Singapore Citizen who has no recent travel history to China, Daegu and Cheongdo but had been in Batam from 21 February to 23 February. She is currently warded in an isolation room at the National Centre for Infectious Diseases (NCID). She is a family member of Case 93[1], and is linked to Case 101.
As she had been identified as a close contact of Case 93 and had reported not having any recent illness, she was issued a home quarantine order on 26 February. On 29 February, she revealed that she had onset of symptoms on 20 February and had sought treatment at a general practitioner (GP) clinic on 25 February. She was immediately conveyed to NCID in an ambulance and was isolated. Subsequent test results confirmed COVID-19 infection on 1 March morning.
Prior to hospital admission, she had gone to work at Asia Asset Recovery Pte Ltd (2019 Bukit Batok Industrial Park A). She stays at Bukit Batok Street 31.</t>
  </si>
  <si>
    <t>Case 104 is a 25 year-old female Myanmar national who has no recent travel history to China, Daegu and Cheongdo but had been in Batam from 21 February to 23 February. She is a foreign domestic worker employed by Case 103. She is currently warded in an isolation room at NCID.
As she had been identified as a close contact of Case 93 and had reported not having any recent illness, she was issued a home quarantine order on 26 February. On 29 February, she revealed that she had onset of symptoms on 23 February. She was immediately conveyed to NCID in an ambulance and was isolated. Subsequent test results confirmed COVID-19 infection on 1 March morning.
Prior to hospital admission, she had mostly stayed at home at Bukit Batok Street 31.</t>
  </si>
  <si>
    <t>Case 105 is a 49 year-old male Singapore Citizen who has no recent travel history to China, Daegu and Cheongdo. He is currently warded in an isolation room at NCID. He is linked to the cluster at Wizlearn Technologies Pte Ltd.
As he is linked to the cluster at Wizlearn Technologies Pte Ltd and had reported not having any recent illness, he was issued a home quarantine order on 27 February. On 29 February, he revealed that he had onset of symptoms on 26 February and had sought treatment at a GP clinic on the same day. He was immediately conveyed to NCID in an ambulance and was isolated. Subsequent test results confirmed COVID-19 infection on 1 March morning.
Prior to hospital admission, he had attended a business meeting at Toa Payoh Hub (490 Lorong 6 Toa Payoh) with Case 95[2]. He stays at Upper Bukit Timah Road.</t>
  </si>
  <si>
    <t>Case 101 is a 61 year-old male Singapore Citizen who has no recent travel history to China, Daegu and Cheongdo, but had been in Batam from 21 February to 23 February. He is currently warded in an isolation room at Ng Teng Fong General Hospital (NTFGH). He is linked to Case 103.
He reported onset of symptoms on 25 February. He had presented at the emergency department at NTFGH on 28 February with Case 102 and was immediately isolated. Subsequent test results confirmed COVID-19 infection on 29 February morning.
Prior to hospital admission, he had gone to work at Asia Asset Recovery Pte Ltd and visited the Eye Clinic at NTFGH with Case 102. He stays at Bukit Batok Street 24.</t>
  </si>
  <si>
    <t>Case 102 is a 41 year-old female Filipino national who is a Singapore Work Pass holder, and has no recent travel history to China, Daegu and Cheongdo. She is a foreign domestic worker employed by Case 101. She is currently warded in an isolation room at NTFGH.
She reported onset of symptoms on 25 February and had sought treatment at a GP clinic on 27 February. She presented at NTFGH with Case 101 on 28 February and was immediately isolated. Subsequent test results confirmed COVID-19 infection on 29 February morning.
Prior to hospital admission, she had accompanied Case 101 to the Eye Clinic at NTFGH. She stays at Bukit Batok Street 24.</t>
  </si>
  <si>
    <t>Contact With</t>
  </si>
  <si>
    <t>Batam</t>
  </si>
  <si>
    <t>2019 Bukit Batok Industrial Park A</t>
  </si>
  <si>
    <t xml:space="preserve">Live </t>
  </si>
  <si>
    <t>Bukit Batok Street 24</t>
  </si>
  <si>
    <t xml:space="preserve">Batam </t>
  </si>
  <si>
    <t>Upper Bukit Timah Road</t>
  </si>
  <si>
    <t>Case 107 is a 68 year-old female Singapore Citizen who has no recent travel history to China, Daegu and Cheongdo but had been in Jakarta, Indonesia from 11 February to 14 February. She is currently warded in an isolation room at the National Centre for Infectious Diseases (NCID). She is linked to Case 94 [1].
She reported onset of symptoms on 16 February and had sought treatment at two general practitioner (GP) clinics on 20 February, 23 February and 25 February. She presented at Tan Tock Seng Hospital on 27 February and was immediately isolated. Subsequent test results confirmed COVID-19 infection on 1 March afternoon.
Prior to hospital admission, she had mostly stayed at her home at Bishan Street 13.</t>
  </si>
  <si>
    <t>Case 106 is a 54 year-old male Japanese national who is a Singapore Work Pass holder, and has no recent travel history to China, Daegu and Cheongdo, or to Japan. He is currently warded in an isolation room at Changi General Hospital (CGH). He is linked to the cluster at Wizlearn Technologies Pte Ltd.
He reported onset of symptoms on 23 February and had sought treatment at a GP clinic on 24 February, 26 February and 28 February. He presented at CGH on 29 February, and was immediately isolated. Subsequent test results confirmed COVID-19 infection on 1 March morning.
Prior to hospital admission, he had gone to work at WinTech Nano-Technology Services Pte Ltd (10 Science Park Road), which is located on the same floor as Wizlearn Technologies Pte Ltd. He stays at Tampines Street 45.</t>
  </si>
  <si>
    <t>https://www.moh.gov.sg/news-highlights/details/four-more-cases-discharged-two-new-cases-of-covid-19-infection-confirmed-2Mar</t>
  </si>
  <si>
    <t xml:space="preserve">Work for </t>
  </si>
  <si>
    <t>Tampines Street 45</t>
  </si>
  <si>
    <t>Jakarta</t>
  </si>
  <si>
    <t>Case 109 is a 70 year-old male Singapore Citizen who has no recent travel history to affected countries and regions. He is currently warded in an isolation room at the Singapore General Hospital (SGH).
He reported onset of symptoms on 25 February and had sought treatment at a general practitioner (GP) clinic on 27 February and 28 February. He presented at SGH on 29 February and was immediately isolated. Subsequent test results confirmed COVID-19 infection on 2 March afternoon.
Prior to hospital admission, he had gone to work at Fish Mart Sakuraya (154 West Coast Road) but had not served customers or handled food. He stays at Everton Park.</t>
  </si>
  <si>
    <t>Case 108 is a 34 year-old female Filipino national who is a Singapore Work Pass holder, and has no recent travel history to affected countries and regions. She is a foreign domestic worker employed by Case 101, and works in the same household as Case 102. She is currently warded in an isolation room at Ng Teng Fong General Hospital (NTFGH).
She reported onset of symptoms on 25 February. She presented at NTFGH on 28 February, and was immediately isolated. Subsequent test results confirmed COVID-19 infection on 2 March morning.
Prior to hospital admission, she had sought treatment for an unrelated condition at a dental clinic. She stays at Bukit Batok Street 24.</t>
  </si>
  <si>
    <t>https://www.moh.gov.sg/news-highlights/details/two-new-cases-of-covid-19-infection-confirmed</t>
  </si>
  <si>
    <t>154 West Coast Road</t>
  </si>
  <si>
    <t>Everton Park</t>
  </si>
  <si>
    <t>Case 111 is a 43 year-old male Singapore Permanent Resident who has no recent travel history to affected countries and regions but who had been in Malaysia from 18 February to 21 February. He is currently warded in an isolation room at the National University Hospital (NUH).
He reported onset of symptoms on 24 February and had sought treatment at a general practitioner (GP) clinic on the same day and on 28 February. He presented at Sengkang General Hospital on 27 February and NUH on 3 March. Subsequent test results confirmed COVID-19 infection on 3 March afternoon.
Prior to hospital admission, he had mostly stayed at his home at Compassvale Street.</t>
  </si>
  <si>
    <t>Case 110 is a 33 year-old male Singapore Citizen who has no recent travel history to affected countries and regions. He is currently warded in an isolation room at NCID. He is linked to the cluster at Wizlearn Technologies Pte Ltd.
He reported onset of symptoms on 22 February and had sought treatment at a general practitioner (GP) clinic on 23 February. As he had been identified as a contact of Case 93[2], he was referred by MOH to NCID on 27 February. Subsequent test results confirmed COVID-19 infection on 3 March morning.
Prior to hospital admission, he had gone to work at Wizlearn Technologies Pte Ltd. He stays at Upper Boon Keng Road.</t>
  </si>
  <si>
    <t>https://www.moh.gov.sg/news-highlights/details/one-more-case-discharged-two-new-cases-of-covid-19-infection-confirmed</t>
  </si>
  <si>
    <t>Upper Boon Keng Road</t>
  </si>
  <si>
    <t xml:space="preserve">Sengkang General Hospital </t>
  </si>
  <si>
    <t xml:space="preserve">NUH </t>
  </si>
  <si>
    <t>Compassvale Street</t>
  </si>
  <si>
    <t>31 International Business Park</t>
  </si>
  <si>
    <t>Safra Jurong Joy Garden</t>
  </si>
  <si>
    <t>Case 113 is an imported case involving a 42 year-old male French national who is a Singapore Work Pass holder. He has no recent travel history to affected countries and regions but had been in France, Portugal and the UK between 8 February and 3 March. He is currently warded in an isolation room at the National Centre for Infectious Diseases (NCID).
He reported onset of symptoms on 3 March during his flight on Turkish Airlines from Istanbul to Singapore. He presented at NCID on 4 March. Subsequent test results confirmed COVID-19 infection on 4 March afternoon.
Prior to hospital admission, he had visited Gleneagles Hospital for an unrelated matter. He stays in the Mount Sophia area.</t>
  </si>
  <si>
    <t>Case 114 is a 62 year-old male Singapore Citizen who has no recent travel history to affected countries and regions. He is warded in an isolation room at the National University Hospital (NUH). He is a family member of Case 115, and is linked to the cluster involving a private dinner function at SAFRA Jurong.
He reported onset of symptoms on 28 February and had sought treatment at a general practitioner (GP) clinic on 29 February. He presented at the emergency department at NUH on 3 March. Subsequent test results confirmed COVID-19 infection on 4 March afternoon.
Prior to hospital admission, he had mostly stayed at his home in the Westwood Avenue area.</t>
  </si>
  <si>
    <t>Case 115 is a 62 year-old female Singapore Citizen who has no recent travel history to affected countries and regions. She was confirmed to have COVID-19 infection on 5 March morning and is currently warded in an isolation room at NUH. She is a family member of Case 114, and is linked to the cluster involving a private dinner function at SAFRA Jurong.</t>
  </si>
  <si>
    <t>Case 112 is a 62 year-old female Singapore Citizen who has no recent travel history to affected countries and regions. She is warded in an isolation room at NCID. She is linked to the cluster involving a private dinner function at SAFRA Jurong.
She reported onset of symptoms on 21 February and had sought treatment at Bukit Batok Polycinic on the same day and on 25 February, as well as three GP clinics on 21 February, 23 February, 27 Febuary and 1 March. As she had been identified as a contact of Case 94, she was referred by MOH to NCID on 3 March and was isolated. Subsequent test results confirmed COVID-19 infection on 4 March morning.
She had gone to work on 21 February at Creative O Preschoolers’ Bay (31 International Business Park) where she is a non-teaching staff. She had left the centre a few hours into her shift, and has not been back since.</t>
  </si>
  <si>
    <t>https://www.moh.gov.sg/news-highlights/details/two-more-cases-discharged-five-new-cases-of-covid-19-infection-confirmed</t>
  </si>
  <si>
    <t xml:space="preserve">Family Member </t>
  </si>
  <si>
    <t>Bukit Batok Polycinic</t>
  </si>
  <si>
    <t>France</t>
  </si>
  <si>
    <t xml:space="preserve">Portugal </t>
  </si>
  <si>
    <t>UK</t>
  </si>
  <si>
    <t xml:space="preserve">Gleneagles Hospital </t>
  </si>
  <si>
    <t>Mount Sophia</t>
  </si>
  <si>
    <t>Westwood Avenue</t>
  </si>
  <si>
    <t xml:space="preserve">Malaysia </t>
  </si>
  <si>
    <t>Case 119 is a 55 year-old male Singapore Citizen who has no recent travel history to affected countries and regions. He is warded in an isolation room at Alexandra Hospital (AH).
He reported onset of symptoms on 27 February and had sought treatment at a general practitioner (GP) clinic on the same day, and on 29 February. He presented at the Urgent Care Centre at AH on 1 March and 5 March. Subsequent test results confirmed COVID-19 infection on 5 March afternoon.
Prior to hospital admission, he had mostly stayed at his home at Stirling Road. He is employed by SingTel but had not gone to work since onset of symptoms.</t>
  </si>
  <si>
    <t xml:space="preserve">Case 120 is a 62 year-old female Singapore Citizen who has no recent travel history to affected countries and regions. She is currently warded in an isolation room at the National Centre for Infectious Diseases (NCID). She is linked to the cluster involving the private dinner function at SAFRA Jurong.
She reported onset of symptoms on 2 March and had sought treatment at a GP clinic on 3 March. As she had attended the private dinner function at SAFRA Jurong on 15 February, she was referred by MOH to NCID on 5 March, and was immediately isolated. Subsequent test results confirmed COVID-19 infection on 5 March afternoon.
Prior to hospital admission, she had visited Boon Lay Shopping Centre (221 Boon Lay Place). She stays at Jurong West Street 65.
</t>
  </si>
  <si>
    <t>Case 121 is a 54 year-old female Singapore Citizen who has no recent travel history to affected countries and regions. She is currently warded in an isolation room at NCID. She is linked to the cluster involving the private dinner function at SAFRA Jurong.
She reported onset of symptoms on 26 February and had sought treatment at a GP clinic on 1 March. As she had attended the private dinner function at SAFRA Jurong on 15 February, she was referred by MOH to NCID on 5 March, and was immediately isolated. Subsequent test results confirmed COVID-19 infection on 5 March afternoon.
Prior to hospital admission, she had mostly stayed at her home at Corporation Drive.</t>
  </si>
  <si>
    <t>Case 122 is a 64 year-old female Singapore Citizen who has no recent travel history to affected countries and regions. She is currently warded in an isolation room at NCID. She is a close contact of Case 117, and is linked to the cluster involving the private dinner function at SAFRA Jurong.
She reported onset of symptoms on 3 March and had sought treatment at a GP clinic on 5 March. She was referred to NCID on the same day, and was immediately isolated. Subsequent test results confirmed COVID-19 infection on 5 March afternoon.
Prior to hospital admission, she had visited Westgate (3 Gateway Drive) and Keat Hong Community Club (2 Choa Chu Kang Loop). She stays at Petir Road.</t>
  </si>
  <si>
    <t>Case 123 is likely to be an imported case involving a 47 year-old male Singapore Citizen who had been in South Africa from 14 February to 17 February and France from 22 February to 24 February.
He reported onset of symptoms on 27 February and had sought treatment at a GP clinic on the same day, and on 2 March and 4 March. He presented at Sengkang General Hospital on 4 March. Subsequent test results confirmed COVID-19 infection on 5 March afternoon.
Prior to hospital admission, he had mostly stayed at his home at Fernvale Close. He is employed by Singapore Airlines as a cabin crew but had not gone to work since onset of symptoms.</t>
  </si>
  <si>
    <t>Case 116 is a 50 year-old female Singapore Citizen who has no recent travel history to affected countries and regions. She is currently warded in an isolation room at NCID. She is linked to the cluster involving a private dinner function at SAFRA Jurong.
She reported onset of symptoms on 29 February and had sought treatment at a GP clinic on 1 March and 3 March. As she had attended the private dinner function at SAFRA Jurong on 15 February, she was referred by MOH to NCID, and was immediately isolated. Subsequent test results confirmed COVID-19 infection on 5 March morning.
Prior to hospital admission, she had mostly stayed at her home at Jurong West Street 81.</t>
  </si>
  <si>
    <t>Case 117 is a 52 year-old female Singapore Citizen who has no recent travel history to affected countries and regions but had been in Malaysia on 1 March. She is currently warded in an isolation room at NCID. She is linked to the cluster involving the private dinner function at SAFRA Jurong.
She reported onset of symptoms on 2 March. As she had attended the private dinner function at SAFRA Jurong on 15 February, she was referred by MOH to NCID, and immediately isolated. Subsequent test results confirmed COVID-19 infection on 5 March morning.
Prior to hospitalisation, she had visited shops located at 131 Marsiling Rise and 731 Yishun Street 72, and attended exercise classes at Petir Park (141 Petir Road) and Zhenghua Nature Park (466 Segar Road). She stays at Senja Road.</t>
  </si>
  <si>
    <t>Case 118 is a 33 year-old female Singapore Citizen who has no recent travel history to affected countries and regions. She is currently warded in an isolation room at the National University Hospital (NUH). She is a family member of Cases 114 and 115, and is linked to the cluster involving the private dinner function at SAFRA Jurong.
She reported onset of symptoms on 29 February and had sought treatment at Pioneer Polyclinic on 2 March. She presented at the emergency department at NUH on 4 March. Subsequent test results confirmed COVID-19 infection on 5 March afternoon.
Prior to hospital admission, she had mostly stayed at home in the Westwood Avenue area.</t>
  </si>
  <si>
    <t>https://www.moh.gov.sg/news-highlights/details/one-more-case-discharged-thirteen-new-cases-of-covid-19-infection-confirmed</t>
  </si>
  <si>
    <t>Same Ward</t>
  </si>
  <si>
    <t>Family Member</t>
  </si>
  <si>
    <t xml:space="preserve">131 Marsiling Rise </t>
  </si>
  <si>
    <t>731 Yishun Street 72</t>
  </si>
  <si>
    <t>141 Petir Road</t>
  </si>
  <si>
    <t>466 Segar Road</t>
  </si>
  <si>
    <t xml:space="preserve">Pioneer Polyclinic </t>
  </si>
  <si>
    <t>Stirling Road</t>
  </si>
  <si>
    <t>Singtel</t>
  </si>
  <si>
    <t>221 Boon Lay Place</t>
  </si>
  <si>
    <t>Jurong West Street 65</t>
  </si>
  <si>
    <t>Corporation Drive</t>
  </si>
  <si>
    <t>3 Gateway Drive</t>
  </si>
  <si>
    <t>2 Choa Chu Kang Loop</t>
  </si>
  <si>
    <t>Petir Road</t>
  </si>
  <si>
    <t>South Africa</t>
  </si>
  <si>
    <t xml:space="preserve">Singapore Airlines </t>
  </si>
  <si>
    <t>Germany</t>
  </si>
  <si>
    <t>Case 124 is likely to be an imported case, involving a 37 year-old female Singapore Permanent Resident who had been in Germany from 27 February to 5 March. She is currently warded in an isolation room at NCID.
She reported onset of symptoms on 5 March, and presented at the emergency department at Tan Tock Seng Hospital (TTSH) on the same day. Subsequent test results confirmed COVID-19 infection on 6 March morning.
Prior to hospital admission, she had mostly stayed at her home at Admiralty Link.</t>
  </si>
  <si>
    <t xml:space="preserve">Case 125 is a 65 year-old female Singapore Citizen who has no recent travel history to affected countries and regions. She is currently warded in an isolation room at NCID. She is a family member of Case 128, and is linked to the cluster involving the private dinner function at SAFRA Jurong.
She reported onset of symptoms on 5 March. As she had attended the private dinner function at SAFRA Jurong on 15 February, she was referred by MOH to NCID on 5 March. Subsequent test results confirmed COVID-19 infection on 6 March morning.
Prior to hospital admission, she had mostly stayed at her home at Jurong West Street 72.
</t>
  </si>
  <si>
    <t>Case 126 is a 77 year-old male Singapore Citizen who has no recent travel history to affected countries and regions. He is currently warded in an isolation room at NCID.
He had been in same ward as Case 109 at SGH from 29 February to 1 March for an unrelated condition, before Case 109 had been confirmed to have COVID-19 infection. Case 126 was discharged from SGH on 1 March.As he had been identified as a close contact of Case 109, he had been issued a quarantine order on 4 March. He reported onset of symptoms on 5 March, and was conveyed to NCID in an ambulance. Subsequent test results confirmed COVID-19 infection on 6 March morning.
Prior to hospital admission, he had mostly stayed at his home at Eunos Crescent.</t>
  </si>
  <si>
    <t>Case 127 is a 64 year-old female Singapore Citizen who has no recent travel history to affected countries and regions. She is currently warded in an isolation room at NCID. She is a close contact of Case 117, and is linked to the cluster involving the private dinner function at SAFRA Jurong.
She reported onset of symptoms on 5 March and had sought treatment at a GP clinic on the same day. She was referred to TTSH by the clinic on the same day. Subsequent test results confirmed COVID-19 infection on 6 March morning.
Prior to hospital admission, she had mostly stayed at her home at Bukit Panjang Road.</t>
  </si>
  <si>
    <t>Case 128 is a 70 year-old male Singapore Citizen who has no recent travel history to affected countries and regions. He is currently warded in an isolation room at NCID. He is a family member of Case 125, and is linked to the cluster involving the private dinner function at SAFRA Jurong.
He reported onset of symptoms on 5 March. As he had attended the private dinner function at SAFRA Jurong on 15 February, he was referred by MOH to NCID on 5 March. Subsequent test results confirmed COVID-19 infection on 6 March morning.
Prior to hospital admission, he had mostly stayed at his home at Jurong West Street 72.</t>
  </si>
  <si>
    <t xml:space="preserve">Case 129 is a 68 year-old female Singapore Citizen who has no recent travel history to affected countries and regions. She is currently warded in an isolation room at NTFGH. She is a family member of Case 130, and is linked to the cluster involving the private dinner function at SAFRA Jurong.
She reported onset of symptoms on 2 March and had sought treatment at Pioneer Polyclinic. She presented at NTFGH on 2 March and 4 March. Subsequent test results confirmed COVID-19 infection on 6 March morning.
Prior to hospital admission, she had visited a shop at 966 Jurong West Street 91. She works at Jurong Port Road Food Centre (29A Jurong Port Road) as a food handler, but had not been at work since onset of symptoms. She stays at Jurong West Street 71.
</t>
  </si>
  <si>
    <t xml:space="preserve">Case 130 is a 66 year-old male Singapore Citizen who has no recent travel history to affected countries and regions. He is currently warded in an isolation room at NTFGH. He is a family member of Case 129, and is linked to the cluster involving the private dinner function at SAFRA Jurong.
He reported onset of symptoms on 24 February and had sought treatment at a GP clinic on the same day, and on 29 February and 1 March. He presented at NTFGH on 4 March. Subsequent test results confirmed COVID-19 infection on 6 March morning.
Prior to hospital admission, he had gone to work at Jurong Port Road Food Centre as a food handler, and visited Bukit Batok Community Club (21 Bukit Batok Central). He stays at Jurong West Street 71.
</t>
  </si>
  <si>
    <t>Case 131 is a 66 year-old male Singapore Citizen who has no recent travel history to affected countries and regions. He is currently warded in an isolation room at Ng Teng Fong General Hospital (NTFGH). He is linked to the cluster involving the private dinner function at SAFRA Jurong.
He reported onset of symptoms on 2 March and had sought treatment at a general practitioner (GP) clinic on the same day and on 5 March. He presented at NTFGH on 5 March. Subsequent test results confirmed COVID-19 infection on 6 March afternoon.
Prior to hospital admission, he had gone to work as a delivery personnel at Liang Guan Hak Kee (8 Pandan Crescent), and had visited Ayer Rajah Zone 3 Residents’ Committee (32 Teban Gardens Road). He stays at Pandan Gardens.</t>
  </si>
  <si>
    <t xml:space="preserve">Case 132 is likely to be an imported case involving a 37 year-old female Singapore Permanent Resident who had been in London from 23 February to 27 February. She is warded in an isolation room at the National University Hospital (NUH).
She reported onset of symptoms on 29 February and had sought treatment at two GP clinics on 29 February, 4 March and 5 March. She presented at the emergency department at NUH on 5 March. Subsequent test results confirmed COVID-19 infection on 6 March afternoon.
Prior to hospital admission, she had visited Camden Medical Centre (1 Orchard Boulevard) for an unrelated condition. She stays at Tanglin Road.
</t>
  </si>
  <si>
    <t xml:space="preserve">Case 133 is a 62 year-old female Indonesian national who is a Singapore Social Visit Pass holder, and who has no recent travel history to affected countries and regions. She is currently warded in an isolation room at NUH. She is linked to the cluster involving the private dinner function at SAFRA Jurong.
She reported onset of symptoms on 29 February and had sought treatment at a GP clinic on 1 March and at Pioneer Polyclinic on 4 March and 6 March. She was referred to the emergency department at NUH on 6 March. Subsequent test results confirmed COVID-19 infection on 6 March afternoon.
Prior to hospital admission, she had mostly stayed at her home at Jurong West Street 61.
</t>
  </si>
  <si>
    <t xml:space="preserve">Case 134 is a 56 year-old female Singapore Citizen who has no recent travel history to affected countries and regions, but had been in Malaysia on 21 February. She is currently warded in an isolation room at the National Centre for Infectious Diseases (NCID). She is linked to the cluster involving the private dinner function at SAFRA Jurong.
She reported onset of symptoms on 28 February and had sought treatment at a GP clinic on 6 March, and was referred to NCID on the same day. Subsequent test results confirmed COVID-19 infection on 6 March afternoon.
Prior to hospital admission, she had visited various community clubs and residents’ committees. She stays at Jurong West Street 71.
</t>
  </si>
  <si>
    <t xml:space="preserve">Case 135 is a 40 year-old male Singapore Citizen who has no recent travel history to affected countries and regions. He is currently warded in an isolation room at Singapore General Hospital (SGH).
He reported onset of symptoms on 26 February and had sought treatment at two general practitioner (GP) clinics on 3 March and 5 March. He presented at SGH on 5 March. Subsequent test results confirmed COVID-19 infection on 6 March afternoon.
Prior to hospital admission, he had gone to work at ST Electronics (100 Jurong East Street 21). He stays at Telok Blangah Crescent.
</t>
  </si>
  <si>
    <t xml:space="preserve">Case 136 is likely to be an imported case involving a 36 year-old male Italian national Singapore Work Pass holder who had recently travelled to the US from 7 February to 22 February, and to Italy from 23 February to 29 February. He is currently warded in an isolation room at NCID.
He returned to Singapore on 1 March. He reported onset of symptoms on the same day, and presented at Raffles Hospital. Subsequent test results confirmed COVID-19 infection on 6 March afternoon.
Prior to hospital admission, he had mostly stayed at his home at Tanjong Pagar Road when he was in Singapore.
</t>
  </si>
  <si>
    <t xml:space="preserve">Case 137 is a 60 year-old male Singapore Citizen who has no recent travel history to affected countries and regions. He is currently warded in an isolation room at NCID. He is linked to the cluster involving the private dinner function at SAFRA Jurong.
He reported onset of symptoms on 5 March. As he had attended the private dinner function at SAFRA Jurong on 15 February, he was referred by MOH to NCID on 6 March. Subsequent test results confirmed COVID-19 infection on 6 March afternoon.
Prior to hospital admission, he had mostly stayed at his home at Jurong West Street 41.
</t>
  </si>
  <si>
    <t xml:space="preserve">Case 138 is a 26 year-old male Singapore Citizen who has no recent travel history to affected countries and regions. He is currently warded in an isolation room at NCID. He is a close contact of Case 66 and family member of Cases 83 and 91, and is linked to the cluster at The Life Church and Missions Singapore.
As he had been identified as a close contact of previous confirmed cases, he had been quarantined from 15 February to 6 March. Subsequent test results confirmed COVID-19 infection on 6 March afternoon.
After his quarantine had ended, he had visited SAFRA Punggol (9 Sentul Crescent). He stays at Rivervale Drive.
</t>
  </si>
  <si>
    <t xml:space="preserve">Case 139 is a 71 year-old male Singapore Citizen who has no recent travel history to affected countries and regions. He is currently warded in an isolation room at Ng Teng Fong General Hospital (NTFGH). He is a family member of Cases 140 and 142, and is linked to the cluster involving the private dinner function at SAFRA Jurong.
He reported onset of symptoms on 3 March and had sought treatment at a general practitioner (GP) clinic on 5 March. He presented at NTFGH on 6 March, and subsequent test results confirmed COVID-19 infection on 7 March afternoon.
Prior to hospital admission, he had mostly stayed at his home at Jurong West Street 81.
</t>
  </si>
  <si>
    <t xml:space="preserve">Case 140 is a 62 year-old female Singapore Citizen who has no recent travel history to affected countries and regions. She is currently warded in an isolation room at NTFGH. She is a family member of Cases 139 and 142, and is linked to the cluster involving the private dinner function at SAFRA Jurong.
She reported onset of symptoms on 28 February and had sought treatment at a GP clinic on 29 February and 5 March. She presented at NTFGH on 6 March, and subsequent test results confirmed COVID-19 infection on 7 March afternoon.
Prior to hospital admission, she had gone to work Landom Distributions Pte Ltd (31 Jurong Port Road). She stays at Jurong West Street 81.
</t>
  </si>
  <si>
    <t xml:space="preserve">Case 141 is a 69 year-old male Singapore Citizen who has no recent travel history to affected countries and regions. He is currently warded in an isolation room at NTFGH.
He reported onset of symptoms on 1 March and had sought treatment at a GP clinic on 3 March and 6 March. He was conveyed in an ambulance to NTFGH on 6 March. Subsequent test results confirmed COVID-19 infection on 7 March afternoon.
Prior to hospital admission, he had gone to work at Nanyang Technological University (NTU) Innovation Centre (71 Nanyang Drive) as a cleaning staff employed by NTU’s cleaning services vendor. He stays at Jurong West Street 64.
</t>
  </si>
  <si>
    <t xml:space="preserve">Case 142 is a 26 year-old male Singapore Citizen who has no recent travel history to affected countries and regions. He is currently warded in an isolation room at NTFGH. He is a family member of Cases 139 and 140, and is linked to the cluster involving the private dinner function at SAFRA Jurong.
He reported onset of symptoms on 5 March, and presented at NTFGH on 6 March. Subsequent test results confirmed COVID-19 infection on 7 March afternoon.
Prior to hospital admission, he had gone to work at First Page Digital Singapore (144 Robinson Road) and visited The Aperia Mall (12 Kallang Avenue). He stays at Jurong West Street 81.
</t>
  </si>
  <si>
    <t xml:space="preserve">Case 143 is a 42 year-old male Singapore Permanent Resident who had been in Thailand from 4 March to 6 March. He is currently warded in an isolation room at National University Hospital (NUH). He is a family member of Case 132[1].
He reported onset of symptoms on 5 March while he was in Thailand. He returned to Singapore on 6 March night and went directly to NUH from Changi Airport. Subsequent test results confirmed COVID-19 infection on 7 March afternoon.
He stays at Tanglin Road.
</t>
  </si>
  <si>
    <t xml:space="preserve">Case 144 is a 58 year-old female Singapore Citizen who has no recent travel history to affected countries and regions. She is currently warded in an isolation room at NTFGH. She is a contact of Case 140, and is linked to the cluster involving the private dinner function at SAFRA Jurong.
She reported onset of symptoms on 3 March and had sought treatment at a GP clinic on the same day, and on 5 March. She presented to NTFGH on 7 March, and subsequent test results confirmed COVID-19 infection on 7 March afternoon.
She is a hairdresser at her home at Jurong West Street 74, and had attended to customers after onset of symptoms.
</t>
  </si>
  <si>
    <t>https://www.moh.gov.sg/news-highlights/details/eight-more-cases-discharged-eight-more-cases-of-covid-19-infection-confirmed</t>
  </si>
  <si>
    <t>https://www.moh.gov.sg/news-highlights/details/twelve-new-cases-of-covid-19-infection-confirmed</t>
  </si>
  <si>
    <t>Close Contact</t>
  </si>
  <si>
    <t>Admiralty Link</t>
  </si>
  <si>
    <t>Jurong West Street 72</t>
  </si>
  <si>
    <t>Eunos Crescent</t>
  </si>
  <si>
    <t>Bukit Panjang Road</t>
  </si>
  <si>
    <t>966 Jurong West Street 91</t>
  </si>
  <si>
    <t>29A Jurong Port Road</t>
  </si>
  <si>
    <t>Jurong West Street 71</t>
  </si>
  <si>
    <t>21 Bukit Batok Central</t>
  </si>
  <si>
    <t>8 Pandan Crescent</t>
  </si>
  <si>
    <t>32 Teban Gardens Road</t>
  </si>
  <si>
    <t>Pandan Gardens</t>
  </si>
  <si>
    <t>London</t>
  </si>
  <si>
    <t>1 Orchard Boulevard</t>
  </si>
  <si>
    <t>Tanglin Road</t>
  </si>
  <si>
    <t>100 Jurong East Street 21</t>
  </si>
  <si>
    <t>Telok Blangah Crescent</t>
  </si>
  <si>
    <t>Italy</t>
  </si>
  <si>
    <t>Raffles Hospital</t>
  </si>
  <si>
    <t>9 Sentul Crescent</t>
  </si>
  <si>
    <t>31 Jurong Port Road</t>
  </si>
  <si>
    <t>71 Nanyang Drive</t>
  </si>
  <si>
    <t>144 Robinson Road</t>
  </si>
  <si>
    <t>12 Kallang Avenue</t>
  </si>
  <si>
    <t>Thailand</t>
  </si>
  <si>
    <t>Jurong West Street 74</t>
  </si>
  <si>
    <t>Indonesia</t>
  </si>
  <si>
    <t>Case 145 is a 67 year-old female Singapore Citizen who has no recent travel history to affected countries and regions. She is currently warded in an isolation room at NCID. She is a contact of Case 134, and is linked to the cluster involving the private dinner function at SAFRA Jurong.
She reported onset of symptoms on 29 February, and had sought treatment at a GP clinic on 3 March and 6 March. She was referred to NCID on 7 March. Subsequent test results confirmed COVID-19 infection on 8 March morning.
Prior to hospital admission, she had visited a shop at 16 Teck Whye Lane. She stays at Teck Whye Lane.</t>
  </si>
  <si>
    <t xml:space="preserve">Case 146 is a 64 year-old female Singapore Citizen who has no recent travel history to affected countries and regions. She is currently warded in an isolation room at NCID. She is a contact of Case 134, and is linked to the cluster involving the private dinner function at SAFRA Jurong.
She reported onset of symptoms on 4 March, and had sought treatment at a GP clinic on 5 March. She presented at NCID on 7 March, and subsequent test results confirmed COVID-19 infection on 8 March morning.
Prior to hospital admission, she mostly stayed at her home in the Yio Chu Kang Road area.
</t>
  </si>
  <si>
    <t xml:space="preserve">Case 147 is an imported case involving a 64 year-old male Indonesian national who arrived in Singapore on 7 March. He is currently warded in an isolation room at NCID.
He reported onset of symptoms on 3 March while he was in Indonesia. He had a fever when he arrived at Seletar Airport, and underwent a COVID-19 swab test at the checkpoint. He was conveyed by ambulance to NCID on 7 March night, and subsequent test results confirmed COVID-19 infection on 8 March morning.
Prior to hospitalisation, he mostly stayed at his rental apartment in the Oxley Road area.
</t>
  </si>
  <si>
    <t xml:space="preserve">Case 148 is a 67 year-old female Singapore Citizen who had been in Indonesia from 11 February to 14 February. She is currently warded in an isolation room at NCID. She is a contact of Case 107, and is linked to the cluster involving the private dinner function at SAFRA Jurong.
She reported onset of symptoms on 24 February. As she had been identified as a contact of Case 107, she was referred by MOH to NCID on 2 March. Subsequent test results confirmed COVID-19 infection on 8 March morning.
Prior to hospital admission, she had visited Marina Bay Sands Casino (10 Bayfront Avenue). She stays at Jalan Lim Tai See.
</t>
  </si>
  <si>
    <t xml:space="preserve">Case 149 is a 62 year-old male Singapore Citizen who has no recent travel history to affected countries and regions. He is currently warded in an isolation room at NCID. He is linked to the cluster involving the private dinner function at SAFRA Jurong.
He reported onset of symptoms on 23 February and had sought treatment at a GP clinic on 7 March. He was conveyed in an ambulance to Tan Tock Seng Hospital on 7 March, and subsequent test results confirmed COVID-19 infection on 8 March morning.
Prior to hospital admission, he had gone for singing classes at various community clubs and residents’ committees. He also visited Tong Whye Temple Senior Citizen Club (306 Jurong East Street 32). He stays at Jurong East Street 32.
</t>
  </si>
  <si>
    <t xml:space="preserve">Case 151 is a 51 year-old male Singapore Citizen who has no recent travel history to affected countries and regions. He is a contact of Cases 66 and 91, and is linked to the cluster at The Life Church and Missions Singapore.
He reported onset of symptoms on 4 February and had sought treatment at a general practitioner (GP) clinic on 5 February and 13 February, and at Yishun Polyclinic on 8 February and 13 February. As he had been identified to have attended the Chinese New Year gathering at Mei Hwan Drive on 25 January, he was referred by MOH to the National Centre for Infectious Diseases (NCID) on 22 February even though he had recovered by then. Subsequent serological test results on 8 March afternoon confirmed that he had an earlier COVID-19 infection.
He stays at Yishun Ring Road.
</t>
  </si>
  <si>
    <t xml:space="preserve">Case 152 is an imported case involving a 65 year-old male Indonesian national who arrived in Singapore on 7 March. He is currently warded in an isolation room at Singapore General Hospital (SGH).
He reported onset of symptoms on 28 February while he was in Indonesia, and had sought treatment at a hospital in Jakarta on 2 March. He presented at SGH on 7 March. Subsequent test results confirmed COVID-19 infection on 8 March afternoon.
</t>
  </si>
  <si>
    <t xml:space="preserve">Case 153 is likely to be an imported case involving a 65 year-old female Singapore Citizen who had been in Indonesia from 25 February to 28 February. She reported that while she was in Indonesia, she had visited her sister who had pneumonia. She is currently warded in an isolation room at SGH.
She reported onset of symptoms on 3 March and had sought treatment at Choa Chu Kang Polyclinic on the same day and on 7 March. She presented at the emergency department at SGH on 7 March, and subsequent test results confirmed COVID-19 infection on 8 March afternoon.
Prior to hospital admission, she had mostly stayed at her home at Jalan Teck Whye.
</t>
  </si>
  <si>
    <t>https://www.moh.gov.sg/news-highlights/details/three-more-cases-discharged-ten-new-cases-of-covid-19-infection-confirmed</t>
  </si>
  <si>
    <t>Case 150 is a 53 year-old female Singapore Permanent Resident who has no recent travel history to affected countries and regions. She is currently warded in an isolation room at NCID. She is a contact of Cases 115 and 134, and is linked to the cluster involving the private dinner function at SAFRA Jurong.
She reported onset of symptoms on 29 February. As she had been identified to be a contact of Cases 115 and 134, she was referred by MOH to NCID on 7 March, and subsequent test results confirmed COVID-19 infection on 8 March morning.
Prior to hospital admission, she had gone for singing classes and other activities at Nanyang Community Club. She stays at Jurong West Street 64.</t>
  </si>
  <si>
    <t>16 Teck Whye Lane</t>
  </si>
  <si>
    <t>Teck Whye Lane</t>
  </si>
  <si>
    <t>Yio Chu Kang Road</t>
  </si>
  <si>
    <t>Seletar Airport</t>
  </si>
  <si>
    <t xml:space="preserve">Oxley Road </t>
  </si>
  <si>
    <t>10 Bayfront Avenue</t>
  </si>
  <si>
    <t>Jalan Lim Tai See</t>
  </si>
  <si>
    <t>306 Jurong East Street 32</t>
  </si>
  <si>
    <t>Nanyang Community Club</t>
  </si>
  <si>
    <t>Yishun Ring Road</t>
  </si>
  <si>
    <t xml:space="preserve">Choa Chu Kang Polyclinic </t>
  </si>
  <si>
    <t>Jalan Teck Whye</t>
  </si>
  <si>
    <t>CASE</t>
  </si>
  <si>
    <t>PATIENT</t>
  </si>
  <si>
    <t>AGE</t>
  </si>
  <si>
    <t>GENDER</t>
  </si>
  <si>
    <t>NATIONALITY</t>
  </si>
  <si>
    <t>STATUS</t>
  </si>
  <si>
    <t>SYMPTOMATIC TO</t>
  </si>
  <si>
    <t>DAYS TO</t>
  </si>
  <si>
    <t>SYMPTOMATIC AT</t>
  </si>
  <si>
    <t>CONFIRMED AT</t>
  </si>
  <si>
    <t>RECOVERED AT</t>
  </si>
  <si>
    <t>DISPLAYED SYMPTOMS?</t>
  </si>
  <si>
    <t>66 year old Wuhan Man</t>
  </si>
  <si>
    <t>Chinese</t>
  </si>
  <si>
    <t>Recovered</t>
  </si>
  <si>
    <t>21st, Jan 2020</t>
  </si>
  <si>
    <t>23rd, Jan 2020</t>
  </si>
  <si>
    <t>19th, Feb 2020</t>
  </si>
  <si>
    <t>53 year-old female Chinese national from Wuhan</t>
  </si>
  <si>
    <t>24th, Jan 2020</t>
  </si>
  <si>
    <t>7th, Feb 2020</t>
  </si>
  <si>
    <t>37 year-old male Chinese national from Wuhan</t>
  </si>
  <si>
    <t>21st, Feb 2020</t>
  </si>
  <si>
    <t>36 year-old male Chinese national from Wuhan</t>
  </si>
  <si>
    <t>25th, Jan 2020</t>
  </si>
  <si>
    <t>12th, Feb 2020</t>
  </si>
  <si>
    <t>56 year-old female Chinese national from Wuhan</t>
  </si>
  <si>
    <t>27th, Jan 2020</t>
  </si>
  <si>
    <t>18th, Feb 2020</t>
  </si>
  <si>
    <t>56 year-old male Chinese national from Wuhan</t>
  </si>
  <si>
    <t>20th, Feb 2020</t>
  </si>
  <si>
    <t>35 year-old male Chinese national from Wuhan</t>
  </si>
  <si>
    <t>4th, Feb 2020</t>
  </si>
  <si>
    <t>28th, Jan 2020</t>
  </si>
  <si>
    <t>29th, Jan 2020</t>
  </si>
  <si>
    <t>23rd, Feb 2020</t>
  </si>
  <si>
    <t>9th, Feb 2020</t>
  </si>
  <si>
    <t>31 year-old female Chinese national from Wuhan</t>
  </si>
  <si>
    <t>10th, Feb 2020</t>
  </si>
  <si>
    <t>37 year-old female Chinese national from Wuhan</t>
  </si>
  <si>
    <t>26th, Jan 2020</t>
  </si>
  <si>
    <t>73 year-old female Chinese national from Wuhan</t>
  </si>
  <si>
    <t>30th, Jan 2020</t>
  </si>
  <si>
    <t>Singaporean</t>
  </si>
  <si>
    <t>17th, Feb 2020</t>
  </si>
  <si>
    <t>47 year-old female Singapore Citizen</t>
  </si>
  <si>
    <t>16th, Feb 2020</t>
  </si>
  <si>
    <t>38 year-old male Chinese national</t>
  </si>
  <si>
    <t>31st, Jan 2020</t>
  </si>
  <si>
    <t>11th, Feb 2020</t>
  </si>
  <si>
    <t>31 year-old female Chinese national</t>
  </si>
  <si>
    <t>1st, Feb 2020</t>
  </si>
  <si>
    <t>27th, Feb 2020</t>
  </si>
  <si>
    <t>28 year-old female Singapore resident</t>
  </si>
  <si>
    <t>3rd, Feb 2020</t>
  </si>
  <si>
    <t>22nd, Feb 2020</t>
  </si>
  <si>
    <t>48 year-old female Singapore resident</t>
  </si>
  <si>
    <t>29th, Feb 2020</t>
  </si>
  <si>
    <t>44 year-old female Indonesian national</t>
  </si>
  <si>
    <t>Indonesian</t>
  </si>
  <si>
    <t>2nd, Feb 2020</t>
  </si>
  <si>
    <t>41 year-old male Singapore Citizen</t>
  </si>
  <si>
    <t>-</t>
  </si>
  <si>
    <t>17 year-old male Singapore Citizen</t>
  </si>
  <si>
    <t>32 year-old female Singapore Citizen</t>
  </si>
  <si>
    <t>15th, Feb 2020</t>
  </si>
  <si>
    <t>40 year-old male Singapore Citizen</t>
  </si>
  <si>
    <t>42 year-old female Chinese national</t>
  </si>
  <si>
    <t>45 year-old male Singapore Citizen</t>
  </si>
  <si>
    <t>5th, Feb 2020</t>
  </si>
  <si>
    <t>6 month-old male Singapore Citizen</t>
  </si>
  <si>
    <t>27 year-old male Singapore Citizen</t>
  </si>
  <si>
    <t>6th, Feb 2020</t>
  </si>
  <si>
    <t>14th, Feb 2020</t>
  </si>
  <si>
    <t>53 year-old male Singapore Citizen</t>
  </si>
  <si>
    <t>42 year-old female Singapore Citizen</t>
  </si>
  <si>
    <t>39 year-old female Singapore Citizen</t>
  </si>
  <si>
    <t>40-year-old female Singapore Citizen</t>
  </si>
  <si>
    <t>64-year-old male Singapore Citizen</t>
  </si>
  <si>
    <t>In hospital</t>
  </si>
  <si>
    <t>38-year-old female Singapore Permanent Resident</t>
  </si>
  <si>
    <t>53-year-old male Singapore citizen</t>
  </si>
  <si>
    <t>2nd, Mar 2020</t>
  </si>
  <si>
    <t>52-year-old female Singapore citizen</t>
  </si>
  <si>
    <t>8th, Feb 2020</t>
  </si>
  <si>
    <t>51-year-old male Singapore citizen</t>
  </si>
  <si>
    <t>36-year-old male Singapore citizen</t>
  </si>
  <si>
    <t>71 year-old male Singapore citizen</t>
  </si>
  <si>
    <t>Bangladeshi</t>
  </si>
  <si>
    <t>54 year-old male Singapore Citizen</t>
  </si>
  <si>
    <t>7th, Mar 2020</t>
  </si>
  <si>
    <t>37 year-old male Singapore Citizen</t>
  </si>
  <si>
    <t>2 year-old female Singapore Citizen</t>
  </si>
  <si>
    <t>35 year-old male Singapore PR</t>
  </si>
  <si>
    <t>24th, Feb 2020</t>
  </si>
  <si>
    <t>34 year-old male Singapore Citizen</t>
  </si>
  <si>
    <t>46 year-old male Singapore Citizen</t>
  </si>
  <si>
    <t>26th, Feb 2020</t>
  </si>
  <si>
    <t>62 year-old male Singapore Citizen</t>
  </si>
  <si>
    <t>48 year-old male Singapore Citizen</t>
  </si>
  <si>
    <t>37 year-old male Bangladesh national</t>
  </si>
  <si>
    <t>28th, Feb 2020</t>
  </si>
  <si>
    <t>55 year-old female Singapore Citizen</t>
  </si>
  <si>
    <t>13th, Feb 2020</t>
  </si>
  <si>
    <t>1st, Mar 2020</t>
  </si>
  <si>
    <t>30 year-old male Singapore Citizen</t>
  </si>
  <si>
    <t>30 year-old male Bangladesh national</t>
  </si>
  <si>
    <t>26 year-old male Singapore Citizen</t>
  </si>
  <si>
    <t>55 year-old male Singapore Citizen</t>
  </si>
  <si>
    <t>25th, Feb 2020</t>
  </si>
  <si>
    <t>61 year-old male Singapore Citizen</t>
  </si>
  <si>
    <t>51 year-old female Singapore Citizen</t>
  </si>
  <si>
    <t>57 year-old male Singapore Citizen</t>
  </si>
  <si>
    <t>4th, Mar 2020</t>
  </si>
  <si>
    <t>44 year-old female Singapore Citizen</t>
  </si>
  <si>
    <t>54 year-old female Singapore Citizen</t>
  </si>
  <si>
    <t>50 year-old male Singapore Citizen</t>
  </si>
  <si>
    <t>61 year-old female Singapore Citizen</t>
  </si>
  <si>
    <t>28 year-old male Singapore Citizen</t>
  </si>
  <si>
    <t>56 year-old female Singapore Citizen</t>
  </si>
  <si>
    <t>79 year-old female Singapore Citizen</t>
  </si>
  <si>
    <t>27 year-old Singapore Citizen</t>
  </si>
  <si>
    <t>25 year-old male Singapore Citizen</t>
  </si>
  <si>
    <t>5th, Mar 2020</t>
  </si>
  <si>
    <t>43 year-old male Singapore Citizen</t>
  </si>
  <si>
    <t>29 year-old male Singapore Citizen</t>
  </si>
  <si>
    <t>71 year-old female Singapore Citizen</t>
  </si>
  <si>
    <t>1 year-old male Singapore Citizen</t>
  </si>
  <si>
    <t>35 year-old male Singapore Citizen</t>
  </si>
  <si>
    <t>57 year-old female Singapore Citizen</t>
  </si>
  <si>
    <t>35 year-old female Malaysian national</t>
  </si>
  <si>
    <t>Malaysian</t>
  </si>
  <si>
    <t>38 year-old female Singapore Citizen</t>
  </si>
  <si>
    <t>35 year-old female Singapore Citizen</t>
  </si>
  <si>
    <t>24 year-old male Singapore Citizen</t>
  </si>
  <si>
    <t>32 year-old male Singapore Citizen</t>
  </si>
  <si>
    <t>30 year-old female Singapore Citizen</t>
  </si>
  <si>
    <t>41 year-old male Singapore Permanent Resident</t>
  </si>
  <si>
    <t>75 year-old female Singapore Citizen</t>
  </si>
  <si>
    <t>58 year-old female Singapore Citizen</t>
  </si>
  <si>
    <t>47 year-old male Singapore Citizen</t>
  </si>
  <si>
    <t>64 year-old female Singapore Citizen</t>
  </si>
  <si>
    <t>44 year-old male Singapore Citizen</t>
  </si>
  <si>
    <t>12 year-old male Singapore Citizen</t>
  </si>
  <si>
    <t>44 year-old female Singapore Permanent Resident</t>
  </si>
  <si>
    <t>24 year-old male Singapore Permanent Resident</t>
  </si>
  <si>
    <t>20 year-old male Malaysian national</t>
  </si>
  <si>
    <t>41 year-old female Filipino national</t>
  </si>
  <si>
    <t>Filipino</t>
  </si>
  <si>
    <t>37 year-old female Singapore Citizen</t>
  </si>
  <si>
    <t>25 year-old female Myanmar national</t>
  </si>
  <si>
    <t>Myanmarian</t>
  </si>
  <si>
    <t>49 year-old male Singapore Citizen</t>
  </si>
  <si>
    <t>Japanese</t>
  </si>
  <si>
    <t>68 year-old female Singapore Citizen</t>
  </si>
  <si>
    <t>6th, Mar 2020</t>
  </si>
  <si>
    <t>34 year-old female Filipino national</t>
  </si>
  <si>
    <t>70 year-old Singapore Citizen</t>
  </si>
  <si>
    <t>33 year-old Singapore Citizen</t>
  </si>
  <si>
    <t>43 year-old male Singapore Permanent Resident</t>
  </si>
  <si>
    <t>3rd, Mar 2020</t>
  </si>
  <si>
    <t>62 year-old female Singapore Citizen</t>
  </si>
  <si>
    <t>9th, Mar 2020</t>
  </si>
  <si>
    <t>French</t>
  </si>
  <si>
    <t>50 year-old female Singapore Citizen</t>
  </si>
  <si>
    <t>52 year-old female Singapore Citizen</t>
  </si>
  <si>
    <t>33 year-old female Singapore Citizen</t>
  </si>
  <si>
    <t>37 year-old female Singapore Permanent Resident</t>
  </si>
  <si>
    <t>65 year-old female Singapore Permanent Resident</t>
  </si>
  <si>
    <t>77 year-old male Singapore Citizen</t>
  </si>
  <si>
    <t>70 year-old male Singapore Citizen</t>
  </si>
  <si>
    <t>66 year-old male Singapore Citizen</t>
  </si>
  <si>
    <t>62 year-old female Indonesian national</t>
  </si>
  <si>
    <t>56 year-old female Singaporea Citizen</t>
  </si>
  <si>
    <t>40 year-old male Singaporea Citizen</t>
  </si>
  <si>
    <t>Italian</t>
  </si>
  <si>
    <t>60 year-old male Singapore Citizen</t>
  </si>
  <si>
    <t>71 year-old male Singapore Citizen</t>
  </si>
  <si>
    <t>69 year-old male Singapore Citizen</t>
  </si>
  <si>
    <t>42 year-old male Singapore Citizen</t>
  </si>
  <si>
    <t>67 year-old female Singapore Citizen</t>
  </si>
  <si>
    <t>8th, Mar 2020</t>
  </si>
  <si>
    <t>64 year-old male Indonesian Citizen</t>
  </si>
  <si>
    <t>67 year-old female Singaporean Citizen</t>
  </si>
  <si>
    <t>62 year-old male Singaporean Citizen</t>
  </si>
  <si>
    <t>53 year-old female Singaporean Permanent Resident</t>
  </si>
  <si>
    <t>51 year-old male Singapore Citizen</t>
  </si>
  <si>
    <t>65 year-old male Indonesian national</t>
  </si>
  <si>
    <t>65 year-old female Singapore Citizen</t>
  </si>
  <si>
    <t>52 year-old male British national</t>
  </si>
  <si>
    <t>British</t>
  </si>
  <si>
    <t>50 year-old female Singapore Permanent Resident</t>
  </si>
  <si>
    <t>54 year-old female Singapore Permanent Resident</t>
  </si>
  <si>
    <t>53 year-old female Singapore Citizen</t>
  </si>
  <si>
    <t>59 year-old male Singapore Citizen</t>
  </si>
  <si>
    <t>5 year-old male Singapore Citizen</t>
  </si>
  <si>
    <t>31 year-old male Chinese national who is a Singapore Work Pass holder</t>
  </si>
  <si>
    <t>39 year-old male Bangladesh national who is a Singapore Work Pass holder</t>
  </si>
  <si>
    <t>39 year-old Bangladesh national who is a Singapore Work Pass holder</t>
  </si>
  <si>
    <t>26 year-old Bangladesh national who is a Singapore Work Pass holder</t>
  </si>
  <si>
    <t>40 year-old male Chinese national who is a Singapore Work Pass holder</t>
  </si>
  <si>
    <t>36 year-old male Chinese national who is a Singapore Work Pass holder</t>
  </si>
  <si>
    <t>54 year-old male Japanese national who is a Singapore Work Pass holder</t>
  </si>
  <si>
    <t>42 year-old male French national who is a Singapore Work Pass holder</t>
  </si>
  <si>
    <t>36 year-old male Italian national Singapore Work Pass holder</t>
  </si>
  <si>
    <t>47 year-old female Malaysian national who is a Singapore Work Pass holder</t>
  </si>
  <si>
    <t>Date Symptomatic</t>
  </si>
  <si>
    <t>Nationality</t>
  </si>
  <si>
    <t xml:space="preserve">Case 154 is an imported case involving a 52 year-old male British national who arrived in Singapore on 6 March. He had been in Switzerland from 26 February to 28 February and in the UK from 29 February to 5 March. He is currently warded in an isolation room at NCID.
He reported onset of symptoms on 8 March and presented at Raffles Hospital on the same day and was referred to NCID. Subsequent test results confirmed COVID-19 infection on 9 March morning.
Prior to hospitalisation, he mostly stayed at his room in Raffles Hotel (1 Beach Road).
</t>
  </si>
  <si>
    <t xml:space="preserve">Case 155 is a 47 year-old female Malaysian national who is a Singapore Work Pass holder, and has no recent travel history to affected countries and regions. She is currently warded in an isolation room at NCID. She is a contact of Case 128, and is linked to the cluster involving the private dinner function at SAFRA Jurong.
She reported onset of symptoms on 4 March and had sought treatment at a general practitioner (GP) clinic on the same day. As she had been identified as a close contact of Case 128, she was referred by MOH to NCID on 8 March. Subsequent test results confirmed COVID-19 infection on 9 March morning.
Prior to hospital admission, she mostly stayed at home at Boon Lay Place.
</t>
  </si>
  <si>
    <t xml:space="preserve">Case 156 is a 50 year-old female Singapore Permanent Resident who has no recent travel history to affected countries and regions. She is currently warded in an isolation room at NCID. She is linked to the cluster involving the private dinner function at SAFRA Jurong.
She reported onset of symptoms on 7 March and was conveyed by ambulance to NCID on 8 March. Subsequent test results confirmed COVID-19 infection on 9 March morning.
Prior to hospital admission, she mostly stayed at her home at Jurong West Street 74.
</t>
  </si>
  <si>
    <t xml:space="preserve">Case 157 is a 54 year-old female Singapore Permanent Resident who has no recent travel history to affected countries and regions. She is currently warded in an isolation room at NCID. She is a contact of Case 137, and is linked to the cluster involving the private dinner function at SAFRA Jurong.
She reported onset of symptoms on 8 March. As she had been identified as a close contact of Case 137, she was referred by MOH to NCID on 8 March. Subsequent test results confirmed COVID-19 infection on 9 March morning.
Prior to hospital admission, she mostly stayed at her home at Jurong West Street 81.
</t>
  </si>
  <si>
    <t xml:space="preserve">Case 158 is a 53 year-old female Singapore Citizen who has no recent travel history to affected countries and regions. She is currently warded in an isolation room at Ng Teng Fong General Hospital (NTFGH). She is a family member of Case 159, and is linked to the cluster involving the private dinner function at SAFRA Jurong.
She reported onset of symptoms on 5 March. She presented at NTFGH on 8 March, and subsequent test results confirmed COVID-19 infection on 9 March morning.
Prior to hospital admission, she had sought treatment at Farrer Park Hospital (1 Farrer Park) for an unrelated condition. She stays at Pending Road.
</t>
  </si>
  <si>
    <t xml:space="preserve">Case 159 is a 59 year-old male Singapore Citizen who has no recent travel history to affected countries and regions. He is currently warded in an isolation room at NTFGH. He is a family member of Case 158, and is linked to the cluster involving the private dinner function at SAFRA Jurong.
He reported onset of symptoms on 5 March. He presented at NTFGH on 8 March, and subsequent test results confirmed COVID-19 infection on 9 March morning.
Prior to hospital admission, he had gone to Farrer Park Hospital with Case 158 for an unrelated matter. He stays at Pending Road.
</t>
  </si>
  <si>
    <t xml:space="preserve">Case 160 is a five year-old male Singapore Citizen who has no recent travel history to affected countries and regions. He is currently warded in an isolation room at KK Women’s and Children’s Hospital (KKH). He is a family member of Case 145, and is linked to the cluster involving the private dinner function at SAFRA Jurong.
He reported onset of symptoms on 7 March. As he had been identified as a contact of Case 145, he was referred by MOH to KKH on 8 March. Subsequent test results confirmed COVID-19 infection on 9 March morning.
He stays at Teck Whye Lane. He is a student at The Orange Tree Preschool @ Choa Chu Kang (10 Choa Chu Kang Road) but had not gone to his preschool since onset of symptoms.
</t>
  </si>
  <si>
    <t xml:space="preserve">Case 161 is a 73 year-old male Singapore Citizen who has no recent travel history to affected countries and regions. He is currently warded in an isolation room at the National Centre for Infectious Diseases (NCID). He is a family member of Case 107, and is linked to the cluster involving the private dinner function at SAFRA Jurong.
He reported onset of symptoms on 27 February. As he had been identified as a contact of Case 107, he was referred by MOH to NCID on 1 March. Subsequent test results confirmed COVID-19 infection on 9 March afternoon.
He stays at Bishan Street 13.
</t>
  </si>
  <si>
    <t xml:space="preserve">Case 162 is a 28 year-old male Singapore Citizen who had been in Indonesia from 29 February to 2 March. He is currently warded in an isolation room at NCID. He is linked to Case 142.
He reported onset of symptoms on 7 March. As he had been identified as a contact of Case 142, he was referred by MOH to NCID on 9 March. Subsequent test results confirmed COVID-19 infection on 9 March afternoon.
Prior to hospital admission, he had visited a shop at 26 Jalan Membina. He stays at Kim Tian Road.
</t>
  </si>
  <si>
    <t xml:space="preserve">Case 163 is a 27 year-old female Singapore Citizen who has no recent travel history to affected countries and regions. She is currently warded in an isolation room at NCID. She is linked to Case 142.
She reported onset of symptoms on 8 March. As she had been identified as a contact of Case 142, she was referred by MOH to NCID on 9 March. Subsequent test results confirmed COVID-19 infection on 9 March afternoon.
Prior to hospital admission, she had visited Funan Mall (107 North Bridge Road) and PUB Recreation Club (48 Woodleigh Park). She stays at Redhill Road.
</t>
  </si>
  <si>
    <t>https://www.moh.gov.sg/news-highlights/details/six-new-cases-of-covid-19-infection-confirmed</t>
  </si>
  <si>
    <t xml:space="preserve">Contact With </t>
  </si>
  <si>
    <t xml:space="preserve">Switzerland </t>
  </si>
  <si>
    <t xml:space="preserve">Raffles Hospital </t>
  </si>
  <si>
    <t>1 Beach Road</t>
  </si>
  <si>
    <t>Boon Lay Place</t>
  </si>
  <si>
    <t>1 Farrer Park</t>
  </si>
  <si>
    <t>Pending Road</t>
  </si>
  <si>
    <t>10 Choa Chu Kang Road</t>
  </si>
  <si>
    <t xml:space="preserve">Indonesia </t>
  </si>
  <si>
    <t>26 Jalan Membina</t>
  </si>
  <si>
    <t>Kim Tian Road</t>
  </si>
  <si>
    <t>107 North Bridge Road</t>
  </si>
  <si>
    <t>48 Woodleigh Park</t>
  </si>
  <si>
    <t>Redhill Road</t>
  </si>
  <si>
    <t>boluder+ Gym</t>
  </si>
  <si>
    <t xml:space="preserve">Case 164 is a 57 year-old female Singapore Permanent Resident who had been in Malaysia from 20 February to 23 February. She is currently warded in an isolation room at NCID. She is a contact of Case 134, and is linked to the cluster involving the private dinner function at SAFRA Jurong.
She reported onset of symptoms on 8 March and had sought treatment at a GP clinic on 8 March and 9 March. She was conveyed by ambulance to NCID on 9 March. Subsequent test results confirmed COVID-19 infection on 10 March morning.
Prior to hospital admission, she mostly stayed at her home at Jurong West Street 93.
</t>
  </si>
  <si>
    <t xml:space="preserve">Case 165 is a 30 year-old male Singapore Citizen who had been in France from 15 February to 7 March. He is currently warded in an isolation room at NCID. He is a contact of Cases 169, 173 and 175, and is one of the imported cases who had been in France on official duty.
He reported onset of symptoms on 9 March, and presented at NCID on the same day. Subsequent test results confirmed COVID-19 infection on 10 March morning.
He is a Republic of Singapore Air Force serviceman but had not gone to work since returning to Singapore. He stays at Jalan Mulia.
</t>
  </si>
  <si>
    <t xml:space="preserve">Case 166 is a 55 year-old female Singapore Citizen who had been in Malaysia on 3 March and 7 March. She is currently warded in an isolation room at NTFGH. She is a contact of Case 134, and is linked to the cluster involving the private dinner function at SAFRA Jurong
She reported onset of symptoms on 4 March, and had sought treatment at a GP clinic on 4 March and 9 March. She presented at the emergency department of NTFGH on 9 March. Subsequent test results confirmed COVID-19 infection on 10 March morning.
Prior to hospital admission, she had gone to work at Samwoh Corporation Pte Ltd (25E Sungei Kadut Street 1). She stays at Bukit Panjang Road.
</t>
  </si>
  <si>
    <t xml:space="preserve">Case 167 is a 35 year-old female Filipino national who is a Singapore Work Pass holder, and is a family member of Case 178. She had been in the Philippines from 11 February to 17 February. She is currently warded in an isolation room at NTFGH.
She reported onset of symptoms on 8 March and had sought treatment at NTFGH on 9 March. Subsequent test results confirmed COVID-19 infection on 10 March afternoon.
She is employed as a staff nurse at NTFGH and had been at work prior to hospital admission. She stays at Jurong East Street 21.
</t>
  </si>
  <si>
    <t>Case 168 is a 47 year-old male Singapore Citizen who has no recent travel history to affected countries and regions. He is currently warded in an isolation room at Sengkang General Hospital (SKH).
He reported onset of symptoms on 1 March and had sought treatment at two general practitioner (GP) clinics on 2 March, 5 March and 8 March. He was referred to the emergency department of SKH on 8 March, and subsequent test results confirmed COVID-19 infection on 10 March afternoon.
Prior to hospital admission, he had mostly stayed at his home at Rivervale Street.</t>
  </si>
  <si>
    <t xml:space="preserve">Case 169 is a 40 year-old male Singapore Citizen who had been in France from 15 February to 7 March. He is currently warded in an isolation room at Khoo Teck Puat Hospital (KTPH). He is a contact of Cases 165, 173 and 175, and is one of the imported cases who had been in France on official duty.
He reported onset of symptoms on 9 March and presented at the emergency department of KTPH on 10 March. Subsequent test results confirmed COVID-19 infection on 10 March afternoon.
Prior to hospital admission, he had gone to the Health Promotion Board for an unrelated matter. He is a Republic of Singapore Air Force serviceman but had not gone to work since returning to Singapore. He stays at Yishun Street 81.
</t>
  </si>
  <si>
    <t xml:space="preserve">Case 170 is an imported case involving a 56 year-old female Indonesian national who had arrived in Singapore on 9 March. She is currently warded in an isolation room at Singapore General Hospital (SGH). She is a family member of Case 152.
She reported onset of symptoms on 6 March while in Indonesia, and presented at SGH on 9 March after arrival in Singapore. Subsequent test results confirmed COVID-19 infection on 10 March afternoon.
</t>
  </si>
  <si>
    <t>https://www.moh.gov.sg/news-highlights/details/three-more-cases-discharged-twelve-new-cases-of-covid-19-infection-confirmed</t>
  </si>
  <si>
    <t>Jurong West Street 93</t>
  </si>
  <si>
    <t xml:space="preserve">France </t>
  </si>
  <si>
    <t>Jalan Mulia</t>
  </si>
  <si>
    <t>25E Sungei Kadut Street 1</t>
  </si>
  <si>
    <t xml:space="preserve">Philippines </t>
  </si>
  <si>
    <t>Jurong East Street 21</t>
  </si>
  <si>
    <t>Rivervale Street</t>
  </si>
  <si>
    <t xml:space="preserve">Health Promotion Board </t>
  </si>
  <si>
    <t>Yishun Street 81</t>
  </si>
  <si>
    <t xml:space="preserve">Spain </t>
  </si>
  <si>
    <t xml:space="preserve">Japan </t>
  </si>
  <si>
    <t xml:space="preserve">Case 171 is an imported case involving a 27 year-old male Singapore Citizen who had been in France from 25 February to 1 March, and Spain from 1 March to 6 March. He is currently warded in an isolation room at NCID.
He reported onset of symptoms on 9 March and had sought treatment at a GP clinic on 10 March. He was referred to the emergency department of NCID on 10 March, and subsequent test results confirmed COVID-19 infection on 11 March morning.
Prior to hospital admission, he had mostly stayed at his home at Jalan Haji Salam.
</t>
  </si>
  <si>
    <t xml:space="preserve">Case 172 is a 42 year-old female Filipino national who is a Singapore Work Pass Holder, and had been in the Philippines from 27 February to 2 March. She is currently warded in an isolation room at NCID. She is a contact of Case 184.
She reported onset of symptoms on 5 March and had sought treatment at a GP clinic on 9 March. Subsequent test results confirmed COVID-19 infection on 11 March morning.
Prior to hospital admission, she had gone to work at AXA Singapore (8 Shenton Way). She stays at Lorong 28 Geylang.
</t>
  </si>
  <si>
    <t xml:space="preserve">Case 173 is a 31 year-old male Singapore Citizen who had been in France from 15 February to 7 March. He is currently warded in an isolation room at NCID. He is a contact of Cases 165, 169 and 175, and is one of the imported cases who had been in France on official duty.
He reported onset of symptoms on 9 March and presented at the emergency department of NCID on 10 March. Subsequent test results confirmed COVID-19 infection on 11 March morning.
He is a Republic of Singapore Air Force serviceman but had not gone to work since returning to Singapore. He stays at Telok Blangah Street 31.
</t>
  </si>
  <si>
    <t xml:space="preserve">Case 174 is a 67 year-old female Singapore Citizen who has no recent travel history to affected countries and regions. She is currently warded in an isolation room at NCID. She is a contact of Case 122 and is linked to the cluster involving the private dinner function at SAFRA Jurong. 
As she had been identified as a contact of Case 122, she was placed under quarantine on 6 March. She reported onset of symptoms on 7 March, and subsequent test results confirmed COVID-19 infection on 11 March morning.
Prior to hospital admission, she had mostly stayed at her home at Gangsa Road.
</t>
  </si>
  <si>
    <t xml:space="preserve">Case 175 is a 44 year-old male Singapore Citizen who had been in France from 15 February to 7 March. He is currently warded in an isolation room at NCID. He is a contact of Cases 165, 169 and 173, and is one of the imported cases who had been in France on official duty.
He reported onset of symptoms on 10 March, and was conveyed by ambulance to NCID on the same day. Subsequent test results confirmed COVID-19 infection on 11 March morning.
He is a Republic of Singapore Air Force serviceman but had not gone to work since returning to Singapore. He stays at Toh Tuck Road.
</t>
  </si>
  <si>
    <t xml:space="preserve">Case 176 is an imported case involving a 37 year-old female British national who works in Singapore, and had been in Japan from 24 February to 4 March, and the UK from 4 March to 8 March. She is currently warded in an isolation room at NCID.
She reported onset of symptoms on 7 March while in the UK and had sought treatment at Gleneagles Hospital on 10 March. She was conveyed by ambulance to NCID on the same day. Subsequent test results confirmed COVID-19 infection on 11 March morning.
She stays in the Dover Road area.
</t>
  </si>
  <si>
    <t xml:space="preserve">Case 177 is an imported case involving a 26 year-old male Singapore Citizen who had been in the US from 14 February to 24 February, UK from 28 February to 1 March, and France from 2 March to 7 March. He is currently warded in an isolation room at NCID.
He reported onset of symptoms on 9 March and had sought treatment at a GP clinic on 10 March. He was conveyed by ambulance to NCID and subsequent test results confirmed COVID-19 infection on 11 March morning.
Prior to hospital admission, he had mostly stayed at his home at Telok Blangah Street 31.
</t>
  </si>
  <si>
    <t xml:space="preserve">Case 178 is an imported case involving a 37 year-old male Filipino national who is a Singapore Work Pass holder. He had been in the Philippines from 11 February to 19 February, and again from 23 February to 2 March to visit a relative with pneumonia who has since passed on. He is currently warded in an isolation room at Ng Teng Fong General Hospital (NTFGH). He is a family member of Case 167.
He reported onset of symptoms on 8 March and had sought treatment at a GP clinic on 9 March. He presented at NTFGH on 10 March and subsequent test results confirmed COVID-19 infection on 11 March morning.
Prior to hospital admission, he mostly stayed at his home at Jurong East Street 21.
</t>
  </si>
  <si>
    <t xml:space="preserve">Case 179 is a 66 year-old female Singapore Citizen who had been in Malaysia on 22 February. She is currently warded in an isolation room at National University Hospital (NUH). She is a contact of Case 121 and is linked to the cluster involving the private dinner function at SAFRA Jurong.
She reported onset of symptoms on 27 February and had sought treatment at a general practitioner (GP) clinic on 29 February, 9 March and 11 March. She was referred to NUH on 11 March, and subsequent test results confirmed COVID-19 infection on 11 March afternoon.
Prior to hospital admission, she had mostly stayed at her home at Jurong West Street 73.
</t>
  </si>
  <si>
    <t>GH</t>
  </si>
  <si>
    <t>https://www.moh.gov.sg/news-highlights/details/nine-new-cases-of-covid-19-infection-confirmed</t>
  </si>
  <si>
    <t>mass religious gathering at a mosque in Malaysia</t>
  </si>
  <si>
    <t>Jalan Haji Salam</t>
  </si>
  <si>
    <t>8 Shenton Way</t>
  </si>
  <si>
    <t>Lorong 28 Geylang</t>
  </si>
  <si>
    <t>Telok Blangah Street 31</t>
  </si>
  <si>
    <t>Gangsa Road</t>
  </si>
  <si>
    <t>Toh Tuck Road</t>
  </si>
  <si>
    <t>Dover Road area</t>
  </si>
  <si>
    <t>Jurong West Street 73</t>
  </si>
  <si>
    <t>boulder+ Gym</t>
  </si>
  <si>
    <t>https://www.moh.gov.sg/news-highlights/details/one-more-case-discharged-thirteen-new-cases-of-covid-19-infection-confirmed-13Mar</t>
  </si>
  <si>
    <t>https://www.moh.gov.sg/news-highlights/details/eight-more-cases-discharged-twelve-new-cases-of-covid-19-infection-confirmed</t>
  </si>
  <si>
    <t>https://www.moh.gov.sg/news-highlights/details/fourteen-new-cases-of-covid-19-infection-confirmed</t>
  </si>
  <si>
    <t xml:space="preserve">Case 180 is an imported case involving a 71 year-old male Singapore Citizen who had been in the United States from 27 February to 10 March. He is currently warded in an isolation room at NCID.
He reported onset of symptoms on 10 March and had sought treatment at a GP clinic on 11 March, and was referred to Tan Tock Seng Hospital on the same day. Subsequent test results confirmed COVID-19 infection on 12 March morning.
Prior to hospital admission, he mostly stayed at his home at Bishan Street 23.
</t>
  </si>
  <si>
    <t xml:space="preserve">Case 181 is an imported case involving a 83 year-old male Indonesian national who had arrived in Singapore on 9 March. He is currently warded at Gleneagles Hospital. He is a family member of Case 182.
He reported onset of symptoms on 8 March while in Indonesia, and had presented at the emergency department of Gleneagles Hospital on 10 March. Subsequent test results confirmed COVID-19 infection on 12 March morning.
Prior to hospital admission, he stayed at Bukit Timah Road.
</t>
  </si>
  <si>
    <t xml:space="preserve">Case 182 is an imported case involving a 76 year-old female Indonesian national who arrived in Singapore on 9 March. She is currently warded in an isolation room at Gleneagles Hospital. She is a family member of case 181.
She reported onset of symptoms on 9 March after arrival in Singapore, and had presented at the emergency department of Gleneagles Hospital on 10 March. Subsequent test results confirmed COVID-19 infection on 12 March morning.
Prior to hospital admission, she stayed at Bukit Timah Road.
</t>
  </si>
  <si>
    <t xml:space="preserve">Case 183 is an imported case involving a 29 year-old male Singapore Citizen who had been in Malaysia from 29 February to 4 March. He is currently warded in an isolation room at NCID. He had attended a mass religious gathering at a mosque in Malaysia, and the Malaysian authorities had subsequently reported several confirmed COVID-19 cases linked to the event.
He reported onset of symptoms on 6 March and had sought treatment at a GP clinic on 9 March. He presented at NCID on 11 March, and subsequent test results confirmed COVID-19 infection on 12 March morning.
Prior to hospital admission, he had gone to work at Masjid Al-Muttaqin (5140 Ang Mo Kio Avenue 6), and visited Masjid Al-Iman (10 Bukit Panjang Ring Road), Masjid Kassim (450 Changi Road), Masjid Hajjah Fatimah (4001 Beach Road) and Pergas (448 Changi Road). He stays at Bukit Panjang Ring Road.
</t>
  </si>
  <si>
    <t xml:space="preserve">Case 184 is a 35 year-old male Filipino national who is a Singapore Work Pass holder, and had been in the Philippines from 24 February to 1 March. He is currently warded in an isolation room at NCID. He is linked to Case 172.
He reported onset of symptoms on 9 March. As he had been identified as a contact of Case 172, he was referred by MOH to NCID on 11 March. Subsequent test results confirmed COVID-19 infection on 12 March morning.
He stays at Lorong 28 Geylang.
</t>
  </si>
  <si>
    <t xml:space="preserve">Case 185 is a 34 year-old male Singapore Citizen who had been in Malaysia from 22 February to 23 February. He is currently warded in an isolation room at NCID. He is linked to case 142[2].
He reported onset of symptoms on 7 March and had sought treatment at a GP clinic on 9 March. As he had been identified as a close contact of Case 142, he was placed on quarantine on 9 March, and was referred to NCID by MOH on 10 March. Subsequent test results confirmed COVID-19 infection on 12 March morning.
Prior to hospital admission, he mostly stayed at home at Circuit Road.
</t>
  </si>
  <si>
    <t xml:space="preserve">Case 186 is a 64 year-old male Singapore citizen who has no recent travel history to affected countries and regions. He is currently warded in an isolation room at NCID. He is linked to Case 166[3].
He reported onset of symptoms on 5 March and had sought treatment at a GP clinic on the same day, and the emergency department at KTPH on 10 March. As he had been identified as a contact of Case 166, he was referred by MOH to NCID on 11 March. Subsequent test results confirmed COVID-19 infection on 12 March morning.
Prior to hospital admission, he had gone to work at Samwoh Corporation Pte Ltd (25E Sungei Kadut Street 1). He stays at Woodlands Street 13.
</t>
  </si>
  <si>
    <t xml:space="preserve">Case 187 is a 48 year-old male Singaporean Citizen who had been in Malaysia from 28 February to 2 March. He is currently warded in an isolation room at NCID. He had attended a mass religious gathering at a mosque in Malaysia, and the Malaysian authorities had subsequently reported several confirmed COVID-19 cases linked to the event.
He reported onset of symptoms on 4 March and had sought treatment at a GP clinic on the same day, and on 6 March, 9 March, 10 March and 11 March. He presented at NCID on 11 March, and subsequent test results confirmed COVID-19 infection on 12 March morning.
Prior to hospital admission, he had visited Masjid Hajjah Rahimabi Kebun Limau (76 Kim Keat Road). He stays at Whampoa Drive.
</t>
  </si>
  <si>
    <t xml:space="preserve">Case 188 is likely to be an imported case involving a 53 year-old male Singapore Citizen who had been in Thailand from 23 February to 1 March. He is currently warded in an isolation room at Khoo Teck Puat Hospital (KTPH).
He reported onset of symptoms on 7 March and had sought treatment at two general practitioner (GP) clinics on 7 March and 9 March. He presented at KTPH on 12 March, and subsequent test results confirmed COVID-19 infection on 12 March afternoon.
Prior to hospital admission, he had run errands at Northpoint City (930 Yishun Avenue 2) and 743 Yishun Avenue 5. He stays at Yishun Street 51.
</t>
  </si>
  <si>
    <t xml:space="preserve">Case 189 is likely to be an imported case involving a 36 year-old male Indian national who is a Singapore Work Pass holder, and had been in India from 21 February to 1 March. He is currently warded in an isolation room at the National Centre for Infectious Diseases (NCID).
He reported onset of symptoms on 11 March and had sought treatment at a GP clinic on 12 March, and was referred to NCID on the same day. Subsequent test results confirmed COVID-19 infection on 12 March afternoon.
Prior to hospital admission, he had gone to work at Sumitomo Mitsui Banking Corporation (3 Temasek Ave). He stays at St George’s Road.
</t>
  </si>
  <si>
    <t xml:space="preserve">Case 190 is a 53 year-old male Singapore Citizen who has no recent travel history to affected countries and regions. He is currently warded in an isolation room at NCID. He is linked to Case 1722.
He reported onset of symptoms on 10 March. As he had been identified as a contact of Case 172, he was referred by MOH to NCID on 12 March. Subsequent test results confirmed COVID-19 infection on 13 March morning.
Prior to hospital admission, he mostly stayed at his home at Yishun Ave 11. He is a taxi driver but had not worked since onset of symptoms.
</t>
  </si>
  <si>
    <t xml:space="preserve">Case 191 is an imported case involving a 24 year-old female Malaysian national who is a Singapore Work Pass holder, and had been in Germany from 24 February to 28 February, and Malaysia from 28 February to 3 March, and again from 6 March to 10 March. She is currently warded in an isolation room at NCID.
She reported onset of symptoms on 9 March while in Malaysia and had sought treatment at two GP clinics on 11 March and 12 March. She was referred to NCID on 12 March and subsequent test results confirmed COVID-19 infection on 13 March morning.
She is employed as a cabin crew at Singapore Airlines but had not gone to work since onset of symptoms. She stays at Pasir Ris Grove.
</t>
  </si>
  <si>
    <t xml:space="preserve">Case 192 is an imported case involving a 32 year-old male American national who arrived in Singapore on 10 March from the United States. He is currently warded in an isolation room at NCID.
He reported onset of symptoms on 11 March and presented at NCID on 12 March. Subsequent test results confirmed COVID-19 infection on 13 March morning.
Prior to hospital admission, he mostly stayed at his room at The Pod @ Beach Road (289 Beach Road).
</t>
  </si>
  <si>
    <t xml:space="preserve">Case 193 is an imported case involving a 26 year-old male Malaysian national who is a Singapore Work Pass holder, and had been in Germany from 1 March to 3 March, Czech Republic from 4 March to 6 March, Austria from 7 March to 8 March, and Hungary from 9 March to 10 March. He is currently warded in an isolation room at NCID. He is linked to Case 194.
He sought treatment at a GP clinic on 12 March, and was referred to NCID. Subsequent test results confirmed COVID-19 infection on 13 March morning.
Prior to hospital admission, he mostly stayed at his home at Telok Blangah Street 31.
</t>
  </si>
  <si>
    <t xml:space="preserve">Case 194 is an imported case involving a 24 year-old female Chinese national who is a Singapore Work Pass holder, and had been in Germany from 1 March to 3 March, Czech Republic from 4 March to 6 March, Austria from 7 March to 8 March, and Hungary from 9 March to 10 March. She is currently warded in an isolation room at NCID. She is linked to Case 193.   
She reported onset of symptoms on 8 March and had sought treatment at a GP clinic on 12 March, and was referred to NCID. Subsequent test results confirmed COVID-19 infection on 13 March morning.
Prior to hospital admission, she mostly stayed at her home at Telok Blangah Street 31.
</t>
  </si>
  <si>
    <t xml:space="preserve">Case 195 is an imported case involving a 47 year-old male Singapore Citizen who had been in the United States from 4 February to 17 February, and Canada from 17 February to 9 March. He is currently warded in an isolation room at NCID.
He reported onset of symptoms on 6 March while he was in Canada and had sought treatment at a GP clinic on 12 March. He was referred to NCID on the same day. Subsequent test results confirmed COVID-19 infection on 13 March morning.
He stays at Bukit Batok Ave 3.
</t>
  </si>
  <si>
    <t xml:space="preserve">Case 196 is a 73-year-old female Singapore Citizen with no recent travel history to affected countries and regions. She is currently warded in an isolation room at NCID. She is a contact of Cases 107 and 148 and is linked to the cluster involving the private dinner function at SAFRA Jurong.
She reported onset of symptoms on 3 March and had sought treatment at a GP clinic on 9 March. She was referred to NCID, and subsequent test results confirmed COVID-19 infection on 13 March morning.
Prior to hospital admission, she mostly stayed at her home at Holland Close.
</t>
  </si>
  <si>
    <t xml:space="preserve">Case 197 is an imported case involving a 30-year-old male Singapore Citizen who had been in Malaysia from 28 February to 2 March. He is currently warded in an isolation room at NCID. He had attended a mass religious gathering at a mosque in Malaysia, and the Malaysian authorities had subsequently reported several confirmed COVID-19 cases linked to the event.
He reported onset of symptoms on 4 March and had sought treatment at a GP clinic on 5 March. He presented at NCID on 12 March, and subsequent test results confirmed COVID-19 infection on 13 March morning.
Prior to hospital admission, he had gone to work at Vopak Terminals Singapore Pte Ltd (51 Banyan Avenue), and visited Masjid Kassim (450 Changi Road), Masjid Petempatan Melayu Sembawang (25 Jln Mempurong), Masjid Sultan (3 Muscat Street) and Fong Leong Engineering Pte Ltd (10 Buroh Street) . He stays at Canberra Street.
</t>
  </si>
  <si>
    <t xml:space="preserve">Case 198 is a 61 year-old female Singapore Citizen who has no recent travel history to affected countries and regions. She is currently warded at NCID.
She reported onset of symptoms on 7 March and had sought treatment at two GP clinics on 8 March and 12 March. She was referred to NCID on 12 March. Subsequent test results confirmed COVID-19 infection on 13 March morning.
Prior to hospital admission, she mostly stayed at her home at Saraca Road.
</t>
  </si>
  <si>
    <t xml:space="preserve">Case 199 is an imported case involving a 37-year-old male Singapore Citizen who had been in Malaysia from 26 February to 2 March. He is currently warded in an isolation room at NCID. He had attended a mass religious gathering at a mosque in Malaysia, and the Malaysia authorities had subsequently reported several confirmed COVID-19 cases linked to the event.
He reported onset of symptoms on 3 March. He was referred by MOH to NCID on 12 March. Subsequent test results confirmed COVID-19 infection on 13 March morning.
Prior to hospital admission, he had gone to work as a food delivery personnel employed by GrabFood and visited Masjid Al-Mawaddah (151 Compassvale Bow). He stays at Hougang Street 51.
</t>
  </si>
  <si>
    <t xml:space="preserve">Case 200 is a 62-year-old female Singapore Citizen who has no recent travel history to affected countries and regions. She is currently warded in an isolation room at NCID. She is a family member of Case 1653.
She reported onset of symptoms on 12 March. As she has been identified as a contact of Case 165, she was issued a home quarantine order on 10 March. She was conveyed to NCID by an ambulance on 13 March, and subsequent test results confirmed COVID-19 infection on 13 March morning.
She stays at Jalan Mulia.
</t>
  </si>
  <si>
    <t xml:space="preserve">Case 201 is a 52 year-old female Singapore Citizen with no recent travel history to affected countries and region. She is currently warded in an isolation room at Ng Teng Fong General Hospital (NTFGH). She is linked to the cluster involving the private dinner function at SAFRA Jurong.
She reported onset of symptoms on 5 March and had sought treatment at a general practitioner (GP) clinic on the same day. She presented at NTFGH on 7 March and subsequent test results confirmed COVID-19 infection on 13 March afternoon.
Prior to hospital admission, she mostly stayed at her home at Teck Whye Lane.
</t>
  </si>
  <si>
    <t xml:space="preserve">Case 202 is an imported case involving a 44 year-old male Singapore Citizen who had been in Malaysia from 28 February to 3 March. He is currently warded in an isolation room at Sengkang General Hospital (SKH). He had attended a mass religious gathering at a mosque in Malaysia, and the Malaysian authorities had subsequently reported several confirmed COVID-19 cases linked to the event.
He reported onset of symptoms on 3 March and had sought treatment at a GP clinic on 4 March and 5 March. He presented at SKH on 12 March and subsequent test results confirmed COVID-19 infection on 13 March afternoon.
Prior to hospital admission, he had visited Masjid Al-Mawaddah (151 Compassvale Bow), Masjid Jamae (Chulia) (218 South Bridge Road) and Masjid Al-Istiqamah (2 Serangoon North Avenue 2). He stays at Anchorvale Drive.
</t>
  </si>
  <si>
    <t xml:space="preserve">Case 203 is likely to be an imported case involving a 36 year-old female Singapore Citizen who had been in Indonesia from 6 March to 8 March. She is currently warded in an isolation room at Changi General Hospital (CGH).
She reported onset of symptoms on 11 March, and presented at the emergency department of CGH on 12 March. Subsequent test results confirmed COVID-19 infection on 13 March afternoon.
Prior to hospital admission, she mostly stayed at her home at Pasir Ris Street 51.
</t>
  </si>
  <si>
    <t xml:space="preserve">Case 204 is an imported case involving a 32 year-old male American national who is a Singapore Work Pass holder, and had been in Japan from 29 February to 8 March. He is currently warded in an isolation room at Singapore General Hospital (SGH).
He reported onset of symptoms on 11 March, and had sought treatment at a GP clinic on 12 March. He presented at SGH on 12 March, and subsequent test results confirmed COVID-19 infection on 13 March afternoon.
Prior to hospital admission, he had mostly stayed at his home in the Tanjong Pagar Road area.
</t>
  </si>
  <si>
    <t xml:space="preserve">Case 205 is an imported case involving a 30 year-old female Filipino national who is a Singapore Long Term Visit Pass holder, and had been in the Philippines from 27 February to 6 March. She is currently warded in an isolation room at NCID.
She reported onset of symptoms on 8 March and had sought treatment at a GP clinic on 11 March. She presented at NCID on 14 March, and subsequent test results confirmed COVID-19 infection on 14 March morning.
Prior to hospital admission, she had gone to work at DNATA Cargo (45 Airport Cargo Road). She stays at Flora Drive.
</t>
  </si>
  <si>
    <t xml:space="preserve">Case 206 is an imported case involving a 33 year-old female New Zealand national who is a Singapore Long Term Visit Pass holder, and had been to the United States from 28 February to 13 March. She is currently warded in an isolation room at NCID.
She reported onset of symptoms on 12 March, and had sought treatment at a GP clinic on 13 March. She was referred to NCID on the same day. Subsequent test results confirmed COVID-19 infection on 14 March morning.
Prior to hospital admission, she mostly stayed at her home at Upper Paya Lebar Road.
</t>
  </si>
  <si>
    <t xml:space="preserve">Case 207 is an imported case involving a 40 year-old female Singapore Citizen who had been in the United Kingdom from 6 March to 11 March. She is currently warded in an isolation room at NCID.
She reported onset of symptoms on 10 March while she was in the UK and had sought treatment at a GP clinic on 13 March. She was referred to NCID on the same day. Subsequent test results confirmed COVID-19 infection on 14 March morning.
Prior to hospital admission, she mostly stayed at her home at Yishun Central.
</t>
  </si>
  <si>
    <t xml:space="preserve">Case 208 is a 26 year-old female Singapore Citizen who has no recent travel history to affected countries and regions. She is currently warded in an isolation room at NCID.
She reported onset of symptoms on 3 March and had sought treatment at Singapore General Hospital’s (SGH) staff clinic on 4 March and 13 March. Subsequent test results confirmed COVID-19 infection on 14 March morning.
Prior to hospital admission, she had gone to work as a Medical Social Worker at SGH (Outram Road). She stays at Tiong Bahru Road.
</t>
  </si>
  <si>
    <t xml:space="preserve">Case 209 is an imported case involving a 32 year-old female Singapore Citizen who had been in the United States from 2 March to 7 March. She is currently warded in an isolation room at SGH.
She reported onset of symptoms on 11 March, and had sought treatment at SGH’s staff clinic on 13 March. Subsequent test results confirmed COVID-19 infection on 14 March morning.
Prior to hospital admission, she had gone to work as a Psychologist at SGH. She stays at Serangoon Avenue 3.
</t>
  </si>
  <si>
    <t xml:space="preserve">Case 210 is an imported case involving a 56 year-old male German national who is a Singapore Long Term Visit Pass holder, and had been in Germany from 27 February to 3 March, and again from 11 March to 12 March, and Switzerland from 3 March to 10 March. He is currently warded in an isolation room at NCID.
He reported onset of symptoms on 13 March and had sought treatment at a GP clinic on the same day. He was referred to NCID on 13 March, and subsequent test results confirmed COVID-19 infection on 14 March morning.
He stays at Leedon Park.
</t>
  </si>
  <si>
    <t xml:space="preserve">Case 211 is a 35 year-old female Filipino national who is a Singapore Long Term Visit Pass holder with no recent travel history to affected countries and regions. She is currently warded in an isolation room at NCID. She is linked to Case 1421.
As she had been identified as a contact of Case 142, she was placed under quarantine on 9 March. She was referred to NCID on 13 March, and subsequent test results confirmed COVID-19 infection on 14 March morning.
She stays at Crawford Lane.
</t>
  </si>
  <si>
    <t xml:space="preserve">Case 212 is an imported case involving a 64 year-old male Indonesian national who arrived in Singapore from Indonesia on 13 March. He is currently warded in an isolation room at NCID.
He reported onset of symptoms on 9 March and had been hospitalised in a hospital in Indonesia for pneumonia. Upon arrival in Singapore on 13 March, he had sought treatment at Mount Elizabeth Hospital, and was referred to NCID on 13 March. Subsequent test results confirmed COVID-19 infection on 14 March morning.
Prior to hospital admission, he stayed at Ibis Hotel Novena (6 Irrawaddy Road). 
</t>
  </si>
  <si>
    <t xml:space="preserve">Case 213 is an imported case involving a 48 year-old male Singapore Citizen who had been in Indonesia from 4 March to 13 March. He is currently warded in an isolation room at Sengkang General Hospital (SKH).
He reported onset of symptoms on 8 March while in Indonesia. He presented at the emergency department of SKH on 13 March. Subsequent test results confirmed COVID-19 infection on 14 March afternoon.
He stays at Serangoon North Avenue 3.
</t>
  </si>
  <si>
    <t xml:space="preserve">Case 214 is a 29 year-old male Singapore Citizen with no recent travel history to affected countries and region. He is currently warded in an isolation room at the National Centre for Infectious Diseases (NCID). He is linked to Case 208.
He reported onset of symptoms on 5 March and had sought treatment at a general practitioner (GP) clinic on 6 March and 8 March. He presented at NCID on 14 March, and subsequent test results confirmed COVID-19 infection on 14 March afternoon.
Prior to hospital admission, he had visited Youth Go! (403 Fajar Road), Project 180 @ Simei (145 Simei Street 2) and Singapore University of Social Sciences (463 Clementi Road). He stays at Jurong West Street 71.
</t>
  </si>
  <si>
    <t xml:space="preserve">Case 215 is an imported case involving a 65 year-old Singapore Citizen who had been in Thailand from 7 March to 10 March. He is currently warded in an isolation room at Singapore General Hospital (SGH).
He reported onset of symptoms on 13 March and had sought treatment at a GP clinic on the same day. He presented at the emergency department of SGH on 13 March, and subsequent test results confirmed COVID-19 infection on 14 March afternoon.
Prior to hospital admission, he had gone to work at Cash Box (1 Jurong West Central 2). He stays at Mei Ling Street.
</t>
  </si>
  <si>
    <t xml:space="preserve">Case 216 is an imported case involving a 30 year-old Singapore Citizen who had been in Germany from 28 February to 1 March, and again on 5 March to 6 March, and Czech Republic from 1 March to 5 March. He is currently warded in an isolation room at NCID.
He reported onset of symptoms on 9 March, and had sought treatment at a GP clinic on 10 March and 12 March. He was referred to NCID on 12 March, and subsequent test results confirmed COVID-19 infection on 14 March afternoon.
Prior to hospital admission, he had gone to work at SAP Asia (30 Pasir Panjang Road). He stays at Bukit Batok West Avenue 6.
</t>
  </si>
  <si>
    <t xml:space="preserve">Case 217 is an imported case involving a 22 year-old Spanish national who is a Singapore Long Term Pass holder, and had been in Spain from 9 March to 13 March. He is currently warded in an isolation room at NCID.
He reported onset of symptoms on 13 March, and was referred to NCID on the same day. Subsequent test results confirmed COVID-19 infection on 14 March afternoon.
He stays in the Mount Sophia area.
</t>
  </si>
  <si>
    <t xml:space="preserve">Case 218 is a 55 year-old female Singapore Citizen with no recent travel history to affected countries and regions. She is currently warded in an isolation room at the National University Hospital (NUH). She is linked to the cluster involving the private dinner function at SAFRA Jurong.
She reported onset of symptoms on 2 March, and had sought treatment at two GP clinics on 2 March, 3 March, 4 March, 6 March and 8 March. She presented at NUH on 9 March, and subsequent test results confirmed COVID-19 infection on 14 March afternoon.
Prior to hospital admission, she mostly stayed at her home at Pending Road except to seek medical treatment.
</t>
  </si>
  <si>
    <t>Indian</t>
  </si>
  <si>
    <t>American</t>
  </si>
  <si>
    <t>New Zealand</t>
  </si>
  <si>
    <t>German</t>
  </si>
  <si>
    <t>Spanish</t>
  </si>
  <si>
    <t>Dutch</t>
  </si>
  <si>
    <t>Bishan Street 23</t>
  </si>
  <si>
    <t>Bukit Timah Road</t>
  </si>
  <si>
    <t>5140 Ang Mo Kio Avenue 6</t>
  </si>
  <si>
    <t>10 Bukit Panjang Ring Road</t>
  </si>
  <si>
    <t>450 Changi Road</t>
  </si>
  <si>
    <t>4001 Beach Road</t>
  </si>
  <si>
    <t>448 Changi Road</t>
  </si>
  <si>
    <t>Bukit Panjang Ring Road</t>
  </si>
  <si>
    <t>Circuit Road</t>
  </si>
  <si>
    <t>Woodlands Street 13</t>
  </si>
  <si>
    <t>76 Kim Keat Road</t>
  </si>
  <si>
    <t>Whampoa Drive</t>
  </si>
  <si>
    <t xml:space="preserve">Thailand </t>
  </si>
  <si>
    <t>930 Yishun Avenue 2</t>
  </si>
  <si>
    <t>743 Yishun Avenue 5</t>
  </si>
  <si>
    <t>Yishun Street 51</t>
  </si>
  <si>
    <t xml:space="preserve">India </t>
  </si>
  <si>
    <t>3 Temasek Ave</t>
  </si>
  <si>
    <t>St George’s Road.</t>
  </si>
  <si>
    <t>Yishun Ave 11</t>
  </si>
  <si>
    <t xml:space="preserve">Germany </t>
  </si>
  <si>
    <t>Pasir Ris Grove</t>
  </si>
  <si>
    <t>289 Beach Road</t>
  </si>
  <si>
    <t xml:space="preserve">Czech Republic </t>
  </si>
  <si>
    <t>Austria</t>
  </si>
  <si>
    <t>Hungary</t>
  </si>
  <si>
    <t>Czech Republic</t>
  </si>
  <si>
    <t xml:space="preserve">Canada </t>
  </si>
  <si>
    <t>Bukit Batok Ave 3</t>
  </si>
  <si>
    <t>Holland Close</t>
  </si>
  <si>
    <t>51 Banyan Avenue</t>
  </si>
  <si>
    <t>25 Jln Mempurong</t>
  </si>
  <si>
    <t>3 Muscat Street</t>
  </si>
  <si>
    <t>10 Buroh Street</t>
  </si>
  <si>
    <t>Canberra Street</t>
  </si>
  <si>
    <t>Saraca Road</t>
  </si>
  <si>
    <t>151 Compassvale Bow</t>
  </si>
  <si>
    <t>Hougang Street 51</t>
  </si>
  <si>
    <t>218 South Bridge Road</t>
  </si>
  <si>
    <t>2 Serangoon North Avenue 2</t>
  </si>
  <si>
    <t>Anchorvale Drive</t>
  </si>
  <si>
    <t>Pasir Ris Street 51</t>
  </si>
  <si>
    <t>45 Airport Cargo Road</t>
  </si>
  <si>
    <t>Flora Drive</t>
  </si>
  <si>
    <t>Upper Paya Lebar Road</t>
  </si>
  <si>
    <t>Yishun Central</t>
  </si>
  <si>
    <t>Outram Road</t>
  </si>
  <si>
    <t>Tiong Bahru Road</t>
  </si>
  <si>
    <t>Leedon Park</t>
  </si>
  <si>
    <t>Crawford Lane</t>
  </si>
  <si>
    <t>6 Irrawaddy Road</t>
  </si>
  <si>
    <t>Serangoon North Avenue 3</t>
  </si>
  <si>
    <t>403 Fajar Road</t>
  </si>
  <si>
    <t>145 Simei Street 2</t>
  </si>
  <si>
    <t>463 Clementi Road</t>
  </si>
  <si>
    <t>1 Jurong West Central 2</t>
  </si>
  <si>
    <t>30 Pasir Panjang Road</t>
  </si>
  <si>
    <t>Bukit Batok West Avenue 6</t>
  </si>
  <si>
    <t>Spain</t>
  </si>
  <si>
    <t>Mount Sophia area</t>
  </si>
  <si>
    <t xml:space="preserve">Pending Road </t>
  </si>
  <si>
    <t>52 Lengkok Bahru</t>
  </si>
  <si>
    <t xml:space="preserve">Australia </t>
  </si>
  <si>
    <t xml:space="preserve">the Church of Singapore </t>
  </si>
  <si>
    <t xml:space="preserve">Case 219 is a 30 year-old male Singapore Citizen with no recent travel history to affected countries and regions. He is currently warded in an isolation room at Sengkang General Hospital (SKH). He is a family member of Case 236, and is linked to Cases 1424 and 211.
He reported onset of symptoms on 13 March, and had presented at the emergency department of SKH on the same day. Subsequent test results confirmed COVID-19 infection on 15 March morning.
Prior to hospital admission, he had gone to work at Sengkang Fire Station (50 Buangkok Drive) as a Singapore Civil Defence Force officer, and visited Meiban Mold Manufacture Pte Ltd (26 Ang Mo Kio Industrial Park 2) and Furama Riverfront (405 Havelock Road). He stays at Bishan Street 22.
</t>
  </si>
  <si>
    <t xml:space="preserve">Case 220 is an imported case involving a 53 year-old male Singapore Permanent Resident who had been in France from 10 March to 12 March. He is currently warded in an isolation room in NCID.
He reported onset of symptoms on 12 March while in France, and presented at NCID on 14 March. Subsequent test results confirmed COVID-19 infection on 15 March morning.
He is a teaching staff at INSEAD Asia Campus (1 Ayer Rajah Avenue), but had not gone to work since onset of symptoms. He stays at Dover Rise.
</t>
  </si>
  <si>
    <t xml:space="preserve">Case 221 is a 28 year-old female Filipino national who is a Singapore Work Pass holder, and has no recent travel history to affected countries and regions. She is currently warded in an isolation room at NCID. She is a contact of Case 2045.
She reported onset of symptoms on 11 March. As she had been identified as a contact of Case 204, she was referred by MOH to NCID on 14 March. Subsequent test results confirmed COVID-19 infection on 15 March morning.
Prior to hospital admission, she had gone to work as a teaching staff at MY World Preschool Ltd (52 Lengkok Bahru), and had been on course at Training Masters Workforce Institute (10 Arumugam Road). She also visited OUE Downtown Gallery (6A Shenton Way). She stays at Tanjong Pagar Road.
</t>
  </si>
  <si>
    <t xml:space="preserve">Case 222 is an imported case involving a 41 year-old male French national who is a Singapore Work Pass holder, and had been to France from 28 February to 7 March and 9 March to 10 March, Spain from 7 March to 9 March, and the Philippines from 12 March to 13 March. He is currently warded in an isolation room at NCID.
He reported onset of symptoms on 13 March, and had sought treatment at a GP clinic on 14 March. He was referred to NCID on the same day. Subsequent test results confirmed COVID-19 infection on 15 March morning.
Prior to hospital admission, he had gone to work at Airbus Singapore Pte Ltd (12 Seletar Aerospace Link). He stays in the Kensington Park Road area.
</t>
  </si>
  <si>
    <t xml:space="preserve">Case 223 is an imported case involving a 60 year-old male Singapore Citizen, and had been in the United States from 28 February to 7 March and Australia from 7 to 13 March. He is currently warded in an isolation room at NCID.
He reported onset of symptoms on 13 March and had sought treatment at a GP clinic on 14 March. He was referred to NCID on the same day. Subsequent test results confirmed COVID-19 infection on 15 March morning.
Prior to hospital admission, he mostly stayed at his home at Serangoon Garden Terrace.
</t>
  </si>
  <si>
    <t xml:space="preserve">Case 224 is a 50 year-old male Singapore Citizen, who had been in Malaysia from 1 March to 4 March. He is currently warded in an isolation room at NCID. He is a contact of Case 1176 and is linked to the cluster involving the private dinner function at SAFRA Jurong.
As he had been identified as a contact of Case 117, he was placed under quarantine since 5 March. He reported onset of symptoms on 13 March and was conveyed by ambulance to NCID on 14 March. Subsequent test results confirmed COVID-19 infection on 15 March morning.
He stays at Senja Road.
</t>
  </si>
  <si>
    <t xml:space="preserve">Case 225 is an imported case involving a 63 year-old male Singapore Citizen, who had been in Indonesia from 3 March to 7 March. He is currently warded in an isolation room at NCID. He is linked to Case 237.
He reported onset of symptoms on 9 March and had sought treatment at Mount Elizabeth Hospital on 12 March. He was referred to NCID on 14 March. Subsequent test results confirmed COVID-19 infection on 15 March morning.
He stays at Newton Road.
</t>
  </si>
  <si>
    <t xml:space="preserve">Case 226 is an imported case involving a 49 year-old male Dutch national who had been in the Netherlands from 29 February to 13 March. He is currently warded in an isolation room at NCID.
He reported onset of symptoms on 12 March while he was in the Netherlands and had sought treatment at the emergency department of Gleneagles Hospital on 14 March. He was referred to NCID on the same day. Subsequent test results confirmed COVID-19 infection on 15 March morning.
He stays in the Sixth Avenue area.
</t>
  </si>
  <si>
    <t xml:space="preserve">Case 227 is an imported case involving a 53 year-old male Singapore Citizen who had been in France from 7 March to 12 March. He is currently warded in an isolation room at the National University Hospital (NUH).
He reported onset of symptoms on 11 March while in France, and had presented at the emergency department of NUH on 14 March. Subsequent test results confirmed COVID-19 infection on 15 March afternoon.
He is a staff of Lighthouse Evangelism Church (Tampines Street 82) but had not gone to work since onset of symptoms. He stays at Pasir Panjang Road.
</t>
  </si>
  <si>
    <t xml:space="preserve">Case 228 is a 67 year-old male Singapore Citizen with no recent travel history to affected countries and regions. He is currently warded in an isolation room at Changi General Hospital (CGH).
He reported onset of symptoms on 3 March, and had sought treatment at a general practitioner (GP) clinic and Bedok Polyclinic on 3 March, 11 March and 13 March. He presented at the emergency department of CGH on 13 March. Subsequent test results confirmed COVID-19 infection on 15 March afternoon.
Prior to hospital admission, he mostly stayed at his home at Sea Breeze Avenue except to seek medical treatment.
</t>
  </si>
  <si>
    <t xml:space="preserve">Case 229 is an imported case involving a 26 year-old female Singapore Permanent Resident who had been in Spain from 14 February to 14 March. She is currently warded in an isolation room at NUH. She is a family member of Case 240.
She reported onset of symptoms on 15 March, and had sought treatment at a GP clinic on the same day. She presented at NCID on 15 March, and subsequent test results confirmed COVID-19 infection on 15 March afternoon.
She stays at Kim Keat Road.
</t>
  </si>
  <si>
    <t xml:space="preserve">Case 230 is an imported case involving a 38 year-old female Singapore Citizen who had been in Eastern Europe from 3 March to 14 March. She is currently warded in an isolation room at the National Centre for Infectious Diseases (NCID).
She reported onset of symptoms on 14 March, and presented at NCID on 15 March. Subsequent test results confirmed COVID-19 infection on 15 March afternoon.
She is employed as an adjunct teaching staff at Republic Polytechnic and Singapore Polytechnic, but had not gone to work since onset of symptoms. She stays at Ewe Boon Road.
</t>
  </si>
  <si>
    <t xml:space="preserve">Case 231 is an imported case involving a 78 year-old male Australian national who is a Singapore Work Pass holder, and had been in the United States from 23 February to 14 March. He is currently warded in an isolation room at the Singapore General Hospital (SGH). He is a family member of Case 232.
He reported onset of symptoms on 4 March. He presented at the emergency department of SGH on 14 March, and subsequent test results confirmed COVID-19 infection on 15 March afternoon.
He stays in the Robertson Quay area.
</t>
  </si>
  <si>
    <t xml:space="preserve">Case 232 is an imported case involving a 65 year-old female Australian national who is a Singapore Work Pass holder, and had been in the United States from 23 February to 14 March. She is currently warded in an isolation room at SGH. She is a family member of Case 231.
She reported an onset of symptoms on 2 March while in the United States. She presented at the emergency department of SGH on 14 March. Subsequent test results confirmed COVID-19 infection on 15 March afternoon.
She stays in the Robertson Quay area.
</t>
  </si>
  <si>
    <t>Australian</t>
  </si>
  <si>
    <t>Belgium</t>
  </si>
  <si>
    <t>https://www.moh.gov.sg/news-highlights/details/four-more-cases-discharged-seventeen-new-cases-of-covid-19-infection-confirmed</t>
  </si>
  <si>
    <t>50 Buangkok Drive</t>
  </si>
  <si>
    <t>26 Ang Mo Kio Industrial Park 2</t>
  </si>
  <si>
    <t>405 Havelock Road</t>
  </si>
  <si>
    <t>Bishan Street 22</t>
  </si>
  <si>
    <t>1 Ayer Rajah Avenue</t>
  </si>
  <si>
    <t>Dover Rise</t>
  </si>
  <si>
    <t>10 Arumugam Road</t>
  </si>
  <si>
    <t>6A Shenton Way</t>
  </si>
  <si>
    <t>12 Seletar Aerospace Link</t>
  </si>
  <si>
    <t>Kensington Park Road</t>
  </si>
  <si>
    <t>Serangoon Garden Terrace</t>
  </si>
  <si>
    <t>Newton Road</t>
  </si>
  <si>
    <t xml:space="preserve">Netherlands </t>
  </si>
  <si>
    <t>Sixth Avenue</t>
  </si>
  <si>
    <t>Tampines Street 82</t>
  </si>
  <si>
    <t>Pasir Panjang Road</t>
  </si>
  <si>
    <t xml:space="preserve">Bedok Polyclinic </t>
  </si>
  <si>
    <t xml:space="preserve">Sea Breeze Avenue </t>
  </si>
  <si>
    <t>Kim Keat Road</t>
  </si>
  <si>
    <t xml:space="preserve">Eastern Europe </t>
  </si>
  <si>
    <t xml:space="preserve">Republic Polytechnic </t>
  </si>
  <si>
    <t>Singapore Polytechnic</t>
  </si>
  <si>
    <t>Ewe Boon Road</t>
  </si>
  <si>
    <t>Robertson Quay</t>
  </si>
  <si>
    <t>the Church of Singapore</t>
  </si>
  <si>
    <t>Masjid Al-Muttaqin</t>
  </si>
  <si>
    <t xml:space="preserve">Case 233 is an imported case involving a 61 year-old male British national who is a Singapore Long Term Pass holder, and had been in the United Kingdom from 6 March to 13 March. He is currently warded in an isolation room at NCID.
He reported onset of symptoms on 15 March and had sought treatment at the emergency department of Parkway East Hospital on 15 March. He was referred to NCID on the same day. Subsequent test results confirmed COVID-19 infection on 16 March morning.
He stays at East Coast Road.
</t>
  </si>
  <si>
    <t xml:space="preserve">Case 234 is an 86 year-old male Singapore Citizen who has no recent travel history to affected countries and regions. He is currently warded in an isolation room at SGH.
He reported onset of symptoms on 28 February, and had sought treatment at a GP clinic and Bukit Merah Polyclinic on 2 March, 9 March and 14 March. He presented at the emergency department of SGH on 14 March. Subsequent test results confirmed COVID-19 infection on 16 March morning.
He stays at Telok Blangah Heights.
</t>
  </si>
  <si>
    <t xml:space="preserve">Case 235 is a 31 year-old female Singapore Citizen with no recent travel history to affected countries and regions. She is currently warded in an isolation room at SGH. She is linked to Case 208[3].
She reported onset of symptoms on 11 March and had sought treatment at SGH’s staff clinic on 13 March and 14 March. Subsequent test results confirmed COVID-19 infection on 16 March morning.
Prior to hospital admission, she had gone to work as a Medical Social Worker at SGH (Outram Road). She stays at Bukit Batok West Avenue 8.
</t>
  </si>
  <si>
    <t xml:space="preserve">Case 236 is a 30 year-old female Singapore Citizen with no recent travel history to affected countries and regions. She is currently warded in an isolation room at NCID. She is a family member of Case 219[4], and is linked to Cases 142[5] and 211[6].
As she had been identified as a contact of Case 142, she was placed under quarantine since 9 March. She reported onset of symptoms on 10 March and was conveyed by ambulance to NCID on 15 March. Subsequent test results confirmed COVID-19 infection on 16 March morning.
She stays at Bishan Street 22.
</t>
  </si>
  <si>
    <t xml:space="preserve">Case 237 is a 36 year-old female Indonesian national who is a Singapore Work Pass holder, and has no recent travel history to affected countries and regions. She is currently warded in an isolation room at NCID. She is linked to Case 225.
She reported onset of symptoms on 12 March and had sought treatment at a GP clinic on 13 March. As she had been identified as a contact of Case 225, she was referred by MOH to NCID on 15 March. Subsequent test results confirmed COVID-19 infection on 16 March morning.
She stays at Beach Road.
</t>
  </si>
  <si>
    <t xml:space="preserve">Case 238 is an imported case involving a 83 year-old female Belgium national who arrived in Singapore on 6 March. She is currently warded in an isolation room at NCID.
She reported onset of symptoms on 14 March and had sought treatment at Raffles Hospital on 15 March. She was referred to NCID on 15 March and subsequent test results confirmed COVID-19 infection on 16 March morning.
Prior to hospital admission, she mostly stayed in the Jalan Besar area.
</t>
  </si>
  <si>
    <t xml:space="preserve">Case 239 is an imported case involving a 28 year-old male British national who is a Singapore Work Pass holder, and had been in France from 7 March to 14 March. He is currently warded in an isolation room at NCID. He is linked to Case 241.
He reported onset of symptoms on 14 March and was referred to NCID upon arrival in Singapore. Subsequent test results confirmed COVID-19 infection on 16 March morning.
He stays at Cairnhill Rise.
</t>
  </si>
  <si>
    <t xml:space="preserve">Case 240 is an imported case involving a 27 year-old male Singapore Permanent Resident who had been in Spain from 7 March to 14 March. He is currently warded in an isolation room at NUH. He is a family member of Case 229.
He reported onset of symptoms on 14 March and had presented at NCID on 15 March. Subsequent test results confirmed COVID-19 infection on 16 March morning.
He stays at Kim Keat Road.
</t>
  </si>
  <si>
    <t xml:space="preserve">Case 241 is an imported case involving a 28 year-old male British national who is a Singapore Work Pass holder, and had been in France from 7 March to 14 March. He is currently warded in NCID. He is linked to Case 239.
He reported onset of symptoms on 11 March while in France, and was referred to NCID upon arrival in Singapore on 15 March. Subsequent test results confirmed COVID-19 infection on 16 March morning.
He stays in the Cairnhill Road area.
</t>
  </si>
  <si>
    <t xml:space="preserve">Case 242 is a 64 year-old female Singapore Citizen who had been in Malaysia on 7 March and 8 March. She is currently warded in NCID. She is linked to Case 166[7].
She reported onset of symptoms on 14 March. As she had been identified as a contact of Case 166, she was issued a home quarantine order on 11 March. She was conveyed to NCID on 15 March. Subsequent test results confirmed COVID-19 infection on 16 March morning.
She stays at Gangsa Road.
</t>
  </si>
  <si>
    <t xml:space="preserve">Case 243 is an imported case involving a 36 year-old male Singapore Citizen who had been in Germany from 26 February to 29 February, Italy from 29 February to 7 March, and Switzerland from 7 March to 14 March. He is currently warded in NCID. He is linked to Case 244.
He reported onset of symptoms on 11 March. He presented at NCID on 15 March, and subsequent test results confirmed COVID-19 infection on 16 March morning.
Prior to hospital admission, he had gone to work at a home office at River Valley Road. He stays at Havelock Road.
</t>
  </si>
  <si>
    <t xml:space="preserve">Case 244 is an imported case involving a 53 year-old male Singapore Citizen who had been in Germany from 26 February to 29 February, Italy from 29 February to 7 March, and Switzerland from 7 March to 14 March. He is currently warded in an isolation room at the National Centre for Infectious Diseases (NCID). He is linked to Case 243.
He reported onset of symptoms on 7 March. He presented at the emergency department of Gleneagles Hospital on 15 March, and was referred to NCID on the same day. Subsequent test results confirmed COVID-19 infection on 16 March afternoon.
Prior to hospital admission, he had gone to work at a home office at River Valley Road. He stays at Alexandra Road.
</t>
  </si>
  <si>
    <t xml:space="preserve">Case 245 is a 76 year-old male Singaporean Citizen with no recent travel history to affected countries and regions. He is currently warded in an isolation room at Singapore General Hospital (SGH).
He reported onset of symptoms on 12 March, and was conveyed by ambulance to SGH on 15 March. Subsequent test results confirmed COVID-19 infection on 16 March afternoon.
Prior to hospital admission, he had gone to work at Marina One West Tower (9 Straits View). He stays at Boon Lay Drive.
</t>
  </si>
  <si>
    <t xml:space="preserve">Case 246 is an imported case involving a 39 year-old male Canadian national who had been in Japan from 23 February to 7 March. He is currently warded in an isolation room at SGH.
He reported onset of symptoms on 9 March. He presented at the emergency department of SGH on 15 March and subsequent test results confirmed COVID-19 infection on 16 March afternoon.
Prior to hospital admission, he had visited Singtel Comcentre (31 Exeter Road). He stays in the Tanjong Pagar area.
</t>
  </si>
  <si>
    <t xml:space="preserve">Case 247 is an imported case involving a 41 year-old male Singapore Citizen who had been in the United Kingdom from 5 March to 8 March, and again from 10 March to 12 March, and France from 8 March to 10 March. He is currently warded in an isolation room at NCID.
He reported onset of symptoms on 16 March, and had presented at NCID on the same day. Subsequent test results confirmed COVID-19 infection on 16 March afternoon.
He stays at Tampines Avenue 8.
</t>
  </si>
  <si>
    <t>Case 248 is a 23 year-old female Malaysian national who is a Singapore Work Pass holder, and had been in Malaysia from 12 March to 13 March. She was confirmed to have COVID-19 infection on 17 March morning, and is currently warded in an isolation room at NCID.</t>
  </si>
  <si>
    <t>Case 249 is an imported case involving a 42 year-old male Singapore Permanent Resident who had been in the United States from 4 March to 16 March. He was confirmed to have COVID-19 infection on 17 March morning, and is currently warded in an isolation room at NCID.</t>
  </si>
  <si>
    <t>Case 250 is an imported case involving a 28 year-old male British national who is a Singapore Work Pass holder, and had been in the United Kingdom and Austria from 29 February to 14 March. He was confirmed to have COVID-19 infection on 17 March morning, and is currently warded in an isolation room at NCID.</t>
  </si>
  <si>
    <t>Case 251 is a 59 year-old female Singapore Citizen with no recent travel history to affected countries and regions. She was confirmed to have COVID-19 infection on 17 March morning, and is currently warded in an isolation room at NCID. She is a family member of Case 186[1].</t>
  </si>
  <si>
    <t>Case 252 is a 66 year-old male Singapore Citizen, who had been in Malaysia from 25 February to 29 February. He was confirmed to have COVID-19 infection on 17 March morning, and is currently warded in an isolation room at NCID.</t>
  </si>
  <si>
    <t>Case 253 is an imported case involving a 24 year-old male Singapore Citizen who had been in Spain from 12 February to 16 March. He was confirmed to have COVID-19 infection on 17 March morning, and is currently warded in an isolation room at NCID.</t>
  </si>
  <si>
    <t>Case 254 is an imported case involving a 43 year-old female Singapore Permanent Resident who had been in France from 22 February to 13 March. She was confirmed to have COVID-19 infection on 17 March morning, and is currently warded in an isolation room at NCID.</t>
  </si>
  <si>
    <t>Case 255 is an imported case involving a 44 year-old male Swedish national, who is a Singapore Work Pass holder, and had been in Norway, Denmark and Sweden from 1 March to 9 March. He was confirmed to have COVID-19 infection on 17 March morning, and is currently warded in an isolation room at NCID.</t>
  </si>
  <si>
    <t>Case 256 is a 32 year-old female Filipino national who is a Singapore Work Pass holder, and has no recent travel history to affected countries and regions. She was confirmed to have COVID-19 infection on 17 March morning, and is currently warded in an isolation room at NCID. She is linked to Case 205[2].</t>
  </si>
  <si>
    <t>Case 257 is a 19 year-old male French national, who is a Singapore Long Term Pass holder, and had been in the United Kingdom from 16 October 2019 to 14 March 2020. He was confirmed to have COVID-19 infection on 17 March morning, and is currently warded in an isolation room at the National University Hospital (NUH).</t>
  </si>
  <si>
    <t>Case 258 is an imported case involving a 47 year-old male Indian national who had been in Europe from 9 February to 15 March. He was confirmed to have COVID-19 infection on 17 March morning, and is currently warded in an isolation room at NCID.</t>
  </si>
  <si>
    <t>Case 259 is an imported case involving a 30 year-old female Singapore Citizen, who had been in the Philippines from 7 March to 9 March. She was confirmed to have COVID-19 infection on 17 March morning, and is currently warded in an isolation room at NCID.</t>
  </si>
  <si>
    <t>Case 260 is a 48 year-old female Singapore Permanent Resident who has no recent travel history to affected countries and regions. She was confirmed to have COVID-19 infection on 17 March morning, and is currently warded in an isolation room at Farrer Park Hospital.</t>
  </si>
  <si>
    <t>Case 261 is an imported case involving a 30 year-old male American national who is a Singapore Work Pass holder, and had been in the United States from 23 February to 9 March, and France from 9 March to 15 March. He was confirmed to have COVID-19 infection on 17 March morning, and is currently warded in an isolation room at NCID.</t>
  </si>
  <si>
    <t>Case 262 is an imported case involving a 20 year-old female Indonesian national, who had been in the United Kingdom from late January to 16 March. She was confirmed to have COVID-19 infection on 17 March morning, and is currently warded in an isolation room at NCID.</t>
  </si>
  <si>
    <t>Case 263 is an imported case involving a 52 year-old female Singapore Citizen who was in Spain from 6 March to 8 March and again from 9 March to 14 March, and Portugal from 8 March to 9 March. She was confirmed to have COVID-19 infection on 17 March morning, and is currently warded is an isolation room at NCID. She is linked to Case 266.</t>
  </si>
  <si>
    <t>Case 264 is an imported case involving a 41 year-old female Indonesian national who arrived in Singapore on 16 March. She was confirmed to have COVID-19 infection on 17 March morning, and is currently warded in an isolation room at NCID.</t>
  </si>
  <si>
    <t>Case 265 is an imported case involving a 25 year-old female Singapore Citizen who had been in the United Kingdom from 6 March to 14 March. She was confirmed to have COVID-19 infection on 17 March morning, and is currently warded in an isolation room at NCID.</t>
  </si>
  <si>
    <t>Case 266 is an imported case involving a 63 year-old male Singapore Citizen who had been in Spain from 6 March to 8 March and again from 9 March to 14 March, and Portugal from 8 March to 9 March. He was confirmed to have COVID-19 infection on 17 March morning, and is currently warded in an isolation room at NCID. He is linked to case 263.</t>
  </si>
  <si>
    <t>Case Number</t>
  </si>
  <si>
    <t>Date of Confirmation</t>
  </si>
  <si>
    <t>Hospital admitted</t>
  </si>
  <si>
    <t>Age (years)</t>
  </si>
  <si>
    <t>Travel History</t>
  </si>
  <si>
    <t>Exposure</t>
  </si>
  <si>
    <t>Links</t>
  </si>
  <si>
    <t>F</t>
  </si>
  <si>
    <t>Singapore Citizen</t>
  </si>
  <si>
    <t>M</t>
  </si>
  <si>
    <t>Switzerland, UK</t>
  </si>
  <si>
    <t>Croatia, Bosnia, Serbia, Slovenia, Austria</t>
  </si>
  <si>
    <t>Eastern Europe</t>
  </si>
  <si>
    <t>Local Unlinked</t>
  </si>
  <si>
    <t>US</t>
  </si>
  <si>
    <t>Indonesia, Malaysia</t>
  </si>
  <si>
    <t>Switzerland, US</t>
  </si>
  <si>
    <t>US, Canada</t>
  </si>
  <si>
    <t>Local Linked</t>
  </si>
  <si>
    <t>Cases 144,208, 214, 235</t>
  </si>
  <si>
    <t>Church of Singapore (Bukit Timah)</t>
  </si>
  <si>
    <t>Thai</t>
  </si>
  <si>
    <t>Family member of 267</t>
  </si>
  <si>
    <t>Contact of Case 212</t>
  </si>
  <si>
    <t>Family member of 260</t>
  </si>
  <si>
    <t>Turkey</t>
  </si>
  <si>
    <t>Singapore Permanent Resident</t>
  </si>
  <si>
    <t>Contact of Cases 225 and 237</t>
  </si>
  <si>
    <t>India</t>
  </si>
  <si>
    <t>Philippines</t>
  </si>
  <si>
    <t>Family member of Case 259</t>
  </si>
  <si>
    <t>Switzerland, Austria</t>
  </si>
  <si>
    <t>Contact of Case 250</t>
  </si>
  <si>
    <t>Austria, Switzerland</t>
  </si>
  <si>
    <t>Family member of Case 248</t>
  </si>
  <si>
    <t>UK, Switzerland, Austria</t>
  </si>
  <si>
    <t xml:space="preserve">Contact of Case 142 </t>
  </si>
  <si>
    <t>Contact of Case 277</t>
  </si>
  <si>
    <t>Croatia, Austria</t>
  </si>
  <si>
    <t>Contact of Case 230</t>
  </si>
  <si>
    <t>Contact of Cases 183 and 252</t>
  </si>
  <si>
    <t xml:space="preserve">Masjid Al Muttaqin </t>
  </si>
  <si>
    <t>Family member of Case 234</t>
  </si>
  <si>
    <t>France, Germany</t>
  </si>
  <si>
    <t>American
(Singapore Work Pass)</t>
  </si>
  <si>
    <t>British (Singapore Work Pass)</t>
  </si>
  <si>
    <t>Indian (Singapore Long Term Pass)</t>
  </si>
  <si>
    <t>Thai (Singapore Work Pass)</t>
  </si>
  <si>
    <t>Malaysian (Singapore Work Pass)</t>
  </si>
  <si>
    <t>Indonesian (Singapore Work Pass)</t>
  </si>
  <si>
    <t>German (Singapore Work Pass)</t>
  </si>
  <si>
    <t>Malaysian (Singapore Long Term Pass)</t>
  </si>
  <si>
    <t>Case 230 is a family member of Cases 270 and 272. 
Travelled together with Case 309</t>
  </si>
  <si>
    <t>Case 230 is son of Cases 270 and 272. 
Travelled together with Case 309</t>
  </si>
  <si>
    <t>SIngaporean</t>
  </si>
  <si>
    <t xml:space="preserve">Case 267 is a Imported case, 72 years old female Singapore Citizen and has been to Indonesia. She is currently admitted at KTPH. </t>
  </si>
  <si>
    <t xml:space="preserve">Case 268 is a Imported case, 64 years old male British and has been to Switzerland, UK. He is currently admitted at NCID. </t>
  </si>
  <si>
    <t xml:space="preserve">Case 269 is a Imported case, 19 years old female Singapore Citizen and has been to UK. She is currently admitted at NCID. </t>
  </si>
  <si>
    <t>Case 270 is a Imported case, 62 years old female Singapore Citizen and has been to Croatia, Bosnia, Serbia, Slovenia, Austria. She is currently admitted at NTFGH. Case 230 is a family member of Cases 270 and 272. 
Travelled together with Case 309</t>
  </si>
  <si>
    <t xml:space="preserve">Case 271 is a Imported case, 29 years old male Singapore Citizen and has been to UK. He is currently admitted at NTFGH. </t>
  </si>
  <si>
    <t>Case 272 is a Imported case, 65 years old male Singapore Citizen and has been to Eastern Europe. He is currently admitted at NTFGH. Case 230 is son of Cases 270 and 272. 
Travelled together with Case 309</t>
  </si>
  <si>
    <t xml:space="preserve">Case 273 is a Local Unlinked case, 69 years old male Singapore Citizen and has not been overseas. He is currently admitted at NUH. </t>
  </si>
  <si>
    <t xml:space="preserve">Case 274 is a Imported case, 50 years old male American
(Singapore Work Pass) and has been to US. He is currently admitted at NCID. </t>
  </si>
  <si>
    <t xml:space="preserve">Case 275 is a Local Unlinked case, 27 years old male Singapore Citizen and has been to Indonesia, Malaysia. He is currently admitted at NTFGH. </t>
  </si>
  <si>
    <t xml:space="preserve">Case 276 is a Imported case, 21 years old male Singapore Citizen and has been to UK. He is currently admitted at NTFGH. </t>
  </si>
  <si>
    <t xml:space="preserve">Case 277 is a Imported case, 55 years old male Singapore Citizen and has been to US. He is currently admitted at CGH. </t>
  </si>
  <si>
    <t xml:space="preserve">Case 278 is a Imported case, 48 years old female American and has been to Switzerland, US. She is currently admitted at NCID. </t>
  </si>
  <si>
    <t xml:space="preserve">Case 279 is a Imported case, 71 years old male Singapore Citizen and has been to Philippines . He is currently admitted at NCID. </t>
  </si>
  <si>
    <t xml:space="preserve">Case 280 is a Imported case, 21 years old female Singapore Citizen and has been to UK. She is currently admitted at NCID. </t>
  </si>
  <si>
    <t xml:space="preserve">Case 281 is a Imported case, 46 years old male Singapore Citizen and has been to US, Canada. He is currently admitted at NCID. </t>
  </si>
  <si>
    <t xml:space="preserve">Case 282 is a Imported case,  years old male  and has been to France. He is currently admitted at NCID. </t>
  </si>
  <si>
    <t>Case 283 is a Local Linked case, 62 years old female Singapore Citizen and has been to Malaysia. She is currently admitted at NCID. Cases 144,208, 214, 235</t>
  </si>
  <si>
    <t xml:space="preserve">Case 284 is a Imported case, 32 years old male Singapore Citizen and has been to US. He is currently admitted at NCID. </t>
  </si>
  <si>
    <t xml:space="preserve">Case 285 is a Imported case, 42 years old female Thai (Singapore Work Pass) and has been to Thailand. She is currently admitted at NCID. </t>
  </si>
  <si>
    <t xml:space="preserve">Case 286 is a Imported case, 54 years old male British (Singapore Work Pass) and has been to UK. He is currently admitted at NCID. </t>
  </si>
  <si>
    <t>Case 287 is a Local Linked case, 26 years old male Singapore Citizen and has not been overseas. He is currently admitted at KTPH. Family member of 267</t>
  </si>
  <si>
    <t xml:space="preserve">Case 288 is a Local Unlinked case, 71 years old male Singapore Citizen and has been to Malaysia. He is currently admitted at NCID. </t>
  </si>
  <si>
    <t>Case 289 is a Local Linked case, 62 years old male Singapore Citizen and has not been overseas. He is currently admitted at NCID. Contact of Case 212</t>
  </si>
  <si>
    <t xml:space="preserve">Case 290 is a Local Linked case, 69 years old male Singapore Citizen and has not been overseas. He is currently admitted at NCID. </t>
  </si>
  <si>
    <t>Case 291 is a Local Linked case, 52 years old male Indian (Singapore Long Term Pass) and has been to Indonesia. He is currently admitted at NCID. Family member of 260</t>
  </si>
  <si>
    <t xml:space="preserve">Case 292 is a Imported case, 64 years old female Singapore Citizen and has been to Turkey. She is currently admitted at NCID. </t>
  </si>
  <si>
    <t xml:space="preserve">Case 293 is a Imported case, 30 years old male British (Singapore Work Pass) and has been to UK. He is currently admitted at NCID. </t>
  </si>
  <si>
    <t>Case 294 is a Local Linked case, 58 years old female Singapore Permanent Resident and has been to Indonesia. She is currently admitted at NCID. Contact of Cases 225 and 237</t>
  </si>
  <si>
    <t xml:space="preserve">Case 295 is a Imported case, 55 years old male Singapore Citizen and has been to US. He is currently admitted at NCID. </t>
  </si>
  <si>
    <t xml:space="preserve">Case 296 is a Imported case, 25 years old female Malaysian (Singapore Work Pass) and has been to UK. She is currently admitted at NCID. </t>
  </si>
  <si>
    <t xml:space="preserve">Case 297 is a Imported case, 31 years old male Indonesian (Singapore Work Pass) and has been to Indonesia. He is currently admitted at NCID. </t>
  </si>
  <si>
    <t xml:space="preserve">Case 298 is a Imported case, 44 years old male Singapore Citizen and has been to India. He is currently admitted at NCID. </t>
  </si>
  <si>
    <t>Case 299 is a Imported case, 29 years old male Singapore Citizen and has been to Philippines. He is currently admitted at NCID. Family member of Case 259</t>
  </si>
  <si>
    <t>Case 300 is a Imported case, 28 years old male German (Singapore Work Pass) and has been to Switzerland, Austria. He is currently admitted at NCID. Contact of Case 250</t>
  </si>
  <si>
    <t xml:space="preserve">Case 301 is a Imported case, 63 years old male Singapore Citizen and has been to Austria, Switzerland. He is currently admitted at NCID. </t>
  </si>
  <si>
    <t xml:space="preserve">Case 302 is a Local Unlinked case, 49 years old female Singapore Citizen and has not been overseas. She is currently admitted at KTPH. </t>
  </si>
  <si>
    <t>Case 303 is a Local Linked case, 27 years old male Malaysian (Singapore Long Term Pass) and has been to Malaysia. He is currently admitted at NCID. Family member of Case 248</t>
  </si>
  <si>
    <t xml:space="preserve">Case 304 is a Imported case, 27 years old female Singapore Citizen and has been to UK, Switzerland, Austria. She is currently admitted at NCID. </t>
  </si>
  <si>
    <t xml:space="preserve">Case 305 is a Local Linked case, 24 years old male Singapore Citizen and has not been overseas. He is currently admitted at NCID. Contact of Case 142 </t>
  </si>
  <si>
    <t xml:space="preserve">Case 306 is a Imported case, 56 years old male Singapore Citizen and has been to UK. He is currently admitted at NCID. </t>
  </si>
  <si>
    <t xml:space="preserve">Case 307 is a Imported case, 22 years old female Singapore Citizen and has been to Philippines. She is currently admitted at NCID. </t>
  </si>
  <si>
    <t>Case 308 is a Imported case, 59 years old male Singapore Citizen and has been to US. He is currently admitted at NCID. Contact of Case 277</t>
  </si>
  <si>
    <t>Case 309 is a Imported case, 60 years old male Singapore Citizen and has been to Croatia, Austria. He is currently admitted at NCID. Contact of Case 230</t>
  </si>
  <si>
    <t>Case 310 is a Local Linked case, 58 years old male Singapore Citizen and has not been overseas. He is currently admitted at NCID. Contact of Cases 183 and 252</t>
  </si>
  <si>
    <t>Case 311 is a Local Linked case, 80 years old female Singapore Citizen and has not been overseas. She is currently admitted at NCID. Family member of Case 234</t>
  </si>
  <si>
    <t xml:space="preserve">Case 312 is a Imported case, 30 years old male French and has been to France, Germany. He is currently admitted at NCID. </t>
  </si>
  <si>
    <t xml:space="preserve">Case 313 is a Imported case, 39 years old male British (Singapore Work Pass) and has been to UK. He is currently admitted at NCID. </t>
  </si>
  <si>
    <t>Canadian</t>
  </si>
  <si>
    <t>Swedish</t>
  </si>
  <si>
    <t>FPH</t>
  </si>
  <si>
    <t>https://www.moh.gov.sg/news-highlights/details/five-more-cases-discharged-23-new-cases-of-covid-19-infection-confirmed</t>
  </si>
  <si>
    <t>https://www.moh.gov.sg/news-highlights/details/three-more-cases-discharged-47-new-cases-of-covid-19-infection-confirmed</t>
  </si>
  <si>
    <t xml:space="preserve">Parkway East Hospital </t>
  </si>
  <si>
    <t>East Coast Road</t>
  </si>
  <si>
    <t xml:space="preserve">Bukit Merah Polyclinic </t>
  </si>
  <si>
    <t>Telok Blangah Heights</t>
  </si>
  <si>
    <t>Bukit Batok West Avenue 8</t>
  </si>
  <si>
    <t>Beach Road</t>
  </si>
  <si>
    <t>Cairnhill Rise</t>
  </si>
  <si>
    <t xml:space="preserve">Cairnhill Road </t>
  </si>
  <si>
    <t xml:space="preserve">Italy </t>
  </si>
  <si>
    <t>River Valley Road</t>
  </si>
  <si>
    <t>Havelock Road</t>
  </si>
  <si>
    <t>Alexandra Road</t>
  </si>
  <si>
    <t>9 Straits View</t>
  </si>
  <si>
    <t>Boon Lay Drive</t>
  </si>
  <si>
    <t>31 Exeter Road</t>
  </si>
  <si>
    <t>Tanjong Pagar</t>
  </si>
  <si>
    <t>Tampines Avenue 8</t>
  </si>
  <si>
    <t xml:space="preserve">Austria </t>
  </si>
  <si>
    <t>Norway</t>
  </si>
  <si>
    <t xml:space="preserve">Denmark </t>
  </si>
  <si>
    <t xml:space="preserve">Sweden </t>
  </si>
  <si>
    <t xml:space="preserve">Europe </t>
  </si>
  <si>
    <t>Switzerland</t>
  </si>
  <si>
    <t>Croatia</t>
  </si>
  <si>
    <t>Bosnia</t>
  </si>
  <si>
    <t>Serbia</t>
  </si>
  <si>
    <t>Slovenia</t>
  </si>
  <si>
    <t>Canada</t>
  </si>
  <si>
    <t xml:space="preserve">KTPH </t>
  </si>
  <si>
    <t xml:space="preserve">M </t>
  </si>
  <si>
    <t xml:space="preserve">Singapore Citizen </t>
  </si>
  <si>
    <t>Local unlinked</t>
  </si>
  <si>
    <t xml:space="preserve">NTFGH </t>
  </si>
  <si>
    <t xml:space="preserve">UK </t>
  </si>
  <si>
    <t xml:space="preserve">CGH </t>
  </si>
  <si>
    <t xml:space="preserve">Malaysia (Singapore Work Pass) </t>
  </si>
  <si>
    <t xml:space="preserve">SKH </t>
  </si>
  <si>
    <t>China (Singapore Long Term Pass)</t>
  </si>
  <si>
    <t xml:space="preserve">Philippines (Singapore Work Pass) </t>
  </si>
  <si>
    <t xml:space="preserve">Imported </t>
  </si>
  <si>
    <t>Contact of Case 279</t>
  </si>
  <si>
    <t xml:space="preserve">NCID </t>
  </si>
  <si>
    <t xml:space="preserve">Singapore Permanent Resident </t>
  </si>
  <si>
    <t xml:space="preserve">F </t>
  </si>
  <si>
    <t xml:space="preserve">AH </t>
  </si>
  <si>
    <t xml:space="preserve">Switzerland, France </t>
  </si>
  <si>
    <t xml:space="preserve">Brazil (Singapore Work Pass) </t>
  </si>
  <si>
    <t xml:space="preserve">UK, Netherlands </t>
  </si>
  <si>
    <t>Switzerland, Italy, Austria, Germany</t>
  </si>
  <si>
    <t xml:space="preserve">UK, Switzerland </t>
  </si>
  <si>
    <t>Family member of Case 268</t>
  </si>
  <si>
    <t xml:space="preserve">Turkey </t>
  </si>
  <si>
    <t>Family member of Case 292</t>
  </si>
  <si>
    <t>US (Singapore Long Term Pass)</t>
  </si>
  <si>
    <t>Columbia (Singapore Long Term Pass)</t>
  </si>
  <si>
    <t xml:space="preserve">US </t>
  </si>
  <si>
    <t xml:space="preserve">Local linked </t>
  </si>
  <si>
    <t>Switzerland (Singapore Work Pass)</t>
  </si>
  <si>
    <t xml:space="preserve">France, Switzerland </t>
  </si>
  <si>
    <t>Family member of Case 279</t>
  </si>
  <si>
    <t>Contact of Cases 222 and 307</t>
  </si>
  <si>
    <t>Germany (Singapore Work Pass)</t>
  </si>
  <si>
    <t xml:space="preserve">German (Singapore Work Pass) </t>
  </si>
  <si>
    <t xml:space="preserve">German </t>
  </si>
  <si>
    <t>Brazilian</t>
  </si>
  <si>
    <t>Columbian</t>
  </si>
  <si>
    <t xml:space="preserve">Case 316 is a Imported case, 25 years old male Malaysia (Singapore Work Pass)  and has been to Malaysia . He is currently admitted at CGH . </t>
  </si>
  <si>
    <t xml:space="preserve">Case 318 is a Local unlinked case, 58 years old female China (Singapore Long Term Pass) and has not been overseas. She is currently admitted at SKH . </t>
  </si>
  <si>
    <t>Case 319 is a Imported  case, 67 years old female Philippines (Singapore Work Pass)  and has been to Philippines . She is currently admitted at SKH . Contact of Case 279</t>
  </si>
  <si>
    <t xml:space="preserve">Case 320 is a Imported case, 34 years old male Singapore Permanent Resident  and has been to UK . He is currently admitted at NCID . </t>
  </si>
  <si>
    <t xml:space="preserve">Case 322 is a Imported case, 46 years old female Singapore Permanent Resident and has been to Switzerland, France . She is currently admitted at AH . </t>
  </si>
  <si>
    <t xml:space="preserve">Case 324 is a Imported case, 45 years old male Brazil (Singapore Work Pass)  and has been to UK . He is currently admitted at NCID . </t>
  </si>
  <si>
    <t xml:space="preserve">Case 325 is a Imported case, 38 years old male Philippines (Singapore Work Pass)  and has been to UK . He is currently admitted at NCID . </t>
  </si>
  <si>
    <t>Case 328 is a Imported  case, 63 years old female Singapore Permanent Resident  and has been to UK, Switzerland . She is currently admitted at NCID . Family member of Case 268</t>
  </si>
  <si>
    <t xml:space="preserve">Case 331 is a Imported case, 49 years old female Singapore Permanent Resident  and has been to UK . She is currently admitted at NCID . </t>
  </si>
  <si>
    <t xml:space="preserve">Case 332 is a Imported case, 36 years old female US (Singapore Long Term Pass) and has been to UK . She is currently admitted at NCID . </t>
  </si>
  <si>
    <t xml:space="preserve">Case 333 is a Imported case, 48 years old male Columbia (Singapore Long Term Pass) and has been to US . He is currently admitted at NCID . </t>
  </si>
  <si>
    <t xml:space="preserve">Case 337 is a Imported case, 31 years old male Switzerland (Singapore Work Pass) and has been to France, Switzerland . He is currently admitted at NUH . </t>
  </si>
  <si>
    <t xml:space="preserve">Case 341 is a Imported case, 31 years old male Germany (Singapore Work Pass) and has been to UK . He is currently admitted at NCID . </t>
  </si>
  <si>
    <t xml:space="preserve">Case 343 is a Imported case, 20 years old female Singapore Permanent Resident  and has been to UK . She is currently admitted at NCID . </t>
  </si>
  <si>
    <t>Case 345 is a Local linked  case, 30 years old male German (Singapore Work Pass)  and has been to UK . He is currently admitted at NCID . boulder+ Gym</t>
  </si>
  <si>
    <t xml:space="preserve">Case 314 is a Local unlinked case, 58 years old male Singapore Citizen  and has not been overseas. He is currently admitted at KTPH . </t>
  </si>
  <si>
    <t xml:space="preserve">Case 315 is a Imported case, 57 years old male Singapore Citizen  and has been to UK . He is currently admitted at NTFGH . </t>
  </si>
  <si>
    <t xml:space="preserve">Case 317 is a Imported case, 29 years old male Singapore Citizen  and has been to UK . He is currently admitted at SKH . </t>
  </si>
  <si>
    <t xml:space="preserve">Case 321 is a Local unlinked case, 65 years old female Singapore Citizen  and has not been overseas. She is currently admitted at NUH . </t>
  </si>
  <si>
    <t xml:space="preserve">Case 323 is a Imported case, 24 years old male Singapore Citizen  and has been to UK . He is currently admitted at NCID . </t>
  </si>
  <si>
    <t xml:space="preserve">Case 326 is a Imported case, 33 years old male Singapore Citizen  and has been to UK, Netherlands . He is currently admitted at NCID . </t>
  </si>
  <si>
    <t xml:space="preserve">Case 327 is a Imported case, 38 years old female Singapore Citizen and has been to Switzerland, Italy, Austria, Germany. She is currently admitted at NCID . </t>
  </si>
  <si>
    <t>Case 329 is a Imported  case, 64 years old male Singapore Citizen  and has been to Turkey . He is currently admitted at NCID . Family member of Case 292</t>
  </si>
  <si>
    <t xml:space="preserve">Case 330 is a Local unlinked case, 67 years old male Singapore Citizen  and has not been overseas. He is currently admitted at NCID . </t>
  </si>
  <si>
    <t xml:space="preserve">Case 334 is a Imported case, 32 years old female Singapore Citizen  and has been to US . She is currently admitted at NCID . </t>
  </si>
  <si>
    <t>Case 335 is a Local linked  case, 57 years old male Singapore Citizen  and has not been overseas. He is currently admitted at NCID . Family member of Case 234</t>
  </si>
  <si>
    <t xml:space="preserve">Case 336 is a Local unlinked case, 60 years old male Singapore Citizen  and has not been overseas. He is currently admitted at KTPH . </t>
  </si>
  <si>
    <t xml:space="preserve">Case 338 is a Local unlinked case, 57 years old male Singapore Citizen  and has not been overseas. He is currently admitted at NCID . </t>
  </si>
  <si>
    <t>Case 339 is a Imported  case, 66 years old male Singapore Citizen  and has been to Philippines . He is currently admitted at NCID . Family member of Case 279</t>
  </si>
  <si>
    <t>Case 340 is a Imported  case, 27 years old male Singapore Citizen  and has been to Philippines . He is currently admitted at NCID . Contact of Cases 222 and 307</t>
  </si>
  <si>
    <t xml:space="preserve">Case 342 is a Imported case, 31 years old male Singapore Citizen  and has been to Thailand . He is currently admitted at NCID . </t>
  </si>
  <si>
    <t xml:space="preserve">Case 344 is a Imported case, 21 years old female Singapore Citizen  and has been to UK . She is currently admitted at NCID . </t>
  </si>
  <si>
    <t>https://www.moh.gov.sg/news-highlights/details/seven-more-cases-discharged-32-new-cases-of-covid-19-infection-confirmed</t>
  </si>
  <si>
    <t>Travel</t>
  </si>
  <si>
    <t>https://www.moh.gov.sg/news-highlights/details/seven-more-cases-discharged-40-new-cases-of-covid-19-infection-confirmed</t>
  </si>
  <si>
    <t>https://www.moh.gov.sg/news-highlights/details/nine-more-cases-discharged-47-new-cases-of-covid-19-infection-confirmed</t>
  </si>
  <si>
    <t>Death</t>
  </si>
  <si>
    <t>Date Decease</t>
  </si>
  <si>
    <t>https://www.moh.gov.sg/news-highlights/details/four-more-cases-discharged-23-new-cases-of-covid-19-infection-confirmed</t>
  </si>
  <si>
    <t>Family member of Case 227</t>
  </si>
  <si>
    <t>Moscow, Russia, Copenhagen, Denmark</t>
  </si>
  <si>
    <t>Contact of Case 177</t>
  </si>
  <si>
    <t xml:space="preserve">SGH </t>
  </si>
  <si>
    <t>Contact of Case 265</t>
  </si>
  <si>
    <t>Australian (Long Term Visit Pass holder)</t>
  </si>
  <si>
    <t>Australian (Singapore Work Pass holder)</t>
  </si>
  <si>
    <t>MEH</t>
  </si>
  <si>
    <t>Germany, US, France, Monaco</t>
  </si>
  <si>
    <t>Contact of Case 321</t>
  </si>
  <si>
    <t>Contact of Case 318</t>
  </si>
  <si>
    <t>Germany (Long Term Pass holder)</t>
  </si>
  <si>
    <t xml:space="preserve">Germany, Holland </t>
  </si>
  <si>
    <t>Contact of Case 225</t>
  </si>
  <si>
    <t>Netherlands (Singapore Work Pass holder)</t>
  </si>
  <si>
    <t>Austria, Netherlands, UK</t>
  </si>
  <si>
    <t>Contact of Case 304</t>
  </si>
  <si>
    <t>Local linked</t>
  </si>
  <si>
    <t>Family member of Case 338</t>
  </si>
  <si>
    <t>Indonesian (Long Term Visit Pass holder)</t>
  </si>
  <si>
    <t>Contact of Cases 225 and 294</t>
  </si>
  <si>
    <t xml:space="preserve">Malaysia (Singapore Work Pass holder) </t>
  </si>
  <si>
    <t xml:space="preserve">UK (Long Term Visit Pass holder) </t>
  </si>
  <si>
    <t xml:space="preserve">Sweden (Singapore Work Pass holder) </t>
  </si>
  <si>
    <t xml:space="preserve">Switzerland (Singapore Work Pass holder) </t>
  </si>
  <si>
    <t>Family member of Case 351</t>
  </si>
  <si>
    <t xml:space="preserve">KKH </t>
  </si>
  <si>
    <t xml:space="preserve">Russia (Singapore Work Pass holder) </t>
  </si>
  <si>
    <t>Family member of Case 298</t>
  </si>
  <si>
    <t xml:space="preserve">Australia, US </t>
  </si>
  <si>
    <t xml:space="preserve">Philippines (Long Term Pass holder) </t>
  </si>
  <si>
    <t xml:space="preserve">Ireland (Singapore Work Pass holder) </t>
  </si>
  <si>
    <t xml:space="preserve">Ireland </t>
  </si>
  <si>
    <t>Contact of Case 180</t>
  </si>
  <si>
    <t xml:space="preserve">KTPH7 </t>
  </si>
  <si>
    <t>MENH</t>
  </si>
  <si>
    <t xml:space="preserve">Indonesia Indonesia </t>
  </si>
  <si>
    <t xml:space="preserve">MEH </t>
  </si>
  <si>
    <t xml:space="preserve">Indonesia (Long Term Pass holder) </t>
  </si>
  <si>
    <t xml:space="preserve">Australia (Long Term Pass holder) </t>
  </si>
  <si>
    <t xml:space="preserve">Malaysia, Philippines </t>
  </si>
  <si>
    <t xml:space="preserve">Local </t>
  </si>
  <si>
    <t>unlinked</t>
  </si>
  <si>
    <t xml:space="preserve">Pending </t>
  </si>
  <si>
    <t xml:space="preserve">Australia  (Singapore Work Pass holder) </t>
  </si>
  <si>
    <t>Family member of Case 212</t>
  </si>
  <si>
    <t xml:space="preserve">France (Long Term Pass holder) </t>
  </si>
  <si>
    <t>Contact of Case 425</t>
  </si>
  <si>
    <t>Contact of Case 424</t>
  </si>
  <si>
    <t xml:space="preserve">Germany, UK </t>
  </si>
  <si>
    <t>Family member of Case 350</t>
  </si>
  <si>
    <t xml:space="preserve">UK (Long Term Pass holder) </t>
  </si>
  <si>
    <t xml:space="preserve">UK (Singapore Work Pass holder) </t>
  </si>
  <si>
    <t xml:space="preserve">Demark, Switzerland, France </t>
  </si>
  <si>
    <t xml:space="preserve">Denmark (Long Term Pass holder) </t>
  </si>
  <si>
    <t xml:space="preserve">US, Mexico </t>
  </si>
  <si>
    <t>Family member of Case 308; Contact of Case 277</t>
  </si>
  <si>
    <t>Family member of Case 398</t>
  </si>
  <si>
    <t>Contact of Case 378</t>
  </si>
  <si>
    <t>Contact of Case 404</t>
  </si>
  <si>
    <t xml:space="preserve">India (Long Term Pass holder) </t>
  </si>
  <si>
    <t>Contact of Case 337</t>
  </si>
  <si>
    <t>Moscow</t>
  </si>
  <si>
    <t>Russia</t>
  </si>
  <si>
    <t>Copenhagen</t>
  </si>
  <si>
    <t>Denmark</t>
  </si>
  <si>
    <t>Monaco</t>
  </si>
  <si>
    <t xml:space="preserve">Holland </t>
  </si>
  <si>
    <t>Netherlands</t>
  </si>
  <si>
    <t>Australia</t>
  </si>
  <si>
    <t>Demark</t>
  </si>
  <si>
    <t xml:space="preserve">Mexico </t>
  </si>
  <si>
    <t xml:space="preserve">Myanmar (Singapore Work Pass holder) </t>
  </si>
  <si>
    <t xml:space="preserve">New Zealand </t>
  </si>
  <si>
    <t xml:space="preserve">Malaysia, Indonesia </t>
  </si>
  <si>
    <t xml:space="preserve">Spain, Malaysia </t>
  </si>
  <si>
    <t>Contact of Case 423</t>
  </si>
  <si>
    <t xml:space="preserve">Indonesia (Singapore Work Pass holder) </t>
  </si>
  <si>
    <t>Family member of Case 440</t>
  </si>
  <si>
    <t xml:space="preserve">France, UK </t>
  </si>
  <si>
    <t>Contact of Case 269</t>
  </si>
  <si>
    <t>Family member of Case 468</t>
  </si>
  <si>
    <t xml:space="preserve">Switzerland, Iceland </t>
  </si>
  <si>
    <t xml:space="preserve">Netherlands, UK </t>
  </si>
  <si>
    <t xml:space="preserve">Australia (Singapore Work Pass holder) </t>
  </si>
  <si>
    <t>https://www.moh.gov.sg/news-highlights/details/eight-more-cases-discharged-54-new-cases-of-covid-19-infection-confirmed</t>
  </si>
  <si>
    <t xml:space="preserve">Iceland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</si>
</sst>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u/>
      <sz val="11"/>
      <color theme="10"/>
      <name val="Calibri"/>
      <family val="2"/>
      <scheme val="minor"/>
    </font>
    <font>
      <b/>
      <sz val="11"/>
      <color theme="1"/>
      <name val="Arial"/>
      <family val="2"/>
    </font>
    <font>
      <sz val="11"/>
      <color theme="1"/>
      <name val="Arial"/>
      <family val="2"/>
    </font>
    <font>
      <sz val="12"/>
      <color theme="1"/>
      <name val="Arial"/>
      <family val="2"/>
    </font>
    <font>
      <sz val="10"/>
      <color rgb="FF333333"/>
      <name val="Arial"/>
      <family val="2"/>
    </font>
  </fonts>
  <fills count="4">
    <fill>
      <patternFill patternType="none"/>
    </fill>
    <fill>
      <patternFill patternType="gray125"/>
    </fill>
    <fill>
      <patternFill patternType="solid">
        <fgColor rgb="FFFF0000"/>
        <bgColor indexed="64"/>
      </patternFill>
    </fill>
    <fill>
      <patternFill patternType="solid">
        <fgColor rgb="FFFFE599"/>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s>
  <cellStyleXfs count="2">
    <xf numFmtId="0" fontId="0" fillId="0" borderId="0"/>
    <xf numFmtId="0" fontId="1" fillId="0" borderId="0" applyNumberFormat="0" applyFill="0" applyBorder="0" applyAlignment="0" applyProtection="0"/>
  </cellStyleXfs>
  <cellXfs count="32">
    <xf numFmtId="0" fontId="0" fillId="0" borderId="0" xfId="0"/>
    <xf numFmtId="0" fontId="0" fillId="0" borderId="1" xfId="0" applyBorder="1"/>
    <xf numFmtId="15" fontId="0" fillId="0" borderId="1" xfId="0" applyNumberFormat="1" applyBorder="1"/>
    <xf numFmtId="0" fontId="0" fillId="0" borderId="1" xfId="0" applyBorder="1" applyAlignment="1">
      <alignment wrapText="1"/>
    </xf>
    <xf numFmtId="15" fontId="0" fillId="0" borderId="1" xfId="0" applyNumberFormat="1" applyBorder="1" applyAlignment="1">
      <alignment wrapText="1"/>
    </xf>
    <xf numFmtId="0" fontId="1" fillId="0" borderId="1" xfId="1" applyBorder="1"/>
    <xf numFmtId="0" fontId="0" fillId="0" borderId="1" xfId="0" applyFill="1" applyBorder="1"/>
    <xf numFmtId="0" fontId="0" fillId="0" borderId="1" xfId="0" applyFill="1" applyBorder="1" applyAlignment="1">
      <alignment wrapText="1"/>
    </xf>
    <xf numFmtId="15" fontId="0" fillId="0" borderId="0" xfId="0" applyNumberFormat="1"/>
    <xf numFmtId="0" fontId="0" fillId="0" borderId="1" xfId="0" applyFont="1" applyFill="1" applyBorder="1" applyAlignment="1">
      <alignment wrapText="1"/>
    </xf>
    <xf numFmtId="0" fontId="0" fillId="2" borderId="1" xfId="0" applyFill="1" applyBorder="1"/>
    <xf numFmtId="15" fontId="0" fillId="0" borderId="1" xfId="0" applyNumberFormat="1" applyFill="1" applyBorder="1"/>
    <xf numFmtId="0" fontId="1" fillId="0" borderId="1" xfId="1" applyFill="1" applyBorder="1"/>
    <xf numFmtId="0" fontId="1" fillId="0" borderId="0" xfId="1"/>
    <xf numFmtId="0" fontId="0" fillId="0" borderId="2" xfId="0" applyFill="1" applyBorder="1"/>
    <xf numFmtId="0" fontId="0" fillId="0" borderId="2" xfId="0" applyFill="1" applyBorder="1" applyAlignment="1">
      <alignment wrapText="1"/>
    </xf>
    <xf numFmtId="15" fontId="0" fillId="0" borderId="2" xfId="0" applyNumberFormat="1" applyBorder="1"/>
    <xf numFmtId="0" fontId="0" fillId="0" borderId="2" xfId="0" applyBorder="1"/>
    <xf numFmtId="0" fontId="0" fillId="0" borderId="3" xfId="0" applyBorder="1"/>
    <xf numFmtId="15" fontId="0" fillId="0" borderId="3" xfId="0" applyNumberFormat="1" applyBorder="1"/>
    <xf numFmtId="15" fontId="0" fillId="0" borderId="3" xfId="0" applyNumberFormat="1" applyBorder="1" applyAlignment="1">
      <alignment wrapText="1"/>
    </xf>
    <xf numFmtId="0" fontId="0" fillId="0" borderId="3" xfId="0" applyBorder="1" applyAlignment="1">
      <alignment wrapText="1"/>
    </xf>
    <xf numFmtId="0" fontId="0" fillId="0" borderId="0" xfId="0" applyBorder="1"/>
    <xf numFmtId="0" fontId="1" fillId="0" borderId="0" xfId="1" applyAlignment="1">
      <alignment vertical="center"/>
    </xf>
    <xf numFmtId="16" fontId="0" fillId="0" borderId="0" xfId="0" applyNumberFormat="1"/>
    <xf numFmtId="0" fontId="2" fillId="3" borderId="0" xfId="0" applyFont="1" applyFill="1" applyBorder="1" applyAlignment="1">
      <alignment vertical="center" textRotation="90" wrapText="1"/>
    </xf>
    <xf numFmtId="0" fontId="3" fillId="0" borderId="0" xfId="0" applyFont="1" applyBorder="1" applyAlignment="1">
      <alignment vertical="center" wrapText="1"/>
    </xf>
    <xf numFmtId="0" fontId="0" fillId="0" borderId="0" xfId="0" applyBorder="1" applyAlignment="1">
      <alignment vertical="center" wrapText="1"/>
    </xf>
    <xf numFmtId="0" fontId="4" fillId="0" borderId="0" xfId="0" applyFont="1" applyBorder="1" applyAlignment="1">
      <alignment vertical="center" wrapText="1"/>
    </xf>
    <xf numFmtId="15" fontId="0" fillId="0" borderId="4" xfId="0" applyNumberFormat="1" applyBorder="1"/>
    <xf numFmtId="15" fontId="0" fillId="2" borderId="3" xfId="0" applyNumberFormat="1" applyFill="1" applyBorder="1"/>
    <xf numFmtId="0" fontId="5" fillId="0" borderId="1" xfId="0" applyFont="1" applyBorder="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hyperlink" Target="https://www.moh.gov.sg/news-highlights/details/four-more-confirmed-cases-of-novel-coronavirus-infection-in-singapore" TargetMode="External"/><Relationship Id="rId21" Type="http://schemas.openxmlformats.org/officeDocument/2006/relationships/hyperlink" Target="https://www.straitstimes.com/singapore/coronavirus-spore-reports-first-cases-of-local-transmission-4-out-of-6-new-cases-did-not?utm_medium=Social&amp;utm_campaign=STFB&amp;utm_source=Facebook" TargetMode="External"/><Relationship Id="rId42" Type="http://schemas.openxmlformats.org/officeDocument/2006/relationships/hyperlink" Target="https://www.moh.gov.sg/news-highlights/details/one-more-case-discharged-five-new-cases-of-covid19-infection-confirmed" TargetMode="External"/><Relationship Id="rId47" Type="http://schemas.openxmlformats.org/officeDocument/2006/relationships/hyperlink" Target="https://www.moh.gov.sg/news-highlights/details/one-more-case-discharged-three-new-cases-of-covid-19-infection-confirmed" TargetMode="External"/><Relationship Id="rId63" Type="http://schemas.openxmlformats.org/officeDocument/2006/relationships/hyperlink" Target="https://www.moh.gov.sg/news-highlights/details/two-more-cases-discharged-three-new-cases-of-covid-19-infection-confirmed" TargetMode="External"/><Relationship Id="rId68" Type="http://schemas.openxmlformats.org/officeDocument/2006/relationships/hyperlink" Target="https://www.moh.gov.sg/news-highlights/details/four-more-cases-discharged-three-new-cases-of-covid-19-infection-confirmed" TargetMode="External"/><Relationship Id="rId84" Type="http://schemas.openxmlformats.org/officeDocument/2006/relationships/hyperlink" Target="https://www.moh.gov.sg/news-highlights/details/two-new-cases-of-covid-19-infection-confirmed" TargetMode="External"/><Relationship Id="rId89" Type="http://schemas.openxmlformats.org/officeDocument/2006/relationships/hyperlink" Target="https://www.moh.gov.sg/news-highlights/details/two-more-cases-discharged-five-new-cases-of-covid-19-infection-confirmed" TargetMode="External"/><Relationship Id="rId16" Type="http://schemas.openxmlformats.org/officeDocument/2006/relationships/hyperlink" Target="https://www.moh.gov.sg/news-highlights/details/seven-more-confirmed-cases-of-novel-coronavirus-infection-in-singapore" TargetMode="External"/><Relationship Id="rId11" Type="http://schemas.openxmlformats.org/officeDocument/2006/relationships/hyperlink" Target="https://www.moh.gov.sg/news-highlights/details/seven-more-confirmed-cases-of-novel-coronavirus-infection-in-singapore" TargetMode="External"/><Relationship Id="rId32" Type="http://schemas.openxmlformats.org/officeDocument/2006/relationships/hyperlink" Target="https://www.moh.gov.sg/news-highlights/details/six-more-cases-discharged-three-new-cases-of-covid-19-infection-confirmed" TargetMode="External"/><Relationship Id="rId37" Type="http://schemas.openxmlformats.org/officeDocument/2006/relationships/hyperlink" Target="https://www.moh.gov.sg/news-highlights/details/two-more-cases-discharged-nine-new-cases-of-covid-19-infection-confirmed" TargetMode="External"/><Relationship Id="rId53" Type="http://schemas.openxmlformats.org/officeDocument/2006/relationships/hyperlink" Target="https://www.moh.gov.sg/news-highlights/details/five-more-cases-discharged-four-new-cases-of-covid-19-infection-confirmed" TargetMode="External"/><Relationship Id="rId58" Type="http://schemas.openxmlformats.org/officeDocument/2006/relationships/hyperlink" Target="https://www.moh.gov.sg/news-highlights/details/FIVE-MORE-CASES-DISCHARGED-THREE-NEW-CASES-OF-COVID-19-INFECTION-CONFIRMED" TargetMode="External"/><Relationship Id="rId74" Type="http://schemas.openxmlformats.org/officeDocument/2006/relationships/hyperlink" Target="https://www.moh.gov.sg/news-highlights/details/three-more-cases-discharged-four-new-cases-of-covid-19-infection-confirmed" TargetMode="External"/><Relationship Id="rId79" Type="http://schemas.openxmlformats.org/officeDocument/2006/relationships/hyperlink" Target="https://www.moh.gov.sg/news-highlights/details/two-more-cases-discharged-four-new-cases-of-covid-19-infection-confirmed" TargetMode="External"/><Relationship Id="rId5" Type="http://schemas.openxmlformats.org/officeDocument/2006/relationships/hyperlink" Target="https://www.moh.gov.sg/news-highlights/details/four-more-cases-discharged-three-new-confirmed-cases-of-novel-coronavirus-infection" TargetMode="External"/><Relationship Id="rId90" Type="http://schemas.openxmlformats.org/officeDocument/2006/relationships/hyperlink" Target="https://www.moh.gov.sg/news-highlights/details/two-more-cases-discharged-five-new-cases-of-covid-19-infection-confirmed" TargetMode="External"/><Relationship Id="rId14" Type="http://schemas.openxmlformats.org/officeDocument/2006/relationships/hyperlink" Target="https://www.moh.gov.sg/news-highlights/details/seven-more-confirmed-cases-of-novel-coronavirus-infection-in-singapore" TargetMode="External"/><Relationship Id="rId22" Type="http://schemas.openxmlformats.org/officeDocument/2006/relationships/hyperlink" Target="https://www.moh.gov.sg/news-highlights/details/four-more-confirmed-cases-of-novel-coronavirus-infection-in-singapore" TargetMode="External"/><Relationship Id="rId27" Type="http://schemas.openxmlformats.org/officeDocument/2006/relationships/hyperlink" Target="https://www.moh.gov.sg/news-highlights/details/four-more-confirmed-cases-of-novel-coronavirus-infection-in-singapore" TargetMode="External"/><Relationship Id="rId30" Type="http://schemas.openxmlformats.org/officeDocument/2006/relationships/hyperlink" Target="https://www.moh.gov.sg/news-highlights/details/six-more-cases-discharged-three-new-cases-of-covid-19-infection-confirmed" TargetMode="External"/><Relationship Id="rId35" Type="http://schemas.openxmlformats.org/officeDocument/2006/relationships/hyperlink" Target="https://www.moh.gov.sg/news-highlights/details/two-more-cases-discharged-nine-new-cases-of-covid-19-infection-confirmed" TargetMode="External"/><Relationship Id="rId43" Type="http://schemas.openxmlformats.org/officeDocument/2006/relationships/hyperlink" Target="https://www.moh.gov.sg/news-highlights/details/one-more-case-discharged-five-new-cases-of-covid19-infection-confirmed" TargetMode="External"/><Relationship Id="rId48" Type="http://schemas.openxmlformats.org/officeDocument/2006/relationships/hyperlink" Target="https://www.moh.gov.sg/news-highlights/details/one-more-case-discharged-three-new-cases-of-covid-19-infection-confirmed" TargetMode="External"/><Relationship Id="rId56" Type="http://schemas.openxmlformats.org/officeDocument/2006/relationships/hyperlink" Target="https://www.moh.gov.sg/news-highlights/details/FIVE-MORE-CASES-DISCHARGED-THREE-NEW-CASES-OF-COVID-19-INFECTION-CONFIRMED" TargetMode="External"/><Relationship Id="rId64" Type="http://schemas.openxmlformats.org/officeDocument/2006/relationships/hyperlink" Target="https://www.moh.gov.sg/news-highlights/details/two-more-cases-discharged-one-new-case-of-covid-19-infection-confirmed" TargetMode="External"/><Relationship Id="rId69" Type="http://schemas.openxmlformats.org/officeDocument/2006/relationships/hyperlink" Target="https://www.moh.gov.sg/news-highlights/details/four-more-cases-discharged-three-new-cases-of-covid-19-infection-confirmed" TargetMode="External"/><Relationship Id="rId77" Type="http://schemas.openxmlformats.org/officeDocument/2006/relationships/hyperlink" Target="https://www.moh.gov.sg/news-highlights/details/two-more-cases-discharged-four-new-cases-of-covid-19-infection-confirmed" TargetMode="External"/><Relationship Id="rId8" Type="http://schemas.openxmlformats.org/officeDocument/2006/relationships/hyperlink" Target="https://www.moh.gov.sg/news-highlights/details/one-more-case-discharged-two-new-cases-of-novel-coronavirus-infection-confirmed-10feb" TargetMode="External"/><Relationship Id="rId51" Type="http://schemas.openxmlformats.org/officeDocument/2006/relationships/hyperlink" Target="https://www.moh.gov.sg/news-highlights/details/five-more-cases-discharged-two-new-cases-of-covid-19-infection-confirmed" TargetMode="External"/><Relationship Id="rId72" Type="http://schemas.openxmlformats.org/officeDocument/2006/relationships/hyperlink" Target="https://www.moh.gov.sg/news-highlights/details/three-more-cases-discharged-two-new-cases-of-covid-19-infection-confirmed" TargetMode="External"/><Relationship Id="rId80" Type="http://schemas.openxmlformats.org/officeDocument/2006/relationships/hyperlink" Target="https://www.moh.gov.sg/news-highlights/details/two-more-cases-discharged-four-new-cases-of-covid-19-infection-confirmed" TargetMode="External"/><Relationship Id="rId85" Type="http://schemas.openxmlformats.org/officeDocument/2006/relationships/hyperlink" Target="https://www.moh.gov.sg/news-highlights/details/one-more-case-discharged-two-new-cases-of-covid-19-infection-confirmed" TargetMode="External"/><Relationship Id="rId3" Type="http://schemas.openxmlformats.org/officeDocument/2006/relationships/hyperlink" Target="https://www.moh.gov.sg/news-highlights/details/three-more-confirmed-cases-of-novel-coronavirus-infection-in-singapore" TargetMode="External"/><Relationship Id="rId12" Type="http://schemas.openxmlformats.org/officeDocument/2006/relationships/hyperlink" Target="https://www.moh.gov.sg/news-highlights/details/seven-more-confirmed-cases-of-novel-coronavirus-infection-in-singapore" TargetMode="External"/><Relationship Id="rId17" Type="http://schemas.openxmlformats.org/officeDocument/2006/relationships/hyperlink" Target="https://www.moh.gov.sg/news-highlights/details/two-more-cases-discharged-two-new-cases-of-novel-coronavirus-infection-confirmed" TargetMode="External"/><Relationship Id="rId25" Type="http://schemas.openxmlformats.org/officeDocument/2006/relationships/hyperlink" Target="https://www.moh.gov.sg/news-highlights/details/four-more-confirmed-cases-of-novel-coronavirus-infection-in-singapore" TargetMode="External"/><Relationship Id="rId33" Type="http://schemas.openxmlformats.org/officeDocument/2006/relationships/hyperlink" Target="https://www.moh.gov.sg/news-highlights/details/two-more-cases-discharged-nine-new-cases-of-covid-19-infection-confirmed" TargetMode="External"/><Relationship Id="rId38" Type="http://schemas.openxmlformats.org/officeDocument/2006/relationships/hyperlink" Target="https://www.moh.gov.sg/news-highlights/details/two-more-cases-discharged-nine-new-cases-of-covid-19-infection-confirmed" TargetMode="External"/><Relationship Id="rId46" Type="http://schemas.openxmlformats.org/officeDocument/2006/relationships/hyperlink" Target="https://www.moh.gov.sg/news-highlights/details/one-more-case-discharged-five-new-cases-of-covid19-infection-confirmed" TargetMode="External"/><Relationship Id="rId59" Type="http://schemas.openxmlformats.org/officeDocument/2006/relationships/hyperlink" Target="https://www.moh.gov.sg/news-highlights/details/three-more-cases-discharged-one-new-case-of-covid-19-infection-confirmed" TargetMode="External"/><Relationship Id="rId67" Type="http://schemas.openxmlformats.org/officeDocument/2006/relationships/hyperlink" Target="https://www.moh.gov.sg/news-highlights/details/four-more-cases-discharged-two-new-cases-of-covid-19-infection-confirmed" TargetMode="External"/><Relationship Id="rId20" Type="http://schemas.openxmlformats.org/officeDocument/2006/relationships/hyperlink" Target="https://www.straitstimes.com/singapore/coronavirus-spore-reports-first-cases-of-local-transmission-4-out-of-6-new-cases-did-not?utm_medium=Social&amp;utm_campaign=STFB&amp;utm_source=Facebook" TargetMode="External"/><Relationship Id="rId41" Type="http://schemas.openxmlformats.org/officeDocument/2006/relationships/hyperlink" Target="https://www.moh.gov.sg/news-highlights/details/two-more-cases-discharged-nine-new-cases-of-covid-19-infection-confirmed" TargetMode="External"/><Relationship Id="rId54" Type="http://schemas.openxmlformats.org/officeDocument/2006/relationships/hyperlink" Target="https://www.moh.gov.sg/news-highlights/details/five-more-cases-discharged-four-new-cases-of-covid-19-infection-confirmed" TargetMode="External"/><Relationship Id="rId62" Type="http://schemas.openxmlformats.org/officeDocument/2006/relationships/hyperlink" Target="https://www.moh.gov.sg/news-highlights/details/two-more-cases-discharged-three-new-cases-of-covid-19-infection-confirmed" TargetMode="External"/><Relationship Id="rId70" Type="http://schemas.openxmlformats.org/officeDocument/2006/relationships/hyperlink" Target="https://www.moh.gov.sg/news-highlights/details/four-more-cases-discharged-three-new-cases-of-covid-19-infection-confirmed" TargetMode="External"/><Relationship Id="rId75" Type="http://schemas.openxmlformats.org/officeDocument/2006/relationships/hyperlink" Target="https://www.moh.gov.sg/news-highlights/details/three-more-cases-discharged-four-new-cases-of-covid-19-infection-confirmed" TargetMode="External"/><Relationship Id="rId83" Type="http://schemas.openxmlformats.org/officeDocument/2006/relationships/hyperlink" Target="https://www.moh.gov.sg/news-highlights/details/two-new-cases-of-covid-19-infection-confirmed" TargetMode="External"/><Relationship Id="rId88" Type="http://schemas.openxmlformats.org/officeDocument/2006/relationships/hyperlink" Target="https://www.moh.gov.sg/news-highlights/details/two-more-cases-discharged-five-new-cases-of-covid-19-infection-confirmed" TargetMode="External"/><Relationship Id="rId91" Type="http://schemas.openxmlformats.org/officeDocument/2006/relationships/hyperlink" Target="https://www.moh.gov.sg/news-highlights/details/two-more-cases-discharged-five-new-cases-of-covid-19-infection-confirmed" TargetMode="External"/><Relationship Id="rId1" Type="http://schemas.openxmlformats.org/officeDocument/2006/relationships/hyperlink" Target="https://www.moh.gov.sg/news-highlights/details/three-more-confirmed-cases-of-novel-coronavirus-infection-in-singapore" TargetMode="External"/><Relationship Id="rId6" Type="http://schemas.openxmlformats.org/officeDocument/2006/relationships/hyperlink" Target="https://www.moh.gov.sg/news-highlights/details/four-more-cases-discharged-three-new-confirmed-cases-of-novel-coronavirus-infection" TargetMode="External"/><Relationship Id="rId15" Type="http://schemas.openxmlformats.org/officeDocument/2006/relationships/hyperlink" Target="https://www.moh.gov.sg/news-highlights/details/seven-more-confirmed-cases-of-novel-coronavirus-infection-in-singapore" TargetMode="External"/><Relationship Id="rId23" Type="http://schemas.openxmlformats.org/officeDocument/2006/relationships/hyperlink" Target="https://www.moh.gov.sg/news-highlights/details/four-more-confirmed-cases-of-novel-coronavirus-infection-in-singapore" TargetMode="External"/><Relationship Id="rId28" Type="http://schemas.openxmlformats.org/officeDocument/2006/relationships/hyperlink" Target="https://www.moh.gov.sg/news-highlights/details/four-more-confirmed-cases-of-novel-coronavirus-infection-in-singapore" TargetMode="External"/><Relationship Id="rId36" Type="http://schemas.openxmlformats.org/officeDocument/2006/relationships/hyperlink" Target="https://www.moh.gov.sg/news-highlights/details/two-more-cases-discharged-nine-new-cases-of-covid-19-infection-confirmed" TargetMode="External"/><Relationship Id="rId49" Type="http://schemas.openxmlformats.org/officeDocument/2006/relationships/hyperlink" Target="https://www.moh.gov.sg/news-highlights/details/one-more-case-discharged-three-new-cases-of-covid-19-infection-confirmed" TargetMode="External"/><Relationship Id="rId57" Type="http://schemas.openxmlformats.org/officeDocument/2006/relationships/hyperlink" Target="https://www.moh.gov.sg/news-highlights/details/FIVE-MORE-CASES-DISCHARGED-THREE-NEW-CASES-OF-COVID-19-INFECTION-CONFIRMED" TargetMode="External"/><Relationship Id="rId10" Type="http://schemas.openxmlformats.org/officeDocument/2006/relationships/hyperlink" Target="https://www.moh.gov.sg/news-highlights/details/seven-more-confirmed-cases-of-novel-coronavirus-infection-in-singapore" TargetMode="External"/><Relationship Id="rId31" Type="http://schemas.openxmlformats.org/officeDocument/2006/relationships/hyperlink" Target="https://www.moh.gov.sg/news-highlights/details/six-more-cases-discharged-three-new-cases-of-covid-19-infection-confirmed" TargetMode="External"/><Relationship Id="rId44" Type="http://schemas.openxmlformats.org/officeDocument/2006/relationships/hyperlink" Target="https://www.moh.gov.sg/news-highlights/details/one-more-case-discharged-five-new-cases-of-covid19-infection-confirmed" TargetMode="External"/><Relationship Id="rId52" Type="http://schemas.openxmlformats.org/officeDocument/2006/relationships/hyperlink" Target="https://www.moh.gov.sg/news-highlights/details/five-more-cases-discharged-four-new-cases-of-covid-19-infection-confirmed" TargetMode="External"/><Relationship Id="rId60" Type="http://schemas.openxmlformats.org/officeDocument/2006/relationships/hyperlink" Target="https://www.moh.gov.sg/news-highlights/details/ten-more-cases-discharged-one-new-case-of-covid-19-infection-confirmed?0" TargetMode="External"/><Relationship Id="rId65" Type="http://schemas.openxmlformats.org/officeDocument/2006/relationships/hyperlink" Target="https://www.moh.gov.sg/news-highlights/details/five-more-cases-discharged-one-new-case-of-covid-19-infection-confirmed" TargetMode="External"/><Relationship Id="rId73" Type="http://schemas.openxmlformats.org/officeDocument/2006/relationships/hyperlink" Target="https://www.moh.gov.sg/news-highlights/details/three-more-cases-discharged-four-new-cases-of-covid-19-infection-confirmed" TargetMode="External"/><Relationship Id="rId78" Type="http://schemas.openxmlformats.org/officeDocument/2006/relationships/hyperlink" Target="https://www.moh.gov.sg/news-highlights/details/two-more-cases-discharged-four-new-cases-of-covid-19-infection-confirmed" TargetMode="External"/><Relationship Id="rId81" Type="http://schemas.openxmlformats.org/officeDocument/2006/relationships/hyperlink" Target="https://www.moh.gov.sg/news-highlights/details/four-more-cases-discharged-two-new-cases-of-covid-19-infection-confirmed-2Mar" TargetMode="External"/><Relationship Id="rId86" Type="http://schemas.openxmlformats.org/officeDocument/2006/relationships/hyperlink" Target="https://www.moh.gov.sg/news-highlights/details/one-more-case-discharged-two-new-cases-of-covid-19-infection-confirmed" TargetMode="External"/><Relationship Id="rId4" Type="http://schemas.openxmlformats.org/officeDocument/2006/relationships/hyperlink" Target="https://www.moh.gov.sg/news-highlights/details/three-more-confirmed-cases-of-novel-coronavirus-infection-in-singapore" TargetMode="External"/><Relationship Id="rId9" Type="http://schemas.openxmlformats.org/officeDocument/2006/relationships/hyperlink" Target="https://www.moh.gov.sg/news-highlights/details/one-more-case-discharged-two-new-cases-of-novel-coronavirus-infection-confirmed-10feb" TargetMode="External"/><Relationship Id="rId13" Type="http://schemas.openxmlformats.org/officeDocument/2006/relationships/hyperlink" Target="https://www.moh.gov.sg/news-highlights/details/seven-more-confirmed-cases-of-novel-coronavirus-infection-in-singapore" TargetMode="External"/><Relationship Id="rId18" Type="http://schemas.openxmlformats.org/officeDocument/2006/relationships/hyperlink" Target="https://www.moh.gov.sg/news-highlights/details/two-more-cases-discharged-two-new-cases-of-novel-coronavirus-infection-confirmed" TargetMode="External"/><Relationship Id="rId39" Type="http://schemas.openxmlformats.org/officeDocument/2006/relationships/hyperlink" Target="https://www.moh.gov.sg/news-highlights/details/two-more-cases-discharged-nine-new-cases-of-covid-19-infection-confirmed" TargetMode="External"/><Relationship Id="rId34" Type="http://schemas.openxmlformats.org/officeDocument/2006/relationships/hyperlink" Target="https://www.moh.gov.sg/news-highlights/details/two-more-cases-discharged-nine-new-cases-of-covid-19-infection-confirmed" TargetMode="External"/><Relationship Id="rId50" Type="http://schemas.openxmlformats.org/officeDocument/2006/relationships/hyperlink" Target="https://www.moh.gov.sg/news-highlights/details/five-more-cases-discharged-two-new-cases-of-covid-19-infection-confirmed" TargetMode="External"/><Relationship Id="rId55" Type="http://schemas.openxmlformats.org/officeDocument/2006/relationships/hyperlink" Target="https://www.moh.gov.sg/news-highlights/details/five-more-cases-discharged-four-new-cases-of-covid-19-infection-confirmed" TargetMode="External"/><Relationship Id="rId76" Type="http://schemas.openxmlformats.org/officeDocument/2006/relationships/hyperlink" Target="https://www.moh.gov.sg/news-highlights/details/three-more-cases-discharged-four-new-cases-of-covid-19-infection-confirmed" TargetMode="External"/><Relationship Id="rId7" Type="http://schemas.openxmlformats.org/officeDocument/2006/relationships/hyperlink" Target="https://www.moh.gov.sg/news-highlights/details/four-more-cases-discharged-three-new-confirmed-cases-of-novel-coronavirus-infection" TargetMode="External"/><Relationship Id="rId71" Type="http://schemas.openxmlformats.org/officeDocument/2006/relationships/hyperlink" Target="https://www.moh.gov.sg/news-highlights/details/three-more-cases-discharged-two-new-cases-of-covid-19-infection-confirmed" TargetMode="External"/><Relationship Id="rId92" Type="http://schemas.openxmlformats.org/officeDocument/2006/relationships/printerSettings" Target="../printerSettings/printerSettings1.bin"/><Relationship Id="rId2" Type="http://schemas.openxmlformats.org/officeDocument/2006/relationships/hyperlink" Target="https://www.moh.gov.sg/news-highlights/details/three-more-confirmed-cases-of-novel-coronavirus-infection-in-singapore" TargetMode="External"/><Relationship Id="rId29" Type="http://schemas.openxmlformats.org/officeDocument/2006/relationships/hyperlink" Target="https://www.moh.gov.sg/news-highlights/details/two-more-confirmed-cases-of-novel-coronavirus-infection-in-singapore" TargetMode="External"/><Relationship Id="rId24" Type="http://schemas.openxmlformats.org/officeDocument/2006/relationships/hyperlink" Target="https://www.moh.gov.sg/news-highlights/details/four-more-confirmed-cases-of-novel-coronavirus-infection-in-singapore" TargetMode="External"/><Relationship Id="rId40" Type="http://schemas.openxmlformats.org/officeDocument/2006/relationships/hyperlink" Target="https://www.moh.gov.sg/news-highlights/details/two-more-cases-discharged-nine-new-cases-of-covid-19-infection-confirmed" TargetMode="External"/><Relationship Id="rId45" Type="http://schemas.openxmlformats.org/officeDocument/2006/relationships/hyperlink" Target="https://www.moh.gov.sg/news-highlights/details/one-more-case-discharged-five-new-cases-of-covid19-infection-confirmed" TargetMode="External"/><Relationship Id="rId66" Type="http://schemas.openxmlformats.org/officeDocument/2006/relationships/hyperlink" Target="https://www.moh.gov.sg/news-highlights/details/four-more-cases-discharged-two-new-cases-of-covid-19-infection-confirmed" TargetMode="External"/><Relationship Id="rId87" Type="http://schemas.openxmlformats.org/officeDocument/2006/relationships/hyperlink" Target="https://www.moh.gov.sg/news-highlights/details/two-more-cases-discharged-five-new-cases-of-covid-19-infection-confirmed" TargetMode="External"/><Relationship Id="rId61" Type="http://schemas.openxmlformats.org/officeDocument/2006/relationships/hyperlink" Target="https://www.moh.gov.sg/news-highlights/details/two-more-cases-discharged-three-new-cases-of-covid-19-infection-confirmed" TargetMode="External"/><Relationship Id="rId82" Type="http://schemas.openxmlformats.org/officeDocument/2006/relationships/hyperlink" Target="https://www.moh.gov.sg/news-highlights/details/four-more-cases-discharged-two-new-cases-of-covid-19-infection-confirmed-2Mar" TargetMode="External"/><Relationship Id="rId19" Type="http://schemas.openxmlformats.org/officeDocument/2006/relationships/hyperlink" Target="https://www.straitstimes.com/singapore/coronavirus-spore-reports-first-cases-of-local-transmission-4-out-of-6-new-cases-did-not?utm_medium=Social&amp;utm_campaign=STFB&amp;utm_source=Facebook"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6A3E6-F17E-4B11-AD9A-9AB436390748}">
  <sheetPr codeName="Sheet1"/>
  <dimension ref="A1:M510"/>
  <sheetViews>
    <sheetView tabSelected="1" topLeftCell="A337" workbookViewId="0">
      <selection activeCell="B351" sqref="B351"/>
    </sheetView>
  </sheetViews>
  <sheetFormatPr defaultRowHeight="13.8" customHeight="1" x14ac:dyDescent="0.3"/>
  <cols>
    <col min="1" max="1" width="4.88671875" bestFit="1" customWidth="1"/>
    <col min="2" max="2" width="16.44140625" bestFit="1" customWidth="1"/>
    <col min="3" max="4" width="16.44140625" customWidth="1"/>
    <col min="6" max="6" width="29.109375" customWidth="1"/>
    <col min="7" max="7" width="14.6640625" customWidth="1"/>
    <col min="8" max="8" width="14.33203125" bestFit="1" customWidth="1"/>
    <col min="9" max="10" width="14.33203125" customWidth="1"/>
    <col min="11" max="11" width="18.44140625" customWidth="1"/>
    <col min="12" max="12" width="13.5546875" customWidth="1"/>
  </cols>
  <sheetData>
    <row r="1" spans="1:13" ht="13.8" customHeight="1" x14ac:dyDescent="0.3">
      <c r="A1" s="1" t="s">
        <v>0</v>
      </c>
      <c r="B1" s="1" t="s">
        <v>76</v>
      </c>
      <c r="C1" s="1" t="s">
        <v>91</v>
      </c>
      <c r="D1" s="1" t="s">
        <v>92</v>
      </c>
      <c r="E1" s="1" t="s">
        <v>667</v>
      </c>
      <c r="F1" s="1" t="s">
        <v>51</v>
      </c>
      <c r="G1" s="1" t="s">
        <v>50</v>
      </c>
      <c r="H1" s="18" t="s">
        <v>49</v>
      </c>
      <c r="I1" s="18" t="s">
        <v>1133</v>
      </c>
      <c r="J1" s="1" t="s">
        <v>666</v>
      </c>
      <c r="K1" s="1" t="s">
        <v>18</v>
      </c>
      <c r="L1" s="1" t="s">
        <v>131</v>
      </c>
      <c r="M1" s="1" t="s">
        <v>48</v>
      </c>
    </row>
    <row r="2" spans="1:13" ht="13.8" customHeight="1" x14ac:dyDescent="0.3">
      <c r="A2" s="1">
        <v>1</v>
      </c>
      <c r="B2" s="1" t="s">
        <v>77</v>
      </c>
      <c r="C2" s="1" t="s">
        <v>93</v>
      </c>
      <c r="D2" s="1">
        <v>66</v>
      </c>
      <c r="E2" s="1" t="s">
        <v>473</v>
      </c>
      <c r="F2" s="1" t="s">
        <v>52</v>
      </c>
      <c r="G2" s="2">
        <v>43853</v>
      </c>
      <c r="H2" s="19">
        <v>43880</v>
      </c>
      <c r="I2" s="19"/>
      <c r="J2" s="2">
        <v>43851</v>
      </c>
      <c r="K2" s="1"/>
      <c r="L2" s="1" t="s">
        <v>132</v>
      </c>
      <c r="M2" s="1"/>
    </row>
    <row r="3" spans="1:13" ht="13.8" customHeight="1" x14ac:dyDescent="0.3">
      <c r="A3" s="1">
        <v>2</v>
      </c>
      <c r="B3" s="1" t="s">
        <v>77</v>
      </c>
      <c r="C3" s="6" t="s">
        <v>94</v>
      </c>
      <c r="D3" s="1">
        <v>54</v>
      </c>
      <c r="E3" s="1" t="s">
        <v>473</v>
      </c>
      <c r="F3" s="1" t="s">
        <v>53</v>
      </c>
      <c r="G3" s="2">
        <v>43854</v>
      </c>
      <c r="H3" s="19">
        <v>43868</v>
      </c>
      <c r="I3" s="19"/>
      <c r="J3" s="2">
        <v>43851</v>
      </c>
      <c r="K3" s="1"/>
      <c r="L3" s="1" t="s">
        <v>133</v>
      </c>
      <c r="M3" s="1"/>
    </row>
    <row r="4" spans="1:13" ht="13.8" customHeight="1" x14ac:dyDescent="0.3">
      <c r="A4" s="1">
        <v>3</v>
      </c>
      <c r="B4" s="1" t="s">
        <v>77</v>
      </c>
      <c r="C4" s="1" t="s">
        <v>93</v>
      </c>
      <c r="D4" s="1">
        <v>37</v>
      </c>
      <c r="E4" s="1" t="s">
        <v>473</v>
      </c>
      <c r="F4" s="1" t="s">
        <v>54</v>
      </c>
      <c r="G4" s="2">
        <v>43854</v>
      </c>
      <c r="H4" s="19">
        <v>43882</v>
      </c>
      <c r="I4" s="19"/>
      <c r="J4" s="2">
        <v>43853</v>
      </c>
      <c r="K4" s="1"/>
      <c r="L4" s="1" t="s">
        <v>132</v>
      </c>
      <c r="M4" s="1"/>
    </row>
    <row r="5" spans="1:13" ht="13.8" customHeight="1" x14ac:dyDescent="0.3">
      <c r="A5" s="1">
        <v>4</v>
      </c>
      <c r="B5" s="1" t="s">
        <v>77</v>
      </c>
      <c r="C5" s="1" t="s">
        <v>93</v>
      </c>
      <c r="D5" s="1">
        <v>35</v>
      </c>
      <c r="E5" s="1" t="s">
        <v>473</v>
      </c>
      <c r="F5" s="1" t="s">
        <v>58</v>
      </c>
      <c r="G5" s="2">
        <v>43855</v>
      </c>
      <c r="H5" s="19">
        <v>43873</v>
      </c>
      <c r="I5" s="19"/>
      <c r="J5" s="2">
        <v>43853</v>
      </c>
      <c r="K5" s="1"/>
      <c r="L5" s="1" t="s">
        <v>134</v>
      </c>
      <c r="M5" s="1"/>
    </row>
    <row r="6" spans="1:13" ht="13.8" customHeight="1" x14ac:dyDescent="0.3">
      <c r="A6" s="1">
        <v>5</v>
      </c>
      <c r="B6" s="1" t="s">
        <v>77</v>
      </c>
      <c r="C6" s="6" t="s">
        <v>94</v>
      </c>
      <c r="D6" s="1">
        <v>56</v>
      </c>
      <c r="E6" s="1" t="s">
        <v>473</v>
      </c>
      <c r="F6" s="1" t="s">
        <v>59</v>
      </c>
      <c r="G6" s="2">
        <v>43857</v>
      </c>
      <c r="H6" s="19">
        <v>43879</v>
      </c>
      <c r="I6" s="19"/>
      <c r="J6" s="2">
        <v>43854</v>
      </c>
      <c r="K6" s="1"/>
      <c r="L6" s="1" t="s">
        <v>133</v>
      </c>
      <c r="M6" s="1"/>
    </row>
    <row r="7" spans="1:13" ht="13.8" customHeight="1" x14ac:dyDescent="0.3">
      <c r="A7" s="1">
        <v>6</v>
      </c>
      <c r="B7" s="1" t="s">
        <v>77</v>
      </c>
      <c r="C7" s="1" t="s">
        <v>93</v>
      </c>
      <c r="D7" s="1">
        <v>56</v>
      </c>
      <c r="E7" s="1" t="s">
        <v>473</v>
      </c>
      <c r="F7" s="1" t="s">
        <v>60</v>
      </c>
      <c r="G7" s="2">
        <v>43858</v>
      </c>
      <c r="H7" s="19">
        <v>43881</v>
      </c>
      <c r="I7" s="19"/>
      <c r="J7" s="2">
        <v>43855</v>
      </c>
      <c r="K7" s="1"/>
      <c r="L7" s="1" t="s">
        <v>135</v>
      </c>
      <c r="M7" s="1"/>
    </row>
    <row r="8" spans="1:13" ht="13.8" customHeight="1" x14ac:dyDescent="0.3">
      <c r="A8" s="1">
        <v>7</v>
      </c>
      <c r="B8" s="1" t="s">
        <v>77</v>
      </c>
      <c r="C8" s="1" t="s">
        <v>93</v>
      </c>
      <c r="D8" s="1">
        <v>35</v>
      </c>
      <c r="E8" s="1" t="s">
        <v>473</v>
      </c>
      <c r="F8" s="1" t="s">
        <v>61</v>
      </c>
      <c r="G8" s="2">
        <v>43858</v>
      </c>
      <c r="H8" s="19">
        <v>43865</v>
      </c>
      <c r="I8" s="19"/>
      <c r="J8" s="2">
        <v>43854</v>
      </c>
      <c r="K8" s="1"/>
      <c r="L8" s="1" t="s">
        <v>133</v>
      </c>
      <c r="M8" s="1"/>
    </row>
    <row r="9" spans="1:13" ht="13.8" customHeight="1" x14ac:dyDescent="0.3">
      <c r="A9" s="1">
        <v>8</v>
      </c>
      <c r="B9" s="1" t="s">
        <v>77</v>
      </c>
      <c r="C9" s="6" t="s">
        <v>94</v>
      </c>
      <c r="D9" s="1">
        <v>56</v>
      </c>
      <c r="E9" s="1" t="s">
        <v>473</v>
      </c>
      <c r="F9" s="1" t="s">
        <v>62</v>
      </c>
      <c r="G9" s="2">
        <v>43859</v>
      </c>
      <c r="H9" s="19">
        <v>43879</v>
      </c>
      <c r="I9" s="19"/>
      <c r="J9" s="2">
        <v>43854</v>
      </c>
      <c r="K9" s="1" t="s">
        <v>17</v>
      </c>
      <c r="L9" s="1" t="s">
        <v>133</v>
      </c>
      <c r="M9" s="1"/>
    </row>
    <row r="10" spans="1:13" ht="13.8" customHeight="1" x14ac:dyDescent="0.3">
      <c r="A10" s="1">
        <v>9</v>
      </c>
      <c r="B10" s="1" t="s">
        <v>77</v>
      </c>
      <c r="C10" s="1" t="s">
        <v>93</v>
      </c>
      <c r="D10" s="1">
        <v>56</v>
      </c>
      <c r="E10" s="1" t="s">
        <v>473</v>
      </c>
      <c r="F10" s="1" t="s">
        <v>63</v>
      </c>
      <c r="G10" s="2">
        <v>43859</v>
      </c>
      <c r="H10" s="19">
        <v>43884</v>
      </c>
      <c r="I10" s="19"/>
      <c r="J10" s="2">
        <v>43854</v>
      </c>
      <c r="K10" s="1" t="s">
        <v>17</v>
      </c>
      <c r="L10" s="1" t="s">
        <v>133</v>
      </c>
      <c r="M10" s="1"/>
    </row>
    <row r="11" spans="1:13" ht="13.8" customHeight="1" x14ac:dyDescent="0.3">
      <c r="A11" s="1">
        <v>10</v>
      </c>
      <c r="B11" s="1" t="s">
        <v>77</v>
      </c>
      <c r="C11" s="1" t="s">
        <v>93</v>
      </c>
      <c r="D11" s="1">
        <v>56</v>
      </c>
      <c r="E11" s="1" t="s">
        <v>473</v>
      </c>
      <c r="F11" s="1" t="s">
        <v>60</v>
      </c>
      <c r="G11" s="2">
        <v>43859</v>
      </c>
      <c r="H11" s="19">
        <v>43870</v>
      </c>
      <c r="I11" s="19"/>
      <c r="J11" s="2">
        <v>43851</v>
      </c>
      <c r="K11" s="1"/>
      <c r="L11" s="1" t="s">
        <v>133</v>
      </c>
      <c r="M11" s="1"/>
    </row>
    <row r="12" spans="1:13" ht="13.8" customHeight="1" x14ac:dyDescent="0.3">
      <c r="A12" s="1">
        <v>11</v>
      </c>
      <c r="B12" s="1" t="s">
        <v>77</v>
      </c>
      <c r="C12" s="6" t="s">
        <v>94</v>
      </c>
      <c r="D12" s="1">
        <v>31</v>
      </c>
      <c r="E12" s="1" t="s">
        <v>473</v>
      </c>
      <c r="F12" s="1" t="s">
        <v>64</v>
      </c>
      <c r="G12" s="2">
        <v>43860</v>
      </c>
      <c r="H12" s="19">
        <v>43871</v>
      </c>
      <c r="I12" s="19"/>
      <c r="J12" s="2">
        <v>43857</v>
      </c>
      <c r="K12" s="1"/>
      <c r="L12" s="1" t="s">
        <v>133</v>
      </c>
      <c r="M12" s="1"/>
    </row>
    <row r="13" spans="1:13" ht="13.8" customHeight="1" x14ac:dyDescent="0.3">
      <c r="A13" s="1">
        <v>12</v>
      </c>
      <c r="B13" s="1" t="s">
        <v>77</v>
      </c>
      <c r="C13" s="6" t="s">
        <v>94</v>
      </c>
      <c r="D13" s="1">
        <v>37</v>
      </c>
      <c r="E13" s="1" t="s">
        <v>473</v>
      </c>
      <c r="F13" s="1" t="s">
        <v>65</v>
      </c>
      <c r="G13" s="2">
        <v>43860</v>
      </c>
      <c r="H13" s="19">
        <v>43873</v>
      </c>
      <c r="I13" s="19"/>
      <c r="J13" s="2">
        <v>43856</v>
      </c>
      <c r="K13" s="1"/>
      <c r="L13" s="1" t="s">
        <v>133</v>
      </c>
      <c r="M13" s="1"/>
    </row>
    <row r="14" spans="1:13" ht="13.8" customHeight="1" x14ac:dyDescent="0.3">
      <c r="A14" s="1">
        <v>13</v>
      </c>
      <c r="B14" s="1" t="s">
        <v>77</v>
      </c>
      <c r="C14" s="6" t="s">
        <v>94</v>
      </c>
      <c r="D14" s="1">
        <v>73</v>
      </c>
      <c r="E14" s="1" t="s">
        <v>473</v>
      </c>
      <c r="F14" s="1" t="s">
        <v>66</v>
      </c>
      <c r="G14" s="2">
        <v>43860</v>
      </c>
      <c r="H14" s="19">
        <v>43870</v>
      </c>
      <c r="I14" s="19"/>
      <c r="J14" s="2">
        <v>43858</v>
      </c>
      <c r="K14" s="1"/>
      <c r="L14" s="1" t="s">
        <v>133</v>
      </c>
      <c r="M14" s="1"/>
    </row>
    <row r="15" spans="1:13" ht="13.8" customHeight="1" x14ac:dyDescent="0.3">
      <c r="A15" s="1">
        <v>14</v>
      </c>
      <c r="B15" s="1" t="s">
        <v>77</v>
      </c>
      <c r="C15" s="1" t="s">
        <v>93</v>
      </c>
      <c r="D15" s="1">
        <v>31</v>
      </c>
      <c r="E15" s="1" t="s">
        <v>503</v>
      </c>
      <c r="F15" s="1" t="s">
        <v>67</v>
      </c>
      <c r="G15" s="2">
        <v>43861</v>
      </c>
      <c r="H15" s="8">
        <v>43878</v>
      </c>
      <c r="I15" s="8"/>
      <c r="J15" s="2">
        <v>43858</v>
      </c>
      <c r="K15" s="1"/>
      <c r="L15" s="1" t="s">
        <v>133</v>
      </c>
      <c r="M15" s="1"/>
    </row>
    <row r="16" spans="1:13" ht="13.8" customHeight="1" x14ac:dyDescent="0.3">
      <c r="A16" s="1">
        <v>15</v>
      </c>
      <c r="B16" s="1" t="s">
        <v>77</v>
      </c>
      <c r="C16" s="6" t="s">
        <v>94</v>
      </c>
      <c r="D16" s="1">
        <v>47</v>
      </c>
      <c r="E16" s="1" t="s">
        <v>503</v>
      </c>
      <c r="F16" s="1" t="s">
        <v>70</v>
      </c>
      <c r="G16" s="2">
        <v>43861</v>
      </c>
      <c r="H16" s="8">
        <v>43877</v>
      </c>
      <c r="I16" s="8"/>
      <c r="J16" s="2">
        <v>43860</v>
      </c>
      <c r="K16" s="1"/>
      <c r="L16" s="1" t="s">
        <v>133</v>
      </c>
      <c r="M16" s="1"/>
    </row>
    <row r="17" spans="1:13" ht="13.8" customHeight="1" x14ac:dyDescent="0.3">
      <c r="A17" s="1">
        <v>16</v>
      </c>
      <c r="B17" s="1" t="s">
        <v>77</v>
      </c>
      <c r="C17" s="1" t="s">
        <v>93</v>
      </c>
      <c r="D17" s="1">
        <v>38</v>
      </c>
      <c r="E17" s="1" t="s">
        <v>473</v>
      </c>
      <c r="F17" s="1" t="s">
        <v>68</v>
      </c>
      <c r="G17" s="2">
        <v>43861</v>
      </c>
      <c r="H17" s="19">
        <v>43881</v>
      </c>
      <c r="I17" s="19"/>
      <c r="J17" s="2">
        <v>43853</v>
      </c>
      <c r="K17" s="1"/>
      <c r="L17" s="1" t="s">
        <v>132</v>
      </c>
      <c r="M17" s="1"/>
    </row>
    <row r="18" spans="1:13" ht="13.8" customHeight="1" x14ac:dyDescent="0.3">
      <c r="A18" s="1">
        <v>17</v>
      </c>
      <c r="B18" s="1" t="s">
        <v>77</v>
      </c>
      <c r="C18" s="6" t="s">
        <v>94</v>
      </c>
      <c r="D18" s="1">
        <v>17</v>
      </c>
      <c r="E18" s="1" t="s">
        <v>503</v>
      </c>
      <c r="F18" s="1" t="s">
        <v>71</v>
      </c>
      <c r="G18" s="2">
        <v>43862</v>
      </c>
      <c r="H18" s="19">
        <v>43872</v>
      </c>
      <c r="I18" s="19"/>
      <c r="J18" s="2">
        <v>43860</v>
      </c>
      <c r="K18" s="1"/>
      <c r="L18" s="1" t="s">
        <v>133</v>
      </c>
      <c r="M18" s="1"/>
    </row>
    <row r="19" spans="1:13" ht="13.8" customHeight="1" x14ac:dyDescent="0.3">
      <c r="A19" s="1">
        <v>18</v>
      </c>
      <c r="B19" s="1" t="s">
        <v>77</v>
      </c>
      <c r="C19" s="6" t="s">
        <v>94</v>
      </c>
      <c r="D19" s="1">
        <v>31</v>
      </c>
      <c r="E19" s="1" t="s">
        <v>473</v>
      </c>
      <c r="F19" s="1" t="s">
        <v>64</v>
      </c>
      <c r="G19" s="2">
        <v>43862</v>
      </c>
      <c r="H19" s="19">
        <v>43888</v>
      </c>
      <c r="I19" s="19"/>
      <c r="J19" s="2">
        <v>43860</v>
      </c>
      <c r="K19" s="1"/>
      <c r="L19" s="1" t="s">
        <v>133</v>
      </c>
      <c r="M19" s="1"/>
    </row>
    <row r="20" spans="1:13" ht="13.8" customHeight="1" x14ac:dyDescent="0.3">
      <c r="A20" s="1">
        <v>19</v>
      </c>
      <c r="B20" s="1" t="s">
        <v>78</v>
      </c>
      <c r="C20" s="6" t="s">
        <v>94</v>
      </c>
      <c r="D20" s="1">
        <v>28</v>
      </c>
      <c r="E20" s="1" t="s">
        <v>503</v>
      </c>
      <c r="F20" s="3" t="s">
        <v>29</v>
      </c>
      <c r="G20" s="4">
        <v>43865</v>
      </c>
      <c r="H20" s="20">
        <v>43883</v>
      </c>
      <c r="I20" s="20"/>
      <c r="J20" s="2">
        <v>43859</v>
      </c>
      <c r="K20" s="1" t="s">
        <v>19</v>
      </c>
      <c r="L20" s="1" t="s">
        <v>132</v>
      </c>
      <c r="M20" s="5" t="s">
        <v>41</v>
      </c>
    </row>
    <row r="21" spans="1:13" ht="13.8" customHeight="1" x14ac:dyDescent="0.3">
      <c r="A21" s="1">
        <v>20</v>
      </c>
      <c r="B21" s="1" t="s">
        <v>78</v>
      </c>
      <c r="C21" s="6" t="s">
        <v>94</v>
      </c>
      <c r="D21" s="1">
        <v>48</v>
      </c>
      <c r="E21" s="1" t="s">
        <v>503</v>
      </c>
      <c r="F21" s="3" t="s">
        <v>30</v>
      </c>
      <c r="G21" s="4">
        <v>43865</v>
      </c>
      <c r="H21" s="20">
        <v>43890</v>
      </c>
      <c r="I21" s="20"/>
      <c r="J21" s="2">
        <v>43855</v>
      </c>
      <c r="K21" s="1" t="s">
        <v>19</v>
      </c>
      <c r="L21" s="1" t="s">
        <v>133</v>
      </c>
      <c r="M21" s="5" t="s">
        <v>41</v>
      </c>
    </row>
    <row r="22" spans="1:13" ht="13.8" customHeight="1" x14ac:dyDescent="0.3">
      <c r="A22" s="1">
        <v>21</v>
      </c>
      <c r="B22" s="1" t="s">
        <v>78</v>
      </c>
      <c r="C22" s="6" t="s">
        <v>94</v>
      </c>
      <c r="D22" s="1">
        <v>44</v>
      </c>
      <c r="E22" s="1" t="s">
        <v>519</v>
      </c>
      <c r="F22" s="3" t="s">
        <v>31</v>
      </c>
      <c r="G22" s="4">
        <v>43865</v>
      </c>
      <c r="H22" s="20">
        <v>43879</v>
      </c>
      <c r="I22" s="20"/>
      <c r="J22" s="2">
        <v>43863</v>
      </c>
      <c r="K22" s="1" t="s">
        <v>19</v>
      </c>
      <c r="L22" s="1" t="s">
        <v>132</v>
      </c>
      <c r="M22" s="5" t="s">
        <v>41</v>
      </c>
    </row>
    <row r="23" spans="1:13" ht="13.8" customHeight="1" x14ac:dyDescent="0.3">
      <c r="A23" s="1">
        <v>22</v>
      </c>
      <c r="B23" s="1" t="s">
        <v>79</v>
      </c>
      <c r="C23" s="1" t="s">
        <v>93</v>
      </c>
      <c r="D23" s="1">
        <v>41</v>
      </c>
      <c r="E23" s="1" t="s">
        <v>503</v>
      </c>
      <c r="F23" s="3" t="s">
        <v>151</v>
      </c>
      <c r="G23" s="4">
        <v>43865</v>
      </c>
      <c r="H23" s="19">
        <v>43870</v>
      </c>
      <c r="I23" s="19"/>
      <c r="J23" s="1"/>
      <c r="K23" s="1"/>
      <c r="L23" s="1" t="s">
        <v>133</v>
      </c>
      <c r="M23" s="5" t="s">
        <v>42</v>
      </c>
    </row>
    <row r="24" spans="1:13" ht="13.8" customHeight="1" x14ac:dyDescent="0.3">
      <c r="A24" s="1">
        <v>23</v>
      </c>
      <c r="B24" s="1" t="s">
        <v>79</v>
      </c>
      <c r="C24" s="1" t="s">
        <v>93</v>
      </c>
      <c r="D24" s="1">
        <v>17</v>
      </c>
      <c r="E24" s="1" t="s">
        <v>503</v>
      </c>
      <c r="F24" s="3" t="s">
        <v>152</v>
      </c>
      <c r="G24" s="4">
        <v>43865</v>
      </c>
      <c r="H24" s="20">
        <v>43882</v>
      </c>
      <c r="I24" s="20"/>
      <c r="J24" s="1"/>
      <c r="K24" s="1"/>
      <c r="L24" s="1" t="s">
        <v>133</v>
      </c>
      <c r="M24" s="5" t="s">
        <v>42</v>
      </c>
    </row>
    <row r="25" spans="1:13" ht="13.8" customHeight="1" x14ac:dyDescent="0.3">
      <c r="A25" s="1">
        <v>24</v>
      </c>
      <c r="B25" s="1" t="s">
        <v>78</v>
      </c>
      <c r="C25" s="6" t="s">
        <v>94</v>
      </c>
      <c r="D25" s="1">
        <v>32</v>
      </c>
      <c r="E25" s="1" t="s">
        <v>503</v>
      </c>
      <c r="F25" s="3" t="s">
        <v>43</v>
      </c>
      <c r="G25" s="4">
        <v>43865</v>
      </c>
      <c r="H25" s="20">
        <v>43876</v>
      </c>
      <c r="I25" s="20"/>
      <c r="J25" s="2">
        <v>43860</v>
      </c>
      <c r="K25" s="1" t="s">
        <v>19</v>
      </c>
      <c r="L25" s="1" t="s">
        <v>133</v>
      </c>
      <c r="M25" s="5" t="s">
        <v>42</v>
      </c>
    </row>
    <row r="26" spans="1:13" ht="13.8" customHeight="1" x14ac:dyDescent="0.3">
      <c r="A26" s="1">
        <v>25</v>
      </c>
      <c r="B26" s="1" t="s">
        <v>78</v>
      </c>
      <c r="C26" s="1" t="s">
        <v>93</v>
      </c>
      <c r="D26" s="1">
        <v>25</v>
      </c>
      <c r="E26" s="1" t="s">
        <v>503</v>
      </c>
      <c r="F26" s="3" t="s">
        <v>44</v>
      </c>
      <c r="G26" s="4">
        <v>43866</v>
      </c>
      <c r="H26" s="20">
        <v>43873</v>
      </c>
      <c r="I26" s="20"/>
      <c r="J26" s="2">
        <v>43854</v>
      </c>
      <c r="K26" s="1" t="s">
        <v>19</v>
      </c>
      <c r="L26" s="1" t="s">
        <v>133</v>
      </c>
      <c r="M26" s="5" t="s">
        <v>42</v>
      </c>
    </row>
    <row r="27" spans="1:13" ht="13.8" customHeight="1" x14ac:dyDescent="0.3">
      <c r="A27" s="1">
        <v>26</v>
      </c>
      <c r="B27" s="1" t="s">
        <v>77</v>
      </c>
      <c r="C27" s="6" t="s">
        <v>94</v>
      </c>
      <c r="D27" s="1">
        <v>42</v>
      </c>
      <c r="E27" s="1" t="s">
        <v>473</v>
      </c>
      <c r="F27" s="3" t="s">
        <v>69</v>
      </c>
      <c r="G27" s="4">
        <v>43866</v>
      </c>
      <c r="H27" s="19">
        <v>43870</v>
      </c>
      <c r="I27" s="19"/>
      <c r="J27" s="2">
        <v>43858</v>
      </c>
      <c r="K27" s="1"/>
      <c r="L27" s="1" t="s">
        <v>133</v>
      </c>
      <c r="M27" s="5" t="s">
        <v>42</v>
      </c>
    </row>
    <row r="28" spans="1:13" ht="13.8" customHeight="1" x14ac:dyDescent="0.3">
      <c r="A28" s="1">
        <v>27</v>
      </c>
      <c r="B28" s="1" t="s">
        <v>78</v>
      </c>
      <c r="C28" s="1" t="s">
        <v>93</v>
      </c>
      <c r="D28" s="1">
        <v>45</v>
      </c>
      <c r="E28" s="1" t="s">
        <v>503</v>
      </c>
      <c r="F28" s="3" t="s">
        <v>45</v>
      </c>
      <c r="G28" s="4">
        <v>43866</v>
      </c>
      <c r="H28" s="20">
        <v>43882</v>
      </c>
      <c r="I28" s="20"/>
      <c r="J28" s="2">
        <v>43862</v>
      </c>
      <c r="K28" s="1" t="s">
        <v>19</v>
      </c>
      <c r="L28" s="1" t="s">
        <v>133</v>
      </c>
      <c r="M28" s="5" t="s">
        <v>42</v>
      </c>
    </row>
    <row r="29" spans="1:13" ht="13.8" customHeight="1" x14ac:dyDescent="0.3">
      <c r="A29" s="1">
        <v>28</v>
      </c>
      <c r="B29" s="1" t="s">
        <v>78</v>
      </c>
      <c r="C29" s="1" t="s">
        <v>93</v>
      </c>
      <c r="D29" s="1">
        <v>0.5</v>
      </c>
      <c r="E29" s="1" t="s">
        <v>503</v>
      </c>
      <c r="F29" s="3" t="s">
        <v>45</v>
      </c>
      <c r="G29" s="4">
        <v>43866</v>
      </c>
      <c r="H29" s="20">
        <v>43883</v>
      </c>
      <c r="I29" s="20"/>
      <c r="J29" s="1"/>
      <c r="K29" s="1" t="s">
        <v>19</v>
      </c>
      <c r="L29" s="1" t="s">
        <v>136</v>
      </c>
      <c r="M29" s="5" t="s">
        <v>42</v>
      </c>
    </row>
    <row r="30" spans="1:13" ht="13.8" customHeight="1" x14ac:dyDescent="0.3">
      <c r="A30" s="1">
        <v>29</v>
      </c>
      <c r="B30" s="1" t="s">
        <v>78</v>
      </c>
      <c r="C30" s="1" t="s">
        <v>93</v>
      </c>
      <c r="D30" s="1">
        <v>41</v>
      </c>
      <c r="E30" s="1" t="s">
        <v>503</v>
      </c>
      <c r="F30" s="3" t="s">
        <v>46</v>
      </c>
      <c r="G30" s="4">
        <v>43867</v>
      </c>
      <c r="H30" s="20">
        <v>43873</v>
      </c>
      <c r="I30" s="20"/>
      <c r="J30" s="2">
        <v>43858</v>
      </c>
      <c r="K30" s="1"/>
      <c r="L30" s="1" t="s">
        <v>133</v>
      </c>
      <c r="M30" s="5" t="s">
        <v>47</v>
      </c>
    </row>
    <row r="31" spans="1:13" ht="13.8" customHeight="1" x14ac:dyDescent="0.3">
      <c r="A31" s="1">
        <v>30</v>
      </c>
      <c r="B31" s="1" t="s">
        <v>78</v>
      </c>
      <c r="C31" s="1" t="s">
        <v>93</v>
      </c>
      <c r="D31" s="1">
        <v>27</v>
      </c>
      <c r="E31" s="1" t="s">
        <v>503</v>
      </c>
      <c r="F31" s="3" t="s">
        <v>36</v>
      </c>
      <c r="G31" s="4">
        <v>43867</v>
      </c>
      <c r="H31" s="20">
        <v>43875</v>
      </c>
      <c r="I31" s="20"/>
      <c r="J31" s="2">
        <v>43851</v>
      </c>
      <c r="K31" s="1" t="s">
        <v>20</v>
      </c>
      <c r="L31" s="1" t="s">
        <v>133</v>
      </c>
      <c r="M31" s="5" t="s">
        <v>33</v>
      </c>
    </row>
    <row r="32" spans="1:13" ht="13.8" customHeight="1" x14ac:dyDescent="0.3">
      <c r="A32" s="1">
        <v>31</v>
      </c>
      <c r="B32" s="1" t="s">
        <v>78</v>
      </c>
      <c r="C32" s="1" t="s">
        <v>93</v>
      </c>
      <c r="D32" s="1">
        <v>53</v>
      </c>
      <c r="E32" s="1" t="s">
        <v>503</v>
      </c>
      <c r="F32" s="3" t="s">
        <v>32</v>
      </c>
      <c r="G32" s="4">
        <v>43868</v>
      </c>
      <c r="H32" s="8">
        <v>43878</v>
      </c>
      <c r="I32" s="8"/>
      <c r="J32" s="2">
        <v>43853</v>
      </c>
      <c r="K32" s="1" t="s">
        <v>17</v>
      </c>
      <c r="L32" s="1" t="s">
        <v>135</v>
      </c>
      <c r="M32" s="5" t="s">
        <v>33</v>
      </c>
    </row>
    <row r="33" spans="1:13" ht="13.8" customHeight="1" x14ac:dyDescent="0.3">
      <c r="A33" s="1">
        <v>32</v>
      </c>
      <c r="B33" s="1" t="s">
        <v>78</v>
      </c>
      <c r="C33" s="6" t="s">
        <v>94</v>
      </c>
      <c r="D33" s="1">
        <v>42</v>
      </c>
      <c r="E33" s="1" t="s">
        <v>503</v>
      </c>
      <c r="F33" s="3" t="s">
        <v>34</v>
      </c>
      <c r="G33" s="4">
        <v>43868</v>
      </c>
      <c r="H33" s="19">
        <v>43880</v>
      </c>
      <c r="I33" s="19"/>
      <c r="J33" s="2">
        <v>43863</v>
      </c>
      <c r="K33" s="1"/>
      <c r="L33" s="1" t="s">
        <v>133</v>
      </c>
      <c r="M33" s="5" t="s">
        <v>33</v>
      </c>
    </row>
    <row r="34" spans="1:13" ht="13.8" customHeight="1" x14ac:dyDescent="0.3">
      <c r="A34" s="1">
        <v>33</v>
      </c>
      <c r="B34" s="1" t="s">
        <v>78</v>
      </c>
      <c r="C34" s="6" t="s">
        <v>94</v>
      </c>
      <c r="D34" s="1">
        <v>39</v>
      </c>
      <c r="E34" s="1" t="s">
        <v>503</v>
      </c>
      <c r="F34" s="3" t="s">
        <v>35</v>
      </c>
      <c r="G34" s="4">
        <v>43868</v>
      </c>
      <c r="H34" s="19">
        <v>43880</v>
      </c>
      <c r="I34" s="19"/>
      <c r="J34" s="2">
        <v>43860</v>
      </c>
      <c r="K34" s="1" t="s">
        <v>17</v>
      </c>
      <c r="L34" s="1" t="s">
        <v>134</v>
      </c>
      <c r="M34" s="5" t="s">
        <v>33</v>
      </c>
    </row>
    <row r="35" spans="1:13" ht="13.8" customHeight="1" x14ac:dyDescent="0.3">
      <c r="A35" s="1">
        <v>34</v>
      </c>
      <c r="B35" s="1" t="s">
        <v>78</v>
      </c>
      <c r="C35" s="6" t="s">
        <v>94</v>
      </c>
      <c r="D35" s="1">
        <v>40</v>
      </c>
      <c r="E35" s="1" t="s">
        <v>503</v>
      </c>
      <c r="F35" s="3" t="s">
        <v>1</v>
      </c>
      <c r="G35" s="4">
        <v>43869</v>
      </c>
      <c r="H35" s="20">
        <v>43873</v>
      </c>
      <c r="I35" s="20"/>
      <c r="J35" s="2">
        <v>43857</v>
      </c>
      <c r="K35" s="1" t="s">
        <v>19</v>
      </c>
      <c r="L35" s="1" t="s">
        <v>133</v>
      </c>
      <c r="M35" s="5" t="s">
        <v>39</v>
      </c>
    </row>
    <row r="36" spans="1:13" ht="13.8" customHeight="1" x14ac:dyDescent="0.3">
      <c r="A36" s="1">
        <v>35</v>
      </c>
      <c r="B36" s="1" t="s">
        <v>78</v>
      </c>
      <c r="C36" s="1" t="s">
        <v>93</v>
      </c>
      <c r="D36" s="1">
        <v>64</v>
      </c>
      <c r="E36" s="1" t="s">
        <v>503</v>
      </c>
      <c r="F36" s="3" t="s">
        <v>2</v>
      </c>
      <c r="G36" s="4">
        <v>43869</v>
      </c>
      <c r="H36" s="21"/>
      <c r="I36" s="21"/>
      <c r="J36" s="2">
        <v>43860</v>
      </c>
      <c r="K36" s="1"/>
      <c r="L36" s="1" t="s">
        <v>132</v>
      </c>
      <c r="M36" s="5" t="s">
        <v>39</v>
      </c>
    </row>
    <row r="37" spans="1:13" ht="13.8" customHeight="1" x14ac:dyDescent="0.3">
      <c r="A37" s="1">
        <v>36</v>
      </c>
      <c r="B37" s="1" t="s">
        <v>78</v>
      </c>
      <c r="C37" s="6" t="s">
        <v>94</v>
      </c>
      <c r="D37" s="1">
        <v>38</v>
      </c>
      <c r="E37" s="1" t="s">
        <v>503</v>
      </c>
      <c r="F37" s="3" t="s">
        <v>3</v>
      </c>
      <c r="G37" s="4">
        <v>43869</v>
      </c>
      <c r="H37" s="20">
        <v>43872</v>
      </c>
      <c r="I37" s="20"/>
      <c r="J37" s="2">
        <v>43854</v>
      </c>
      <c r="K37" s="1" t="s">
        <v>20</v>
      </c>
      <c r="L37" s="1" t="s">
        <v>133</v>
      </c>
      <c r="M37" s="5" t="s">
        <v>39</v>
      </c>
    </row>
    <row r="38" spans="1:13" ht="13.8" customHeight="1" x14ac:dyDescent="0.3">
      <c r="A38" s="1">
        <v>37</v>
      </c>
      <c r="B38" s="1" t="s">
        <v>78</v>
      </c>
      <c r="C38" s="1" t="s">
        <v>93</v>
      </c>
      <c r="D38" s="1">
        <v>53</v>
      </c>
      <c r="E38" s="1" t="s">
        <v>503</v>
      </c>
      <c r="F38" s="3" t="s">
        <v>4</v>
      </c>
      <c r="G38" s="4">
        <v>43869</v>
      </c>
      <c r="H38" s="20">
        <v>43892</v>
      </c>
      <c r="I38" s="20"/>
      <c r="J38" s="2">
        <v>43860</v>
      </c>
      <c r="K38" s="1"/>
      <c r="L38" s="1" t="s">
        <v>133</v>
      </c>
      <c r="M38" s="5" t="s">
        <v>39</v>
      </c>
    </row>
    <row r="39" spans="1:13" ht="13.8" customHeight="1" x14ac:dyDescent="0.3">
      <c r="A39" s="1">
        <v>38</v>
      </c>
      <c r="B39" s="1" t="s">
        <v>78</v>
      </c>
      <c r="C39" s="6" t="s">
        <v>94</v>
      </c>
      <c r="D39" s="1">
        <v>52</v>
      </c>
      <c r="E39" s="1" t="s">
        <v>503</v>
      </c>
      <c r="F39" s="3" t="s">
        <v>5</v>
      </c>
      <c r="G39" s="4">
        <v>43869</v>
      </c>
      <c r="H39" s="20">
        <v>43879</v>
      </c>
      <c r="I39" s="20"/>
      <c r="J39" s="2">
        <v>43864</v>
      </c>
      <c r="K39" s="1" t="s">
        <v>17</v>
      </c>
      <c r="L39" s="1" t="s">
        <v>133</v>
      </c>
      <c r="M39" s="5" t="s">
        <v>39</v>
      </c>
    </row>
    <row r="40" spans="1:13" ht="13.8" customHeight="1" x14ac:dyDescent="0.3">
      <c r="A40" s="1">
        <v>39</v>
      </c>
      <c r="B40" s="1" t="s">
        <v>78</v>
      </c>
      <c r="C40" s="1" t="s">
        <v>93</v>
      </c>
      <c r="D40" s="1">
        <v>51</v>
      </c>
      <c r="E40" s="1" t="s">
        <v>503</v>
      </c>
      <c r="F40" s="3" t="s">
        <v>6</v>
      </c>
      <c r="G40" s="4">
        <v>43869</v>
      </c>
      <c r="H40" s="20">
        <v>43877</v>
      </c>
      <c r="I40" s="20"/>
      <c r="J40" s="2">
        <v>43859</v>
      </c>
      <c r="K40" s="1" t="s">
        <v>20</v>
      </c>
      <c r="L40" s="1" t="s">
        <v>133</v>
      </c>
      <c r="M40" s="5" t="s">
        <v>39</v>
      </c>
    </row>
    <row r="41" spans="1:13" ht="13.8" customHeight="1" x14ac:dyDescent="0.3">
      <c r="A41" s="1">
        <v>40</v>
      </c>
      <c r="B41" s="1" t="s">
        <v>78</v>
      </c>
      <c r="C41" s="1" t="s">
        <v>93</v>
      </c>
      <c r="D41" s="1">
        <v>36</v>
      </c>
      <c r="E41" s="1" t="s">
        <v>503</v>
      </c>
      <c r="F41" s="3" t="s">
        <v>7</v>
      </c>
      <c r="G41" s="4">
        <v>43869</v>
      </c>
      <c r="H41" s="20">
        <v>43873</v>
      </c>
      <c r="I41" s="20"/>
      <c r="J41" s="2">
        <v>43860</v>
      </c>
      <c r="K41" s="1" t="s">
        <v>19</v>
      </c>
      <c r="L41" s="1" t="s">
        <v>133</v>
      </c>
      <c r="M41" s="5" t="s">
        <v>39</v>
      </c>
    </row>
    <row r="42" spans="1:13" ht="13.8" customHeight="1" x14ac:dyDescent="0.3">
      <c r="A42" s="1">
        <v>41</v>
      </c>
      <c r="B42" s="1" t="s">
        <v>78</v>
      </c>
      <c r="C42" s="1" t="s">
        <v>93</v>
      </c>
      <c r="D42" s="1">
        <v>71</v>
      </c>
      <c r="E42" s="1" t="s">
        <v>503</v>
      </c>
      <c r="F42" s="3" t="s">
        <v>21</v>
      </c>
      <c r="G42" s="4">
        <v>43870</v>
      </c>
      <c r="H42" s="21"/>
      <c r="I42" s="21"/>
      <c r="J42" s="2">
        <v>43862</v>
      </c>
      <c r="K42" s="1"/>
      <c r="L42" s="1" t="s">
        <v>133</v>
      </c>
      <c r="M42" s="5" t="s">
        <v>37</v>
      </c>
    </row>
    <row r="43" spans="1:13" ht="13.8" customHeight="1" x14ac:dyDescent="0.3">
      <c r="A43" s="1">
        <v>42</v>
      </c>
      <c r="B43" s="1" t="s">
        <v>78</v>
      </c>
      <c r="C43" s="1" t="s">
        <v>93</v>
      </c>
      <c r="D43" s="1">
        <v>39</v>
      </c>
      <c r="E43" s="1" t="s">
        <v>548</v>
      </c>
      <c r="F43" s="3" t="s">
        <v>22</v>
      </c>
      <c r="G43" s="4">
        <v>43870</v>
      </c>
      <c r="H43" s="21"/>
      <c r="I43" s="21"/>
      <c r="J43" s="2">
        <v>43862</v>
      </c>
      <c r="K43" s="1" t="s">
        <v>28</v>
      </c>
      <c r="L43" s="1" t="s">
        <v>133</v>
      </c>
      <c r="M43" s="5" t="s">
        <v>37</v>
      </c>
    </row>
    <row r="44" spans="1:13" ht="13.8" customHeight="1" x14ac:dyDescent="0.3">
      <c r="A44" s="1">
        <v>43</v>
      </c>
      <c r="B44" s="1" t="s">
        <v>78</v>
      </c>
      <c r="C44" s="1" t="s">
        <v>93</v>
      </c>
      <c r="D44" s="1">
        <v>54</v>
      </c>
      <c r="E44" s="1" t="s">
        <v>503</v>
      </c>
      <c r="F44" s="3" t="s">
        <v>23</v>
      </c>
      <c r="G44" s="4">
        <v>43870</v>
      </c>
      <c r="H44" s="8">
        <v>43897</v>
      </c>
      <c r="I44" s="8"/>
      <c r="J44" s="2">
        <v>43860</v>
      </c>
      <c r="K44" s="1"/>
      <c r="L44" s="1" t="s">
        <v>134</v>
      </c>
      <c r="M44" s="5" t="s">
        <v>37</v>
      </c>
    </row>
    <row r="45" spans="1:13" ht="13.8" customHeight="1" x14ac:dyDescent="0.3">
      <c r="A45" s="1">
        <v>44</v>
      </c>
      <c r="B45" s="1" t="s">
        <v>78</v>
      </c>
      <c r="C45" s="1" t="s">
        <v>93</v>
      </c>
      <c r="D45" s="1">
        <v>37</v>
      </c>
      <c r="E45" s="1" t="s">
        <v>503</v>
      </c>
      <c r="F45" s="3" t="s">
        <v>24</v>
      </c>
      <c r="G45" s="4">
        <v>43871</v>
      </c>
      <c r="H45" s="19">
        <v>43880</v>
      </c>
      <c r="I45" s="19"/>
      <c r="J45" s="2">
        <v>43861</v>
      </c>
      <c r="K45" s="1"/>
      <c r="L45" s="1" t="s">
        <v>137</v>
      </c>
      <c r="M45" s="5" t="s">
        <v>38</v>
      </c>
    </row>
    <row r="46" spans="1:13" ht="13.8" customHeight="1" x14ac:dyDescent="0.3">
      <c r="A46" s="1">
        <v>45</v>
      </c>
      <c r="B46" s="1" t="s">
        <v>79</v>
      </c>
      <c r="C46" s="6" t="s">
        <v>94</v>
      </c>
      <c r="D46" s="1">
        <v>2</v>
      </c>
      <c r="E46" s="1" t="s">
        <v>503</v>
      </c>
      <c r="F46" s="3" t="s">
        <v>25</v>
      </c>
      <c r="G46" s="4">
        <v>43871</v>
      </c>
      <c r="H46" s="20">
        <v>43875</v>
      </c>
      <c r="I46" s="20"/>
      <c r="J46" s="1" t="s">
        <v>522</v>
      </c>
      <c r="K46" s="1"/>
      <c r="L46" s="1" t="s">
        <v>136</v>
      </c>
      <c r="M46" s="5" t="s">
        <v>38</v>
      </c>
    </row>
    <row r="47" spans="1:13" ht="13.8" customHeight="1" x14ac:dyDescent="0.3">
      <c r="A47" s="1">
        <v>46</v>
      </c>
      <c r="B47" s="1" t="s">
        <v>78</v>
      </c>
      <c r="C47" s="1" t="s">
        <v>93</v>
      </c>
      <c r="D47" s="1">
        <v>35</v>
      </c>
      <c r="E47" s="1" t="s">
        <v>503</v>
      </c>
      <c r="F47" s="3" t="s">
        <v>26</v>
      </c>
      <c r="G47" s="4">
        <v>43872</v>
      </c>
      <c r="H47" s="19">
        <v>43885</v>
      </c>
      <c r="I47" s="19"/>
      <c r="J47" s="2">
        <v>43866</v>
      </c>
      <c r="K47" s="1"/>
      <c r="L47" s="1" t="s">
        <v>133</v>
      </c>
      <c r="M47" s="5" t="s">
        <v>40</v>
      </c>
    </row>
    <row r="48" spans="1:13" ht="13.8" customHeight="1" x14ac:dyDescent="0.3">
      <c r="A48" s="1">
        <v>47</v>
      </c>
      <c r="B48" s="1" t="s">
        <v>78</v>
      </c>
      <c r="C48" s="1" t="s">
        <v>93</v>
      </c>
      <c r="D48" s="1">
        <v>39</v>
      </c>
      <c r="E48" s="1" t="s">
        <v>548</v>
      </c>
      <c r="F48" s="3" t="s">
        <v>27</v>
      </c>
      <c r="G48" s="4">
        <v>43872</v>
      </c>
      <c r="H48" s="8">
        <v>43897</v>
      </c>
      <c r="I48" s="8"/>
      <c r="J48" s="2">
        <v>43867</v>
      </c>
      <c r="K48" s="1" t="s">
        <v>28</v>
      </c>
      <c r="L48" s="1" t="s">
        <v>133</v>
      </c>
      <c r="M48" s="5" t="s">
        <v>40</v>
      </c>
    </row>
    <row r="49" spans="1:13" ht="13.8" customHeight="1" x14ac:dyDescent="0.3">
      <c r="A49" s="6">
        <v>48</v>
      </c>
      <c r="B49" s="1" t="s">
        <v>78</v>
      </c>
      <c r="C49" s="1" t="s">
        <v>93</v>
      </c>
      <c r="D49" s="6">
        <v>34</v>
      </c>
      <c r="E49" s="1" t="s">
        <v>503</v>
      </c>
      <c r="F49" s="3" t="s">
        <v>83</v>
      </c>
      <c r="G49" s="2">
        <v>43873</v>
      </c>
      <c r="H49" s="8">
        <v>43878</v>
      </c>
      <c r="I49" s="8"/>
      <c r="J49" s="2">
        <v>43862</v>
      </c>
      <c r="K49" s="1" t="s">
        <v>82</v>
      </c>
      <c r="L49" s="1" t="s">
        <v>133</v>
      </c>
      <c r="M49" s="5" t="s">
        <v>84</v>
      </c>
    </row>
    <row r="50" spans="1:13" ht="13.8" customHeight="1" x14ac:dyDescent="0.3">
      <c r="A50" s="6">
        <v>49</v>
      </c>
      <c r="B50" s="1" t="s">
        <v>78</v>
      </c>
      <c r="C50" s="1" t="s">
        <v>93</v>
      </c>
      <c r="D50" s="6">
        <v>46</v>
      </c>
      <c r="E50" s="1" t="s">
        <v>503</v>
      </c>
      <c r="F50" s="3" t="s">
        <v>85</v>
      </c>
      <c r="G50" s="2">
        <v>43873</v>
      </c>
      <c r="H50" s="19">
        <v>43887</v>
      </c>
      <c r="I50" s="19"/>
      <c r="J50" s="2">
        <v>43864</v>
      </c>
      <c r="K50" s="1" t="s">
        <v>82</v>
      </c>
      <c r="L50" s="1" t="s">
        <v>138</v>
      </c>
      <c r="M50" s="5" t="s">
        <v>84</v>
      </c>
    </row>
    <row r="51" spans="1:13" ht="13.8" customHeight="1" x14ac:dyDescent="0.3">
      <c r="A51" s="6">
        <v>50</v>
      </c>
      <c r="B51" s="1" t="s">
        <v>78</v>
      </c>
      <c r="C51" s="1" t="s">
        <v>93</v>
      </c>
      <c r="D51" s="6">
        <v>62</v>
      </c>
      <c r="E51" s="1" t="s">
        <v>503</v>
      </c>
      <c r="F51" s="3" t="s">
        <v>90</v>
      </c>
      <c r="G51" s="2">
        <v>43873</v>
      </c>
      <c r="H51" s="19">
        <v>43882</v>
      </c>
      <c r="I51" s="19"/>
      <c r="J51" s="2">
        <v>43868</v>
      </c>
      <c r="K51" s="1"/>
      <c r="L51" s="1" t="s">
        <v>133</v>
      </c>
      <c r="M51" s="5" t="s">
        <v>84</v>
      </c>
    </row>
    <row r="52" spans="1:13" ht="13.8" customHeight="1" x14ac:dyDescent="0.3">
      <c r="A52" s="6">
        <v>51</v>
      </c>
      <c r="B52" s="1" t="s">
        <v>78</v>
      </c>
      <c r="C52" s="1" t="s">
        <v>93</v>
      </c>
      <c r="D52" s="6">
        <v>48</v>
      </c>
      <c r="E52" s="1" t="s">
        <v>503</v>
      </c>
      <c r="F52" s="3" t="s">
        <v>87</v>
      </c>
      <c r="G52" s="2">
        <v>43874</v>
      </c>
      <c r="H52" s="19">
        <v>43882</v>
      </c>
      <c r="I52" s="19"/>
      <c r="J52" s="2">
        <v>43865</v>
      </c>
      <c r="K52" s="1" t="s">
        <v>82</v>
      </c>
      <c r="L52" s="1" t="s">
        <v>133</v>
      </c>
      <c r="M52" s="5" t="s">
        <v>86</v>
      </c>
    </row>
    <row r="53" spans="1:13" ht="13.8" customHeight="1" x14ac:dyDescent="0.3">
      <c r="A53" s="6">
        <v>52</v>
      </c>
      <c r="B53" s="1" t="s">
        <v>78</v>
      </c>
      <c r="C53" s="1" t="s">
        <v>93</v>
      </c>
      <c r="D53" s="6">
        <v>37</v>
      </c>
      <c r="E53" s="1" t="s">
        <v>548</v>
      </c>
      <c r="F53" s="3" t="s">
        <v>88</v>
      </c>
      <c r="G53" s="2">
        <v>43874</v>
      </c>
      <c r="H53" s="19">
        <v>43889</v>
      </c>
      <c r="I53" s="19"/>
      <c r="J53" s="2">
        <v>43868</v>
      </c>
      <c r="K53" s="1" t="s">
        <v>28</v>
      </c>
      <c r="L53" s="1" t="s">
        <v>133</v>
      </c>
      <c r="M53" s="5" t="s">
        <v>86</v>
      </c>
    </row>
    <row r="54" spans="1:13" ht="13.8" customHeight="1" x14ac:dyDescent="0.3">
      <c r="A54" s="6">
        <v>53</v>
      </c>
      <c r="B54" s="1" t="s">
        <v>78</v>
      </c>
      <c r="C54" s="1" t="s">
        <v>93</v>
      </c>
      <c r="D54" s="6">
        <v>54</v>
      </c>
      <c r="E54" s="1" t="s">
        <v>503</v>
      </c>
      <c r="F54" s="3" t="s">
        <v>89</v>
      </c>
      <c r="G54" s="2">
        <v>43874</v>
      </c>
      <c r="H54" s="19">
        <v>43904</v>
      </c>
      <c r="I54" s="19"/>
      <c r="J54" s="2">
        <v>43868</v>
      </c>
      <c r="K54" s="1" t="s">
        <v>82</v>
      </c>
      <c r="L54" s="1" t="s">
        <v>133</v>
      </c>
      <c r="M54" s="5" t="s">
        <v>86</v>
      </c>
    </row>
    <row r="55" spans="1:13" ht="13.8" customHeight="1" x14ac:dyDescent="0.3">
      <c r="A55" s="6">
        <v>54</v>
      </c>
      <c r="B55" s="1" t="s">
        <v>78</v>
      </c>
      <c r="C55" s="6" t="s">
        <v>94</v>
      </c>
      <c r="D55" s="6">
        <v>55</v>
      </c>
      <c r="E55" s="1" t="s">
        <v>503</v>
      </c>
      <c r="F55" s="7" t="s">
        <v>99</v>
      </c>
      <c r="G55" s="2">
        <v>43874</v>
      </c>
      <c r="H55" s="19">
        <v>43891</v>
      </c>
      <c r="I55" s="19"/>
      <c r="J55" s="2">
        <v>43871</v>
      </c>
      <c r="K55" s="1" t="s">
        <v>82</v>
      </c>
      <c r="L55" s="1" t="s">
        <v>133</v>
      </c>
      <c r="M55" s="5" t="s">
        <v>86</v>
      </c>
    </row>
    <row r="56" spans="1:13" ht="13.8" customHeight="1" x14ac:dyDescent="0.3">
      <c r="A56" s="6">
        <v>55</v>
      </c>
      <c r="B56" s="1" t="s">
        <v>78</v>
      </c>
      <c r="C56" s="1" t="s">
        <v>93</v>
      </c>
      <c r="D56" s="6">
        <v>30</v>
      </c>
      <c r="E56" s="1" t="s">
        <v>503</v>
      </c>
      <c r="F56" s="7" t="s">
        <v>100</v>
      </c>
      <c r="G56" s="2">
        <v>43874</v>
      </c>
      <c r="H56" s="19">
        <v>43880</v>
      </c>
      <c r="I56" s="19"/>
      <c r="J56" s="2">
        <v>43860</v>
      </c>
      <c r="K56" s="1"/>
      <c r="L56" s="1" t="s">
        <v>133</v>
      </c>
      <c r="M56" s="5" t="s">
        <v>86</v>
      </c>
    </row>
    <row r="57" spans="1:13" ht="13.8" customHeight="1" x14ac:dyDescent="0.3">
      <c r="A57" s="6">
        <v>56</v>
      </c>
      <c r="B57" s="1" t="s">
        <v>78</v>
      </c>
      <c r="C57" s="1" t="s">
        <v>93</v>
      </c>
      <c r="D57" s="6">
        <v>30</v>
      </c>
      <c r="E57" s="1" t="s">
        <v>548</v>
      </c>
      <c r="F57" s="7" t="s">
        <v>101</v>
      </c>
      <c r="G57" s="2">
        <v>43874</v>
      </c>
      <c r="H57" s="19">
        <v>43887</v>
      </c>
      <c r="I57" s="19"/>
      <c r="J57" s="2">
        <v>43873</v>
      </c>
      <c r="K57" s="1" t="s">
        <v>28</v>
      </c>
      <c r="L57" s="1" t="s">
        <v>133</v>
      </c>
      <c r="M57" s="5" t="s">
        <v>86</v>
      </c>
    </row>
    <row r="58" spans="1:13" ht="13.8" customHeight="1" x14ac:dyDescent="0.3">
      <c r="A58" s="6">
        <v>57</v>
      </c>
      <c r="B58" s="1" t="s">
        <v>78</v>
      </c>
      <c r="C58" s="6" t="s">
        <v>94</v>
      </c>
      <c r="D58" s="6">
        <v>26</v>
      </c>
      <c r="E58" s="1" t="s">
        <v>503</v>
      </c>
      <c r="F58" s="7" t="s">
        <v>102</v>
      </c>
      <c r="G58" s="2">
        <v>43874</v>
      </c>
      <c r="H58" s="19">
        <v>43882</v>
      </c>
      <c r="I58" s="19"/>
      <c r="J58" s="2">
        <v>43872</v>
      </c>
      <c r="K58" s="1" t="s">
        <v>82</v>
      </c>
      <c r="L58" s="1" t="s">
        <v>133</v>
      </c>
      <c r="M58" s="5" t="s">
        <v>86</v>
      </c>
    </row>
    <row r="59" spans="1:13" ht="13.8" customHeight="1" x14ac:dyDescent="0.3">
      <c r="A59" s="6">
        <v>58</v>
      </c>
      <c r="B59" s="1" t="s">
        <v>78</v>
      </c>
      <c r="C59" s="6" t="s">
        <v>94</v>
      </c>
      <c r="D59" s="6">
        <v>55</v>
      </c>
      <c r="E59" s="1" t="s">
        <v>503</v>
      </c>
      <c r="F59" s="7" t="s">
        <v>103</v>
      </c>
      <c r="G59" s="2">
        <v>43874</v>
      </c>
      <c r="H59" s="8">
        <v>43886</v>
      </c>
      <c r="I59" s="8"/>
      <c r="J59" s="2">
        <v>43871</v>
      </c>
      <c r="K59" s="1" t="s">
        <v>82</v>
      </c>
      <c r="L59" s="1" t="s">
        <v>133</v>
      </c>
      <c r="M59" s="5" t="s">
        <v>86</v>
      </c>
    </row>
    <row r="60" spans="1:13" ht="13.8" customHeight="1" x14ac:dyDescent="0.3">
      <c r="A60" s="6">
        <v>59</v>
      </c>
      <c r="B60" s="1" t="s">
        <v>78</v>
      </c>
      <c r="C60" s="6" t="s">
        <v>93</v>
      </c>
      <c r="D60" s="6">
        <v>61</v>
      </c>
      <c r="E60" s="1" t="s">
        <v>503</v>
      </c>
      <c r="F60" s="7" t="s">
        <v>95</v>
      </c>
      <c r="G60" s="2">
        <v>43875</v>
      </c>
      <c r="H60" s="19">
        <v>43887</v>
      </c>
      <c r="I60" s="19"/>
      <c r="J60" s="2">
        <v>43868</v>
      </c>
      <c r="K60" s="1"/>
      <c r="L60" s="1" t="s">
        <v>133</v>
      </c>
      <c r="M60" s="5" t="s">
        <v>104</v>
      </c>
    </row>
    <row r="61" spans="1:13" ht="13.8" customHeight="1" x14ac:dyDescent="0.3">
      <c r="A61" s="6">
        <v>60</v>
      </c>
      <c r="B61" s="1" t="s">
        <v>78</v>
      </c>
      <c r="C61" s="6" t="s">
        <v>94</v>
      </c>
      <c r="D61" s="6">
        <v>51</v>
      </c>
      <c r="E61" s="1" t="s">
        <v>503</v>
      </c>
      <c r="F61" s="7" t="s">
        <v>96</v>
      </c>
      <c r="G61" s="2">
        <v>43875</v>
      </c>
      <c r="H61" s="19">
        <v>43891</v>
      </c>
      <c r="I61" s="19"/>
      <c r="J61" s="2">
        <v>43869</v>
      </c>
      <c r="K61" s="1" t="s">
        <v>82</v>
      </c>
      <c r="L61" s="1" t="s">
        <v>133</v>
      </c>
      <c r="M61" s="5" t="s">
        <v>104</v>
      </c>
    </row>
    <row r="62" spans="1:13" ht="13.8" customHeight="1" x14ac:dyDescent="0.3">
      <c r="A62" s="6">
        <v>61</v>
      </c>
      <c r="B62" s="1" t="s">
        <v>78</v>
      </c>
      <c r="C62" s="6" t="s">
        <v>93</v>
      </c>
      <c r="D62" s="6">
        <v>57</v>
      </c>
      <c r="E62" s="1" t="s">
        <v>503</v>
      </c>
      <c r="F62" s="7" t="s">
        <v>97</v>
      </c>
      <c r="G62" s="2">
        <v>43875</v>
      </c>
      <c r="H62" s="19">
        <v>43894</v>
      </c>
      <c r="I62" s="19"/>
      <c r="J62" s="2">
        <v>43867</v>
      </c>
      <c r="K62" s="1" t="s">
        <v>82</v>
      </c>
      <c r="L62" s="1" t="s">
        <v>138</v>
      </c>
      <c r="M62" s="5" t="s">
        <v>104</v>
      </c>
    </row>
    <row r="63" spans="1:13" ht="13.8" customHeight="1" x14ac:dyDescent="0.3">
      <c r="A63" s="6">
        <v>62</v>
      </c>
      <c r="B63" s="1" t="s">
        <v>78</v>
      </c>
      <c r="C63" s="6" t="s">
        <v>94</v>
      </c>
      <c r="D63" s="6">
        <v>44</v>
      </c>
      <c r="E63" s="1" t="s">
        <v>503</v>
      </c>
      <c r="F63" s="7" t="s">
        <v>98</v>
      </c>
      <c r="G63" s="2">
        <v>43875</v>
      </c>
      <c r="H63" s="8">
        <v>43886</v>
      </c>
      <c r="I63" s="8"/>
      <c r="J63" s="2">
        <v>43870</v>
      </c>
      <c r="K63" s="1" t="s">
        <v>82</v>
      </c>
      <c r="L63" s="1" t="s">
        <v>132</v>
      </c>
      <c r="M63" s="5" t="s">
        <v>104</v>
      </c>
    </row>
    <row r="64" spans="1:13" ht="13.8" customHeight="1" x14ac:dyDescent="0.3">
      <c r="A64" s="6">
        <v>63</v>
      </c>
      <c r="B64" s="1" t="s">
        <v>78</v>
      </c>
      <c r="C64" s="6" t="s">
        <v>94</v>
      </c>
      <c r="D64" s="6">
        <v>54</v>
      </c>
      <c r="E64" s="1" t="s">
        <v>503</v>
      </c>
      <c r="F64" s="7" t="s">
        <v>106</v>
      </c>
      <c r="G64" s="2">
        <v>43875</v>
      </c>
      <c r="H64" s="19">
        <v>43882</v>
      </c>
      <c r="I64" s="19"/>
      <c r="J64" s="2">
        <v>43871</v>
      </c>
      <c r="K64" s="1" t="s">
        <v>82</v>
      </c>
      <c r="L64" s="1" t="s">
        <v>133</v>
      </c>
      <c r="M64" s="5" t="s">
        <v>104</v>
      </c>
    </row>
    <row r="65" spans="1:13" ht="13.8" customHeight="1" x14ac:dyDescent="0.3">
      <c r="A65" s="6">
        <v>64</v>
      </c>
      <c r="B65" s="1" t="s">
        <v>78</v>
      </c>
      <c r="C65" s="6" t="s">
        <v>93</v>
      </c>
      <c r="D65" s="6">
        <v>50</v>
      </c>
      <c r="E65" s="1" t="s">
        <v>503</v>
      </c>
      <c r="F65" s="9" t="s">
        <v>107</v>
      </c>
      <c r="G65" s="2">
        <v>43875</v>
      </c>
      <c r="H65" s="19">
        <v>43884</v>
      </c>
      <c r="I65" s="19"/>
      <c r="J65" s="2">
        <v>43864</v>
      </c>
      <c r="K65" s="1"/>
      <c r="L65" s="1" t="s">
        <v>138</v>
      </c>
      <c r="M65" s="5" t="s">
        <v>104</v>
      </c>
    </row>
    <row r="66" spans="1:13" ht="13.8" customHeight="1" x14ac:dyDescent="0.3">
      <c r="A66" s="6">
        <v>65</v>
      </c>
      <c r="B66" s="1" t="s">
        <v>78</v>
      </c>
      <c r="C66" s="6" t="s">
        <v>94</v>
      </c>
      <c r="D66" s="6">
        <v>61</v>
      </c>
      <c r="E66" s="1" t="s">
        <v>503</v>
      </c>
      <c r="F66" s="9" t="s">
        <v>108</v>
      </c>
      <c r="G66" s="2">
        <v>43875</v>
      </c>
      <c r="H66" s="8">
        <v>43878</v>
      </c>
      <c r="I66" s="8"/>
      <c r="J66" s="2">
        <v>43873</v>
      </c>
      <c r="K66" s="1"/>
      <c r="L66" s="1" t="s">
        <v>133</v>
      </c>
      <c r="M66" s="5" t="s">
        <v>104</v>
      </c>
    </row>
    <row r="67" spans="1:13" ht="13.8" customHeight="1" x14ac:dyDescent="0.3">
      <c r="A67" s="6">
        <v>66</v>
      </c>
      <c r="B67" s="1" t="s">
        <v>78</v>
      </c>
      <c r="C67" s="6" t="s">
        <v>93</v>
      </c>
      <c r="D67" s="6">
        <v>28</v>
      </c>
      <c r="E67" s="1" t="s">
        <v>503</v>
      </c>
      <c r="F67" s="9" t="s">
        <v>109</v>
      </c>
      <c r="G67" s="2">
        <v>43875</v>
      </c>
      <c r="H67" s="19">
        <v>43881</v>
      </c>
      <c r="I67" s="19"/>
      <c r="J67" s="2">
        <v>43859</v>
      </c>
      <c r="K67" s="1" t="s">
        <v>82</v>
      </c>
      <c r="L67" s="1" t="s">
        <v>133</v>
      </c>
      <c r="M67" s="5" t="s">
        <v>104</v>
      </c>
    </row>
    <row r="68" spans="1:13" ht="13.8" customHeight="1" x14ac:dyDescent="0.3">
      <c r="A68" s="6">
        <v>67</v>
      </c>
      <c r="B68" s="1" t="s">
        <v>78</v>
      </c>
      <c r="C68" s="6" t="s">
        <v>94</v>
      </c>
      <c r="D68" s="6">
        <v>56</v>
      </c>
      <c r="E68" s="1" t="s">
        <v>503</v>
      </c>
      <c r="F68" s="9" t="s">
        <v>110</v>
      </c>
      <c r="G68" s="2">
        <v>43875</v>
      </c>
      <c r="H68" s="20">
        <v>43892</v>
      </c>
      <c r="I68" s="20"/>
      <c r="J68" s="2">
        <v>43870</v>
      </c>
      <c r="K68" s="1" t="s">
        <v>82</v>
      </c>
      <c r="L68" s="1" t="s">
        <v>133</v>
      </c>
      <c r="M68" s="5" t="s">
        <v>104</v>
      </c>
    </row>
    <row r="69" spans="1:13" ht="13.8" customHeight="1" x14ac:dyDescent="0.3">
      <c r="A69" s="6">
        <v>68</v>
      </c>
      <c r="B69" s="1" t="s">
        <v>78</v>
      </c>
      <c r="C69" s="6" t="s">
        <v>94</v>
      </c>
      <c r="D69" s="6">
        <v>79</v>
      </c>
      <c r="E69" s="1" t="s">
        <v>503</v>
      </c>
      <c r="F69" s="9" t="s">
        <v>118</v>
      </c>
      <c r="G69" s="2">
        <v>43876</v>
      </c>
      <c r="H69" s="20">
        <v>43890</v>
      </c>
      <c r="I69" s="20"/>
      <c r="J69" s="2">
        <v>43860</v>
      </c>
      <c r="K69" s="1" t="s">
        <v>82</v>
      </c>
      <c r="L69" s="1" t="s">
        <v>133</v>
      </c>
      <c r="M69" s="5" t="s">
        <v>105</v>
      </c>
    </row>
    <row r="70" spans="1:13" ht="13.8" customHeight="1" x14ac:dyDescent="0.3">
      <c r="A70" s="6">
        <v>69</v>
      </c>
      <c r="B70" s="1" t="s">
        <v>78</v>
      </c>
      <c r="C70" s="6" t="s">
        <v>93</v>
      </c>
      <c r="D70" s="6">
        <v>26</v>
      </c>
      <c r="E70" s="1" t="s">
        <v>548</v>
      </c>
      <c r="F70" s="9" t="s">
        <v>119</v>
      </c>
      <c r="G70" s="2">
        <v>43876</v>
      </c>
      <c r="H70" s="20">
        <v>43892</v>
      </c>
      <c r="I70" s="20"/>
      <c r="J70" s="2">
        <v>43875</v>
      </c>
      <c r="K70" s="1" t="s">
        <v>28</v>
      </c>
      <c r="L70" s="1" t="s">
        <v>133</v>
      </c>
      <c r="M70" s="5" t="s">
        <v>105</v>
      </c>
    </row>
    <row r="71" spans="1:13" ht="13.8" customHeight="1" x14ac:dyDescent="0.3">
      <c r="A71" s="6">
        <v>70</v>
      </c>
      <c r="B71" s="1" t="s">
        <v>78</v>
      </c>
      <c r="C71" s="6" t="s">
        <v>94</v>
      </c>
      <c r="D71" s="6">
        <v>27</v>
      </c>
      <c r="E71" s="1" t="s">
        <v>503</v>
      </c>
      <c r="F71" s="9" t="s">
        <v>120</v>
      </c>
      <c r="G71" s="2">
        <v>43876</v>
      </c>
      <c r="H71" s="19">
        <v>43882</v>
      </c>
      <c r="I71" s="19"/>
      <c r="J71" s="2">
        <v>43864</v>
      </c>
      <c r="K71" s="1" t="s">
        <v>82</v>
      </c>
      <c r="L71" s="1" t="s">
        <v>133</v>
      </c>
      <c r="M71" s="5" t="s">
        <v>105</v>
      </c>
    </row>
    <row r="72" spans="1:13" ht="13.8" customHeight="1" x14ac:dyDescent="0.3">
      <c r="A72" s="6">
        <v>71</v>
      </c>
      <c r="B72" s="1" t="s">
        <v>78</v>
      </c>
      <c r="C72" s="6" t="s">
        <v>93</v>
      </c>
      <c r="D72" s="6">
        <v>25</v>
      </c>
      <c r="E72" s="1" t="s">
        <v>503</v>
      </c>
      <c r="F72" s="9" t="s">
        <v>121</v>
      </c>
      <c r="G72" s="2">
        <v>43876</v>
      </c>
      <c r="H72" s="19">
        <v>43895</v>
      </c>
      <c r="I72" s="19"/>
      <c r="J72" s="2">
        <v>43862</v>
      </c>
      <c r="K72" s="1" t="s">
        <v>82</v>
      </c>
      <c r="L72" s="1" t="s">
        <v>133</v>
      </c>
      <c r="M72" s="5" t="s">
        <v>105</v>
      </c>
    </row>
    <row r="73" spans="1:13" ht="13.8" customHeight="1" x14ac:dyDescent="0.3">
      <c r="A73" s="6">
        <v>72</v>
      </c>
      <c r="B73" s="1" t="s">
        <v>78</v>
      </c>
      <c r="C73" s="6" t="s">
        <v>93</v>
      </c>
      <c r="D73" s="6">
        <v>40</v>
      </c>
      <c r="E73" s="1" t="s">
        <v>473</v>
      </c>
      <c r="F73" s="9" t="s">
        <v>122</v>
      </c>
      <c r="G73" s="2">
        <v>43876</v>
      </c>
      <c r="H73" s="19">
        <v>43888</v>
      </c>
      <c r="I73" s="19"/>
      <c r="J73" s="2">
        <v>43871</v>
      </c>
      <c r="K73" s="1"/>
      <c r="L73" s="1" t="s">
        <v>133</v>
      </c>
      <c r="M73" s="5" t="s">
        <v>105</v>
      </c>
    </row>
    <row r="74" spans="1:13" ht="13.8" customHeight="1" x14ac:dyDescent="0.3">
      <c r="A74" s="6">
        <v>73</v>
      </c>
      <c r="B74" s="1" t="s">
        <v>78</v>
      </c>
      <c r="C74" s="6" t="s">
        <v>93</v>
      </c>
      <c r="D74" s="6">
        <v>43</v>
      </c>
      <c r="E74" s="1" t="s">
        <v>503</v>
      </c>
      <c r="F74" s="3" t="s">
        <v>114</v>
      </c>
      <c r="G74" s="2">
        <v>43877</v>
      </c>
      <c r="H74" s="19">
        <v>43887</v>
      </c>
      <c r="I74" s="19"/>
      <c r="J74" s="2">
        <v>43870</v>
      </c>
      <c r="K74" s="1" t="s">
        <v>82</v>
      </c>
      <c r="L74" s="1" t="s">
        <v>133</v>
      </c>
      <c r="M74" s="5" t="s">
        <v>115</v>
      </c>
    </row>
    <row r="75" spans="1:13" ht="13.8" customHeight="1" x14ac:dyDescent="0.3">
      <c r="A75" s="6">
        <v>74</v>
      </c>
      <c r="B75" s="1" t="s">
        <v>78</v>
      </c>
      <c r="C75" s="6" t="s">
        <v>93</v>
      </c>
      <c r="D75" s="6">
        <v>29</v>
      </c>
      <c r="E75" s="1" t="s">
        <v>503</v>
      </c>
      <c r="F75" s="3" t="s">
        <v>116</v>
      </c>
      <c r="G75" s="2">
        <v>43877</v>
      </c>
      <c r="H75" s="8">
        <v>43897</v>
      </c>
      <c r="I75" s="8"/>
      <c r="J75" s="2">
        <v>43873</v>
      </c>
      <c r="K75" s="1" t="s">
        <v>82</v>
      </c>
      <c r="L75" s="1" t="s">
        <v>139</v>
      </c>
      <c r="M75" s="5" t="s">
        <v>115</v>
      </c>
    </row>
    <row r="76" spans="1:13" ht="13.8" customHeight="1" x14ac:dyDescent="0.3">
      <c r="A76" s="6">
        <v>75</v>
      </c>
      <c r="B76" s="1" t="s">
        <v>78</v>
      </c>
      <c r="C76" s="6" t="s">
        <v>94</v>
      </c>
      <c r="D76" s="6">
        <v>71</v>
      </c>
      <c r="E76" s="1" t="s">
        <v>503</v>
      </c>
      <c r="F76" s="7" t="s">
        <v>117</v>
      </c>
      <c r="G76" s="2">
        <v>43877</v>
      </c>
      <c r="H76" s="20">
        <v>43890</v>
      </c>
      <c r="I76" s="20"/>
      <c r="J76" s="1"/>
      <c r="K76" s="1"/>
      <c r="L76" s="1" t="s">
        <v>133</v>
      </c>
      <c r="M76" s="5" t="s">
        <v>115</v>
      </c>
    </row>
    <row r="77" spans="1:13" ht="13.8" customHeight="1" x14ac:dyDescent="0.3">
      <c r="A77" s="6">
        <v>76</v>
      </c>
      <c r="B77" s="1" t="s">
        <v>79</v>
      </c>
      <c r="C77" s="6" t="s">
        <v>93</v>
      </c>
      <c r="D77" s="6">
        <v>1</v>
      </c>
      <c r="E77" s="1" t="s">
        <v>503</v>
      </c>
      <c r="F77" s="3" t="s">
        <v>124</v>
      </c>
      <c r="G77" s="2">
        <v>43878</v>
      </c>
      <c r="H77" s="19">
        <v>43879</v>
      </c>
      <c r="I77" s="19"/>
      <c r="J77" s="1"/>
      <c r="K77" s="1"/>
      <c r="L77" s="1" t="s">
        <v>136</v>
      </c>
      <c r="M77" s="5" t="s">
        <v>123</v>
      </c>
    </row>
    <row r="78" spans="1:13" ht="13.8" customHeight="1" x14ac:dyDescent="0.3">
      <c r="A78" s="6">
        <v>77</v>
      </c>
      <c r="B78" s="1" t="s">
        <v>78</v>
      </c>
      <c r="C78" s="6" t="s">
        <v>93</v>
      </c>
      <c r="D78" s="6">
        <v>35</v>
      </c>
      <c r="E78" s="1" t="s">
        <v>503</v>
      </c>
      <c r="F78" s="7" t="s">
        <v>125</v>
      </c>
      <c r="G78" s="2">
        <v>43878</v>
      </c>
      <c r="H78" s="8">
        <v>43886</v>
      </c>
      <c r="I78" s="8"/>
      <c r="J78" s="2">
        <v>43871</v>
      </c>
      <c r="K78" s="1"/>
      <c r="L78" s="1" t="s">
        <v>133</v>
      </c>
      <c r="M78" s="5" t="s">
        <v>123</v>
      </c>
    </row>
    <row r="79" spans="1:13" ht="13.8" customHeight="1" x14ac:dyDescent="0.3">
      <c r="A79" s="6">
        <v>78</v>
      </c>
      <c r="B79" s="6" t="s">
        <v>78</v>
      </c>
      <c r="C79" s="6" t="s">
        <v>94</v>
      </c>
      <c r="D79" s="6">
        <v>57</v>
      </c>
      <c r="E79" s="1" t="s">
        <v>503</v>
      </c>
      <c r="F79" s="3" t="s">
        <v>129</v>
      </c>
      <c r="G79" s="2">
        <v>43879</v>
      </c>
      <c r="H79" s="19">
        <v>43888</v>
      </c>
      <c r="I79" s="19"/>
      <c r="J79" s="2">
        <v>43870</v>
      </c>
      <c r="K79" s="1" t="s">
        <v>82</v>
      </c>
      <c r="L79" s="1" t="s">
        <v>133</v>
      </c>
      <c r="M79" s="5" t="s">
        <v>128</v>
      </c>
    </row>
    <row r="80" spans="1:13" ht="13.8" customHeight="1" x14ac:dyDescent="0.3">
      <c r="A80" s="6">
        <v>79</v>
      </c>
      <c r="B80" s="6" t="s">
        <v>78</v>
      </c>
      <c r="C80" s="6" t="s">
        <v>94</v>
      </c>
      <c r="D80" s="6">
        <v>35</v>
      </c>
      <c r="E80" s="1" t="s">
        <v>591</v>
      </c>
      <c r="F80" s="3" t="s">
        <v>130</v>
      </c>
      <c r="G80" s="2">
        <v>43879</v>
      </c>
      <c r="H80" s="19">
        <v>43889</v>
      </c>
      <c r="I80" s="19"/>
      <c r="J80" s="2">
        <v>43873</v>
      </c>
      <c r="K80" s="1"/>
      <c r="L80" s="1" t="s">
        <v>133</v>
      </c>
      <c r="M80" s="5" t="s">
        <v>128</v>
      </c>
    </row>
    <row r="81" spans="1:13" ht="13.8" customHeight="1" x14ac:dyDescent="0.3">
      <c r="A81" s="6">
        <v>80</v>
      </c>
      <c r="B81" s="6" t="s">
        <v>78</v>
      </c>
      <c r="C81" s="6" t="s">
        <v>94</v>
      </c>
      <c r="D81" s="6">
        <v>38</v>
      </c>
      <c r="E81" s="1" t="s">
        <v>503</v>
      </c>
      <c r="F81" s="7" t="s">
        <v>143</v>
      </c>
      <c r="G81" s="2">
        <v>43879</v>
      </c>
      <c r="H81" s="19">
        <v>43888</v>
      </c>
      <c r="I81" s="19"/>
      <c r="J81" s="2">
        <v>43865</v>
      </c>
      <c r="K81" s="1" t="s">
        <v>82</v>
      </c>
      <c r="L81" s="1" t="s">
        <v>138</v>
      </c>
      <c r="M81" s="5" t="s">
        <v>128</v>
      </c>
    </row>
    <row r="82" spans="1:13" ht="13.8" customHeight="1" x14ac:dyDescent="0.3">
      <c r="A82" s="6">
        <v>81</v>
      </c>
      <c r="B82" s="6" t="s">
        <v>78</v>
      </c>
      <c r="C82" s="6" t="s">
        <v>93</v>
      </c>
      <c r="D82" s="6">
        <v>50</v>
      </c>
      <c r="E82" s="1" t="s">
        <v>503</v>
      </c>
      <c r="F82" s="7" t="s">
        <v>144</v>
      </c>
      <c r="G82" s="2">
        <v>43879</v>
      </c>
      <c r="H82" s="8">
        <v>43886</v>
      </c>
      <c r="I82" s="8"/>
      <c r="J82" s="2">
        <v>43877</v>
      </c>
      <c r="K82" s="1" t="s">
        <v>82</v>
      </c>
      <c r="L82" s="1" t="s">
        <v>133</v>
      </c>
      <c r="M82" s="5" t="s">
        <v>128</v>
      </c>
    </row>
    <row r="83" spans="1:13" ht="13.8" customHeight="1" x14ac:dyDescent="0.3">
      <c r="A83" s="6">
        <v>82</v>
      </c>
      <c r="B83" s="6" t="s">
        <v>78</v>
      </c>
      <c r="C83" s="6" t="s">
        <v>94</v>
      </c>
      <c r="D83" s="6">
        <v>57</v>
      </c>
      <c r="E83" s="1" t="s">
        <v>503</v>
      </c>
      <c r="F83" s="3" t="s">
        <v>140</v>
      </c>
      <c r="G83" s="11">
        <v>43880</v>
      </c>
      <c r="H83" s="18"/>
      <c r="I83" s="18"/>
      <c r="J83" s="2">
        <v>43870</v>
      </c>
      <c r="K83" s="1"/>
      <c r="L83" s="6" t="s">
        <v>142</v>
      </c>
      <c r="M83" s="5" t="s">
        <v>141</v>
      </c>
    </row>
    <row r="84" spans="1:13" ht="13.8" customHeight="1" x14ac:dyDescent="0.3">
      <c r="A84" s="6">
        <v>83</v>
      </c>
      <c r="B84" s="6" t="s">
        <v>78</v>
      </c>
      <c r="C84" s="6" t="s">
        <v>93</v>
      </c>
      <c r="D84" s="6">
        <v>54</v>
      </c>
      <c r="E84" s="1" t="s">
        <v>503</v>
      </c>
      <c r="F84" s="3" t="s">
        <v>146</v>
      </c>
      <c r="G84" s="11">
        <v>43880</v>
      </c>
      <c r="H84" s="19">
        <v>43882</v>
      </c>
      <c r="I84" s="19"/>
      <c r="J84" s="2">
        <v>43858</v>
      </c>
      <c r="K84" s="1" t="s">
        <v>17</v>
      </c>
      <c r="L84" s="6" t="s">
        <v>133</v>
      </c>
      <c r="M84" s="5" t="s">
        <v>141</v>
      </c>
    </row>
    <row r="85" spans="1:13" ht="13.8" customHeight="1" x14ac:dyDescent="0.3">
      <c r="A85" s="6">
        <v>84</v>
      </c>
      <c r="B85" s="6" t="s">
        <v>78</v>
      </c>
      <c r="C85" s="6" t="s">
        <v>94</v>
      </c>
      <c r="D85" s="6">
        <v>35</v>
      </c>
      <c r="E85" s="1" t="s">
        <v>503</v>
      </c>
      <c r="F85" s="7" t="s">
        <v>147</v>
      </c>
      <c r="G85" s="11">
        <v>43880</v>
      </c>
      <c r="H85" s="19">
        <v>43882</v>
      </c>
      <c r="I85" s="19"/>
      <c r="J85" s="2">
        <v>43865</v>
      </c>
      <c r="K85" s="1" t="s">
        <v>82</v>
      </c>
      <c r="L85" s="6" t="s">
        <v>133</v>
      </c>
      <c r="M85" s="5" t="s">
        <v>141</v>
      </c>
    </row>
    <row r="86" spans="1:13" ht="13.8" customHeight="1" x14ac:dyDescent="0.3">
      <c r="A86" s="6">
        <v>85</v>
      </c>
      <c r="B86" s="6" t="s">
        <v>78</v>
      </c>
      <c r="C86" s="6" t="s">
        <v>93</v>
      </c>
      <c r="D86" s="6">
        <v>36</v>
      </c>
      <c r="E86" s="1" t="s">
        <v>473</v>
      </c>
      <c r="F86" s="7" t="s">
        <v>150</v>
      </c>
      <c r="G86" s="2">
        <v>43881</v>
      </c>
      <c r="H86" s="8">
        <v>43897</v>
      </c>
      <c r="I86" s="8"/>
      <c r="J86" s="2">
        <v>43875</v>
      </c>
      <c r="K86" s="1"/>
      <c r="L86" s="6" t="s">
        <v>133</v>
      </c>
      <c r="M86" s="5" t="s">
        <v>145</v>
      </c>
    </row>
    <row r="87" spans="1:13" ht="13.8" customHeight="1" x14ac:dyDescent="0.3">
      <c r="A87" s="6">
        <v>86</v>
      </c>
      <c r="B87" s="6" t="s">
        <v>78</v>
      </c>
      <c r="C87" s="6" t="s">
        <v>93</v>
      </c>
      <c r="D87" s="6">
        <v>24</v>
      </c>
      <c r="E87" s="1" t="s">
        <v>503</v>
      </c>
      <c r="F87" s="3" t="s">
        <v>148</v>
      </c>
      <c r="G87" s="2">
        <v>43882</v>
      </c>
      <c r="H87" s="8">
        <v>43897</v>
      </c>
      <c r="I87" s="8"/>
      <c r="J87" s="2">
        <v>43875</v>
      </c>
      <c r="K87" s="1"/>
      <c r="L87" s="6" t="s">
        <v>142</v>
      </c>
      <c r="M87" s="5" t="s">
        <v>149</v>
      </c>
    </row>
    <row r="88" spans="1:13" ht="13.8" customHeight="1" x14ac:dyDescent="0.3">
      <c r="A88" s="6">
        <v>87</v>
      </c>
      <c r="B88" s="6" t="s">
        <v>79</v>
      </c>
      <c r="C88" s="6" t="s">
        <v>93</v>
      </c>
      <c r="D88" s="6">
        <v>32</v>
      </c>
      <c r="E88" s="1" t="s">
        <v>503</v>
      </c>
      <c r="F88" s="3" t="s">
        <v>153</v>
      </c>
      <c r="G88" s="2">
        <v>43883</v>
      </c>
      <c r="H88" s="19">
        <v>43885</v>
      </c>
      <c r="I88" s="19"/>
      <c r="J88" s="1"/>
      <c r="K88" s="1"/>
      <c r="L88" s="6" t="s">
        <v>133</v>
      </c>
      <c r="M88" s="5" t="s">
        <v>154</v>
      </c>
    </row>
    <row r="89" spans="1:13" ht="13.8" customHeight="1" x14ac:dyDescent="0.3">
      <c r="A89" s="6">
        <v>88</v>
      </c>
      <c r="B89" s="6" t="s">
        <v>78</v>
      </c>
      <c r="C89" s="6" t="s">
        <v>94</v>
      </c>
      <c r="D89" s="6">
        <v>30</v>
      </c>
      <c r="E89" s="1" t="s">
        <v>503</v>
      </c>
      <c r="F89" s="3" t="s">
        <v>155</v>
      </c>
      <c r="G89" s="2">
        <v>43883</v>
      </c>
      <c r="H89" s="20">
        <v>43892</v>
      </c>
      <c r="I89" s="20"/>
      <c r="J89" s="2">
        <v>43877</v>
      </c>
      <c r="K89" s="1" t="s">
        <v>82</v>
      </c>
      <c r="L89" s="6" t="s">
        <v>133</v>
      </c>
      <c r="M89" s="5" t="s">
        <v>154</v>
      </c>
    </row>
    <row r="90" spans="1:13" ht="13.8" customHeight="1" x14ac:dyDescent="0.3">
      <c r="A90" s="6">
        <v>89</v>
      </c>
      <c r="B90" s="6" t="s">
        <v>78</v>
      </c>
      <c r="C90" s="6" t="s">
        <v>93</v>
      </c>
      <c r="D90" s="6">
        <v>41</v>
      </c>
      <c r="E90" s="1" t="s">
        <v>503</v>
      </c>
      <c r="F90" s="7" t="s">
        <v>156</v>
      </c>
      <c r="G90" s="2">
        <v>43883</v>
      </c>
      <c r="H90" s="19">
        <v>43889</v>
      </c>
      <c r="I90" s="19"/>
      <c r="J90" s="2">
        <v>43864</v>
      </c>
      <c r="K90" s="1"/>
      <c r="L90" s="6" t="s">
        <v>133</v>
      </c>
      <c r="M90" s="5" t="s">
        <v>154</v>
      </c>
    </row>
    <row r="91" spans="1:13" ht="13.8" customHeight="1" x14ac:dyDescent="0.3">
      <c r="A91" s="6">
        <v>90</v>
      </c>
      <c r="B91" s="6" t="s">
        <v>78</v>
      </c>
      <c r="C91" s="6" t="s">
        <v>94</v>
      </c>
      <c r="D91" s="6">
        <v>75</v>
      </c>
      <c r="E91" s="1" t="s">
        <v>503</v>
      </c>
      <c r="F91" s="3" t="s">
        <v>157</v>
      </c>
      <c r="G91" s="2">
        <v>43885</v>
      </c>
      <c r="H91" s="18"/>
      <c r="I91" s="19">
        <v>43911</v>
      </c>
      <c r="J91" s="2">
        <v>43870</v>
      </c>
      <c r="K91" s="1" t="s">
        <v>17</v>
      </c>
      <c r="L91" s="6" t="s">
        <v>133</v>
      </c>
      <c r="M91" s="5" t="s">
        <v>158</v>
      </c>
    </row>
    <row r="92" spans="1:13" ht="13.8" customHeight="1" x14ac:dyDescent="0.3">
      <c r="A92" s="6">
        <v>91</v>
      </c>
      <c r="B92" s="6" t="s">
        <v>78</v>
      </c>
      <c r="C92" s="6" t="s">
        <v>94</v>
      </c>
      <c r="D92" s="6">
        <v>58</v>
      </c>
      <c r="E92" s="1" t="s">
        <v>503</v>
      </c>
      <c r="F92" s="3" t="s">
        <v>282</v>
      </c>
      <c r="G92" s="2">
        <v>43886</v>
      </c>
      <c r="H92" s="19">
        <v>43886</v>
      </c>
      <c r="I92" s="19"/>
      <c r="J92" s="2">
        <v>43853</v>
      </c>
      <c r="K92" s="1" t="s">
        <v>17</v>
      </c>
      <c r="L92" s="6" t="s">
        <v>133</v>
      </c>
      <c r="M92" s="5" t="s">
        <v>283</v>
      </c>
    </row>
    <row r="93" spans="1:13" ht="13.8" customHeight="1" x14ac:dyDescent="0.3">
      <c r="A93" s="6">
        <v>92</v>
      </c>
      <c r="B93" s="6" t="s">
        <v>78</v>
      </c>
      <c r="C93" s="6" t="s">
        <v>93</v>
      </c>
      <c r="D93" s="6">
        <v>47</v>
      </c>
      <c r="E93" s="1" t="s">
        <v>503</v>
      </c>
      <c r="F93" s="7" t="s">
        <v>289</v>
      </c>
      <c r="G93" s="2">
        <v>43887</v>
      </c>
      <c r="H93" s="2">
        <v>43901</v>
      </c>
      <c r="I93" s="2"/>
      <c r="J93" s="2">
        <v>43878</v>
      </c>
      <c r="K93" s="1"/>
      <c r="L93" s="6" t="s">
        <v>132</v>
      </c>
      <c r="M93" s="5" t="s">
        <v>285</v>
      </c>
    </row>
    <row r="94" spans="1:13" ht="13.8" customHeight="1" x14ac:dyDescent="0.3">
      <c r="A94" s="6">
        <v>93</v>
      </c>
      <c r="B94" s="6" t="s">
        <v>78</v>
      </c>
      <c r="C94" s="6" t="s">
        <v>93</v>
      </c>
      <c r="D94" s="6">
        <v>38</v>
      </c>
      <c r="E94" s="1" t="s">
        <v>503</v>
      </c>
      <c r="F94" s="7" t="s">
        <v>290</v>
      </c>
      <c r="G94" s="2">
        <v>43887</v>
      </c>
      <c r="H94" s="8">
        <v>43897</v>
      </c>
      <c r="I94" s="8"/>
      <c r="J94" s="2">
        <v>43878</v>
      </c>
      <c r="K94" s="1" t="s">
        <v>291</v>
      </c>
      <c r="L94" s="6" t="s">
        <v>142</v>
      </c>
      <c r="M94" s="5" t="s">
        <v>285</v>
      </c>
    </row>
    <row r="95" spans="1:13" ht="13.8" customHeight="1" x14ac:dyDescent="0.3">
      <c r="A95" s="6">
        <v>94</v>
      </c>
      <c r="B95" s="6" t="s">
        <v>78</v>
      </c>
      <c r="C95" s="6" t="s">
        <v>94</v>
      </c>
      <c r="D95" s="6">
        <v>64</v>
      </c>
      <c r="E95" s="1" t="s">
        <v>503</v>
      </c>
      <c r="F95" s="3" t="s">
        <v>286</v>
      </c>
      <c r="G95" s="2">
        <v>43888</v>
      </c>
      <c r="H95" s="18"/>
      <c r="I95" s="18"/>
      <c r="J95" s="2">
        <v>43872</v>
      </c>
      <c r="K95" s="1" t="s">
        <v>346</v>
      </c>
      <c r="L95" s="6" t="s">
        <v>132</v>
      </c>
      <c r="M95" s="5" t="s">
        <v>288</v>
      </c>
    </row>
    <row r="96" spans="1:13" ht="13.8" customHeight="1" x14ac:dyDescent="0.3">
      <c r="A96" s="6">
        <v>95</v>
      </c>
      <c r="B96" s="6" t="s">
        <v>78</v>
      </c>
      <c r="C96" s="6" t="s">
        <v>93</v>
      </c>
      <c r="D96" s="6">
        <v>44</v>
      </c>
      <c r="E96" s="1" t="s">
        <v>503</v>
      </c>
      <c r="F96" s="7" t="s">
        <v>297</v>
      </c>
      <c r="G96" s="2">
        <v>43888</v>
      </c>
      <c r="H96" s="19">
        <v>43904</v>
      </c>
      <c r="I96" s="19"/>
      <c r="J96" s="2">
        <v>43883</v>
      </c>
      <c r="K96" s="1" t="s">
        <v>291</v>
      </c>
      <c r="L96" s="6" t="s">
        <v>133</v>
      </c>
      <c r="M96" s="5" t="s">
        <v>288</v>
      </c>
    </row>
    <row r="97" spans="1:13" ht="13.8" customHeight="1" x14ac:dyDescent="0.3">
      <c r="A97" s="6">
        <v>96</v>
      </c>
      <c r="B97" s="6" t="s">
        <v>78</v>
      </c>
      <c r="C97" s="6" t="s">
        <v>93</v>
      </c>
      <c r="D97" s="6">
        <v>12</v>
      </c>
      <c r="E97" s="1" t="s">
        <v>503</v>
      </c>
      <c r="F97" s="7" t="s">
        <v>302</v>
      </c>
      <c r="G97" s="2">
        <v>43888</v>
      </c>
      <c r="H97" s="8">
        <v>43897</v>
      </c>
      <c r="I97" s="8"/>
      <c r="J97" s="2">
        <v>43882</v>
      </c>
      <c r="K97" s="1" t="s">
        <v>346</v>
      </c>
      <c r="L97" s="6" t="s">
        <v>136</v>
      </c>
      <c r="M97" s="5" t="s">
        <v>288</v>
      </c>
    </row>
    <row r="98" spans="1:13" ht="13.8" customHeight="1" x14ac:dyDescent="0.3">
      <c r="A98" s="6">
        <v>97</v>
      </c>
      <c r="B98" s="6" t="s">
        <v>78</v>
      </c>
      <c r="C98" s="6" t="s">
        <v>94</v>
      </c>
      <c r="D98" s="6">
        <v>44</v>
      </c>
      <c r="E98" s="1" t="s">
        <v>503</v>
      </c>
      <c r="F98" s="3" t="s">
        <v>292</v>
      </c>
      <c r="G98" s="2">
        <v>43889</v>
      </c>
      <c r="H98" s="19">
        <v>43910</v>
      </c>
      <c r="I98" s="19"/>
      <c r="J98" s="2">
        <v>43881</v>
      </c>
      <c r="K98" s="1" t="s">
        <v>291</v>
      </c>
      <c r="L98" s="6" t="s">
        <v>133</v>
      </c>
      <c r="M98" s="12" t="s">
        <v>293</v>
      </c>
    </row>
    <row r="99" spans="1:13" ht="13.8" customHeight="1" x14ac:dyDescent="0.3">
      <c r="A99" s="6">
        <v>98</v>
      </c>
      <c r="B99" s="6" t="s">
        <v>78</v>
      </c>
      <c r="C99" s="6" t="s">
        <v>93</v>
      </c>
      <c r="D99" s="6">
        <v>24</v>
      </c>
      <c r="E99" s="1" t="s">
        <v>503</v>
      </c>
      <c r="F99" s="7" t="s">
        <v>308</v>
      </c>
      <c r="G99" s="2">
        <v>43889</v>
      </c>
      <c r="H99" s="19">
        <v>43895</v>
      </c>
      <c r="I99" s="19"/>
      <c r="J99" s="2">
        <v>43888</v>
      </c>
      <c r="K99" s="1" t="s">
        <v>291</v>
      </c>
      <c r="L99" s="6" t="s">
        <v>133</v>
      </c>
      <c r="M99" s="12" t="s">
        <v>293</v>
      </c>
    </row>
    <row r="100" spans="1:13" ht="13.8" customHeight="1" x14ac:dyDescent="0.3">
      <c r="A100" s="6">
        <v>99</v>
      </c>
      <c r="B100" s="6" t="s">
        <v>78</v>
      </c>
      <c r="C100" s="6" t="s">
        <v>93</v>
      </c>
      <c r="D100" s="6">
        <v>27</v>
      </c>
      <c r="E100" s="1" t="s">
        <v>503</v>
      </c>
      <c r="F100" s="3" t="s">
        <v>305</v>
      </c>
      <c r="G100" s="4">
        <v>43890</v>
      </c>
      <c r="H100" s="19">
        <v>43906</v>
      </c>
      <c r="I100" s="19"/>
      <c r="J100" s="2">
        <v>43882</v>
      </c>
      <c r="K100" s="1" t="s">
        <v>291</v>
      </c>
      <c r="L100" s="6" t="s">
        <v>133</v>
      </c>
      <c r="M100" s="5" t="s">
        <v>307</v>
      </c>
    </row>
    <row r="101" spans="1:13" ht="13.8" customHeight="1" x14ac:dyDescent="0.3">
      <c r="A101" s="6">
        <v>100</v>
      </c>
      <c r="B101" s="6" t="s">
        <v>78</v>
      </c>
      <c r="C101" s="6" t="s">
        <v>93</v>
      </c>
      <c r="D101" s="6">
        <v>20</v>
      </c>
      <c r="E101" s="1" t="s">
        <v>591</v>
      </c>
      <c r="F101" s="3" t="s">
        <v>306</v>
      </c>
      <c r="G101" s="4">
        <v>43890</v>
      </c>
      <c r="H101" s="19">
        <v>43906</v>
      </c>
      <c r="I101" s="19"/>
      <c r="J101" s="2">
        <v>43888</v>
      </c>
      <c r="K101" s="1" t="s">
        <v>291</v>
      </c>
      <c r="L101" s="6" t="s">
        <v>133</v>
      </c>
      <c r="M101" s="5" t="s">
        <v>307</v>
      </c>
    </row>
    <row r="102" spans="1:13" ht="13.8" customHeight="1" x14ac:dyDescent="0.3">
      <c r="A102" s="6">
        <v>101</v>
      </c>
      <c r="B102" s="6" t="s">
        <v>78</v>
      </c>
      <c r="C102" s="6" t="s">
        <v>93</v>
      </c>
      <c r="D102" s="6">
        <v>61</v>
      </c>
      <c r="E102" s="1" t="s">
        <v>503</v>
      </c>
      <c r="F102" s="7" t="s">
        <v>318</v>
      </c>
      <c r="G102" s="4">
        <v>43890</v>
      </c>
      <c r="H102" s="19">
        <v>43908</v>
      </c>
      <c r="I102" s="19"/>
      <c r="J102" s="2">
        <v>43886</v>
      </c>
      <c r="K102" s="1" t="s">
        <v>291</v>
      </c>
      <c r="L102" s="1" t="s">
        <v>142</v>
      </c>
      <c r="M102" s="5" t="s">
        <v>307</v>
      </c>
    </row>
    <row r="103" spans="1:13" ht="13.8" customHeight="1" x14ac:dyDescent="0.3">
      <c r="A103" s="6">
        <v>102</v>
      </c>
      <c r="B103" s="6" t="s">
        <v>78</v>
      </c>
      <c r="C103" s="6" t="s">
        <v>94</v>
      </c>
      <c r="D103" s="6">
        <v>41</v>
      </c>
      <c r="E103" s="1" t="s">
        <v>608</v>
      </c>
      <c r="F103" s="7" t="s">
        <v>319</v>
      </c>
      <c r="G103" s="4">
        <v>43890</v>
      </c>
      <c r="H103" s="19">
        <v>43904</v>
      </c>
      <c r="I103" s="19"/>
      <c r="J103" s="2">
        <v>43886</v>
      </c>
      <c r="K103" s="1" t="s">
        <v>291</v>
      </c>
      <c r="L103" s="1" t="s">
        <v>142</v>
      </c>
      <c r="M103" s="5" t="s">
        <v>307</v>
      </c>
    </row>
    <row r="104" spans="1:13" ht="13.8" customHeight="1" x14ac:dyDescent="0.3">
      <c r="A104" s="6">
        <v>103</v>
      </c>
      <c r="B104" s="6" t="s">
        <v>78</v>
      </c>
      <c r="C104" s="6" t="s">
        <v>94</v>
      </c>
      <c r="D104" s="6">
        <v>37</v>
      </c>
      <c r="E104" s="1" t="s">
        <v>503</v>
      </c>
      <c r="F104" s="3" t="s">
        <v>315</v>
      </c>
      <c r="G104" s="2">
        <v>43891</v>
      </c>
      <c r="H104" s="19">
        <v>43904</v>
      </c>
      <c r="I104" s="19"/>
      <c r="J104" s="2">
        <v>43881</v>
      </c>
      <c r="K104" s="1" t="s">
        <v>291</v>
      </c>
      <c r="L104" s="1" t="s">
        <v>133</v>
      </c>
      <c r="M104" s="5" t="s">
        <v>314</v>
      </c>
    </row>
    <row r="105" spans="1:13" ht="13.8" customHeight="1" x14ac:dyDescent="0.3">
      <c r="A105" s="6">
        <v>104</v>
      </c>
      <c r="B105" s="6" t="s">
        <v>78</v>
      </c>
      <c r="C105" s="6" t="s">
        <v>94</v>
      </c>
      <c r="D105" s="6">
        <v>25</v>
      </c>
      <c r="E105" s="1" t="s">
        <v>611</v>
      </c>
      <c r="F105" s="3" t="s">
        <v>316</v>
      </c>
      <c r="G105" s="2">
        <v>43891</v>
      </c>
      <c r="H105" s="19">
        <v>43910</v>
      </c>
      <c r="I105" s="19"/>
      <c r="J105" s="2">
        <v>43884</v>
      </c>
      <c r="K105" s="1" t="s">
        <v>291</v>
      </c>
      <c r="L105" s="1" t="s">
        <v>133</v>
      </c>
      <c r="M105" s="5" t="s">
        <v>314</v>
      </c>
    </row>
    <row r="106" spans="1:13" ht="13.8" customHeight="1" x14ac:dyDescent="0.3">
      <c r="A106" s="6">
        <v>105</v>
      </c>
      <c r="B106" s="6" t="s">
        <v>78</v>
      </c>
      <c r="C106" s="6" t="s">
        <v>93</v>
      </c>
      <c r="D106" s="6">
        <v>49</v>
      </c>
      <c r="E106" s="1" t="s">
        <v>503</v>
      </c>
      <c r="F106" s="3" t="s">
        <v>317</v>
      </c>
      <c r="G106" s="2">
        <v>43891</v>
      </c>
      <c r="H106" s="19">
        <v>43910</v>
      </c>
      <c r="I106" s="19"/>
      <c r="J106" s="2">
        <v>43887</v>
      </c>
      <c r="K106" s="1" t="s">
        <v>291</v>
      </c>
      <c r="L106" s="1" t="s">
        <v>133</v>
      </c>
      <c r="M106" s="5" t="s">
        <v>314</v>
      </c>
    </row>
    <row r="107" spans="1:13" ht="13.8" customHeight="1" x14ac:dyDescent="0.3">
      <c r="A107" s="6">
        <v>106</v>
      </c>
      <c r="B107" s="6" t="s">
        <v>78</v>
      </c>
      <c r="C107" s="6" t="s">
        <v>93</v>
      </c>
      <c r="D107" s="6">
        <v>54</v>
      </c>
      <c r="E107" s="1" t="s">
        <v>613</v>
      </c>
      <c r="F107" s="7" t="s">
        <v>328</v>
      </c>
      <c r="G107" s="2">
        <v>43891</v>
      </c>
      <c r="H107" s="2">
        <v>43901</v>
      </c>
      <c r="I107" s="2"/>
      <c r="J107" s="2">
        <v>43884</v>
      </c>
      <c r="K107" s="1"/>
      <c r="L107" s="1" t="s">
        <v>135</v>
      </c>
      <c r="M107" s="5" t="s">
        <v>314</v>
      </c>
    </row>
    <row r="108" spans="1:13" ht="13.8" customHeight="1" x14ac:dyDescent="0.3">
      <c r="A108" s="6">
        <v>107</v>
      </c>
      <c r="B108" s="6" t="s">
        <v>78</v>
      </c>
      <c r="C108" s="6" t="s">
        <v>94</v>
      </c>
      <c r="D108" s="6">
        <v>68</v>
      </c>
      <c r="E108" s="1" t="s">
        <v>503</v>
      </c>
      <c r="F108" s="3" t="s">
        <v>327</v>
      </c>
      <c r="G108" s="2">
        <v>43892</v>
      </c>
      <c r="H108" s="19">
        <v>43896</v>
      </c>
      <c r="I108" s="19"/>
      <c r="J108" s="2">
        <v>43877</v>
      </c>
      <c r="K108" s="1" t="s">
        <v>346</v>
      </c>
      <c r="L108" s="6" t="s">
        <v>133</v>
      </c>
      <c r="M108" s="13" t="s">
        <v>329</v>
      </c>
    </row>
    <row r="109" spans="1:13" ht="13.8" customHeight="1" x14ac:dyDescent="0.3">
      <c r="A109" s="14">
        <v>108</v>
      </c>
      <c r="B109" s="14" t="s">
        <v>78</v>
      </c>
      <c r="C109" s="14" t="s">
        <v>94</v>
      </c>
      <c r="D109" s="14">
        <v>34</v>
      </c>
      <c r="E109" s="1" t="s">
        <v>608</v>
      </c>
      <c r="F109" s="15" t="s">
        <v>334</v>
      </c>
      <c r="G109" s="16">
        <v>43892</v>
      </c>
      <c r="H109" s="29">
        <v>43910</v>
      </c>
      <c r="I109" s="29"/>
      <c r="J109" s="2">
        <v>43886</v>
      </c>
      <c r="K109" s="17" t="s">
        <v>291</v>
      </c>
      <c r="L109" s="17" t="s">
        <v>142</v>
      </c>
      <c r="M109" s="13" t="s">
        <v>329</v>
      </c>
    </row>
    <row r="110" spans="1:13" ht="13.8" customHeight="1" x14ac:dyDescent="0.3">
      <c r="A110" s="6">
        <v>109</v>
      </c>
      <c r="B110" s="6" t="s">
        <v>78</v>
      </c>
      <c r="C110" s="6" t="s">
        <v>93</v>
      </c>
      <c r="D110" s="6">
        <v>70</v>
      </c>
      <c r="E110" s="1" t="s">
        <v>503</v>
      </c>
      <c r="F110" s="3" t="s">
        <v>333</v>
      </c>
      <c r="G110" s="2">
        <v>43893</v>
      </c>
      <c r="H110" s="18"/>
      <c r="I110" s="18"/>
      <c r="J110" s="2">
        <v>43886</v>
      </c>
      <c r="K110" s="1"/>
      <c r="L110" s="6" t="s">
        <v>132</v>
      </c>
      <c r="M110" s="5" t="s">
        <v>335</v>
      </c>
    </row>
    <row r="111" spans="1:13" ht="13.8" customHeight="1" x14ac:dyDescent="0.3">
      <c r="A111" s="6">
        <v>110</v>
      </c>
      <c r="B111" s="6" t="s">
        <v>78</v>
      </c>
      <c r="C111" s="6" t="s">
        <v>93</v>
      </c>
      <c r="D111" s="6">
        <v>33</v>
      </c>
      <c r="E111" s="1" t="s">
        <v>503</v>
      </c>
      <c r="F111" s="7" t="s">
        <v>339</v>
      </c>
      <c r="G111" s="2">
        <v>43893</v>
      </c>
      <c r="H111" s="8">
        <v>43897</v>
      </c>
      <c r="I111" s="8"/>
      <c r="J111" s="2">
        <v>43883</v>
      </c>
      <c r="K111" s="1" t="s">
        <v>291</v>
      </c>
      <c r="L111" s="6" t="s">
        <v>133</v>
      </c>
      <c r="M111" s="5" t="s">
        <v>335</v>
      </c>
    </row>
    <row r="112" spans="1:13" ht="13.8" customHeight="1" x14ac:dyDescent="0.3">
      <c r="A112" s="6">
        <v>111</v>
      </c>
      <c r="B112" s="6" t="s">
        <v>78</v>
      </c>
      <c r="C112" s="6" t="s">
        <v>93</v>
      </c>
      <c r="D112" s="6">
        <v>43</v>
      </c>
      <c r="E112" s="1" t="s">
        <v>503</v>
      </c>
      <c r="F112" s="3" t="s">
        <v>338</v>
      </c>
      <c r="G112" s="2">
        <v>43894</v>
      </c>
      <c r="H112" s="19">
        <v>43903</v>
      </c>
      <c r="I112" s="19"/>
      <c r="J112" s="2">
        <v>43885</v>
      </c>
      <c r="K112" s="1"/>
      <c r="L112" s="6" t="s">
        <v>138</v>
      </c>
      <c r="M112" s="5" t="s">
        <v>340</v>
      </c>
    </row>
    <row r="113" spans="1:13" ht="13.8" customHeight="1" x14ac:dyDescent="0.3">
      <c r="A113" s="6">
        <v>112</v>
      </c>
      <c r="B113" s="6" t="s">
        <v>78</v>
      </c>
      <c r="C113" s="6" t="s">
        <v>94</v>
      </c>
      <c r="D113" s="6">
        <v>62</v>
      </c>
      <c r="E113" s="1" t="s">
        <v>503</v>
      </c>
      <c r="F113" s="7" t="s">
        <v>350</v>
      </c>
      <c r="G113" s="2">
        <v>43894</v>
      </c>
      <c r="H113" s="19">
        <v>43899</v>
      </c>
      <c r="I113" s="19"/>
      <c r="J113" s="2">
        <v>43882</v>
      </c>
      <c r="K113" s="1" t="s">
        <v>346</v>
      </c>
      <c r="L113" s="6" t="s">
        <v>133</v>
      </c>
      <c r="M113" s="5" t="s">
        <v>340</v>
      </c>
    </row>
    <row r="114" spans="1:13" ht="13.8" customHeight="1" x14ac:dyDescent="0.3">
      <c r="A114" s="6">
        <v>113</v>
      </c>
      <c r="B114" s="6" t="s">
        <v>77</v>
      </c>
      <c r="C114" s="6" t="s">
        <v>93</v>
      </c>
      <c r="D114" s="6">
        <v>42</v>
      </c>
      <c r="E114" s="1" t="s">
        <v>623</v>
      </c>
      <c r="F114" s="3" t="s">
        <v>347</v>
      </c>
      <c r="G114" s="2">
        <v>43895</v>
      </c>
      <c r="H114" s="18"/>
      <c r="I114" s="18"/>
      <c r="J114" s="2">
        <v>43893</v>
      </c>
      <c r="K114" s="1"/>
      <c r="L114" s="6" t="s">
        <v>133</v>
      </c>
      <c r="M114" s="5" t="s">
        <v>351</v>
      </c>
    </row>
    <row r="115" spans="1:13" ht="13.8" customHeight="1" x14ac:dyDescent="0.3">
      <c r="A115" s="6">
        <v>114</v>
      </c>
      <c r="B115" s="6" t="s">
        <v>78</v>
      </c>
      <c r="C115" s="6" t="s">
        <v>93</v>
      </c>
      <c r="D115" s="6">
        <v>62</v>
      </c>
      <c r="E115" s="1" t="s">
        <v>503</v>
      </c>
      <c r="F115" s="3" t="s">
        <v>348</v>
      </c>
      <c r="G115" s="2">
        <v>43895</v>
      </c>
      <c r="H115" s="19">
        <v>43911</v>
      </c>
      <c r="I115" s="19"/>
      <c r="J115" s="2">
        <v>43889</v>
      </c>
      <c r="K115" s="1" t="s">
        <v>346</v>
      </c>
      <c r="L115" s="6" t="s">
        <v>138</v>
      </c>
      <c r="M115" s="5" t="s">
        <v>351</v>
      </c>
    </row>
    <row r="116" spans="1:13" ht="13.8" customHeight="1" x14ac:dyDescent="0.3">
      <c r="A116" s="6">
        <v>115</v>
      </c>
      <c r="B116" s="6" t="s">
        <v>78</v>
      </c>
      <c r="C116" s="6" t="s">
        <v>94</v>
      </c>
      <c r="D116" s="6">
        <v>62</v>
      </c>
      <c r="E116" s="1" t="s">
        <v>503</v>
      </c>
      <c r="F116" s="7" t="s">
        <v>349</v>
      </c>
      <c r="G116" s="2">
        <v>43895</v>
      </c>
      <c r="H116" s="19">
        <v>43913</v>
      </c>
      <c r="I116" s="18"/>
      <c r="J116" s="1"/>
      <c r="K116" s="1" t="s">
        <v>346</v>
      </c>
      <c r="L116" s="6" t="s">
        <v>138</v>
      </c>
      <c r="M116" s="5" t="s">
        <v>351</v>
      </c>
    </row>
    <row r="117" spans="1:13" ht="13.8" customHeight="1" x14ac:dyDescent="0.3">
      <c r="A117" s="6">
        <v>116</v>
      </c>
      <c r="B117" s="6" t="s">
        <v>78</v>
      </c>
      <c r="C117" s="6" t="s">
        <v>94</v>
      </c>
      <c r="D117" s="6">
        <v>50</v>
      </c>
      <c r="E117" s="1" t="s">
        <v>503</v>
      </c>
      <c r="F117" s="7" t="s">
        <v>366</v>
      </c>
      <c r="G117" s="2">
        <v>43895</v>
      </c>
      <c r="H117" s="19">
        <v>43911</v>
      </c>
      <c r="I117" s="19"/>
      <c r="J117" s="2">
        <v>43890</v>
      </c>
      <c r="K117" s="1" t="s">
        <v>346</v>
      </c>
      <c r="L117" s="6" t="s">
        <v>133</v>
      </c>
      <c r="M117" s="5" t="s">
        <v>351</v>
      </c>
    </row>
    <row r="118" spans="1:13" ht="13.8" customHeight="1" x14ac:dyDescent="0.3">
      <c r="A118" s="6">
        <v>117</v>
      </c>
      <c r="B118" s="6" t="s">
        <v>78</v>
      </c>
      <c r="C118" s="6" t="s">
        <v>94</v>
      </c>
      <c r="D118" s="6">
        <v>52</v>
      </c>
      <c r="E118" s="1" t="s">
        <v>503</v>
      </c>
      <c r="F118" s="7" t="s">
        <v>367</v>
      </c>
      <c r="G118" s="2">
        <v>43895</v>
      </c>
      <c r="H118" s="18"/>
      <c r="I118" s="18"/>
      <c r="J118" s="2">
        <v>43892</v>
      </c>
      <c r="K118" s="1" t="s">
        <v>346</v>
      </c>
      <c r="L118" s="6" t="s">
        <v>133</v>
      </c>
      <c r="M118" s="5" t="s">
        <v>351</v>
      </c>
    </row>
    <row r="119" spans="1:13" ht="13.8" customHeight="1" x14ac:dyDescent="0.3">
      <c r="A119" s="6">
        <v>118</v>
      </c>
      <c r="B119" s="6" t="s">
        <v>78</v>
      </c>
      <c r="C119" s="6" t="s">
        <v>94</v>
      </c>
      <c r="D119" s="6">
        <v>33</v>
      </c>
      <c r="E119" s="1" t="s">
        <v>503</v>
      </c>
      <c r="F119" s="3" t="s">
        <v>368</v>
      </c>
      <c r="G119" s="2">
        <v>43896</v>
      </c>
      <c r="H119" s="19">
        <v>43908</v>
      </c>
      <c r="I119" s="19"/>
      <c r="J119" s="2">
        <v>43890</v>
      </c>
      <c r="K119" s="1" t="s">
        <v>346</v>
      </c>
      <c r="L119" s="6" t="s">
        <v>138</v>
      </c>
      <c r="M119" s="5" t="s">
        <v>369</v>
      </c>
    </row>
    <row r="120" spans="1:13" ht="13.8" customHeight="1" x14ac:dyDescent="0.3">
      <c r="A120" s="6">
        <v>119</v>
      </c>
      <c r="B120" s="6" t="s">
        <v>78</v>
      </c>
      <c r="C120" s="6" t="s">
        <v>93</v>
      </c>
      <c r="D120" s="6">
        <v>55</v>
      </c>
      <c r="E120" s="1" t="s">
        <v>503</v>
      </c>
      <c r="F120" s="3" t="s">
        <v>361</v>
      </c>
      <c r="G120" s="2">
        <v>43896</v>
      </c>
      <c r="H120" s="19">
        <v>43912</v>
      </c>
      <c r="I120" s="18"/>
      <c r="J120" s="2">
        <v>43888</v>
      </c>
      <c r="K120" s="1"/>
      <c r="L120" s="6" t="s">
        <v>139</v>
      </c>
      <c r="M120" s="5" t="s">
        <v>369</v>
      </c>
    </row>
    <row r="121" spans="1:13" ht="13.8" customHeight="1" x14ac:dyDescent="0.3">
      <c r="A121" s="6">
        <v>120</v>
      </c>
      <c r="B121" s="6" t="s">
        <v>78</v>
      </c>
      <c r="C121" s="6" t="s">
        <v>94</v>
      </c>
      <c r="D121" s="6">
        <v>62</v>
      </c>
      <c r="E121" s="1" t="s">
        <v>503</v>
      </c>
      <c r="F121" s="3" t="s">
        <v>362</v>
      </c>
      <c r="G121" s="2">
        <v>43896</v>
      </c>
      <c r="H121" s="18"/>
      <c r="I121" s="18"/>
      <c r="J121" s="2">
        <v>43892</v>
      </c>
      <c r="K121" s="1" t="s">
        <v>346</v>
      </c>
      <c r="L121" s="6" t="s">
        <v>133</v>
      </c>
      <c r="M121" s="5" t="s">
        <v>369</v>
      </c>
    </row>
    <row r="122" spans="1:13" ht="13.8" customHeight="1" x14ac:dyDescent="0.3">
      <c r="A122" s="6">
        <v>121</v>
      </c>
      <c r="B122" s="6" t="s">
        <v>78</v>
      </c>
      <c r="C122" s="6" t="s">
        <v>94</v>
      </c>
      <c r="D122" s="6">
        <v>54</v>
      </c>
      <c r="E122" s="1" t="s">
        <v>503</v>
      </c>
      <c r="F122" s="3" t="s">
        <v>363</v>
      </c>
      <c r="G122" s="2">
        <v>43896</v>
      </c>
      <c r="H122" s="19">
        <v>43910</v>
      </c>
      <c r="I122" s="19"/>
      <c r="J122" s="2">
        <v>43887</v>
      </c>
      <c r="K122" s="1" t="s">
        <v>346</v>
      </c>
      <c r="L122" s="6" t="s">
        <v>133</v>
      </c>
      <c r="M122" s="5" t="s">
        <v>369</v>
      </c>
    </row>
    <row r="123" spans="1:13" ht="13.8" customHeight="1" x14ac:dyDescent="0.3">
      <c r="A123" s="6">
        <v>122</v>
      </c>
      <c r="B123" s="6" t="s">
        <v>78</v>
      </c>
      <c r="C123" s="6" t="s">
        <v>94</v>
      </c>
      <c r="D123" s="6">
        <v>64</v>
      </c>
      <c r="E123" s="1" t="s">
        <v>503</v>
      </c>
      <c r="F123" s="3" t="s">
        <v>364</v>
      </c>
      <c r="G123" s="2">
        <v>43896</v>
      </c>
      <c r="H123" s="19">
        <v>43907</v>
      </c>
      <c r="I123" s="19"/>
      <c r="J123" s="2">
        <v>43893</v>
      </c>
      <c r="K123" s="1" t="s">
        <v>346</v>
      </c>
      <c r="L123" s="6" t="s">
        <v>133</v>
      </c>
      <c r="M123" s="5" t="s">
        <v>369</v>
      </c>
    </row>
    <row r="124" spans="1:13" ht="13.8" customHeight="1" x14ac:dyDescent="0.3">
      <c r="A124" s="6">
        <v>123</v>
      </c>
      <c r="B124" s="1" t="s">
        <v>77</v>
      </c>
      <c r="C124" s="6" t="s">
        <v>93</v>
      </c>
      <c r="D124" s="6">
        <v>47</v>
      </c>
      <c r="E124" s="1" t="s">
        <v>503</v>
      </c>
      <c r="F124" s="3" t="s">
        <v>365</v>
      </c>
      <c r="G124" s="2">
        <v>43896</v>
      </c>
      <c r="H124" s="19">
        <v>43907</v>
      </c>
      <c r="I124" s="19"/>
      <c r="J124" s="2">
        <v>43888</v>
      </c>
      <c r="K124" s="1"/>
      <c r="L124" s="6" t="s">
        <v>134</v>
      </c>
      <c r="M124" s="5" t="s">
        <v>369</v>
      </c>
    </row>
    <row r="125" spans="1:13" ht="13.8" customHeight="1" x14ac:dyDescent="0.3">
      <c r="A125" s="6">
        <v>124</v>
      </c>
      <c r="B125" s="1" t="s">
        <v>77</v>
      </c>
      <c r="C125" s="6" t="s">
        <v>94</v>
      </c>
      <c r="D125" s="6">
        <v>37</v>
      </c>
      <c r="E125" s="1" t="s">
        <v>503</v>
      </c>
      <c r="F125" s="3" t="s">
        <v>388</v>
      </c>
      <c r="G125" s="2">
        <v>43896</v>
      </c>
      <c r="H125" s="18"/>
      <c r="I125" s="18"/>
      <c r="J125" s="2">
        <v>43895</v>
      </c>
      <c r="K125" s="1"/>
      <c r="L125" s="6" t="s">
        <v>133</v>
      </c>
      <c r="M125" s="5" t="s">
        <v>369</v>
      </c>
    </row>
    <row r="126" spans="1:13" ht="13.8" customHeight="1" x14ac:dyDescent="0.3">
      <c r="A126" s="6">
        <v>125</v>
      </c>
      <c r="B126" s="6" t="s">
        <v>78</v>
      </c>
      <c r="C126" s="6" t="s">
        <v>94</v>
      </c>
      <c r="D126" s="6">
        <v>65</v>
      </c>
      <c r="E126" s="1" t="s">
        <v>503</v>
      </c>
      <c r="F126" s="3" t="s">
        <v>389</v>
      </c>
      <c r="G126" s="2">
        <v>43896</v>
      </c>
      <c r="H126" s="19">
        <v>43910</v>
      </c>
      <c r="I126" s="19"/>
      <c r="J126" s="2">
        <v>43895</v>
      </c>
      <c r="K126" s="1" t="s">
        <v>346</v>
      </c>
      <c r="L126" s="6" t="s">
        <v>133</v>
      </c>
      <c r="M126" s="5" t="s">
        <v>369</v>
      </c>
    </row>
    <row r="127" spans="1:13" ht="13.8" customHeight="1" x14ac:dyDescent="0.3">
      <c r="A127" s="6">
        <v>126</v>
      </c>
      <c r="B127" s="6" t="s">
        <v>78</v>
      </c>
      <c r="C127" s="6" t="s">
        <v>93</v>
      </c>
      <c r="D127" s="6">
        <v>77</v>
      </c>
      <c r="E127" s="1" t="s">
        <v>503</v>
      </c>
      <c r="F127" s="3" t="s">
        <v>390</v>
      </c>
      <c r="G127" s="2">
        <v>43896</v>
      </c>
      <c r="H127" s="18"/>
      <c r="I127" s="18"/>
      <c r="J127" s="2">
        <v>43895</v>
      </c>
      <c r="K127" s="1"/>
      <c r="L127" s="6" t="s">
        <v>133</v>
      </c>
      <c r="M127" s="5" t="s">
        <v>369</v>
      </c>
    </row>
    <row r="128" spans="1:13" ht="13.8" customHeight="1" x14ac:dyDescent="0.3">
      <c r="A128" s="6">
        <v>127</v>
      </c>
      <c r="B128" s="6" t="s">
        <v>78</v>
      </c>
      <c r="C128" s="6" t="s">
        <v>94</v>
      </c>
      <c r="D128" s="6">
        <v>64</v>
      </c>
      <c r="E128" s="1" t="s">
        <v>503</v>
      </c>
      <c r="F128" s="3" t="s">
        <v>391</v>
      </c>
      <c r="G128" s="2">
        <v>43896</v>
      </c>
      <c r="H128" s="18"/>
      <c r="I128" s="18"/>
      <c r="J128" s="2">
        <v>43895</v>
      </c>
      <c r="K128" s="1" t="s">
        <v>346</v>
      </c>
      <c r="L128" s="6" t="s">
        <v>133</v>
      </c>
      <c r="M128" s="5" t="s">
        <v>369</v>
      </c>
    </row>
    <row r="129" spans="1:13" ht="13.8" customHeight="1" x14ac:dyDescent="0.3">
      <c r="A129" s="6">
        <v>128</v>
      </c>
      <c r="B129" s="6" t="s">
        <v>78</v>
      </c>
      <c r="C129" s="6" t="s">
        <v>93</v>
      </c>
      <c r="D129" s="6">
        <v>70</v>
      </c>
      <c r="E129" s="1" t="s">
        <v>503</v>
      </c>
      <c r="F129" s="3" t="s">
        <v>392</v>
      </c>
      <c r="G129" s="2">
        <v>43896</v>
      </c>
      <c r="H129" s="18"/>
      <c r="I129" s="18"/>
      <c r="J129" s="2">
        <v>43895</v>
      </c>
      <c r="K129" s="1" t="s">
        <v>346</v>
      </c>
      <c r="L129" s="6" t="s">
        <v>133</v>
      </c>
      <c r="M129" s="5" t="s">
        <v>369</v>
      </c>
    </row>
    <row r="130" spans="1:13" ht="13.8" customHeight="1" x14ac:dyDescent="0.3">
      <c r="A130" s="6">
        <v>129</v>
      </c>
      <c r="B130" s="6" t="s">
        <v>78</v>
      </c>
      <c r="C130" s="6" t="s">
        <v>94</v>
      </c>
      <c r="D130" s="6">
        <v>68</v>
      </c>
      <c r="E130" s="1" t="s">
        <v>503</v>
      </c>
      <c r="F130" s="3" t="s">
        <v>393</v>
      </c>
      <c r="G130" s="2">
        <v>43896</v>
      </c>
      <c r="H130" s="18"/>
      <c r="I130" s="18"/>
      <c r="J130" s="1"/>
      <c r="K130" s="1" t="s">
        <v>346</v>
      </c>
      <c r="L130" s="1" t="s">
        <v>142</v>
      </c>
      <c r="M130" s="5" t="s">
        <v>369</v>
      </c>
    </row>
    <row r="131" spans="1:13" ht="13.8" customHeight="1" x14ac:dyDescent="0.3">
      <c r="A131" s="6">
        <v>130</v>
      </c>
      <c r="B131" s="6" t="s">
        <v>78</v>
      </c>
      <c r="C131" s="6" t="s">
        <v>93</v>
      </c>
      <c r="D131" s="6">
        <v>66</v>
      </c>
      <c r="E131" s="1" t="s">
        <v>503</v>
      </c>
      <c r="F131" s="3" t="s">
        <v>394</v>
      </c>
      <c r="G131" s="2">
        <v>43896</v>
      </c>
      <c r="H131" s="18"/>
      <c r="I131" s="18"/>
      <c r="J131" s="1"/>
      <c r="K131" s="1" t="s">
        <v>346</v>
      </c>
      <c r="L131" s="1" t="s">
        <v>142</v>
      </c>
      <c r="M131" s="5" t="s">
        <v>369</v>
      </c>
    </row>
    <row r="132" spans="1:13" ht="13.8" customHeight="1" x14ac:dyDescent="0.3">
      <c r="A132" s="6">
        <v>131</v>
      </c>
      <c r="B132" s="6" t="s">
        <v>78</v>
      </c>
      <c r="C132" s="6" t="s">
        <v>93</v>
      </c>
      <c r="D132" s="6">
        <v>66</v>
      </c>
      <c r="E132" s="1" t="s">
        <v>503</v>
      </c>
      <c r="F132" s="3" t="s">
        <v>395</v>
      </c>
      <c r="G132" s="2">
        <v>43897</v>
      </c>
      <c r="H132" s="19">
        <v>43907</v>
      </c>
      <c r="I132" s="19"/>
      <c r="J132" s="2">
        <v>43892</v>
      </c>
      <c r="K132" s="1" t="s">
        <v>346</v>
      </c>
      <c r="L132" s="1" t="s">
        <v>142</v>
      </c>
      <c r="M132" s="5" t="s">
        <v>409</v>
      </c>
    </row>
    <row r="133" spans="1:13" ht="13.8" customHeight="1" x14ac:dyDescent="0.3">
      <c r="A133" s="6">
        <v>132</v>
      </c>
      <c r="B133" s="1" t="s">
        <v>77</v>
      </c>
      <c r="C133" s="6" t="s">
        <v>94</v>
      </c>
      <c r="D133" s="6">
        <v>37</v>
      </c>
      <c r="E133" s="1" t="s">
        <v>503</v>
      </c>
      <c r="F133" s="3" t="s">
        <v>396</v>
      </c>
      <c r="G133" s="2">
        <v>43897</v>
      </c>
      <c r="H133" s="29">
        <v>43910</v>
      </c>
      <c r="I133" s="29"/>
      <c r="J133" s="2">
        <v>43890</v>
      </c>
      <c r="K133" s="1"/>
      <c r="L133" s="1" t="s">
        <v>138</v>
      </c>
      <c r="M133" s="5" t="s">
        <v>409</v>
      </c>
    </row>
    <row r="134" spans="1:13" ht="13.8" customHeight="1" x14ac:dyDescent="0.3">
      <c r="A134" s="6">
        <v>133</v>
      </c>
      <c r="B134" s="6" t="s">
        <v>78</v>
      </c>
      <c r="C134" s="6" t="s">
        <v>94</v>
      </c>
      <c r="D134" s="6">
        <v>62</v>
      </c>
      <c r="E134" s="1" t="s">
        <v>519</v>
      </c>
      <c r="F134" s="3" t="s">
        <v>397</v>
      </c>
      <c r="G134" s="2">
        <v>43897</v>
      </c>
      <c r="H134" s="29">
        <v>43910</v>
      </c>
      <c r="I134" s="29"/>
      <c r="J134" s="2">
        <v>43890</v>
      </c>
      <c r="K134" s="1" t="s">
        <v>346</v>
      </c>
      <c r="L134" s="1" t="s">
        <v>138</v>
      </c>
      <c r="M134" s="5" t="s">
        <v>409</v>
      </c>
    </row>
    <row r="135" spans="1:13" ht="13.8" customHeight="1" x14ac:dyDescent="0.3">
      <c r="A135" s="6">
        <v>134</v>
      </c>
      <c r="B135" s="6" t="s">
        <v>78</v>
      </c>
      <c r="C135" s="6" t="s">
        <v>94</v>
      </c>
      <c r="D135" s="6">
        <v>56</v>
      </c>
      <c r="E135" s="1" t="s">
        <v>503</v>
      </c>
      <c r="F135" s="3" t="s">
        <v>398</v>
      </c>
      <c r="G135" s="2">
        <v>43897</v>
      </c>
      <c r="H135" s="30">
        <v>43910</v>
      </c>
      <c r="I135" s="30"/>
      <c r="J135" s="2">
        <v>43889</v>
      </c>
      <c r="K135" s="1" t="s">
        <v>346</v>
      </c>
      <c r="L135" s="1" t="s">
        <v>133</v>
      </c>
      <c r="M135" s="5" t="s">
        <v>409</v>
      </c>
    </row>
    <row r="136" spans="1:13" ht="13.8" customHeight="1" x14ac:dyDescent="0.3">
      <c r="A136" s="6">
        <v>135</v>
      </c>
      <c r="B136" s="6" t="s">
        <v>78</v>
      </c>
      <c r="C136" s="6" t="s">
        <v>93</v>
      </c>
      <c r="D136" s="6">
        <v>40</v>
      </c>
      <c r="E136" s="1" t="s">
        <v>503</v>
      </c>
      <c r="F136" s="3" t="s">
        <v>399</v>
      </c>
      <c r="G136" s="2">
        <v>43897</v>
      </c>
      <c r="H136" s="19">
        <v>43904</v>
      </c>
      <c r="I136" s="19"/>
      <c r="J136" s="2">
        <v>43887</v>
      </c>
      <c r="K136" s="1"/>
      <c r="L136" s="1" t="s">
        <v>132</v>
      </c>
      <c r="M136" s="5" t="s">
        <v>409</v>
      </c>
    </row>
    <row r="137" spans="1:13" ht="13.8" customHeight="1" x14ac:dyDescent="0.3">
      <c r="A137" s="6">
        <v>136</v>
      </c>
      <c r="B137" s="1" t="s">
        <v>77</v>
      </c>
      <c r="C137" s="6" t="s">
        <v>93</v>
      </c>
      <c r="D137" s="6">
        <v>36</v>
      </c>
      <c r="E137" s="1" t="s">
        <v>635</v>
      </c>
      <c r="F137" s="3" t="s">
        <v>400</v>
      </c>
      <c r="G137" s="2">
        <v>43897</v>
      </c>
      <c r="H137" s="19">
        <v>43910</v>
      </c>
      <c r="I137" s="19"/>
      <c r="J137" s="2">
        <v>43891</v>
      </c>
      <c r="K137" s="1"/>
      <c r="L137" s="1" t="s">
        <v>133</v>
      </c>
      <c r="M137" s="5" t="s">
        <v>409</v>
      </c>
    </row>
    <row r="138" spans="1:13" ht="13.8" customHeight="1" x14ac:dyDescent="0.3">
      <c r="A138" s="6">
        <v>137</v>
      </c>
      <c r="B138" s="6" t="s">
        <v>78</v>
      </c>
      <c r="C138" s="6" t="s">
        <v>93</v>
      </c>
      <c r="D138" s="6">
        <v>60</v>
      </c>
      <c r="E138" s="1" t="s">
        <v>503</v>
      </c>
      <c r="F138" s="3" t="s">
        <v>401</v>
      </c>
      <c r="G138" s="2">
        <v>43897</v>
      </c>
      <c r="H138" s="19">
        <v>43911</v>
      </c>
      <c r="I138" s="19"/>
      <c r="J138" s="2">
        <v>43895</v>
      </c>
      <c r="K138" s="1" t="s">
        <v>346</v>
      </c>
      <c r="L138" s="1" t="s">
        <v>133</v>
      </c>
      <c r="M138" s="5" t="s">
        <v>409</v>
      </c>
    </row>
    <row r="139" spans="1:13" ht="13.8" customHeight="1" x14ac:dyDescent="0.3">
      <c r="A139" s="6">
        <v>138</v>
      </c>
      <c r="B139" s="6" t="s">
        <v>78</v>
      </c>
      <c r="C139" s="6" t="s">
        <v>93</v>
      </c>
      <c r="D139" s="6">
        <v>26</v>
      </c>
      <c r="E139" s="1" t="s">
        <v>503</v>
      </c>
      <c r="F139" s="3" t="s">
        <v>402</v>
      </c>
      <c r="G139" s="2">
        <v>43897</v>
      </c>
      <c r="H139" s="19">
        <v>43899</v>
      </c>
      <c r="I139" s="19"/>
      <c r="J139" s="1"/>
      <c r="K139" s="1" t="s">
        <v>17</v>
      </c>
      <c r="L139" s="1" t="s">
        <v>133</v>
      </c>
      <c r="M139" s="5" t="s">
        <v>409</v>
      </c>
    </row>
    <row r="140" spans="1:13" ht="13.8" customHeight="1" x14ac:dyDescent="0.3">
      <c r="A140" s="6">
        <v>139</v>
      </c>
      <c r="B140" s="6" t="s">
        <v>78</v>
      </c>
      <c r="C140" s="6" t="s">
        <v>93</v>
      </c>
      <c r="D140" s="6">
        <v>71</v>
      </c>
      <c r="E140" s="1" t="s">
        <v>503</v>
      </c>
      <c r="F140" s="3" t="s">
        <v>403</v>
      </c>
      <c r="G140" s="2">
        <v>43898</v>
      </c>
      <c r="H140" s="18"/>
      <c r="I140" s="18"/>
      <c r="J140" s="2">
        <v>43893</v>
      </c>
      <c r="K140" s="1" t="s">
        <v>346</v>
      </c>
      <c r="L140" s="1" t="s">
        <v>142</v>
      </c>
      <c r="M140" s="5" t="s">
        <v>410</v>
      </c>
    </row>
    <row r="141" spans="1:13" ht="13.8" customHeight="1" x14ac:dyDescent="0.3">
      <c r="A141" s="6">
        <v>140</v>
      </c>
      <c r="B141" s="6" t="s">
        <v>78</v>
      </c>
      <c r="C141" s="6" t="s">
        <v>94</v>
      </c>
      <c r="D141" s="6">
        <v>62</v>
      </c>
      <c r="E141" s="1" t="s">
        <v>503</v>
      </c>
      <c r="F141" s="3" t="s">
        <v>404</v>
      </c>
      <c r="G141" s="2">
        <v>43898</v>
      </c>
      <c r="H141" s="18"/>
      <c r="I141" s="18"/>
      <c r="J141" s="2">
        <v>43889</v>
      </c>
      <c r="K141" s="1" t="s">
        <v>346</v>
      </c>
      <c r="L141" s="1" t="s">
        <v>142</v>
      </c>
      <c r="M141" s="5" t="s">
        <v>410</v>
      </c>
    </row>
    <row r="142" spans="1:13" ht="13.8" customHeight="1" x14ac:dyDescent="0.3">
      <c r="A142" s="6">
        <v>141</v>
      </c>
      <c r="B142" s="6" t="s">
        <v>78</v>
      </c>
      <c r="C142" s="6" t="s">
        <v>93</v>
      </c>
      <c r="D142" s="6">
        <v>69</v>
      </c>
      <c r="E142" s="1" t="s">
        <v>503</v>
      </c>
      <c r="F142" s="3" t="s">
        <v>405</v>
      </c>
      <c r="G142" s="2">
        <v>43898</v>
      </c>
      <c r="H142" s="18"/>
      <c r="I142" s="18"/>
      <c r="J142" s="2">
        <v>43891</v>
      </c>
      <c r="K142" s="1"/>
      <c r="L142" s="1" t="s">
        <v>142</v>
      </c>
      <c r="M142" s="5" t="s">
        <v>410</v>
      </c>
    </row>
    <row r="143" spans="1:13" ht="13.8" customHeight="1" x14ac:dyDescent="0.3">
      <c r="A143" s="6">
        <v>142</v>
      </c>
      <c r="B143" s="6" t="s">
        <v>78</v>
      </c>
      <c r="C143" s="6" t="s">
        <v>93</v>
      </c>
      <c r="D143" s="6">
        <v>26</v>
      </c>
      <c r="E143" s="1" t="s">
        <v>503</v>
      </c>
      <c r="F143" s="3" t="s">
        <v>406</v>
      </c>
      <c r="G143" s="2">
        <v>43898</v>
      </c>
      <c r="H143" s="18"/>
      <c r="I143" s="18"/>
      <c r="J143" s="2">
        <v>43895</v>
      </c>
      <c r="K143" s="1" t="s">
        <v>346</v>
      </c>
      <c r="L143" s="1" t="s">
        <v>142</v>
      </c>
      <c r="M143" s="5" t="s">
        <v>410</v>
      </c>
    </row>
    <row r="144" spans="1:13" ht="13.8" customHeight="1" x14ac:dyDescent="0.3">
      <c r="A144" s="6">
        <v>143</v>
      </c>
      <c r="B144" s="6" t="s">
        <v>78</v>
      </c>
      <c r="C144" s="6" t="s">
        <v>93</v>
      </c>
      <c r="D144" s="6">
        <v>42</v>
      </c>
      <c r="E144" s="1" t="s">
        <v>503</v>
      </c>
      <c r="F144" s="3" t="s">
        <v>407</v>
      </c>
      <c r="G144" s="2">
        <v>43898</v>
      </c>
      <c r="H144" s="29">
        <v>43910</v>
      </c>
      <c r="I144" s="29"/>
      <c r="J144" s="2">
        <v>43895</v>
      </c>
      <c r="K144" s="1"/>
      <c r="L144" s="1" t="s">
        <v>138</v>
      </c>
      <c r="M144" s="5" t="s">
        <v>410</v>
      </c>
    </row>
    <row r="145" spans="1:13" ht="13.8" customHeight="1" x14ac:dyDescent="0.3">
      <c r="A145" s="6">
        <v>144</v>
      </c>
      <c r="B145" s="6" t="s">
        <v>78</v>
      </c>
      <c r="C145" s="6" t="s">
        <v>94</v>
      </c>
      <c r="D145" s="6">
        <v>58</v>
      </c>
      <c r="E145" s="1" t="s">
        <v>503</v>
      </c>
      <c r="F145" s="3" t="s">
        <v>408</v>
      </c>
      <c r="G145" s="2">
        <v>43898</v>
      </c>
      <c r="H145" s="19">
        <v>43911</v>
      </c>
      <c r="I145" s="19"/>
      <c r="J145" s="2">
        <v>43893</v>
      </c>
      <c r="K145" s="1" t="s">
        <v>346</v>
      </c>
      <c r="L145" s="1" t="s">
        <v>142</v>
      </c>
      <c r="M145" s="5" t="s">
        <v>410</v>
      </c>
    </row>
    <row r="146" spans="1:13" ht="13.8" customHeight="1" x14ac:dyDescent="0.3">
      <c r="A146" s="6">
        <v>145</v>
      </c>
      <c r="B146" s="6" t="s">
        <v>78</v>
      </c>
      <c r="C146" s="6" t="s">
        <v>94</v>
      </c>
      <c r="D146" s="6">
        <v>67</v>
      </c>
      <c r="E146" s="1" t="s">
        <v>503</v>
      </c>
      <c r="F146" s="3" t="s">
        <v>438</v>
      </c>
      <c r="G146" s="2">
        <v>43898</v>
      </c>
      <c r="H146" s="18"/>
      <c r="I146" s="18"/>
      <c r="J146" s="2">
        <v>43890</v>
      </c>
      <c r="K146" s="1" t="s">
        <v>346</v>
      </c>
      <c r="L146" s="1" t="s">
        <v>133</v>
      </c>
      <c r="M146" s="5" t="s">
        <v>410</v>
      </c>
    </row>
    <row r="147" spans="1:13" ht="13.8" customHeight="1" x14ac:dyDescent="0.3">
      <c r="A147" s="6">
        <v>146</v>
      </c>
      <c r="B147" s="6" t="s">
        <v>78</v>
      </c>
      <c r="C147" s="6" t="s">
        <v>94</v>
      </c>
      <c r="D147" s="6">
        <v>64</v>
      </c>
      <c r="E147" s="1" t="s">
        <v>503</v>
      </c>
      <c r="F147" s="3" t="s">
        <v>439</v>
      </c>
      <c r="G147" s="2">
        <v>43898</v>
      </c>
      <c r="H147" s="19">
        <v>43904</v>
      </c>
      <c r="I147" s="19"/>
      <c r="J147" s="2">
        <v>43894</v>
      </c>
      <c r="K147" s="1" t="s">
        <v>346</v>
      </c>
      <c r="L147" s="1" t="s">
        <v>133</v>
      </c>
      <c r="M147" s="5" t="s">
        <v>410</v>
      </c>
    </row>
    <row r="148" spans="1:13" ht="13.8" customHeight="1" x14ac:dyDescent="0.3">
      <c r="A148" s="6">
        <v>147</v>
      </c>
      <c r="B148" s="1" t="s">
        <v>77</v>
      </c>
      <c r="C148" s="6" t="s">
        <v>93</v>
      </c>
      <c r="D148" s="6">
        <v>64</v>
      </c>
      <c r="E148" s="1" t="s">
        <v>503</v>
      </c>
      <c r="F148" s="3" t="s">
        <v>440</v>
      </c>
      <c r="G148" s="2">
        <v>43898</v>
      </c>
      <c r="H148" s="18"/>
      <c r="I148" s="18"/>
      <c r="J148" s="2">
        <v>43893</v>
      </c>
      <c r="K148" s="1"/>
      <c r="L148" s="1" t="s">
        <v>133</v>
      </c>
      <c r="M148" s="5" t="s">
        <v>410</v>
      </c>
    </row>
    <row r="149" spans="1:13" ht="13.8" customHeight="1" x14ac:dyDescent="0.3">
      <c r="A149" s="6">
        <v>148</v>
      </c>
      <c r="B149" s="6" t="s">
        <v>78</v>
      </c>
      <c r="C149" s="6" t="s">
        <v>94</v>
      </c>
      <c r="D149" s="6">
        <v>67</v>
      </c>
      <c r="E149" s="1" t="s">
        <v>503</v>
      </c>
      <c r="F149" s="3" t="s">
        <v>441</v>
      </c>
      <c r="G149" s="2">
        <v>43898</v>
      </c>
      <c r="H149" s="2">
        <v>43901</v>
      </c>
      <c r="I149" s="2"/>
      <c r="J149" s="2">
        <v>43885</v>
      </c>
      <c r="K149" s="1" t="s">
        <v>346</v>
      </c>
      <c r="L149" s="1" t="s">
        <v>133</v>
      </c>
      <c r="M149" s="5" t="s">
        <v>410</v>
      </c>
    </row>
    <row r="150" spans="1:13" ht="13.8" customHeight="1" x14ac:dyDescent="0.3">
      <c r="A150" s="6">
        <v>149</v>
      </c>
      <c r="B150" s="6" t="s">
        <v>78</v>
      </c>
      <c r="C150" s="6" t="s">
        <v>93</v>
      </c>
      <c r="D150" s="6">
        <v>62</v>
      </c>
      <c r="E150" s="1" t="s">
        <v>503</v>
      </c>
      <c r="F150" s="3" t="s">
        <v>442</v>
      </c>
      <c r="G150" s="2">
        <v>43898</v>
      </c>
      <c r="H150" s="19">
        <v>43906</v>
      </c>
      <c r="I150" s="19"/>
      <c r="J150" s="2">
        <v>43884</v>
      </c>
      <c r="K150" s="1" t="s">
        <v>346</v>
      </c>
      <c r="L150" s="1" t="s">
        <v>133</v>
      </c>
      <c r="M150" s="5" t="s">
        <v>410</v>
      </c>
    </row>
    <row r="151" spans="1:13" ht="13.8" customHeight="1" x14ac:dyDescent="0.3">
      <c r="A151" s="6">
        <v>150</v>
      </c>
      <c r="B151" s="6" t="s">
        <v>78</v>
      </c>
      <c r="C151" s="6" t="s">
        <v>94</v>
      </c>
      <c r="D151" s="6">
        <v>53</v>
      </c>
      <c r="E151" s="1" t="s">
        <v>503</v>
      </c>
      <c r="F151" s="3" t="s">
        <v>447</v>
      </c>
      <c r="G151" s="2">
        <v>43898</v>
      </c>
      <c r="H151" s="19">
        <v>43904</v>
      </c>
      <c r="I151" s="19"/>
      <c r="J151" s="2">
        <v>43890</v>
      </c>
      <c r="K151" s="1" t="s">
        <v>346</v>
      </c>
      <c r="L151" s="1" t="s">
        <v>133</v>
      </c>
      <c r="M151" s="5" t="s">
        <v>410</v>
      </c>
    </row>
    <row r="152" spans="1:13" ht="13.8" customHeight="1" x14ac:dyDescent="0.3">
      <c r="A152" s="6">
        <v>151</v>
      </c>
      <c r="B152" s="6" t="s">
        <v>78</v>
      </c>
      <c r="C152" s="6" t="s">
        <v>93</v>
      </c>
      <c r="D152" s="6">
        <v>51</v>
      </c>
      <c r="E152" s="1" t="s">
        <v>503</v>
      </c>
      <c r="F152" s="3" t="s">
        <v>443</v>
      </c>
      <c r="G152" s="2">
        <v>43899</v>
      </c>
      <c r="H152" s="2">
        <v>43899</v>
      </c>
      <c r="I152" s="2"/>
      <c r="J152" s="2">
        <v>43865</v>
      </c>
      <c r="K152" s="1" t="s">
        <v>17</v>
      </c>
      <c r="L152" s="6" t="s">
        <v>133</v>
      </c>
      <c r="M152" s="5" t="s">
        <v>446</v>
      </c>
    </row>
    <row r="153" spans="1:13" ht="13.8" customHeight="1" x14ac:dyDescent="0.3">
      <c r="A153" s="6">
        <v>152</v>
      </c>
      <c r="B153" s="6" t="s">
        <v>77</v>
      </c>
      <c r="C153" s="6" t="s">
        <v>93</v>
      </c>
      <c r="D153" s="6">
        <v>65</v>
      </c>
      <c r="E153" s="1" t="s">
        <v>519</v>
      </c>
      <c r="F153" s="3" t="s">
        <v>444</v>
      </c>
      <c r="G153" s="2">
        <v>43899</v>
      </c>
      <c r="H153" s="18"/>
      <c r="I153" s="18"/>
      <c r="J153" s="2">
        <v>43889</v>
      </c>
      <c r="K153" s="1"/>
      <c r="L153" s="6" t="s">
        <v>132</v>
      </c>
      <c r="M153" s="5" t="s">
        <v>446</v>
      </c>
    </row>
    <row r="154" spans="1:13" ht="13.8" customHeight="1" x14ac:dyDescent="0.3">
      <c r="A154" s="6">
        <v>153</v>
      </c>
      <c r="B154" s="6" t="s">
        <v>77</v>
      </c>
      <c r="C154" s="6" t="s">
        <v>94</v>
      </c>
      <c r="D154" s="1">
        <v>65</v>
      </c>
      <c r="E154" s="1" t="s">
        <v>503</v>
      </c>
      <c r="F154" s="3" t="s">
        <v>445</v>
      </c>
      <c r="G154" s="2">
        <v>43899</v>
      </c>
      <c r="H154" s="18"/>
      <c r="I154" s="18"/>
      <c r="J154" s="2">
        <v>43893</v>
      </c>
      <c r="K154" s="1"/>
      <c r="L154" s="6" t="s">
        <v>132</v>
      </c>
      <c r="M154" s="5" t="s">
        <v>446</v>
      </c>
    </row>
    <row r="155" spans="1:13" ht="13.8" customHeight="1" x14ac:dyDescent="0.3">
      <c r="A155" s="6">
        <v>154</v>
      </c>
      <c r="B155" s="6" t="s">
        <v>77</v>
      </c>
      <c r="C155" s="6" t="s">
        <v>93</v>
      </c>
      <c r="D155" s="1">
        <v>52</v>
      </c>
      <c r="E155" s="1" t="s">
        <v>650</v>
      </c>
      <c r="F155" s="3" t="s">
        <v>668</v>
      </c>
      <c r="G155" s="2">
        <v>43899</v>
      </c>
      <c r="H155" s="18"/>
      <c r="I155" s="18"/>
      <c r="J155" s="2">
        <v>43898</v>
      </c>
      <c r="K155" s="1"/>
      <c r="L155" s="6" t="s">
        <v>133</v>
      </c>
      <c r="M155" s="5" t="s">
        <v>446</v>
      </c>
    </row>
    <row r="156" spans="1:13" ht="13.8" customHeight="1" x14ac:dyDescent="0.3">
      <c r="A156" s="6">
        <v>155</v>
      </c>
      <c r="B156" s="6" t="s">
        <v>78</v>
      </c>
      <c r="C156" s="6" t="s">
        <v>94</v>
      </c>
      <c r="D156" s="1">
        <v>47</v>
      </c>
      <c r="E156" s="1" t="s">
        <v>591</v>
      </c>
      <c r="F156" s="3" t="s">
        <v>669</v>
      </c>
      <c r="G156" s="2">
        <v>43899</v>
      </c>
      <c r="H156" s="19">
        <v>43912</v>
      </c>
      <c r="I156" s="18"/>
      <c r="J156" s="2">
        <v>43894</v>
      </c>
      <c r="K156" s="1" t="s">
        <v>346</v>
      </c>
      <c r="L156" s="6" t="s">
        <v>133</v>
      </c>
      <c r="M156" s="5" t="s">
        <v>446</v>
      </c>
    </row>
    <row r="157" spans="1:13" ht="13.8" customHeight="1" x14ac:dyDescent="0.3">
      <c r="A157" s="6">
        <v>156</v>
      </c>
      <c r="B157" s="6" t="s">
        <v>78</v>
      </c>
      <c r="C157" s="6" t="s">
        <v>94</v>
      </c>
      <c r="D157" s="1">
        <v>50</v>
      </c>
      <c r="E157" s="1" t="s">
        <v>503</v>
      </c>
      <c r="F157" s="3" t="s">
        <v>670</v>
      </c>
      <c r="G157" s="2">
        <v>43899</v>
      </c>
      <c r="H157" s="18"/>
      <c r="I157" s="18"/>
      <c r="J157" s="2">
        <v>43897</v>
      </c>
      <c r="K157" s="1" t="s">
        <v>346</v>
      </c>
      <c r="L157" s="6" t="s">
        <v>133</v>
      </c>
      <c r="M157" s="5" t="s">
        <v>446</v>
      </c>
    </row>
    <row r="158" spans="1:13" ht="13.8" customHeight="1" x14ac:dyDescent="0.3">
      <c r="A158" s="6">
        <v>157</v>
      </c>
      <c r="B158" s="6" t="s">
        <v>78</v>
      </c>
      <c r="C158" s="6" t="s">
        <v>94</v>
      </c>
      <c r="D158" s="1">
        <v>54</v>
      </c>
      <c r="E158" s="1" t="s">
        <v>503</v>
      </c>
      <c r="F158" s="3" t="s">
        <v>671</v>
      </c>
      <c r="G158" s="2">
        <v>43899</v>
      </c>
      <c r="H158" s="18"/>
      <c r="I158" s="18"/>
      <c r="J158" s="2">
        <v>43898</v>
      </c>
      <c r="K158" s="1" t="s">
        <v>346</v>
      </c>
      <c r="L158" s="6" t="s">
        <v>133</v>
      </c>
      <c r="M158" s="5" t="s">
        <v>446</v>
      </c>
    </row>
    <row r="159" spans="1:13" ht="13.8" customHeight="1" x14ac:dyDescent="0.3">
      <c r="A159" s="6">
        <v>158</v>
      </c>
      <c r="B159" s="6" t="s">
        <v>78</v>
      </c>
      <c r="C159" s="6" t="s">
        <v>94</v>
      </c>
      <c r="D159" s="1">
        <v>53</v>
      </c>
      <c r="E159" s="1" t="s">
        <v>503</v>
      </c>
      <c r="F159" s="3" t="s">
        <v>672</v>
      </c>
      <c r="G159" s="2">
        <v>43899</v>
      </c>
      <c r="H159" s="18"/>
      <c r="I159" s="18"/>
      <c r="J159" s="2">
        <v>43895</v>
      </c>
      <c r="K159" s="1" t="s">
        <v>346</v>
      </c>
      <c r="L159" s="6" t="s">
        <v>142</v>
      </c>
      <c r="M159" s="5" t="s">
        <v>446</v>
      </c>
    </row>
    <row r="160" spans="1:13" ht="13.8" customHeight="1" x14ac:dyDescent="0.3">
      <c r="A160" s="6">
        <v>159</v>
      </c>
      <c r="B160" s="6" t="s">
        <v>78</v>
      </c>
      <c r="C160" s="6" t="s">
        <v>93</v>
      </c>
      <c r="D160" s="1">
        <v>59</v>
      </c>
      <c r="E160" s="1" t="s">
        <v>503</v>
      </c>
      <c r="F160" s="3" t="s">
        <v>673</v>
      </c>
      <c r="G160" s="2">
        <v>43899</v>
      </c>
      <c r="H160" s="18"/>
      <c r="I160" s="18"/>
      <c r="J160" s="2">
        <v>43895</v>
      </c>
      <c r="K160" s="1" t="s">
        <v>346</v>
      </c>
      <c r="L160" s="6" t="s">
        <v>142</v>
      </c>
      <c r="M160" s="5" t="s">
        <v>446</v>
      </c>
    </row>
    <row r="161" spans="1:13" ht="13.8" customHeight="1" x14ac:dyDescent="0.3">
      <c r="A161" s="6">
        <v>160</v>
      </c>
      <c r="B161" s="6" t="s">
        <v>78</v>
      </c>
      <c r="C161" s="6" t="s">
        <v>93</v>
      </c>
      <c r="D161" s="1">
        <v>5</v>
      </c>
      <c r="E161" s="1" t="s">
        <v>503</v>
      </c>
      <c r="F161" s="3" t="s">
        <v>674</v>
      </c>
      <c r="G161" s="2">
        <v>43899</v>
      </c>
      <c r="H161" s="19">
        <v>43904</v>
      </c>
      <c r="I161" s="19"/>
      <c r="J161" s="2">
        <v>43897</v>
      </c>
      <c r="K161" s="1" t="s">
        <v>346</v>
      </c>
      <c r="L161" s="6" t="s">
        <v>136</v>
      </c>
      <c r="M161" s="5" t="s">
        <v>446</v>
      </c>
    </row>
    <row r="162" spans="1:13" ht="13.8" customHeight="1" x14ac:dyDescent="0.3">
      <c r="A162" s="6">
        <v>161</v>
      </c>
      <c r="B162" s="6" t="s">
        <v>78</v>
      </c>
      <c r="C162" s="6" t="s">
        <v>93</v>
      </c>
      <c r="D162" s="6">
        <v>73</v>
      </c>
      <c r="E162" s="6" t="s">
        <v>503</v>
      </c>
      <c r="F162" s="3" t="s">
        <v>675</v>
      </c>
      <c r="G162" s="2">
        <v>43900</v>
      </c>
      <c r="H162" s="1"/>
      <c r="I162" s="1"/>
      <c r="J162" s="2">
        <v>43888</v>
      </c>
      <c r="K162" s="1" t="s">
        <v>346</v>
      </c>
      <c r="L162" s="6" t="s">
        <v>133</v>
      </c>
      <c r="M162" s="5" t="s">
        <v>678</v>
      </c>
    </row>
    <row r="163" spans="1:13" ht="13.8" customHeight="1" x14ac:dyDescent="0.3">
      <c r="A163" s="6">
        <v>162</v>
      </c>
      <c r="B163" s="6" t="s">
        <v>78</v>
      </c>
      <c r="C163" s="6" t="s">
        <v>93</v>
      </c>
      <c r="D163" s="6">
        <v>28</v>
      </c>
      <c r="E163" s="6" t="s">
        <v>503</v>
      </c>
      <c r="F163" s="3" t="s">
        <v>676</v>
      </c>
      <c r="G163" s="2">
        <v>43900</v>
      </c>
      <c r="H163" s="1"/>
      <c r="I163" s="1"/>
      <c r="J163" s="2">
        <v>43897</v>
      </c>
      <c r="K163" s="1" t="s">
        <v>693</v>
      </c>
      <c r="L163" s="6" t="s">
        <v>133</v>
      </c>
      <c r="M163" s="5" t="s">
        <v>678</v>
      </c>
    </row>
    <row r="164" spans="1:13" ht="13.8" customHeight="1" x14ac:dyDescent="0.3">
      <c r="A164" s="6">
        <v>163</v>
      </c>
      <c r="B164" s="6" t="s">
        <v>78</v>
      </c>
      <c r="C164" s="6" t="s">
        <v>94</v>
      </c>
      <c r="D164" s="6">
        <v>27</v>
      </c>
      <c r="E164" s="6" t="s">
        <v>503</v>
      </c>
      <c r="F164" s="3" t="s">
        <v>677</v>
      </c>
      <c r="G164" s="2">
        <v>43900</v>
      </c>
      <c r="H164" s="1"/>
      <c r="I164" s="1"/>
      <c r="J164" s="2">
        <v>43898</v>
      </c>
      <c r="K164" s="1" t="s">
        <v>693</v>
      </c>
      <c r="L164" s="6" t="s">
        <v>133</v>
      </c>
      <c r="M164" s="5" t="s">
        <v>678</v>
      </c>
    </row>
    <row r="165" spans="1:13" ht="13.8" customHeight="1" x14ac:dyDescent="0.3">
      <c r="A165" s="6">
        <v>164</v>
      </c>
      <c r="B165" s="6" t="s">
        <v>78</v>
      </c>
      <c r="C165" s="6" t="s">
        <v>94</v>
      </c>
      <c r="D165" s="6">
        <v>57</v>
      </c>
      <c r="E165" s="6" t="s">
        <v>503</v>
      </c>
      <c r="F165" s="3" t="s">
        <v>694</v>
      </c>
      <c r="G165" s="2">
        <v>43900</v>
      </c>
      <c r="H165" s="1"/>
      <c r="I165" s="1"/>
      <c r="J165" s="2">
        <v>43898</v>
      </c>
      <c r="K165" s="1" t="s">
        <v>346</v>
      </c>
      <c r="L165" s="6" t="s">
        <v>133</v>
      </c>
      <c r="M165" s="5" t="s">
        <v>678</v>
      </c>
    </row>
    <row r="166" spans="1:13" ht="13.8" customHeight="1" x14ac:dyDescent="0.3">
      <c r="A166" s="6">
        <v>165</v>
      </c>
      <c r="B166" s="1" t="s">
        <v>77</v>
      </c>
      <c r="C166" s="6" t="s">
        <v>93</v>
      </c>
      <c r="D166" s="6">
        <v>30</v>
      </c>
      <c r="E166" s="1" t="s">
        <v>503</v>
      </c>
      <c r="F166" s="3" t="s">
        <v>695</v>
      </c>
      <c r="G166" s="2">
        <v>43900</v>
      </c>
      <c r="H166" s="1"/>
      <c r="I166" s="1"/>
      <c r="J166" s="2">
        <v>43899</v>
      </c>
      <c r="K166" s="1"/>
      <c r="L166" s="6" t="s">
        <v>133</v>
      </c>
      <c r="M166" s="5" t="s">
        <v>678</v>
      </c>
    </row>
    <row r="167" spans="1:13" ht="13.8" customHeight="1" x14ac:dyDescent="0.3">
      <c r="A167" s="6">
        <v>166</v>
      </c>
      <c r="B167" s="6" t="s">
        <v>78</v>
      </c>
      <c r="C167" s="6" t="s">
        <v>94</v>
      </c>
      <c r="D167" s="6">
        <v>55</v>
      </c>
      <c r="E167" s="1" t="s">
        <v>503</v>
      </c>
      <c r="F167" s="3" t="s">
        <v>696</v>
      </c>
      <c r="G167" s="2">
        <v>43900</v>
      </c>
      <c r="H167" s="1"/>
      <c r="I167" s="1"/>
      <c r="J167" s="2">
        <v>43894</v>
      </c>
      <c r="K167" s="1" t="s">
        <v>346</v>
      </c>
      <c r="L167" s="1" t="s">
        <v>142</v>
      </c>
      <c r="M167" s="5" t="s">
        <v>678</v>
      </c>
    </row>
    <row r="168" spans="1:13" ht="13.8" customHeight="1" x14ac:dyDescent="0.3">
      <c r="A168" s="6">
        <v>167</v>
      </c>
      <c r="B168" s="6" t="s">
        <v>78</v>
      </c>
      <c r="C168" s="1" t="s">
        <v>94</v>
      </c>
      <c r="D168" s="1">
        <v>35</v>
      </c>
      <c r="E168" s="1" t="s">
        <v>608</v>
      </c>
      <c r="F168" s="3" t="s">
        <v>697</v>
      </c>
      <c r="G168" s="2">
        <v>43901</v>
      </c>
      <c r="H168" s="1"/>
      <c r="I168" s="1"/>
      <c r="J168" s="2">
        <v>43898</v>
      </c>
      <c r="K168" s="1"/>
      <c r="L168" s="1" t="s">
        <v>142</v>
      </c>
      <c r="M168" s="5" t="s">
        <v>701</v>
      </c>
    </row>
    <row r="169" spans="1:13" ht="13.8" customHeight="1" x14ac:dyDescent="0.3">
      <c r="A169" s="6">
        <v>168</v>
      </c>
      <c r="B169" s="6" t="s">
        <v>78</v>
      </c>
      <c r="C169" s="1" t="s">
        <v>93</v>
      </c>
      <c r="D169" s="1">
        <v>47</v>
      </c>
      <c r="E169" s="1" t="s">
        <v>503</v>
      </c>
      <c r="F169" s="3" t="s">
        <v>698</v>
      </c>
      <c r="G169" s="2">
        <v>43901</v>
      </c>
      <c r="H169" s="29">
        <v>43910</v>
      </c>
      <c r="I169" s="29"/>
      <c r="J169" s="2">
        <v>43891</v>
      </c>
      <c r="K169" s="1"/>
      <c r="L169" s="1" t="s">
        <v>134</v>
      </c>
      <c r="M169" s="5" t="s">
        <v>701</v>
      </c>
    </row>
    <row r="170" spans="1:13" ht="13.8" customHeight="1" x14ac:dyDescent="0.3">
      <c r="A170" s="6">
        <v>169</v>
      </c>
      <c r="B170" s="1" t="s">
        <v>77</v>
      </c>
      <c r="C170" s="1" t="s">
        <v>93</v>
      </c>
      <c r="D170" s="1">
        <v>40</v>
      </c>
      <c r="E170" s="1" t="s">
        <v>503</v>
      </c>
      <c r="F170" s="3" t="s">
        <v>699</v>
      </c>
      <c r="G170" s="2">
        <v>43901</v>
      </c>
      <c r="H170" s="1"/>
      <c r="I170" s="1"/>
      <c r="J170" s="2">
        <v>43899</v>
      </c>
      <c r="K170" s="1"/>
      <c r="L170" s="1" t="s">
        <v>137</v>
      </c>
      <c r="M170" s="5" t="s">
        <v>701</v>
      </c>
    </row>
    <row r="171" spans="1:13" ht="13.8" customHeight="1" x14ac:dyDescent="0.3">
      <c r="A171" s="6">
        <v>170</v>
      </c>
      <c r="B171" s="1" t="s">
        <v>77</v>
      </c>
      <c r="C171" s="1" t="s">
        <v>94</v>
      </c>
      <c r="D171" s="1">
        <v>56</v>
      </c>
      <c r="E171" s="1" t="s">
        <v>519</v>
      </c>
      <c r="F171" s="3" t="s">
        <v>700</v>
      </c>
      <c r="G171" s="2">
        <v>43901</v>
      </c>
      <c r="H171" s="19">
        <v>43913</v>
      </c>
      <c r="I171" s="1"/>
      <c r="J171" s="2">
        <v>43896</v>
      </c>
      <c r="K171" s="1"/>
      <c r="L171" s="1" t="s">
        <v>132</v>
      </c>
      <c r="M171" s="5" t="s">
        <v>701</v>
      </c>
    </row>
    <row r="172" spans="1:13" ht="13.8" customHeight="1" x14ac:dyDescent="0.3">
      <c r="A172" s="6">
        <v>171</v>
      </c>
      <c r="B172" s="1" t="s">
        <v>77</v>
      </c>
      <c r="C172" s="1" t="s">
        <v>93</v>
      </c>
      <c r="D172" s="1">
        <v>27</v>
      </c>
      <c r="E172" s="1" t="s">
        <v>503</v>
      </c>
      <c r="F172" s="3" t="s">
        <v>713</v>
      </c>
      <c r="G172" s="2">
        <v>43901</v>
      </c>
      <c r="H172" s="19">
        <v>43907</v>
      </c>
      <c r="I172" s="19"/>
      <c r="J172" s="2">
        <v>43899</v>
      </c>
      <c r="K172" s="1"/>
      <c r="L172" s="1" t="s">
        <v>133</v>
      </c>
      <c r="M172" s="5" t="s">
        <v>701</v>
      </c>
    </row>
    <row r="173" spans="1:13" ht="13.8" customHeight="1" x14ac:dyDescent="0.3">
      <c r="A173" s="6">
        <v>172</v>
      </c>
      <c r="B173" s="6" t="s">
        <v>78</v>
      </c>
      <c r="C173" s="1" t="s">
        <v>94</v>
      </c>
      <c r="D173" s="1">
        <v>42</v>
      </c>
      <c r="E173" s="1" t="s">
        <v>608</v>
      </c>
      <c r="F173" s="3" t="s">
        <v>714</v>
      </c>
      <c r="G173" s="2">
        <v>43901</v>
      </c>
      <c r="H173" s="1"/>
      <c r="I173" s="1"/>
      <c r="J173" s="2">
        <v>43895</v>
      </c>
      <c r="K173" s="1"/>
      <c r="L173" s="1" t="s">
        <v>133</v>
      </c>
      <c r="M173" s="5" t="s">
        <v>701</v>
      </c>
    </row>
    <row r="174" spans="1:13" ht="13.8" customHeight="1" x14ac:dyDescent="0.3">
      <c r="A174" s="6">
        <v>173</v>
      </c>
      <c r="B174" s="1" t="s">
        <v>77</v>
      </c>
      <c r="C174" s="1" t="s">
        <v>93</v>
      </c>
      <c r="D174" s="1">
        <v>31</v>
      </c>
      <c r="E174" s="1" t="s">
        <v>503</v>
      </c>
      <c r="F174" s="3" t="s">
        <v>715</v>
      </c>
      <c r="G174" s="2">
        <v>43901</v>
      </c>
      <c r="H174" s="1"/>
      <c r="I174" s="1"/>
      <c r="J174" s="2">
        <v>43899</v>
      </c>
      <c r="K174" s="1"/>
      <c r="L174" s="1" t="s">
        <v>133</v>
      </c>
      <c r="M174" s="5" t="s">
        <v>701</v>
      </c>
    </row>
    <row r="175" spans="1:13" ht="13.8" customHeight="1" x14ac:dyDescent="0.3">
      <c r="A175" s="6">
        <v>174</v>
      </c>
      <c r="B175" s="6" t="s">
        <v>78</v>
      </c>
      <c r="C175" s="1" t="s">
        <v>94</v>
      </c>
      <c r="D175" s="1">
        <v>67</v>
      </c>
      <c r="E175" s="1" t="s">
        <v>503</v>
      </c>
      <c r="F175" s="3" t="s">
        <v>716</v>
      </c>
      <c r="G175" s="2">
        <v>43901</v>
      </c>
      <c r="H175" s="19">
        <v>43911</v>
      </c>
      <c r="I175" s="19"/>
      <c r="J175" s="2">
        <v>43897</v>
      </c>
      <c r="K175" s="1" t="s">
        <v>346</v>
      </c>
      <c r="L175" s="1" t="s">
        <v>133</v>
      </c>
      <c r="M175" s="5" t="s">
        <v>701</v>
      </c>
    </row>
    <row r="176" spans="1:13" ht="13.8" customHeight="1" x14ac:dyDescent="0.3">
      <c r="A176" s="6">
        <v>175</v>
      </c>
      <c r="B176" s="1" t="s">
        <v>77</v>
      </c>
      <c r="C176" s="1" t="s">
        <v>93</v>
      </c>
      <c r="D176" s="1">
        <v>44</v>
      </c>
      <c r="E176" s="1" t="s">
        <v>503</v>
      </c>
      <c r="F176" s="3" t="s">
        <v>717</v>
      </c>
      <c r="G176" s="2">
        <v>43901</v>
      </c>
      <c r="H176" s="1"/>
      <c r="I176" s="1"/>
      <c r="J176" s="2">
        <v>43900</v>
      </c>
      <c r="K176" s="1"/>
      <c r="L176" s="1" t="s">
        <v>133</v>
      </c>
      <c r="M176" s="5" t="s">
        <v>701</v>
      </c>
    </row>
    <row r="177" spans="1:13" ht="13.8" customHeight="1" x14ac:dyDescent="0.3">
      <c r="A177" s="6">
        <v>176</v>
      </c>
      <c r="B177" s="1" t="s">
        <v>77</v>
      </c>
      <c r="C177" s="1" t="s">
        <v>94</v>
      </c>
      <c r="D177" s="1">
        <v>37</v>
      </c>
      <c r="E177" s="1" t="s">
        <v>650</v>
      </c>
      <c r="F177" s="3" t="s">
        <v>718</v>
      </c>
      <c r="G177" s="2">
        <v>43901</v>
      </c>
      <c r="H177" s="1"/>
      <c r="I177" s="1"/>
      <c r="J177" s="2">
        <v>43897</v>
      </c>
      <c r="K177" s="1"/>
      <c r="L177" s="1" t="s">
        <v>133</v>
      </c>
      <c r="M177" s="5" t="s">
        <v>701</v>
      </c>
    </row>
    <row r="178" spans="1:13" ht="13.8" customHeight="1" x14ac:dyDescent="0.3">
      <c r="A178" s="6">
        <v>177</v>
      </c>
      <c r="B178" s="1" t="s">
        <v>77</v>
      </c>
      <c r="C178" s="1" t="s">
        <v>93</v>
      </c>
      <c r="D178" s="1">
        <v>26</v>
      </c>
      <c r="E178" s="1" t="s">
        <v>503</v>
      </c>
      <c r="F178" s="3" t="s">
        <v>719</v>
      </c>
      <c r="G178" s="2">
        <v>43901</v>
      </c>
      <c r="H178" s="1"/>
      <c r="I178" s="1"/>
      <c r="J178" s="2">
        <v>43899</v>
      </c>
      <c r="K178" s="1"/>
      <c r="L178" s="1" t="s">
        <v>133</v>
      </c>
      <c r="M178" s="5" t="s">
        <v>701</v>
      </c>
    </row>
    <row r="179" spans="1:13" ht="13.8" customHeight="1" x14ac:dyDescent="0.3">
      <c r="A179" s="6">
        <v>178</v>
      </c>
      <c r="B179" s="1" t="s">
        <v>77</v>
      </c>
      <c r="C179" s="1" t="s">
        <v>93</v>
      </c>
      <c r="D179" s="1">
        <v>37</v>
      </c>
      <c r="E179" s="1" t="s">
        <v>608</v>
      </c>
      <c r="F179" s="3" t="s">
        <v>720</v>
      </c>
      <c r="G179" s="2">
        <v>43901</v>
      </c>
      <c r="H179" s="19">
        <v>43913</v>
      </c>
      <c r="I179" s="1"/>
      <c r="J179" s="2">
        <v>43898</v>
      </c>
      <c r="K179" s="1"/>
      <c r="L179" s="1" t="s">
        <v>142</v>
      </c>
      <c r="M179" s="5" t="s">
        <v>701</v>
      </c>
    </row>
    <row r="180" spans="1:13" ht="13.8" customHeight="1" x14ac:dyDescent="0.3">
      <c r="A180" s="6">
        <v>179</v>
      </c>
      <c r="B180" s="6" t="s">
        <v>78</v>
      </c>
      <c r="C180" s="6" t="s">
        <v>94</v>
      </c>
      <c r="D180" s="6">
        <v>66</v>
      </c>
      <c r="E180" s="6" t="s">
        <v>503</v>
      </c>
      <c r="F180" s="3" t="s">
        <v>721</v>
      </c>
      <c r="G180" s="2">
        <v>43902</v>
      </c>
      <c r="H180" s="29">
        <v>43910</v>
      </c>
      <c r="I180" s="29"/>
      <c r="J180" s="2">
        <v>43888</v>
      </c>
      <c r="K180" s="1" t="s">
        <v>346</v>
      </c>
      <c r="L180" s="6" t="s">
        <v>138</v>
      </c>
      <c r="M180" s="5" t="s">
        <v>723</v>
      </c>
    </row>
    <row r="181" spans="1:13" ht="13.8" customHeight="1" x14ac:dyDescent="0.3">
      <c r="A181" s="6">
        <v>180</v>
      </c>
      <c r="B181" s="1" t="s">
        <v>77</v>
      </c>
      <c r="C181" s="6" t="s">
        <v>93</v>
      </c>
      <c r="D181" s="6">
        <v>71</v>
      </c>
      <c r="E181" s="6" t="s">
        <v>503</v>
      </c>
      <c r="F181" s="3" t="s">
        <v>737</v>
      </c>
      <c r="G181" s="2">
        <v>43902</v>
      </c>
      <c r="H181" s="1"/>
      <c r="I181" s="1"/>
      <c r="J181" s="2">
        <v>43900</v>
      </c>
      <c r="K181" s="1"/>
      <c r="L181" s="6" t="s">
        <v>133</v>
      </c>
      <c r="M181" s="5" t="s">
        <v>723</v>
      </c>
    </row>
    <row r="182" spans="1:13" ht="13.8" customHeight="1" x14ac:dyDescent="0.3">
      <c r="A182" s="6">
        <v>181</v>
      </c>
      <c r="B182" s="1" t="s">
        <v>77</v>
      </c>
      <c r="C182" s="6" t="s">
        <v>93</v>
      </c>
      <c r="D182" s="6">
        <v>83</v>
      </c>
      <c r="E182" s="6" t="s">
        <v>519</v>
      </c>
      <c r="F182" s="3" t="s">
        <v>738</v>
      </c>
      <c r="G182" s="2">
        <v>43902</v>
      </c>
      <c r="H182" s="1"/>
      <c r="I182" s="1"/>
      <c r="J182" s="2">
        <v>43898</v>
      </c>
      <c r="K182" s="1"/>
      <c r="L182" s="6" t="s">
        <v>722</v>
      </c>
      <c r="M182" s="5" t="s">
        <v>723</v>
      </c>
    </row>
    <row r="183" spans="1:13" ht="13.8" customHeight="1" x14ac:dyDescent="0.3">
      <c r="A183" s="6">
        <v>182</v>
      </c>
      <c r="B183" s="1" t="s">
        <v>77</v>
      </c>
      <c r="C183" s="6" t="s">
        <v>94</v>
      </c>
      <c r="D183" s="6">
        <v>76</v>
      </c>
      <c r="E183" s="6" t="s">
        <v>519</v>
      </c>
      <c r="F183" s="3" t="s">
        <v>739</v>
      </c>
      <c r="G183" s="2">
        <v>43902</v>
      </c>
      <c r="H183" s="1"/>
      <c r="I183" s="1"/>
      <c r="J183" s="2">
        <v>43899</v>
      </c>
      <c r="K183" s="1"/>
      <c r="L183" s="6" t="s">
        <v>722</v>
      </c>
      <c r="M183" s="5" t="s">
        <v>723</v>
      </c>
    </row>
    <row r="184" spans="1:13" ht="13.8" customHeight="1" x14ac:dyDescent="0.3">
      <c r="A184" s="6">
        <v>183</v>
      </c>
      <c r="B184" s="1" t="s">
        <v>77</v>
      </c>
      <c r="C184" s="6" t="s">
        <v>93</v>
      </c>
      <c r="D184" s="6">
        <v>29</v>
      </c>
      <c r="E184" s="6" t="s">
        <v>503</v>
      </c>
      <c r="F184" s="3" t="s">
        <v>740</v>
      </c>
      <c r="G184" s="2">
        <v>43902</v>
      </c>
      <c r="H184" s="1"/>
      <c r="I184" s="1"/>
      <c r="J184" s="2">
        <v>43896</v>
      </c>
      <c r="K184" s="1"/>
      <c r="L184" s="6" t="s">
        <v>133</v>
      </c>
      <c r="M184" s="5" t="s">
        <v>723</v>
      </c>
    </row>
    <row r="185" spans="1:13" ht="13.8" customHeight="1" x14ac:dyDescent="0.3">
      <c r="A185" s="6">
        <v>184</v>
      </c>
      <c r="B185" s="6" t="s">
        <v>78</v>
      </c>
      <c r="C185" s="6" t="s">
        <v>93</v>
      </c>
      <c r="D185" s="6">
        <v>35</v>
      </c>
      <c r="E185" s="6" t="s">
        <v>608</v>
      </c>
      <c r="F185" s="3" t="s">
        <v>741</v>
      </c>
      <c r="G185" s="2">
        <v>43902</v>
      </c>
      <c r="H185" s="1"/>
      <c r="I185" s="1"/>
      <c r="J185" s="2">
        <v>43899</v>
      </c>
      <c r="K185" s="1"/>
      <c r="L185" s="6" t="s">
        <v>133</v>
      </c>
      <c r="M185" s="5" t="s">
        <v>723</v>
      </c>
    </row>
    <row r="186" spans="1:13" ht="13.8" customHeight="1" x14ac:dyDescent="0.3">
      <c r="A186" s="6">
        <v>185</v>
      </c>
      <c r="B186" s="6" t="s">
        <v>78</v>
      </c>
      <c r="C186" s="6" t="s">
        <v>93</v>
      </c>
      <c r="D186" s="6">
        <v>34</v>
      </c>
      <c r="E186" s="6" t="s">
        <v>503</v>
      </c>
      <c r="F186" s="3" t="s">
        <v>742</v>
      </c>
      <c r="G186" s="2">
        <v>43902</v>
      </c>
      <c r="H186" s="19">
        <v>43913</v>
      </c>
      <c r="I186" s="1"/>
      <c r="J186" s="2">
        <v>43897</v>
      </c>
      <c r="K186" s="1" t="s">
        <v>346</v>
      </c>
      <c r="L186" s="6" t="s">
        <v>133</v>
      </c>
      <c r="M186" s="5" t="s">
        <v>723</v>
      </c>
    </row>
    <row r="187" spans="1:13" ht="13.8" customHeight="1" x14ac:dyDescent="0.3">
      <c r="A187" s="6">
        <v>186</v>
      </c>
      <c r="B187" s="6" t="s">
        <v>78</v>
      </c>
      <c r="C187" s="6" t="s">
        <v>93</v>
      </c>
      <c r="D187" s="6">
        <v>64</v>
      </c>
      <c r="E187" s="6" t="s">
        <v>503</v>
      </c>
      <c r="F187" s="3" t="s">
        <v>743</v>
      </c>
      <c r="G187" s="2">
        <v>43902</v>
      </c>
      <c r="H187" s="19">
        <v>43911</v>
      </c>
      <c r="I187" s="19"/>
      <c r="J187" s="2">
        <v>43895</v>
      </c>
      <c r="K187" s="1" t="s">
        <v>346</v>
      </c>
      <c r="L187" s="6" t="s">
        <v>133</v>
      </c>
      <c r="M187" s="5" t="s">
        <v>723</v>
      </c>
    </row>
    <row r="188" spans="1:13" ht="13.8" customHeight="1" x14ac:dyDescent="0.3">
      <c r="A188" s="6">
        <v>187</v>
      </c>
      <c r="B188" s="1" t="s">
        <v>77</v>
      </c>
      <c r="C188" s="6" t="s">
        <v>93</v>
      </c>
      <c r="D188" s="6">
        <v>48</v>
      </c>
      <c r="E188" s="6" t="s">
        <v>503</v>
      </c>
      <c r="F188" s="3" t="s">
        <v>744</v>
      </c>
      <c r="G188" s="2">
        <v>43902</v>
      </c>
      <c r="H188" s="1"/>
      <c r="I188" s="1"/>
      <c r="J188" s="2">
        <v>43894</v>
      </c>
      <c r="K188" s="1"/>
      <c r="L188" s="6" t="s">
        <v>133</v>
      </c>
      <c r="M188" s="5" t="s">
        <v>723</v>
      </c>
    </row>
    <row r="189" spans="1:13" ht="13.8" customHeight="1" x14ac:dyDescent="0.3">
      <c r="A189" s="6">
        <v>188</v>
      </c>
      <c r="B189" s="6" t="s">
        <v>77</v>
      </c>
      <c r="C189" s="6" t="s">
        <v>93</v>
      </c>
      <c r="D189" s="6">
        <v>53</v>
      </c>
      <c r="E189" s="6" t="s">
        <v>503</v>
      </c>
      <c r="F189" s="3" t="s">
        <v>745</v>
      </c>
      <c r="G189" s="2">
        <v>43903</v>
      </c>
      <c r="H189" s="1"/>
      <c r="I189" s="1"/>
      <c r="J189" s="2">
        <v>43897</v>
      </c>
      <c r="K189" s="1"/>
      <c r="L189" s="6" t="s">
        <v>137</v>
      </c>
      <c r="M189" s="5" t="s">
        <v>734</v>
      </c>
    </row>
    <row r="190" spans="1:13" ht="13.8" customHeight="1" x14ac:dyDescent="0.3">
      <c r="A190" s="6">
        <v>189</v>
      </c>
      <c r="B190" s="6" t="s">
        <v>77</v>
      </c>
      <c r="C190" s="6" t="s">
        <v>93</v>
      </c>
      <c r="D190" s="6">
        <v>36</v>
      </c>
      <c r="E190" s="6" t="s">
        <v>776</v>
      </c>
      <c r="F190" s="3" t="s">
        <v>746</v>
      </c>
      <c r="G190" s="2">
        <v>43903</v>
      </c>
      <c r="H190" s="19">
        <v>43906</v>
      </c>
      <c r="I190" s="19"/>
      <c r="J190" s="2">
        <v>43901</v>
      </c>
      <c r="K190" s="1"/>
      <c r="L190" s="1" t="s">
        <v>133</v>
      </c>
      <c r="M190" s="5" t="s">
        <v>734</v>
      </c>
    </row>
    <row r="191" spans="1:13" ht="13.8" customHeight="1" x14ac:dyDescent="0.3">
      <c r="A191" s="6">
        <v>190</v>
      </c>
      <c r="B191" s="6" t="s">
        <v>78</v>
      </c>
      <c r="C191" s="6" t="s">
        <v>93</v>
      </c>
      <c r="D191" s="6">
        <v>53</v>
      </c>
      <c r="E191" s="6" t="s">
        <v>503</v>
      </c>
      <c r="F191" s="3" t="s">
        <v>747</v>
      </c>
      <c r="G191" s="2">
        <v>43903</v>
      </c>
      <c r="H191" s="1"/>
      <c r="I191" s="1"/>
      <c r="J191" s="2">
        <v>43900</v>
      </c>
      <c r="K191" s="1"/>
      <c r="L191" s="1" t="s">
        <v>133</v>
      </c>
      <c r="M191" s="5" t="s">
        <v>734</v>
      </c>
    </row>
    <row r="192" spans="1:13" ht="13.8" customHeight="1" x14ac:dyDescent="0.3">
      <c r="A192" s="6">
        <v>191</v>
      </c>
      <c r="B192" s="6" t="s">
        <v>77</v>
      </c>
      <c r="C192" s="6" t="s">
        <v>94</v>
      </c>
      <c r="D192" s="6">
        <v>24</v>
      </c>
      <c r="E192" s="6" t="s">
        <v>591</v>
      </c>
      <c r="F192" s="3" t="s">
        <v>748</v>
      </c>
      <c r="G192" s="2">
        <v>43903</v>
      </c>
      <c r="H192" s="1"/>
      <c r="I192" s="1"/>
      <c r="J192" s="2">
        <v>43899</v>
      </c>
      <c r="K192" s="1"/>
      <c r="L192" s="1" t="s">
        <v>133</v>
      </c>
      <c r="M192" s="5" t="s">
        <v>734</v>
      </c>
    </row>
    <row r="193" spans="1:13" ht="13.8" customHeight="1" x14ac:dyDescent="0.3">
      <c r="A193" s="6">
        <v>192</v>
      </c>
      <c r="B193" s="6" t="s">
        <v>77</v>
      </c>
      <c r="C193" s="6" t="s">
        <v>93</v>
      </c>
      <c r="D193" s="6">
        <v>32</v>
      </c>
      <c r="E193" s="6" t="s">
        <v>777</v>
      </c>
      <c r="F193" s="3" t="s">
        <v>749</v>
      </c>
      <c r="G193" s="2">
        <v>43903</v>
      </c>
      <c r="H193" s="1"/>
      <c r="I193" s="1"/>
      <c r="J193" s="2">
        <v>43901</v>
      </c>
      <c r="K193" s="1"/>
      <c r="L193" s="1" t="s">
        <v>133</v>
      </c>
      <c r="M193" s="5" t="s">
        <v>734</v>
      </c>
    </row>
    <row r="194" spans="1:13" ht="13.8" customHeight="1" x14ac:dyDescent="0.3">
      <c r="A194" s="6">
        <v>193</v>
      </c>
      <c r="B194" s="6" t="s">
        <v>77</v>
      </c>
      <c r="C194" s="6" t="s">
        <v>93</v>
      </c>
      <c r="D194" s="6">
        <v>26</v>
      </c>
      <c r="E194" s="6" t="s">
        <v>591</v>
      </c>
      <c r="F194" s="3" t="s">
        <v>750</v>
      </c>
      <c r="G194" s="2">
        <v>43903</v>
      </c>
      <c r="H194" s="1"/>
      <c r="I194" s="1"/>
      <c r="J194" s="2">
        <v>43902</v>
      </c>
      <c r="K194" s="1"/>
      <c r="L194" s="1" t="s">
        <v>133</v>
      </c>
      <c r="M194" s="5" t="s">
        <v>734</v>
      </c>
    </row>
    <row r="195" spans="1:13" ht="13.8" customHeight="1" x14ac:dyDescent="0.3">
      <c r="A195" s="6">
        <v>194</v>
      </c>
      <c r="B195" s="6" t="s">
        <v>77</v>
      </c>
      <c r="C195" s="6" t="s">
        <v>94</v>
      </c>
      <c r="D195" s="6">
        <v>24</v>
      </c>
      <c r="E195" s="6" t="s">
        <v>473</v>
      </c>
      <c r="F195" s="3" t="s">
        <v>751</v>
      </c>
      <c r="G195" s="2">
        <v>43903</v>
      </c>
      <c r="H195" s="1"/>
      <c r="I195" s="1"/>
      <c r="J195" s="2">
        <v>43898</v>
      </c>
      <c r="K195" s="1"/>
      <c r="L195" s="1" t="s">
        <v>133</v>
      </c>
      <c r="M195" s="5" t="s">
        <v>734</v>
      </c>
    </row>
    <row r="196" spans="1:13" ht="13.8" customHeight="1" x14ac:dyDescent="0.3">
      <c r="A196" s="6">
        <v>195</v>
      </c>
      <c r="B196" s="6" t="s">
        <v>77</v>
      </c>
      <c r="C196" s="6" t="s">
        <v>93</v>
      </c>
      <c r="D196" s="6">
        <v>47</v>
      </c>
      <c r="E196" s="6" t="s">
        <v>503</v>
      </c>
      <c r="F196" s="3" t="s">
        <v>752</v>
      </c>
      <c r="G196" s="2">
        <v>43903</v>
      </c>
      <c r="H196" s="1"/>
      <c r="I196" s="1"/>
      <c r="J196" s="2">
        <v>43896</v>
      </c>
      <c r="K196" s="1"/>
      <c r="L196" s="1" t="s">
        <v>133</v>
      </c>
      <c r="M196" s="5" t="s">
        <v>734</v>
      </c>
    </row>
    <row r="197" spans="1:13" ht="13.8" customHeight="1" x14ac:dyDescent="0.3">
      <c r="A197" s="6">
        <v>196</v>
      </c>
      <c r="B197" s="6" t="s">
        <v>78</v>
      </c>
      <c r="C197" s="6" t="s">
        <v>94</v>
      </c>
      <c r="D197" s="6">
        <v>73</v>
      </c>
      <c r="E197" s="6" t="s">
        <v>503</v>
      </c>
      <c r="F197" s="3" t="s">
        <v>753</v>
      </c>
      <c r="G197" s="2">
        <v>43903</v>
      </c>
      <c r="H197" s="19">
        <v>43907</v>
      </c>
      <c r="I197" s="19"/>
      <c r="J197" s="2">
        <v>43893</v>
      </c>
      <c r="K197" s="1"/>
      <c r="L197" s="1" t="s">
        <v>133</v>
      </c>
      <c r="M197" s="5" t="s">
        <v>734</v>
      </c>
    </row>
    <row r="198" spans="1:13" ht="13.8" customHeight="1" x14ac:dyDescent="0.3">
      <c r="A198" s="6">
        <v>197</v>
      </c>
      <c r="B198" s="6" t="s">
        <v>77</v>
      </c>
      <c r="C198" s="6" t="s">
        <v>93</v>
      </c>
      <c r="D198" s="6">
        <v>30</v>
      </c>
      <c r="E198" s="6" t="s">
        <v>503</v>
      </c>
      <c r="F198" s="3" t="s">
        <v>754</v>
      </c>
      <c r="G198" s="2">
        <v>43903</v>
      </c>
      <c r="H198" s="1"/>
      <c r="I198" s="1"/>
      <c r="J198" s="2">
        <v>43894</v>
      </c>
      <c r="K198" s="1"/>
      <c r="L198" s="1" t="s">
        <v>133</v>
      </c>
      <c r="M198" s="5" t="s">
        <v>734</v>
      </c>
    </row>
    <row r="199" spans="1:13" ht="13.8" customHeight="1" x14ac:dyDescent="0.3">
      <c r="A199" s="6">
        <v>198</v>
      </c>
      <c r="B199" s="6" t="s">
        <v>78</v>
      </c>
      <c r="C199" s="6" t="s">
        <v>94</v>
      </c>
      <c r="D199" s="6">
        <v>61</v>
      </c>
      <c r="E199" s="6" t="s">
        <v>503</v>
      </c>
      <c r="F199" s="3" t="s">
        <v>755</v>
      </c>
      <c r="G199" s="2">
        <v>43903</v>
      </c>
      <c r="H199" s="19">
        <v>43912</v>
      </c>
      <c r="I199" s="1"/>
      <c r="J199" s="2">
        <v>43897</v>
      </c>
      <c r="K199" s="1"/>
      <c r="L199" s="1" t="s">
        <v>133</v>
      </c>
      <c r="M199" s="5" t="s">
        <v>734</v>
      </c>
    </row>
    <row r="200" spans="1:13" ht="13.8" customHeight="1" x14ac:dyDescent="0.3">
      <c r="A200" s="6">
        <v>199</v>
      </c>
      <c r="B200" s="6" t="s">
        <v>77</v>
      </c>
      <c r="C200" s="6" t="s">
        <v>93</v>
      </c>
      <c r="D200" s="6">
        <v>37</v>
      </c>
      <c r="E200" s="6" t="s">
        <v>503</v>
      </c>
      <c r="F200" s="3" t="s">
        <v>756</v>
      </c>
      <c r="G200" s="2">
        <v>43903</v>
      </c>
      <c r="H200" s="19">
        <v>43911</v>
      </c>
      <c r="I200" s="19"/>
      <c r="J200" s="2">
        <v>43893</v>
      </c>
      <c r="K200" s="1"/>
      <c r="L200" s="1" t="s">
        <v>133</v>
      </c>
      <c r="M200" s="5" t="s">
        <v>734</v>
      </c>
    </row>
    <row r="201" spans="1:13" ht="13.8" customHeight="1" x14ac:dyDescent="0.3">
      <c r="A201" s="6">
        <v>200</v>
      </c>
      <c r="B201" s="6" t="s">
        <v>78</v>
      </c>
      <c r="C201" s="6" t="s">
        <v>94</v>
      </c>
      <c r="D201" s="6">
        <v>62</v>
      </c>
      <c r="E201" s="6" t="s">
        <v>503</v>
      </c>
      <c r="F201" s="3" t="s">
        <v>757</v>
      </c>
      <c r="G201" s="2">
        <v>43903</v>
      </c>
      <c r="H201" s="1"/>
      <c r="I201" s="1"/>
      <c r="J201" s="2">
        <v>43902</v>
      </c>
      <c r="K201" s="1"/>
      <c r="L201" s="1" t="s">
        <v>133</v>
      </c>
      <c r="M201" s="5" t="s">
        <v>734</v>
      </c>
    </row>
    <row r="202" spans="1:13" ht="13.8" customHeight="1" x14ac:dyDescent="0.3">
      <c r="A202" s="6">
        <v>201</v>
      </c>
      <c r="B202" s="6" t="s">
        <v>78</v>
      </c>
      <c r="C202" s="6" t="s">
        <v>94</v>
      </c>
      <c r="D202" s="6">
        <v>52</v>
      </c>
      <c r="E202" s="6" t="s">
        <v>503</v>
      </c>
      <c r="F202" s="3" t="s">
        <v>758</v>
      </c>
      <c r="G202" s="2">
        <v>43904</v>
      </c>
      <c r="H202" s="19">
        <v>43908</v>
      </c>
      <c r="I202" s="19"/>
      <c r="J202" s="2">
        <v>43895</v>
      </c>
      <c r="K202" s="1"/>
      <c r="L202" s="1" t="s">
        <v>142</v>
      </c>
      <c r="M202" s="5" t="s">
        <v>735</v>
      </c>
    </row>
    <row r="203" spans="1:13" ht="13.8" customHeight="1" x14ac:dyDescent="0.3">
      <c r="A203" s="6">
        <v>202</v>
      </c>
      <c r="B203" s="6" t="s">
        <v>77</v>
      </c>
      <c r="C203" s="6" t="s">
        <v>93</v>
      </c>
      <c r="D203" s="6">
        <v>44</v>
      </c>
      <c r="E203" s="6" t="s">
        <v>503</v>
      </c>
      <c r="F203" s="3" t="s">
        <v>759</v>
      </c>
      <c r="G203" s="2">
        <v>43904</v>
      </c>
      <c r="H203" s="1"/>
      <c r="I203" s="1"/>
      <c r="J203" s="2">
        <v>43893</v>
      </c>
      <c r="K203" s="1"/>
      <c r="L203" s="1" t="s">
        <v>134</v>
      </c>
      <c r="M203" s="5" t="s">
        <v>735</v>
      </c>
    </row>
    <row r="204" spans="1:13" ht="13.8" customHeight="1" x14ac:dyDescent="0.3">
      <c r="A204" s="6">
        <v>203</v>
      </c>
      <c r="B204" s="6" t="s">
        <v>77</v>
      </c>
      <c r="C204" s="6" t="s">
        <v>94</v>
      </c>
      <c r="D204" s="6">
        <v>36</v>
      </c>
      <c r="E204" s="6" t="s">
        <v>503</v>
      </c>
      <c r="F204" s="3" t="s">
        <v>760</v>
      </c>
      <c r="G204" s="2">
        <v>43904</v>
      </c>
      <c r="H204" s="1"/>
      <c r="I204" s="1"/>
      <c r="J204" s="2">
        <v>43901</v>
      </c>
      <c r="K204" s="1"/>
      <c r="L204" s="1" t="s">
        <v>135</v>
      </c>
      <c r="M204" s="5" t="s">
        <v>735</v>
      </c>
    </row>
    <row r="205" spans="1:13" ht="13.8" customHeight="1" x14ac:dyDescent="0.3">
      <c r="A205" s="6">
        <v>204</v>
      </c>
      <c r="B205" s="6" t="s">
        <v>77</v>
      </c>
      <c r="C205" s="6" t="s">
        <v>93</v>
      </c>
      <c r="D205" s="6">
        <v>32</v>
      </c>
      <c r="E205" s="6" t="s">
        <v>777</v>
      </c>
      <c r="F205" s="3" t="s">
        <v>761</v>
      </c>
      <c r="G205" s="2">
        <v>43904</v>
      </c>
      <c r="H205" s="1"/>
      <c r="I205" s="1"/>
      <c r="J205" s="2">
        <v>43901</v>
      </c>
      <c r="K205" s="1"/>
      <c r="L205" s="1" t="s">
        <v>132</v>
      </c>
      <c r="M205" s="5" t="s">
        <v>735</v>
      </c>
    </row>
    <row r="206" spans="1:13" ht="13.8" customHeight="1" x14ac:dyDescent="0.3">
      <c r="A206" s="6">
        <v>205</v>
      </c>
      <c r="B206" s="6" t="s">
        <v>77</v>
      </c>
      <c r="C206" s="6" t="s">
        <v>94</v>
      </c>
      <c r="D206" s="6">
        <v>30</v>
      </c>
      <c r="E206" s="6" t="s">
        <v>608</v>
      </c>
      <c r="F206" s="3" t="s">
        <v>762</v>
      </c>
      <c r="G206" s="2">
        <v>43904</v>
      </c>
      <c r="H206" s="1"/>
      <c r="I206" s="1"/>
      <c r="J206" s="2">
        <v>43898</v>
      </c>
      <c r="K206" s="1"/>
      <c r="L206" s="1" t="s">
        <v>133</v>
      </c>
      <c r="M206" s="5" t="s">
        <v>735</v>
      </c>
    </row>
    <row r="207" spans="1:13" ht="13.8" customHeight="1" x14ac:dyDescent="0.3">
      <c r="A207" s="6">
        <v>206</v>
      </c>
      <c r="B207" s="6" t="s">
        <v>77</v>
      </c>
      <c r="C207" s="6" t="s">
        <v>94</v>
      </c>
      <c r="D207" s="6">
        <v>33</v>
      </c>
      <c r="E207" s="6" t="s">
        <v>778</v>
      </c>
      <c r="F207" s="3" t="s">
        <v>763</v>
      </c>
      <c r="G207" s="2">
        <v>43904</v>
      </c>
      <c r="H207" s="1"/>
      <c r="I207" s="1"/>
      <c r="J207" s="2">
        <v>43902</v>
      </c>
      <c r="K207" s="1"/>
      <c r="L207" s="1" t="s">
        <v>133</v>
      </c>
      <c r="M207" s="5" t="s">
        <v>735</v>
      </c>
    </row>
    <row r="208" spans="1:13" ht="13.8" customHeight="1" x14ac:dyDescent="0.3">
      <c r="A208" s="6">
        <v>207</v>
      </c>
      <c r="B208" s="6" t="s">
        <v>77</v>
      </c>
      <c r="C208" s="6" t="s">
        <v>94</v>
      </c>
      <c r="D208" s="6">
        <v>40</v>
      </c>
      <c r="E208" s="6" t="s">
        <v>503</v>
      </c>
      <c r="F208" s="3" t="s">
        <v>764</v>
      </c>
      <c r="G208" s="2">
        <v>43904</v>
      </c>
      <c r="H208" s="1"/>
      <c r="I208" s="1"/>
      <c r="J208" s="2">
        <v>43900</v>
      </c>
      <c r="K208" s="1"/>
      <c r="L208" s="1" t="s">
        <v>133</v>
      </c>
      <c r="M208" s="5" t="s">
        <v>735</v>
      </c>
    </row>
    <row r="209" spans="1:13" ht="13.8" customHeight="1" x14ac:dyDescent="0.3">
      <c r="A209" s="6">
        <v>208</v>
      </c>
      <c r="B209" s="6" t="s">
        <v>78</v>
      </c>
      <c r="C209" s="6" t="s">
        <v>94</v>
      </c>
      <c r="D209" s="6">
        <v>26</v>
      </c>
      <c r="E209" s="6" t="s">
        <v>503</v>
      </c>
      <c r="F209" s="3" t="s">
        <v>765</v>
      </c>
      <c r="G209" s="2">
        <v>43904</v>
      </c>
      <c r="H209" s="1"/>
      <c r="I209" s="1"/>
      <c r="J209" s="2">
        <v>43893</v>
      </c>
      <c r="K209" s="1"/>
      <c r="L209" s="1" t="s">
        <v>133</v>
      </c>
      <c r="M209" s="5" t="s">
        <v>735</v>
      </c>
    </row>
    <row r="210" spans="1:13" ht="13.8" customHeight="1" x14ac:dyDescent="0.3">
      <c r="A210" s="6">
        <v>209</v>
      </c>
      <c r="B210" s="6" t="s">
        <v>77</v>
      </c>
      <c r="C210" s="6" t="s">
        <v>94</v>
      </c>
      <c r="D210" s="6">
        <v>32</v>
      </c>
      <c r="E210" s="6" t="s">
        <v>503</v>
      </c>
      <c r="F210" s="3" t="s">
        <v>766</v>
      </c>
      <c r="G210" s="2">
        <v>43904</v>
      </c>
      <c r="H210" s="1"/>
      <c r="I210" s="1"/>
      <c r="J210" s="2">
        <v>43901</v>
      </c>
      <c r="K210" s="1"/>
      <c r="L210" s="1" t="s">
        <v>132</v>
      </c>
      <c r="M210" s="5" t="s">
        <v>735</v>
      </c>
    </row>
    <row r="211" spans="1:13" ht="13.8" customHeight="1" x14ac:dyDescent="0.3">
      <c r="A211" s="6">
        <v>210</v>
      </c>
      <c r="B211" s="6" t="s">
        <v>77</v>
      </c>
      <c r="C211" s="6" t="s">
        <v>93</v>
      </c>
      <c r="D211" s="6">
        <v>56</v>
      </c>
      <c r="E211" s="6" t="s">
        <v>779</v>
      </c>
      <c r="F211" s="3" t="s">
        <v>767</v>
      </c>
      <c r="G211" s="2">
        <v>43904</v>
      </c>
      <c r="H211" s="1"/>
      <c r="I211" s="1"/>
      <c r="J211" s="2">
        <v>43903</v>
      </c>
      <c r="K211" s="1"/>
      <c r="L211" s="1" t="s">
        <v>133</v>
      </c>
      <c r="M211" s="5" t="s">
        <v>735</v>
      </c>
    </row>
    <row r="212" spans="1:13" ht="13.8" customHeight="1" x14ac:dyDescent="0.3">
      <c r="A212" s="6">
        <v>211</v>
      </c>
      <c r="B212" s="6" t="s">
        <v>78</v>
      </c>
      <c r="C212" s="6" t="s">
        <v>94</v>
      </c>
      <c r="D212" s="6">
        <v>35</v>
      </c>
      <c r="E212" s="6" t="s">
        <v>503</v>
      </c>
      <c r="F212" s="3" t="s">
        <v>768</v>
      </c>
      <c r="G212" s="2">
        <v>43904</v>
      </c>
      <c r="H212" s="19">
        <v>43913</v>
      </c>
      <c r="I212" s="1"/>
      <c r="J212" s="2">
        <v>43903</v>
      </c>
      <c r="K212" s="1"/>
      <c r="L212" s="1" t="s">
        <v>133</v>
      </c>
      <c r="M212" s="5" t="s">
        <v>735</v>
      </c>
    </row>
    <row r="213" spans="1:13" ht="13.8" customHeight="1" x14ac:dyDescent="0.3">
      <c r="A213" s="6">
        <v>212</v>
      </c>
      <c r="B213" s="6" t="s">
        <v>77</v>
      </c>
      <c r="C213" s="6" t="s">
        <v>93</v>
      </c>
      <c r="D213" s="6">
        <v>64</v>
      </c>
      <c r="E213" s="6" t="s">
        <v>519</v>
      </c>
      <c r="F213" s="3" t="s">
        <v>769</v>
      </c>
      <c r="G213" s="2">
        <v>43904</v>
      </c>
      <c r="H213" s="1"/>
      <c r="I213" s="2">
        <v>43911</v>
      </c>
      <c r="J213" s="2">
        <v>43899</v>
      </c>
      <c r="K213" s="1"/>
      <c r="L213" s="1" t="s">
        <v>133</v>
      </c>
      <c r="M213" s="5" t="s">
        <v>735</v>
      </c>
    </row>
    <row r="214" spans="1:13" ht="13.8" customHeight="1" x14ac:dyDescent="0.3">
      <c r="A214" s="6">
        <v>213</v>
      </c>
      <c r="B214" s="6" t="s">
        <v>77</v>
      </c>
      <c r="C214" s="6" t="s">
        <v>93</v>
      </c>
      <c r="D214" s="6">
        <v>48</v>
      </c>
      <c r="E214" s="6" t="s">
        <v>503</v>
      </c>
      <c r="F214" s="3" t="s">
        <v>770</v>
      </c>
      <c r="G214" s="2">
        <v>43905</v>
      </c>
      <c r="H214" s="1"/>
      <c r="I214" s="1"/>
      <c r="J214" s="2">
        <v>43898</v>
      </c>
      <c r="K214" s="1"/>
      <c r="L214" s="1" t="s">
        <v>134</v>
      </c>
      <c r="M214" s="5" t="s">
        <v>736</v>
      </c>
    </row>
    <row r="215" spans="1:13" ht="13.8" customHeight="1" x14ac:dyDescent="0.3">
      <c r="A215" s="6">
        <v>214</v>
      </c>
      <c r="B215" s="6" t="s">
        <v>78</v>
      </c>
      <c r="C215" s="6" t="s">
        <v>93</v>
      </c>
      <c r="D215" s="6">
        <v>29</v>
      </c>
      <c r="E215" s="6" t="s">
        <v>503</v>
      </c>
      <c r="F215" s="3" t="s">
        <v>771</v>
      </c>
      <c r="G215" s="2">
        <v>43905</v>
      </c>
      <c r="H215" s="1"/>
      <c r="I215" s="1"/>
      <c r="J215" s="2">
        <v>43895</v>
      </c>
      <c r="K215" s="1"/>
      <c r="L215" s="1" t="s">
        <v>133</v>
      </c>
      <c r="M215" s="5" t="s">
        <v>736</v>
      </c>
    </row>
    <row r="216" spans="1:13" ht="13.8" customHeight="1" x14ac:dyDescent="0.3">
      <c r="A216" s="6">
        <v>215</v>
      </c>
      <c r="B216" s="6" t="s">
        <v>77</v>
      </c>
      <c r="C216" s="6" t="s">
        <v>93</v>
      </c>
      <c r="D216" s="6">
        <v>65</v>
      </c>
      <c r="E216" s="6" t="s">
        <v>503</v>
      </c>
      <c r="F216" s="3" t="s">
        <v>772</v>
      </c>
      <c r="G216" s="2">
        <v>43905</v>
      </c>
      <c r="H216" s="1"/>
      <c r="I216" s="1"/>
      <c r="J216" s="2">
        <v>43903</v>
      </c>
      <c r="K216" s="1"/>
      <c r="L216" s="1" t="s">
        <v>132</v>
      </c>
      <c r="M216" s="5" t="s">
        <v>736</v>
      </c>
    </row>
    <row r="217" spans="1:13" ht="13.8" customHeight="1" x14ac:dyDescent="0.3">
      <c r="A217" s="6">
        <v>216</v>
      </c>
      <c r="B217" s="6" t="s">
        <v>77</v>
      </c>
      <c r="C217" s="1" t="s">
        <v>93</v>
      </c>
      <c r="D217" s="6">
        <v>30</v>
      </c>
      <c r="E217" s="6" t="s">
        <v>503</v>
      </c>
      <c r="F217" s="3" t="s">
        <v>773</v>
      </c>
      <c r="G217" s="2">
        <v>43905</v>
      </c>
      <c r="H217" s="1"/>
      <c r="I217" s="1"/>
      <c r="J217" s="2">
        <v>43899</v>
      </c>
      <c r="K217" s="1"/>
      <c r="L217" s="1" t="s">
        <v>133</v>
      </c>
      <c r="M217" s="5" t="s">
        <v>736</v>
      </c>
    </row>
    <row r="218" spans="1:13" ht="13.8" customHeight="1" x14ac:dyDescent="0.3">
      <c r="A218" s="6">
        <v>217</v>
      </c>
      <c r="B218" s="6" t="s">
        <v>77</v>
      </c>
      <c r="C218" s="1" t="s">
        <v>93</v>
      </c>
      <c r="D218" s="6">
        <v>22</v>
      </c>
      <c r="E218" s="6" t="s">
        <v>780</v>
      </c>
      <c r="F218" s="3" t="s">
        <v>774</v>
      </c>
      <c r="G218" s="2">
        <v>43905</v>
      </c>
      <c r="H218" s="1"/>
      <c r="I218" s="1"/>
      <c r="J218" s="2">
        <v>43903</v>
      </c>
      <c r="K218" s="1"/>
      <c r="L218" s="1" t="s">
        <v>133</v>
      </c>
      <c r="M218" s="5" t="s">
        <v>736</v>
      </c>
    </row>
    <row r="219" spans="1:13" ht="13.8" customHeight="1" x14ac:dyDescent="0.3">
      <c r="A219" s="6">
        <v>218</v>
      </c>
      <c r="B219" s="6" t="s">
        <v>78</v>
      </c>
      <c r="C219" s="1" t="s">
        <v>94</v>
      </c>
      <c r="D219" s="6">
        <v>55</v>
      </c>
      <c r="E219" s="6" t="s">
        <v>503</v>
      </c>
      <c r="F219" s="3" t="s">
        <v>775</v>
      </c>
      <c r="G219" s="2">
        <v>43905</v>
      </c>
      <c r="H219" s="29">
        <v>43910</v>
      </c>
      <c r="I219" s="29"/>
      <c r="J219" s="2">
        <v>43892</v>
      </c>
      <c r="K219" s="1"/>
      <c r="L219" s="1" t="s">
        <v>138</v>
      </c>
      <c r="M219" s="5" t="s">
        <v>736</v>
      </c>
    </row>
    <row r="220" spans="1:13" ht="13.8" customHeight="1" x14ac:dyDescent="0.3">
      <c r="A220" s="6">
        <v>219</v>
      </c>
      <c r="B220" s="6" t="s">
        <v>78</v>
      </c>
      <c r="C220" s="1" t="s">
        <v>93</v>
      </c>
      <c r="D220" s="6">
        <v>30</v>
      </c>
      <c r="E220" s="6" t="s">
        <v>503</v>
      </c>
      <c r="F220" s="3" t="s">
        <v>846</v>
      </c>
      <c r="G220" s="2">
        <v>43905</v>
      </c>
      <c r="H220" s="1"/>
      <c r="I220" s="1"/>
      <c r="J220" s="2">
        <v>43903</v>
      </c>
      <c r="K220" s="1"/>
      <c r="L220" s="1" t="s">
        <v>134</v>
      </c>
      <c r="M220" s="5" t="s">
        <v>736</v>
      </c>
    </row>
    <row r="221" spans="1:13" ht="13.8" customHeight="1" x14ac:dyDescent="0.3">
      <c r="A221" s="6">
        <v>220</v>
      </c>
      <c r="B221" s="6" t="s">
        <v>77</v>
      </c>
      <c r="C221" s="1" t="s">
        <v>93</v>
      </c>
      <c r="D221" s="6">
        <v>53</v>
      </c>
      <c r="E221" s="6" t="s">
        <v>503</v>
      </c>
      <c r="F221" s="3" t="s">
        <v>847</v>
      </c>
      <c r="G221" s="2">
        <v>43905</v>
      </c>
      <c r="H221" s="1"/>
      <c r="I221" s="1"/>
      <c r="J221" s="2">
        <v>43902</v>
      </c>
      <c r="K221" s="1"/>
      <c r="L221" s="1" t="s">
        <v>133</v>
      </c>
      <c r="M221" s="5" t="s">
        <v>736</v>
      </c>
    </row>
    <row r="222" spans="1:13" ht="13.8" customHeight="1" x14ac:dyDescent="0.3">
      <c r="A222" s="6">
        <v>221</v>
      </c>
      <c r="B222" s="6" t="s">
        <v>78</v>
      </c>
      <c r="C222" s="1" t="s">
        <v>94</v>
      </c>
      <c r="D222" s="6">
        <v>28</v>
      </c>
      <c r="E222" s="6" t="s">
        <v>608</v>
      </c>
      <c r="F222" s="3" t="s">
        <v>848</v>
      </c>
      <c r="G222" s="2">
        <v>43905</v>
      </c>
      <c r="H222" s="1"/>
      <c r="I222" s="1"/>
      <c r="J222" s="2">
        <v>43901</v>
      </c>
      <c r="K222" s="1"/>
      <c r="L222" s="1" t="s">
        <v>133</v>
      </c>
      <c r="M222" s="5" t="s">
        <v>736</v>
      </c>
    </row>
    <row r="223" spans="1:13" ht="13.8" customHeight="1" x14ac:dyDescent="0.3">
      <c r="A223" s="6">
        <v>222</v>
      </c>
      <c r="B223" s="6" t="s">
        <v>77</v>
      </c>
      <c r="C223" s="1" t="s">
        <v>93</v>
      </c>
      <c r="D223" s="6">
        <v>41</v>
      </c>
      <c r="E223" s="6" t="s">
        <v>623</v>
      </c>
      <c r="F223" s="3" t="s">
        <v>849</v>
      </c>
      <c r="G223" s="2">
        <v>43905</v>
      </c>
      <c r="H223" s="1"/>
      <c r="I223" s="1"/>
      <c r="J223" s="2">
        <v>43903</v>
      </c>
      <c r="K223" s="1"/>
      <c r="L223" s="1" t="s">
        <v>133</v>
      </c>
      <c r="M223" s="5" t="s">
        <v>736</v>
      </c>
    </row>
    <row r="224" spans="1:13" ht="13.8" customHeight="1" x14ac:dyDescent="0.3">
      <c r="A224" s="6">
        <v>223</v>
      </c>
      <c r="B224" s="6" t="s">
        <v>77</v>
      </c>
      <c r="C224" s="1" t="s">
        <v>93</v>
      </c>
      <c r="D224" s="6">
        <v>60</v>
      </c>
      <c r="E224" s="6" t="s">
        <v>503</v>
      </c>
      <c r="F224" s="3" t="s">
        <v>850</v>
      </c>
      <c r="G224" s="2">
        <v>43905</v>
      </c>
      <c r="H224" s="1"/>
      <c r="I224" s="1"/>
      <c r="J224" s="2">
        <v>43903</v>
      </c>
      <c r="K224" s="1"/>
      <c r="L224" s="1" t="s">
        <v>133</v>
      </c>
      <c r="M224" s="5" t="s">
        <v>736</v>
      </c>
    </row>
    <row r="225" spans="1:13" ht="13.8" customHeight="1" x14ac:dyDescent="0.3">
      <c r="A225" s="6">
        <v>224</v>
      </c>
      <c r="B225" s="6" t="s">
        <v>78</v>
      </c>
      <c r="C225" s="1" t="s">
        <v>93</v>
      </c>
      <c r="D225" s="6">
        <v>50</v>
      </c>
      <c r="E225" s="6" t="s">
        <v>503</v>
      </c>
      <c r="F225" s="3" t="s">
        <v>851</v>
      </c>
      <c r="G225" s="2">
        <v>43905</v>
      </c>
      <c r="H225" s="1"/>
      <c r="I225" s="1"/>
      <c r="J225" s="2">
        <v>43903</v>
      </c>
      <c r="K225" s="1"/>
      <c r="L225" s="1" t="s">
        <v>133</v>
      </c>
      <c r="M225" s="5" t="s">
        <v>736</v>
      </c>
    </row>
    <row r="226" spans="1:13" ht="13.8" customHeight="1" x14ac:dyDescent="0.3">
      <c r="A226" s="6">
        <v>225</v>
      </c>
      <c r="B226" s="6" t="s">
        <v>77</v>
      </c>
      <c r="C226" s="1" t="s">
        <v>93</v>
      </c>
      <c r="D226" s="6">
        <v>63</v>
      </c>
      <c r="E226" s="6" t="s">
        <v>503</v>
      </c>
      <c r="F226" s="3" t="s">
        <v>852</v>
      </c>
      <c r="G226" s="2">
        <v>43905</v>
      </c>
      <c r="H226" s="1"/>
      <c r="I226" s="1"/>
      <c r="J226" s="2">
        <v>43899</v>
      </c>
      <c r="K226" s="1"/>
      <c r="L226" s="1" t="s">
        <v>133</v>
      </c>
      <c r="M226" s="5" t="s">
        <v>736</v>
      </c>
    </row>
    <row r="227" spans="1:13" ht="13.8" customHeight="1" x14ac:dyDescent="0.3">
      <c r="A227" s="6">
        <v>226</v>
      </c>
      <c r="B227" s="6" t="s">
        <v>77</v>
      </c>
      <c r="C227" s="1" t="s">
        <v>93</v>
      </c>
      <c r="D227" s="6">
        <v>49</v>
      </c>
      <c r="E227" s="6" t="s">
        <v>781</v>
      </c>
      <c r="F227" s="3" t="s">
        <v>853</v>
      </c>
      <c r="G227" s="2">
        <v>43905</v>
      </c>
      <c r="H227" s="1"/>
      <c r="I227" s="1"/>
      <c r="J227" s="2">
        <v>43902</v>
      </c>
      <c r="K227" s="1"/>
      <c r="L227" s="1" t="s">
        <v>133</v>
      </c>
      <c r="M227" s="5" t="s">
        <v>736</v>
      </c>
    </row>
    <row r="228" spans="1:13" ht="13.8" customHeight="1" x14ac:dyDescent="0.3">
      <c r="A228" s="6">
        <v>227</v>
      </c>
      <c r="B228" s="6" t="s">
        <v>77</v>
      </c>
      <c r="C228" s="6" t="s">
        <v>93</v>
      </c>
      <c r="D228" s="6">
        <v>53</v>
      </c>
      <c r="E228" s="6" t="s">
        <v>503</v>
      </c>
      <c r="F228" s="3" t="s">
        <v>854</v>
      </c>
      <c r="G228" s="2">
        <v>43906</v>
      </c>
      <c r="H228" s="1"/>
      <c r="I228" s="1"/>
      <c r="J228" s="2">
        <v>43901</v>
      </c>
      <c r="K228" s="1"/>
      <c r="L228" s="6" t="s">
        <v>138</v>
      </c>
      <c r="M228" s="5" t="s">
        <v>862</v>
      </c>
    </row>
    <row r="229" spans="1:13" ht="13.8" customHeight="1" x14ac:dyDescent="0.3">
      <c r="A229" s="6">
        <v>228</v>
      </c>
      <c r="B229" s="6" t="s">
        <v>78</v>
      </c>
      <c r="C229" s="6" t="s">
        <v>93</v>
      </c>
      <c r="D229" s="6">
        <v>67</v>
      </c>
      <c r="E229" s="6" t="s">
        <v>503</v>
      </c>
      <c r="F229" s="3" t="s">
        <v>855</v>
      </c>
      <c r="G229" s="2">
        <v>43906</v>
      </c>
      <c r="H229" s="1"/>
      <c r="I229" s="1"/>
      <c r="J229" s="2">
        <v>43893</v>
      </c>
      <c r="K229" s="1"/>
      <c r="L229" s="6" t="s">
        <v>135</v>
      </c>
      <c r="M229" s="5" t="s">
        <v>862</v>
      </c>
    </row>
    <row r="230" spans="1:13" ht="13.8" customHeight="1" x14ac:dyDescent="0.3">
      <c r="A230" s="6">
        <v>229</v>
      </c>
      <c r="B230" s="6" t="s">
        <v>77</v>
      </c>
      <c r="C230" s="6" t="s">
        <v>94</v>
      </c>
      <c r="D230" s="6">
        <v>26</v>
      </c>
      <c r="E230" s="6" t="s">
        <v>503</v>
      </c>
      <c r="F230" s="3" t="s">
        <v>856</v>
      </c>
      <c r="G230" s="2">
        <v>43906</v>
      </c>
      <c r="H230" s="1"/>
      <c r="I230" s="1"/>
      <c r="J230" s="2">
        <v>43905</v>
      </c>
      <c r="K230" s="1"/>
      <c r="L230" s="6" t="s">
        <v>138</v>
      </c>
      <c r="M230" s="5" t="s">
        <v>862</v>
      </c>
    </row>
    <row r="231" spans="1:13" ht="13.8" customHeight="1" x14ac:dyDescent="0.3">
      <c r="A231" s="6">
        <v>230</v>
      </c>
      <c r="B231" s="6" t="s">
        <v>77</v>
      </c>
      <c r="C231" s="6" t="s">
        <v>94</v>
      </c>
      <c r="D231" s="6">
        <v>38</v>
      </c>
      <c r="E231" s="6" t="s">
        <v>503</v>
      </c>
      <c r="F231" s="3" t="s">
        <v>857</v>
      </c>
      <c r="G231" s="2">
        <v>43906</v>
      </c>
      <c r="H231" s="1"/>
      <c r="I231" s="1"/>
      <c r="J231" s="2">
        <v>43904</v>
      </c>
      <c r="K231" s="1"/>
      <c r="L231" s="6" t="s">
        <v>133</v>
      </c>
      <c r="M231" s="5" t="s">
        <v>862</v>
      </c>
    </row>
    <row r="232" spans="1:13" ht="13.8" customHeight="1" x14ac:dyDescent="0.3">
      <c r="A232" s="6">
        <v>231</v>
      </c>
      <c r="B232" s="6" t="s">
        <v>77</v>
      </c>
      <c r="C232" s="6" t="s">
        <v>93</v>
      </c>
      <c r="D232" s="6">
        <v>78</v>
      </c>
      <c r="E232" s="6" t="s">
        <v>860</v>
      </c>
      <c r="F232" s="3" t="s">
        <v>858</v>
      </c>
      <c r="G232" s="2">
        <v>43906</v>
      </c>
      <c r="H232" s="1"/>
      <c r="I232" s="1"/>
      <c r="J232" s="2">
        <v>43894</v>
      </c>
      <c r="K232" s="1"/>
      <c r="L232" s="6" t="s">
        <v>132</v>
      </c>
      <c r="M232" s="5" t="s">
        <v>862</v>
      </c>
    </row>
    <row r="233" spans="1:13" ht="13.8" customHeight="1" x14ac:dyDescent="0.3">
      <c r="A233" s="6">
        <v>232</v>
      </c>
      <c r="B233" s="6" t="s">
        <v>77</v>
      </c>
      <c r="C233" s="6" t="s">
        <v>94</v>
      </c>
      <c r="D233" s="6">
        <v>65</v>
      </c>
      <c r="E233" s="6" t="s">
        <v>860</v>
      </c>
      <c r="F233" s="3" t="s">
        <v>859</v>
      </c>
      <c r="G233" s="2">
        <v>43906</v>
      </c>
      <c r="H233" s="1"/>
      <c r="I233" s="1"/>
      <c r="J233" s="2">
        <v>43892</v>
      </c>
      <c r="K233" s="1"/>
      <c r="L233" s="6" t="s">
        <v>132</v>
      </c>
      <c r="M233" s="5" t="s">
        <v>862</v>
      </c>
    </row>
    <row r="234" spans="1:13" ht="13.8" customHeight="1" x14ac:dyDescent="0.3">
      <c r="A234" s="6">
        <v>233</v>
      </c>
      <c r="B234" s="6" t="s">
        <v>77</v>
      </c>
      <c r="C234" s="6" t="s">
        <v>93</v>
      </c>
      <c r="D234" s="6">
        <v>61</v>
      </c>
      <c r="E234" s="6" t="s">
        <v>650</v>
      </c>
      <c r="F234" s="3" t="s">
        <v>889</v>
      </c>
      <c r="G234" s="2">
        <v>43906</v>
      </c>
      <c r="H234" s="1"/>
      <c r="I234" s="1"/>
      <c r="J234" s="2">
        <v>43905</v>
      </c>
      <c r="K234" s="1"/>
      <c r="L234" s="6" t="s">
        <v>133</v>
      </c>
      <c r="M234" s="5" t="s">
        <v>862</v>
      </c>
    </row>
    <row r="235" spans="1:13" ht="13.8" customHeight="1" x14ac:dyDescent="0.3">
      <c r="A235" s="6">
        <v>234</v>
      </c>
      <c r="B235" s="6" t="s">
        <v>78</v>
      </c>
      <c r="C235" s="6" t="s">
        <v>93</v>
      </c>
      <c r="D235" s="6">
        <v>86</v>
      </c>
      <c r="E235" s="6" t="s">
        <v>503</v>
      </c>
      <c r="F235" s="3" t="s">
        <v>890</v>
      </c>
      <c r="G235" s="2">
        <v>43906</v>
      </c>
      <c r="H235" s="1"/>
      <c r="I235" s="1"/>
      <c r="J235" s="2">
        <v>43889</v>
      </c>
      <c r="K235" s="1"/>
      <c r="L235" s="6" t="s">
        <v>132</v>
      </c>
      <c r="M235" s="5" t="s">
        <v>862</v>
      </c>
    </row>
    <row r="236" spans="1:13" ht="13.8" customHeight="1" x14ac:dyDescent="0.3">
      <c r="A236" s="6">
        <v>235</v>
      </c>
      <c r="B236" s="6" t="s">
        <v>78</v>
      </c>
      <c r="C236" s="6" t="s">
        <v>94</v>
      </c>
      <c r="D236" s="6">
        <v>31</v>
      </c>
      <c r="E236" s="6" t="s">
        <v>503</v>
      </c>
      <c r="F236" s="3" t="s">
        <v>891</v>
      </c>
      <c r="G236" s="2">
        <v>43906</v>
      </c>
      <c r="H236" s="19">
        <v>43913</v>
      </c>
      <c r="I236" s="1"/>
      <c r="J236" s="2">
        <v>43901</v>
      </c>
      <c r="K236" s="1"/>
      <c r="L236" s="6" t="s">
        <v>132</v>
      </c>
      <c r="M236" s="5" t="s">
        <v>862</v>
      </c>
    </row>
    <row r="237" spans="1:13" ht="13.8" customHeight="1" x14ac:dyDescent="0.3">
      <c r="A237" s="6">
        <v>236</v>
      </c>
      <c r="B237" s="6" t="s">
        <v>78</v>
      </c>
      <c r="C237" s="6" t="s">
        <v>94</v>
      </c>
      <c r="D237" s="6">
        <v>30</v>
      </c>
      <c r="E237" s="6" t="s">
        <v>503</v>
      </c>
      <c r="F237" s="3" t="s">
        <v>892</v>
      </c>
      <c r="G237" s="2">
        <v>43906</v>
      </c>
      <c r="H237" s="1"/>
      <c r="I237" s="1"/>
      <c r="J237" s="2">
        <v>43900</v>
      </c>
      <c r="K237" s="1"/>
      <c r="L237" s="6" t="s">
        <v>133</v>
      </c>
      <c r="M237" s="5" t="s">
        <v>862</v>
      </c>
    </row>
    <row r="238" spans="1:13" ht="13.8" customHeight="1" x14ac:dyDescent="0.3">
      <c r="A238" s="6">
        <v>237</v>
      </c>
      <c r="B238" s="6" t="s">
        <v>78</v>
      </c>
      <c r="C238" s="6" t="s">
        <v>94</v>
      </c>
      <c r="D238" s="6">
        <v>36</v>
      </c>
      <c r="E238" s="6" t="s">
        <v>519</v>
      </c>
      <c r="F238" s="3" t="s">
        <v>893</v>
      </c>
      <c r="G238" s="2">
        <v>43906</v>
      </c>
      <c r="H238" s="1"/>
      <c r="I238" s="1"/>
      <c r="J238" s="2">
        <v>43902</v>
      </c>
      <c r="K238" s="1"/>
      <c r="L238" s="6" t="s">
        <v>133</v>
      </c>
      <c r="M238" s="5" t="s">
        <v>862</v>
      </c>
    </row>
    <row r="239" spans="1:13" ht="13.8" customHeight="1" x14ac:dyDescent="0.3">
      <c r="A239" s="6">
        <v>238</v>
      </c>
      <c r="B239" s="6" t="s">
        <v>77</v>
      </c>
      <c r="C239" s="6" t="s">
        <v>94</v>
      </c>
      <c r="D239" s="6">
        <v>83</v>
      </c>
      <c r="E239" s="6" t="s">
        <v>861</v>
      </c>
      <c r="F239" s="3" t="s">
        <v>894</v>
      </c>
      <c r="G239" s="2">
        <v>43906</v>
      </c>
      <c r="H239" s="1"/>
      <c r="I239" s="1"/>
      <c r="J239" s="2">
        <v>43904</v>
      </c>
      <c r="K239" s="1"/>
      <c r="L239" s="6" t="s">
        <v>133</v>
      </c>
      <c r="M239" s="5" t="s">
        <v>862</v>
      </c>
    </row>
    <row r="240" spans="1:13" ht="13.8" customHeight="1" x14ac:dyDescent="0.3">
      <c r="A240" s="6">
        <v>239</v>
      </c>
      <c r="B240" s="6" t="s">
        <v>77</v>
      </c>
      <c r="C240" s="6" t="s">
        <v>93</v>
      </c>
      <c r="D240" s="6">
        <v>28</v>
      </c>
      <c r="E240" s="6" t="s">
        <v>650</v>
      </c>
      <c r="F240" s="3" t="s">
        <v>895</v>
      </c>
      <c r="G240" s="2">
        <v>43906</v>
      </c>
      <c r="H240" s="1"/>
      <c r="I240" s="1"/>
      <c r="J240" s="2">
        <v>43904</v>
      </c>
      <c r="K240" s="1"/>
      <c r="L240" s="6" t="s">
        <v>133</v>
      </c>
      <c r="M240" s="5" t="s">
        <v>862</v>
      </c>
    </row>
    <row r="241" spans="1:13" ht="13.8" customHeight="1" x14ac:dyDescent="0.3">
      <c r="A241" s="6">
        <v>240</v>
      </c>
      <c r="B241" s="6" t="s">
        <v>77</v>
      </c>
      <c r="C241" s="6" t="s">
        <v>93</v>
      </c>
      <c r="D241" s="6">
        <v>27</v>
      </c>
      <c r="E241" s="6" t="s">
        <v>503</v>
      </c>
      <c r="F241" s="3" t="s">
        <v>896</v>
      </c>
      <c r="G241" s="2">
        <v>43906</v>
      </c>
      <c r="H241" s="1"/>
      <c r="I241" s="1"/>
      <c r="J241" s="2">
        <v>43904</v>
      </c>
      <c r="K241" s="1"/>
      <c r="L241" s="1" t="s">
        <v>138</v>
      </c>
      <c r="M241" s="5" t="s">
        <v>862</v>
      </c>
    </row>
    <row r="242" spans="1:13" ht="13.8" customHeight="1" x14ac:dyDescent="0.3">
      <c r="A242" s="6">
        <v>241</v>
      </c>
      <c r="B242" s="6" t="s">
        <v>77</v>
      </c>
      <c r="C242" s="6" t="s">
        <v>93</v>
      </c>
      <c r="D242" s="6">
        <v>28</v>
      </c>
      <c r="E242" s="6" t="s">
        <v>650</v>
      </c>
      <c r="F242" s="3" t="s">
        <v>897</v>
      </c>
      <c r="G242" s="2">
        <v>43906</v>
      </c>
      <c r="H242" s="1"/>
      <c r="I242" s="1"/>
      <c r="J242" s="2">
        <v>43901</v>
      </c>
      <c r="K242" s="1"/>
      <c r="L242" s="6" t="s">
        <v>133</v>
      </c>
      <c r="M242" s="5" t="s">
        <v>862</v>
      </c>
    </row>
    <row r="243" spans="1:13" ht="13.8" customHeight="1" x14ac:dyDescent="0.3">
      <c r="A243" s="6">
        <v>242</v>
      </c>
      <c r="B243" s="6" t="s">
        <v>78</v>
      </c>
      <c r="C243" s="6" t="s">
        <v>94</v>
      </c>
      <c r="D243" s="6">
        <v>64</v>
      </c>
      <c r="E243" s="6" t="s">
        <v>503</v>
      </c>
      <c r="F243" s="3" t="s">
        <v>898</v>
      </c>
      <c r="G243" s="2">
        <v>43906</v>
      </c>
      <c r="H243" s="1"/>
      <c r="I243" s="1"/>
      <c r="J243" s="2">
        <v>43904</v>
      </c>
      <c r="K243" s="1"/>
      <c r="L243" s="6" t="s">
        <v>133</v>
      </c>
      <c r="M243" s="5" t="s">
        <v>862</v>
      </c>
    </row>
    <row r="244" spans="1:13" ht="13.8" customHeight="1" x14ac:dyDescent="0.3">
      <c r="A244" s="6">
        <v>243</v>
      </c>
      <c r="B244" s="6" t="s">
        <v>77</v>
      </c>
      <c r="C244" s="6" t="s">
        <v>93</v>
      </c>
      <c r="D244" s="6">
        <v>36</v>
      </c>
      <c r="E244" s="6" t="s">
        <v>503</v>
      </c>
      <c r="F244" s="3" t="s">
        <v>899</v>
      </c>
      <c r="G244" s="2">
        <v>43906</v>
      </c>
      <c r="H244" s="1"/>
      <c r="I244" s="1"/>
      <c r="J244" s="2">
        <v>43901</v>
      </c>
      <c r="K244" s="1"/>
      <c r="L244" s="6" t="s">
        <v>133</v>
      </c>
      <c r="M244" s="5" t="s">
        <v>862</v>
      </c>
    </row>
    <row r="245" spans="1:13" ht="13.8" customHeight="1" x14ac:dyDescent="0.3">
      <c r="A245" s="6">
        <v>244</v>
      </c>
      <c r="B245" s="6" t="s">
        <v>77</v>
      </c>
      <c r="C245" s="6" t="s">
        <v>93</v>
      </c>
      <c r="D245" s="6">
        <v>53</v>
      </c>
      <c r="E245" s="6" t="s">
        <v>503</v>
      </c>
      <c r="F245" s="3" t="s">
        <v>900</v>
      </c>
      <c r="G245" s="2">
        <v>43907</v>
      </c>
      <c r="H245" s="1"/>
      <c r="I245" s="1"/>
      <c r="J245" s="2">
        <v>43897</v>
      </c>
      <c r="K245" s="1"/>
      <c r="L245" s="6" t="s">
        <v>133</v>
      </c>
      <c r="M245" s="5" t="s">
        <v>1028</v>
      </c>
    </row>
    <row r="246" spans="1:13" ht="13.8" customHeight="1" x14ac:dyDescent="0.3">
      <c r="A246" s="6">
        <v>245</v>
      </c>
      <c r="B246" s="6" t="s">
        <v>78</v>
      </c>
      <c r="C246" s="6" t="s">
        <v>93</v>
      </c>
      <c r="D246" s="6">
        <v>76</v>
      </c>
      <c r="E246" s="6" t="s">
        <v>503</v>
      </c>
      <c r="F246" s="3" t="s">
        <v>901</v>
      </c>
      <c r="G246" s="2">
        <v>43907</v>
      </c>
      <c r="H246" s="1"/>
      <c r="I246" s="1"/>
      <c r="J246" s="2">
        <v>43902</v>
      </c>
      <c r="K246" s="1"/>
      <c r="L246" s="1" t="s">
        <v>132</v>
      </c>
      <c r="M246" s="5" t="s">
        <v>1028</v>
      </c>
    </row>
    <row r="247" spans="1:13" ht="13.8" customHeight="1" x14ac:dyDescent="0.3">
      <c r="A247" s="6">
        <v>246</v>
      </c>
      <c r="B247" s="6" t="s">
        <v>77</v>
      </c>
      <c r="C247" s="6" t="s">
        <v>93</v>
      </c>
      <c r="D247" s="6">
        <v>39</v>
      </c>
      <c r="E247" s="6" t="s">
        <v>1025</v>
      </c>
      <c r="F247" s="3" t="s">
        <v>902</v>
      </c>
      <c r="G247" s="2">
        <v>43907</v>
      </c>
      <c r="H247" s="1"/>
      <c r="I247" s="1"/>
      <c r="J247" s="2">
        <v>43899</v>
      </c>
      <c r="K247" s="1"/>
      <c r="L247" s="1" t="s">
        <v>132</v>
      </c>
      <c r="M247" s="5" t="s">
        <v>1028</v>
      </c>
    </row>
    <row r="248" spans="1:13" ht="13.8" customHeight="1" x14ac:dyDescent="0.3">
      <c r="A248" s="6">
        <v>247</v>
      </c>
      <c r="B248" s="6" t="s">
        <v>77</v>
      </c>
      <c r="C248" s="6" t="s">
        <v>93</v>
      </c>
      <c r="D248" s="6">
        <v>41</v>
      </c>
      <c r="E248" s="6" t="s">
        <v>503</v>
      </c>
      <c r="F248" s="3" t="s">
        <v>903</v>
      </c>
      <c r="G248" s="2">
        <v>43907</v>
      </c>
      <c r="H248" s="1"/>
      <c r="I248" s="1"/>
      <c r="J248" s="2">
        <v>43906</v>
      </c>
      <c r="K248" s="1"/>
      <c r="L248" s="6" t="s">
        <v>133</v>
      </c>
      <c r="M248" s="5" t="s">
        <v>1028</v>
      </c>
    </row>
    <row r="249" spans="1:13" ht="13.8" customHeight="1" x14ac:dyDescent="0.3">
      <c r="A249" s="6">
        <v>248</v>
      </c>
      <c r="B249" s="6" t="s">
        <v>78</v>
      </c>
      <c r="C249" s="6" t="s">
        <v>94</v>
      </c>
      <c r="D249" s="6">
        <v>23</v>
      </c>
      <c r="E249" s="6" t="s">
        <v>591</v>
      </c>
      <c r="F249" s="1" t="s">
        <v>904</v>
      </c>
      <c r="G249" s="2">
        <v>43907</v>
      </c>
      <c r="H249" s="1"/>
      <c r="I249" s="1"/>
      <c r="J249" s="1"/>
      <c r="K249" s="1"/>
      <c r="L249" s="6" t="s">
        <v>133</v>
      </c>
      <c r="M249" s="5" t="s">
        <v>1028</v>
      </c>
    </row>
    <row r="250" spans="1:13" ht="13.8" customHeight="1" x14ac:dyDescent="0.3">
      <c r="A250" s="6">
        <v>249</v>
      </c>
      <c r="B250" s="6" t="s">
        <v>77</v>
      </c>
      <c r="C250" s="6" t="s">
        <v>93</v>
      </c>
      <c r="D250" s="6">
        <v>42</v>
      </c>
      <c r="E250" s="6" t="s">
        <v>503</v>
      </c>
      <c r="F250" s="1" t="s">
        <v>905</v>
      </c>
      <c r="G250" s="2">
        <v>43907</v>
      </c>
      <c r="H250" s="1"/>
      <c r="I250" s="1"/>
      <c r="J250" s="1"/>
      <c r="K250" s="1"/>
      <c r="L250" s="6" t="s">
        <v>133</v>
      </c>
      <c r="M250" s="5" t="s">
        <v>1028</v>
      </c>
    </row>
    <row r="251" spans="1:13" ht="13.8" customHeight="1" x14ac:dyDescent="0.3">
      <c r="A251" s="6">
        <v>250</v>
      </c>
      <c r="B251" s="6" t="s">
        <v>77</v>
      </c>
      <c r="C251" s="6" t="s">
        <v>93</v>
      </c>
      <c r="D251" s="6">
        <v>28</v>
      </c>
      <c r="E251" s="6" t="s">
        <v>650</v>
      </c>
      <c r="F251" s="1" t="s">
        <v>906</v>
      </c>
      <c r="G251" s="2">
        <v>43907</v>
      </c>
      <c r="H251" s="1"/>
      <c r="I251" s="1"/>
      <c r="J251" s="1"/>
      <c r="K251" s="1"/>
      <c r="L251" s="6" t="s">
        <v>133</v>
      </c>
      <c r="M251" s="5" t="s">
        <v>1028</v>
      </c>
    </row>
    <row r="252" spans="1:13" ht="13.8" customHeight="1" x14ac:dyDescent="0.3">
      <c r="A252" s="6">
        <v>251</v>
      </c>
      <c r="B252" s="6" t="s">
        <v>78</v>
      </c>
      <c r="C252" s="6" t="s">
        <v>94</v>
      </c>
      <c r="D252" s="6">
        <v>59</v>
      </c>
      <c r="E252" s="6" t="s">
        <v>503</v>
      </c>
      <c r="F252" s="1" t="s">
        <v>907</v>
      </c>
      <c r="G252" s="2">
        <v>43907</v>
      </c>
      <c r="H252" s="1"/>
      <c r="I252" s="1"/>
      <c r="J252" s="1"/>
      <c r="K252" s="1"/>
      <c r="L252" s="6" t="s">
        <v>133</v>
      </c>
      <c r="M252" s="5" t="s">
        <v>1028</v>
      </c>
    </row>
    <row r="253" spans="1:13" ht="13.8" customHeight="1" x14ac:dyDescent="0.3">
      <c r="A253" s="6">
        <v>252</v>
      </c>
      <c r="B253" s="6" t="s">
        <v>78</v>
      </c>
      <c r="C253" s="6" t="s">
        <v>93</v>
      </c>
      <c r="D253" s="6">
        <v>66</v>
      </c>
      <c r="E253" s="6" t="s">
        <v>503</v>
      </c>
      <c r="F253" s="1" t="s">
        <v>908</v>
      </c>
      <c r="G253" s="2">
        <v>43907</v>
      </c>
      <c r="H253" s="1"/>
      <c r="I253" s="1"/>
      <c r="J253" s="1"/>
      <c r="K253" s="1"/>
      <c r="L253" s="6" t="s">
        <v>133</v>
      </c>
      <c r="M253" s="5" t="s">
        <v>1028</v>
      </c>
    </row>
    <row r="254" spans="1:13" ht="13.8" customHeight="1" x14ac:dyDescent="0.3">
      <c r="A254" s="6">
        <v>253</v>
      </c>
      <c r="B254" s="6" t="s">
        <v>77</v>
      </c>
      <c r="C254" s="6" t="s">
        <v>93</v>
      </c>
      <c r="D254" s="6">
        <v>24</v>
      </c>
      <c r="E254" s="6" t="s">
        <v>503</v>
      </c>
      <c r="F254" s="1" t="s">
        <v>909</v>
      </c>
      <c r="G254" s="2">
        <v>43907</v>
      </c>
      <c r="H254" s="1"/>
      <c r="I254" s="1"/>
      <c r="J254" s="1"/>
      <c r="K254" s="1"/>
      <c r="L254" s="6" t="s">
        <v>133</v>
      </c>
      <c r="M254" s="5" t="s">
        <v>1028</v>
      </c>
    </row>
    <row r="255" spans="1:13" ht="13.8" customHeight="1" x14ac:dyDescent="0.3">
      <c r="A255" s="6">
        <v>254</v>
      </c>
      <c r="B255" s="6" t="s">
        <v>77</v>
      </c>
      <c r="C255" s="6" t="s">
        <v>94</v>
      </c>
      <c r="D255" s="6">
        <v>43</v>
      </c>
      <c r="E255" s="6" t="s">
        <v>503</v>
      </c>
      <c r="F255" s="1" t="s">
        <v>910</v>
      </c>
      <c r="G255" s="2">
        <v>43907</v>
      </c>
      <c r="H255" s="1"/>
      <c r="I255" s="1"/>
      <c r="J255" s="1"/>
      <c r="K255" s="1"/>
      <c r="L255" s="6" t="s">
        <v>133</v>
      </c>
      <c r="M255" s="5" t="s">
        <v>1028</v>
      </c>
    </row>
    <row r="256" spans="1:13" ht="13.8" customHeight="1" x14ac:dyDescent="0.3">
      <c r="A256" s="6">
        <v>255</v>
      </c>
      <c r="B256" s="6" t="s">
        <v>77</v>
      </c>
      <c r="C256" s="6" t="s">
        <v>93</v>
      </c>
      <c r="D256" s="6">
        <v>44</v>
      </c>
      <c r="E256" s="6" t="s">
        <v>1026</v>
      </c>
      <c r="F256" s="1" t="s">
        <v>911</v>
      </c>
      <c r="G256" s="2">
        <v>43907</v>
      </c>
      <c r="H256" s="19">
        <v>43911</v>
      </c>
      <c r="I256" s="19"/>
      <c r="J256" s="1"/>
      <c r="K256" s="1"/>
      <c r="L256" s="6" t="s">
        <v>133</v>
      </c>
      <c r="M256" s="5" t="s">
        <v>1028</v>
      </c>
    </row>
    <row r="257" spans="1:13" ht="13.8" customHeight="1" x14ac:dyDescent="0.3">
      <c r="A257" s="6">
        <v>256</v>
      </c>
      <c r="B257" s="6" t="s">
        <v>78</v>
      </c>
      <c r="C257" s="6" t="s">
        <v>94</v>
      </c>
      <c r="D257" s="6">
        <v>32</v>
      </c>
      <c r="E257" s="6" t="s">
        <v>608</v>
      </c>
      <c r="F257" s="1" t="s">
        <v>912</v>
      </c>
      <c r="G257" s="2">
        <v>43907</v>
      </c>
      <c r="H257" s="1"/>
      <c r="I257" s="1"/>
      <c r="J257" s="1"/>
      <c r="K257" s="1"/>
      <c r="L257" s="6" t="s">
        <v>133</v>
      </c>
      <c r="M257" s="5" t="s">
        <v>1028</v>
      </c>
    </row>
    <row r="258" spans="1:13" ht="13.8" customHeight="1" x14ac:dyDescent="0.3">
      <c r="A258" s="6">
        <v>257</v>
      </c>
      <c r="B258" s="6" t="s">
        <v>77</v>
      </c>
      <c r="C258" s="6" t="s">
        <v>93</v>
      </c>
      <c r="D258" s="6">
        <v>19</v>
      </c>
      <c r="E258" s="6" t="s">
        <v>623</v>
      </c>
      <c r="F258" s="1" t="s">
        <v>913</v>
      </c>
      <c r="G258" s="2">
        <v>43907</v>
      </c>
      <c r="H258" s="1"/>
      <c r="I258" s="1"/>
      <c r="J258" s="1"/>
      <c r="K258" s="1"/>
      <c r="L258" s="1" t="s">
        <v>138</v>
      </c>
      <c r="M258" s="5" t="s">
        <v>1028</v>
      </c>
    </row>
    <row r="259" spans="1:13" ht="13.8" customHeight="1" x14ac:dyDescent="0.3">
      <c r="A259" s="6">
        <v>258</v>
      </c>
      <c r="B259" s="6" t="s">
        <v>77</v>
      </c>
      <c r="C259" s="6" t="s">
        <v>93</v>
      </c>
      <c r="D259" s="6">
        <v>47</v>
      </c>
      <c r="E259" s="6" t="s">
        <v>776</v>
      </c>
      <c r="F259" s="1" t="s">
        <v>914</v>
      </c>
      <c r="G259" s="2">
        <v>43907</v>
      </c>
      <c r="H259" s="1"/>
      <c r="I259" s="1"/>
      <c r="J259" s="1"/>
      <c r="K259" s="1"/>
      <c r="L259" s="6" t="s">
        <v>133</v>
      </c>
      <c r="M259" s="5" t="s">
        <v>1028</v>
      </c>
    </row>
    <row r="260" spans="1:13" ht="13.8" customHeight="1" x14ac:dyDescent="0.3">
      <c r="A260" s="6">
        <v>259</v>
      </c>
      <c r="B260" s="6" t="s">
        <v>77</v>
      </c>
      <c r="C260" s="6" t="s">
        <v>94</v>
      </c>
      <c r="D260" s="6">
        <v>30</v>
      </c>
      <c r="E260" s="6" t="s">
        <v>503</v>
      </c>
      <c r="F260" s="1" t="s">
        <v>915</v>
      </c>
      <c r="G260" s="2">
        <v>43907</v>
      </c>
      <c r="H260" s="1"/>
      <c r="I260" s="1"/>
      <c r="J260" s="1"/>
      <c r="K260" s="1"/>
      <c r="L260" s="6" t="s">
        <v>133</v>
      </c>
      <c r="M260" s="5" t="s">
        <v>1028</v>
      </c>
    </row>
    <row r="261" spans="1:13" ht="13.8" customHeight="1" x14ac:dyDescent="0.3">
      <c r="A261" s="6">
        <v>260</v>
      </c>
      <c r="B261" s="6" t="s">
        <v>78</v>
      </c>
      <c r="C261" s="6" t="s">
        <v>94</v>
      </c>
      <c r="D261" s="6">
        <v>48</v>
      </c>
      <c r="E261" s="6" t="s">
        <v>503</v>
      </c>
      <c r="F261" s="1" t="s">
        <v>916</v>
      </c>
      <c r="G261" s="2">
        <v>43907</v>
      </c>
      <c r="H261" s="19">
        <v>43913</v>
      </c>
      <c r="I261" s="1"/>
      <c r="J261" s="1"/>
      <c r="K261" s="1"/>
      <c r="L261" s="1" t="s">
        <v>1027</v>
      </c>
      <c r="M261" s="5" t="s">
        <v>1028</v>
      </c>
    </row>
    <row r="262" spans="1:13" ht="13.8" customHeight="1" x14ac:dyDescent="0.3">
      <c r="A262" s="6">
        <v>261</v>
      </c>
      <c r="B262" s="6" t="s">
        <v>77</v>
      </c>
      <c r="C262" s="6" t="s">
        <v>93</v>
      </c>
      <c r="D262" s="6">
        <v>30</v>
      </c>
      <c r="E262" s="6" t="s">
        <v>777</v>
      </c>
      <c r="F262" s="1" t="s">
        <v>917</v>
      </c>
      <c r="G262" s="2">
        <v>43907</v>
      </c>
      <c r="H262" s="1"/>
      <c r="I262" s="1"/>
      <c r="J262" s="1"/>
      <c r="K262" s="1"/>
      <c r="L262" s="6" t="s">
        <v>133</v>
      </c>
      <c r="M262" s="5" t="s">
        <v>1028</v>
      </c>
    </row>
    <row r="263" spans="1:13" ht="13.8" customHeight="1" x14ac:dyDescent="0.3">
      <c r="A263" s="6">
        <v>262</v>
      </c>
      <c r="B263" s="6" t="s">
        <v>77</v>
      </c>
      <c r="C263" s="6" t="s">
        <v>94</v>
      </c>
      <c r="D263" s="6">
        <v>20</v>
      </c>
      <c r="E263" s="6" t="s">
        <v>519</v>
      </c>
      <c r="F263" s="1" t="s">
        <v>918</v>
      </c>
      <c r="G263" s="2">
        <v>43907</v>
      </c>
      <c r="H263" s="1"/>
      <c r="I263" s="1"/>
      <c r="J263" s="1"/>
      <c r="K263" s="1"/>
      <c r="L263" s="6" t="s">
        <v>133</v>
      </c>
      <c r="M263" s="5" t="s">
        <v>1028</v>
      </c>
    </row>
    <row r="264" spans="1:13" ht="13.8" customHeight="1" x14ac:dyDescent="0.3">
      <c r="A264" s="6">
        <v>263</v>
      </c>
      <c r="B264" s="6" t="s">
        <v>77</v>
      </c>
      <c r="C264" s="6" t="s">
        <v>94</v>
      </c>
      <c r="D264" s="6">
        <v>52</v>
      </c>
      <c r="E264" s="6" t="s">
        <v>503</v>
      </c>
      <c r="F264" s="1" t="s">
        <v>919</v>
      </c>
      <c r="G264" s="2">
        <v>43907</v>
      </c>
      <c r="H264" s="1"/>
      <c r="I264" s="1"/>
      <c r="J264" s="1"/>
      <c r="K264" s="1"/>
      <c r="L264" s="6" t="s">
        <v>133</v>
      </c>
      <c r="M264" s="5" t="s">
        <v>1028</v>
      </c>
    </row>
    <row r="265" spans="1:13" ht="13.8" customHeight="1" x14ac:dyDescent="0.3">
      <c r="A265" s="6">
        <v>264</v>
      </c>
      <c r="B265" s="6" t="s">
        <v>77</v>
      </c>
      <c r="C265" s="6" t="s">
        <v>94</v>
      </c>
      <c r="D265" s="6">
        <v>41</v>
      </c>
      <c r="E265" s="6" t="s">
        <v>519</v>
      </c>
      <c r="F265" s="1" t="s">
        <v>920</v>
      </c>
      <c r="G265" s="2">
        <v>43907</v>
      </c>
      <c r="H265" s="1"/>
      <c r="I265" s="1"/>
      <c r="J265" s="1"/>
      <c r="K265" s="1"/>
      <c r="L265" s="6" t="s">
        <v>133</v>
      </c>
      <c r="M265" s="5" t="s">
        <v>1028</v>
      </c>
    </row>
    <row r="266" spans="1:13" ht="13.8" customHeight="1" x14ac:dyDescent="0.3">
      <c r="A266" s="6">
        <v>265</v>
      </c>
      <c r="B266" s="6" t="s">
        <v>77</v>
      </c>
      <c r="C266" s="6" t="s">
        <v>94</v>
      </c>
      <c r="D266" s="6">
        <v>24</v>
      </c>
      <c r="E266" s="6" t="s">
        <v>503</v>
      </c>
      <c r="F266" s="1" t="s">
        <v>921</v>
      </c>
      <c r="G266" s="2">
        <v>43907</v>
      </c>
      <c r="H266" s="1"/>
      <c r="I266" s="1"/>
      <c r="J266" s="1"/>
      <c r="K266" s="1"/>
      <c r="L266" s="6" t="s">
        <v>133</v>
      </c>
      <c r="M266" s="5" t="s">
        <v>1028</v>
      </c>
    </row>
    <row r="267" spans="1:13" ht="13.8" customHeight="1" x14ac:dyDescent="0.3">
      <c r="A267" s="6">
        <v>266</v>
      </c>
      <c r="B267" s="6" t="s">
        <v>77</v>
      </c>
      <c r="C267" s="6" t="s">
        <v>93</v>
      </c>
      <c r="D267" s="6">
        <v>63</v>
      </c>
      <c r="E267" s="6" t="s">
        <v>503</v>
      </c>
      <c r="F267" s="1" t="s">
        <v>922</v>
      </c>
      <c r="G267" s="2">
        <v>43907</v>
      </c>
      <c r="H267" s="1"/>
      <c r="I267" s="1"/>
      <c r="J267" s="1"/>
      <c r="K267" s="1"/>
      <c r="L267" s="6" t="s">
        <v>133</v>
      </c>
      <c r="M267" s="5" t="s">
        <v>1028</v>
      </c>
    </row>
    <row r="268" spans="1:13" ht="13.8" customHeight="1" x14ac:dyDescent="0.3">
      <c r="A268" s="6">
        <v>267</v>
      </c>
      <c r="B268" s="6" t="s">
        <v>77</v>
      </c>
      <c r="C268" s="1" t="s">
        <v>94</v>
      </c>
      <c r="D268" s="1">
        <v>72</v>
      </c>
      <c r="E268" s="1" t="s">
        <v>977</v>
      </c>
      <c r="F268" s="1" t="s">
        <v>978</v>
      </c>
      <c r="G268" s="2">
        <v>43908</v>
      </c>
      <c r="H268" s="1"/>
      <c r="I268" s="1"/>
      <c r="J268" s="1"/>
      <c r="K268" s="1"/>
      <c r="L268" s="1" t="s">
        <v>137</v>
      </c>
      <c r="M268" s="5" t="s">
        <v>1029</v>
      </c>
    </row>
    <row r="269" spans="1:13" ht="13.8" customHeight="1" x14ac:dyDescent="0.3">
      <c r="A269" s="6">
        <v>268</v>
      </c>
      <c r="B269" s="6" t="s">
        <v>77</v>
      </c>
      <c r="C269" s="1" t="s">
        <v>93</v>
      </c>
      <c r="D269" s="1">
        <v>64</v>
      </c>
      <c r="E269" s="1" t="s">
        <v>650</v>
      </c>
      <c r="F269" s="1" t="s">
        <v>979</v>
      </c>
      <c r="G269" s="2">
        <v>43908</v>
      </c>
      <c r="H269" s="1"/>
      <c r="I269" s="1"/>
      <c r="J269" s="1"/>
      <c r="K269" s="1"/>
      <c r="L269" s="1" t="s">
        <v>133</v>
      </c>
      <c r="M269" s="5" t="s">
        <v>1029</v>
      </c>
    </row>
    <row r="270" spans="1:13" ht="13.8" customHeight="1" x14ac:dyDescent="0.3">
      <c r="A270" s="6">
        <v>269</v>
      </c>
      <c r="B270" s="6" t="s">
        <v>77</v>
      </c>
      <c r="C270" s="1" t="s">
        <v>94</v>
      </c>
      <c r="D270" s="1">
        <v>19</v>
      </c>
      <c r="E270" s="1" t="s">
        <v>977</v>
      </c>
      <c r="F270" s="1" t="s">
        <v>980</v>
      </c>
      <c r="G270" s="2">
        <v>43908</v>
      </c>
      <c r="H270" s="1"/>
      <c r="I270" s="1"/>
      <c r="J270" s="1"/>
      <c r="K270" s="1"/>
      <c r="L270" s="1" t="s">
        <v>133</v>
      </c>
      <c r="M270" s="5" t="s">
        <v>1029</v>
      </c>
    </row>
    <row r="271" spans="1:13" ht="13.8" customHeight="1" x14ac:dyDescent="0.3">
      <c r="A271" s="6">
        <v>270</v>
      </c>
      <c r="B271" s="6" t="s">
        <v>77</v>
      </c>
      <c r="C271" s="1" t="s">
        <v>94</v>
      </c>
      <c r="D271" s="1">
        <v>62</v>
      </c>
      <c r="E271" s="1" t="s">
        <v>977</v>
      </c>
      <c r="F271" s="1" t="s">
        <v>981</v>
      </c>
      <c r="G271" s="2">
        <v>43908</v>
      </c>
      <c r="H271" s="1"/>
      <c r="I271" s="1"/>
      <c r="J271" s="1"/>
      <c r="K271" s="1"/>
      <c r="L271" s="1" t="s">
        <v>142</v>
      </c>
      <c r="M271" s="5" t="s">
        <v>1029</v>
      </c>
    </row>
    <row r="272" spans="1:13" ht="13.8" customHeight="1" x14ac:dyDescent="0.3">
      <c r="A272" s="6">
        <v>271</v>
      </c>
      <c r="B272" s="6" t="s">
        <v>77</v>
      </c>
      <c r="C272" s="1" t="s">
        <v>93</v>
      </c>
      <c r="D272" s="1">
        <v>29</v>
      </c>
      <c r="E272" s="1" t="s">
        <v>977</v>
      </c>
      <c r="F272" s="1" t="s">
        <v>982</v>
      </c>
      <c r="G272" s="2">
        <v>43908</v>
      </c>
      <c r="H272" s="1"/>
      <c r="I272" s="1"/>
      <c r="J272" s="1"/>
      <c r="K272" s="1"/>
      <c r="L272" s="1" t="s">
        <v>142</v>
      </c>
      <c r="M272" s="5" t="s">
        <v>1029</v>
      </c>
    </row>
    <row r="273" spans="1:13" ht="13.8" customHeight="1" x14ac:dyDescent="0.3">
      <c r="A273" s="6">
        <v>272</v>
      </c>
      <c r="B273" s="6" t="s">
        <v>77</v>
      </c>
      <c r="C273" s="1" t="s">
        <v>93</v>
      </c>
      <c r="D273" s="1">
        <v>65</v>
      </c>
      <c r="E273" s="1" t="s">
        <v>977</v>
      </c>
      <c r="F273" s="1" t="s">
        <v>983</v>
      </c>
      <c r="G273" s="2">
        <v>43908</v>
      </c>
      <c r="H273" s="1"/>
      <c r="I273" s="1"/>
      <c r="J273" s="1"/>
      <c r="K273" s="1"/>
      <c r="L273" s="1" t="s">
        <v>142</v>
      </c>
      <c r="M273" s="5" t="s">
        <v>1029</v>
      </c>
    </row>
    <row r="274" spans="1:13" ht="13.8" customHeight="1" x14ac:dyDescent="0.3">
      <c r="A274" s="6">
        <v>273</v>
      </c>
      <c r="B274" s="6" t="s">
        <v>78</v>
      </c>
      <c r="C274" s="1" t="s">
        <v>93</v>
      </c>
      <c r="D274" s="1">
        <v>69</v>
      </c>
      <c r="E274" s="1" t="s">
        <v>977</v>
      </c>
      <c r="F274" s="1" t="s">
        <v>984</v>
      </c>
      <c r="G274" s="2">
        <v>43908</v>
      </c>
      <c r="H274" s="1"/>
      <c r="I274" s="1"/>
      <c r="J274" s="1"/>
      <c r="K274" s="1"/>
      <c r="L274" s="1" t="s">
        <v>138</v>
      </c>
      <c r="M274" s="5" t="s">
        <v>1029</v>
      </c>
    </row>
    <row r="275" spans="1:13" ht="13.8" customHeight="1" x14ac:dyDescent="0.3">
      <c r="A275" s="6">
        <v>274</v>
      </c>
      <c r="B275" s="6" t="s">
        <v>77</v>
      </c>
      <c r="C275" s="1" t="s">
        <v>93</v>
      </c>
      <c r="D275" s="1">
        <v>50</v>
      </c>
      <c r="E275" s="1" t="s">
        <v>777</v>
      </c>
      <c r="F275" s="1" t="s">
        <v>985</v>
      </c>
      <c r="G275" s="2">
        <v>43908</v>
      </c>
      <c r="H275" s="1"/>
      <c r="I275" s="1"/>
      <c r="J275" s="1"/>
      <c r="K275" s="1"/>
      <c r="L275" s="1" t="s">
        <v>133</v>
      </c>
      <c r="M275" s="5" t="s">
        <v>1029</v>
      </c>
    </row>
    <row r="276" spans="1:13" ht="13.8" customHeight="1" x14ac:dyDescent="0.3">
      <c r="A276" s="6">
        <v>275</v>
      </c>
      <c r="B276" s="6" t="s">
        <v>78</v>
      </c>
      <c r="C276" s="1" t="s">
        <v>93</v>
      </c>
      <c r="D276" s="1">
        <v>27</v>
      </c>
      <c r="E276" s="1" t="s">
        <v>977</v>
      </c>
      <c r="F276" s="1" t="s">
        <v>986</v>
      </c>
      <c r="G276" s="2">
        <v>43908</v>
      </c>
      <c r="H276" s="19">
        <v>43911</v>
      </c>
      <c r="I276" s="19"/>
      <c r="J276" s="1"/>
      <c r="K276" s="1"/>
      <c r="L276" s="1" t="s">
        <v>142</v>
      </c>
      <c r="M276" s="5" t="s">
        <v>1029</v>
      </c>
    </row>
    <row r="277" spans="1:13" ht="13.8" customHeight="1" x14ac:dyDescent="0.3">
      <c r="A277" s="6">
        <v>276</v>
      </c>
      <c r="B277" s="6" t="s">
        <v>77</v>
      </c>
      <c r="C277" s="1" t="s">
        <v>93</v>
      </c>
      <c r="D277" s="1">
        <v>21</v>
      </c>
      <c r="E277" s="1" t="s">
        <v>977</v>
      </c>
      <c r="F277" s="1" t="s">
        <v>987</v>
      </c>
      <c r="G277" s="2">
        <v>43908</v>
      </c>
      <c r="H277" s="1"/>
      <c r="I277" s="1"/>
      <c r="J277" s="1"/>
      <c r="K277" s="1"/>
      <c r="L277" s="1" t="s">
        <v>142</v>
      </c>
      <c r="M277" s="5" t="s">
        <v>1029</v>
      </c>
    </row>
    <row r="278" spans="1:13" ht="13.8" customHeight="1" x14ac:dyDescent="0.3">
      <c r="A278" s="6">
        <v>277</v>
      </c>
      <c r="B278" s="6" t="s">
        <v>77</v>
      </c>
      <c r="C278" s="1" t="s">
        <v>93</v>
      </c>
      <c r="D278" s="1">
        <v>55</v>
      </c>
      <c r="E278" s="1" t="s">
        <v>977</v>
      </c>
      <c r="F278" s="1" t="s">
        <v>988</v>
      </c>
      <c r="G278" s="2">
        <v>43908</v>
      </c>
      <c r="H278" s="1"/>
      <c r="I278" s="1"/>
      <c r="J278" s="1"/>
      <c r="K278" s="1"/>
      <c r="L278" s="1" t="s">
        <v>135</v>
      </c>
      <c r="M278" s="5" t="s">
        <v>1029</v>
      </c>
    </row>
    <row r="279" spans="1:13" ht="13.8" customHeight="1" x14ac:dyDescent="0.3">
      <c r="A279" s="6">
        <v>278</v>
      </c>
      <c r="B279" s="6" t="s">
        <v>77</v>
      </c>
      <c r="C279" s="1" t="s">
        <v>94</v>
      </c>
      <c r="D279" s="1">
        <v>48</v>
      </c>
      <c r="E279" s="1" t="s">
        <v>777</v>
      </c>
      <c r="F279" s="1" t="s">
        <v>989</v>
      </c>
      <c r="G279" s="2">
        <v>43908</v>
      </c>
      <c r="H279" s="1"/>
      <c r="I279" s="1"/>
      <c r="J279" s="1"/>
      <c r="K279" s="1"/>
      <c r="L279" s="1" t="s">
        <v>133</v>
      </c>
      <c r="M279" s="5" t="s">
        <v>1029</v>
      </c>
    </row>
    <row r="280" spans="1:13" ht="13.8" customHeight="1" x14ac:dyDescent="0.3">
      <c r="A280" s="6">
        <v>279</v>
      </c>
      <c r="B280" s="6" t="s">
        <v>77</v>
      </c>
      <c r="C280" s="1" t="s">
        <v>93</v>
      </c>
      <c r="D280" s="1">
        <v>71</v>
      </c>
      <c r="E280" s="1" t="s">
        <v>977</v>
      </c>
      <c r="F280" s="1" t="s">
        <v>990</v>
      </c>
      <c r="G280" s="2">
        <v>43908</v>
      </c>
      <c r="H280" s="1"/>
      <c r="I280" s="1"/>
      <c r="J280" s="1"/>
      <c r="K280" s="1"/>
      <c r="L280" s="1" t="s">
        <v>133</v>
      </c>
      <c r="M280" s="5" t="s">
        <v>1029</v>
      </c>
    </row>
    <row r="281" spans="1:13" ht="13.8" customHeight="1" x14ac:dyDescent="0.3">
      <c r="A281" s="6">
        <v>280</v>
      </c>
      <c r="B281" s="6" t="s">
        <v>77</v>
      </c>
      <c r="C281" s="1" t="s">
        <v>94</v>
      </c>
      <c r="D281" s="1">
        <v>21</v>
      </c>
      <c r="E281" s="1" t="s">
        <v>977</v>
      </c>
      <c r="F281" s="1" t="s">
        <v>991</v>
      </c>
      <c r="G281" s="2">
        <v>43908</v>
      </c>
      <c r="H281" s="1"/>
      <c r="I281" s="1"/>
      <c r="J281" s="1"/>
      <c r="K281" s="1"/>
      <c r="L281" s="1" t="s">
        <v>133</v>
      </c>
      <c r="M281" s="5" t="s">
        <v>1029</v>
      </c>
    </row>
    <row r="282" spans="1:13" ht="13.8" customHeight="1" x14ac:dyDescent="0.3">
      <c r="A282" s="6">
        <v>281</v>
      </c>
      <c r="B282" s="6" t="s">
        <v>77</v>
      </c>
      <c r="C282" s="1" t="s">
        <v>93</v>
      </c>
      <c r="D282" s="1">
        <v>46</v>
      </c>
      <c r="E282" s="1" t="s">
        <v>977</v>
      </c>
      <c r="F282" s="1" t="s">
        <v>992</v>
      </c>
      <c r="G282" s="2">
        <v>43908</v>
      </c>
      <c r="H282" s="1"/>
      <c r="I282" s="1"/>
      <c r="J282" s="1"/>
      <c r="K282" s="1"/>
      <c r="L282" s="1" t="s">
        <v>133</v>
      </c>
      <c r="M282" s="5" t="s">
        <v>1029</v>
      </c>
    </row>
    <row r="283" spans="1:13" ht="13.8" customHeight="1" x14ac:dyDescent="0.3">
      <c r="A283" s="6">
        <v>282</v>
      </c>
      <c r="B283" s="6" t="s">
        <v>77</v>
      </c>
      <c r="C283" s="1" t="s">
        <v>93</v>
      </c>
      <c r="D283" s="1"/>
      <c r="E283" s="1"/>
      <c r="F283" s="1" t="s">
        <v>993</v>
      </c>
      <c r="G283" s="2">
        <v>43908</v>
      </c>
      <c r="H283" s="1"/>
      <c r="I283" s="1"/>
      <c r="J283" s="1"/>
      <c r="K283" s="1"/>
      <c r="L283" s="1" t="s">
        <v>133</v>
      </c>
      <c r="M283" s="5" t="s">
        <v>1029</v>
      </c>
    </row>
    <row r="284" spans="1:13" ht="13.8" customHeight="1" x14ac:dyDescent="0.3">
      <c r="A284" s="6">
        <v>283</v>
      </c>
      <c r="B284" s="6" t="s">
        <v>78</v>
      </c>
      <c r="C284" s="1" t="s">
        <v>94</v>
      </c>
      <c r="D284" s="1">
        <v>62</v>
      </c>
      <c r="E284" s="1" t="s">
        <v>977</v>
      </c>
      <c r="F284" s="1" t="s">
        <v>994</v>
      </c>
      <c r="G284" s="2">
        <v>43908</v>
      </c>
      <c r="H284" s="1"/>
      <c r="I284" s="1"/>
      <c r="J284" s="1"/>
      <c r="K284" s="1"/>
      <c r="L284" s="1" t="s">
        <v>133</v>
      </c>
      <c r="M284" s="5" t="s">
        <v>1029</v>
      </c>
    </row>
    <row r="285" spans="1:13" ht="13.8" customHeight="1" x14ac:dyDescent="0.3">
      <c r="A285" s="6">
        <v>284</v>
      </c>
      <c r="B285" s="6" t="s">
        <v>77</v>
      </c>
      <c r="C285" s="1" t="s">
        <v>93</v>
      </c>
      <c r="D285" s="1">
        <v>32</v>
      </c>
      <c r="E285" s="1" t="s">
        <v>977</v>
      </c>
      <c r="F285" s="1" t="s">
        <v>995</v>
      </c>
      <c r="G285" s="2">
        <v>43908</v>
      </c>
      <c r="H285" s="1"/>
      <c r="I285" s="1"/>
      <c r="J285" s="1"/>
      <c r="K285" s="1"/>
      <c r="L285" s="1" t="s">
        <v>133</v>
      </c>
      <c r="M285" s="5" t="s">
        <v>1029</v>
      </c>
    </row>
    <row r="286" spans="1:13" ht="13.8" customHeight="1" x14ac:dyDescent="0.3">
      <c r="A286" s="6">
        <v>285</v>
      </c>
      <c r="B286" s="6" t="s">
        <v>77</v>
      </c>
      <c r="C286" s="1" t="s">
        <v>94</v>
      </c>
      <c r="D286" s="1">
        <v>42</v>
      </c>
      <c r="E286" s="1" t="s">
        <v>944</v>
      </c>
      <c r="F286" s="1" t="s">
        <v>996</v>
      </c>
      <c r="G286" s="2">
        <v>43908</v>
      </c>
      <c r="H286" s="1"/>
      <c r="I286" s="1"/>
      <c r="J286" s="1"/>
      <c r="K286" s="1"/>
      <c r="L286" s="1" t="s">
        <v>133</v>
      </c>
      <c r="M286" s="5" t="s">
        <v>1029</v>
      </c>
    </row>
    <row r="287" spans="1:13" ht="13.8" customHeight="1" x14ac:dyDescent="0.3">
      <c r="A287" s="6">
        <v>286</v>
      </c>
      <c r="B287" s="6" t="s">
        <v>77</v>
      </c>
      <c r="C287" s="1" t="s">
        <v>93</v>
      </c>
      <c r="D287" s="1">
        <v>54</v>
      </c>
      <c r="E287" s="1" t="s">
        <v>650</v>
      </c>
      <c r="F287" s="1" t="s">
        <v>997</v>
      </c>
      <c r="G287" s="2">
        <v>43908</v>
      </c>
      <c r="H287" s="1"/>
      <c r="I287" s="1"/>
      <c r="J287" s="1"/>
      <c r="K287" s="1"/>
      <c r="L287" s="1" t="s">
        <v>133</v>
      </c>
      <c r="M287" s="5" t="s">
        <v>1029</v>
      </c>
    </row>
    <row r="288" spans="1:13" ht="13.8" customHeight="1" x14ac:dyDescent="0.3">
      <c r="A288" s="6">
        <v>287</v>
      </c>
      <c r="B288" s="6" t="s">
        <v>78</v>
      </c>
      <c r="C288" s="1" t="s">
        <v>93</v>
      </c>
      <c r="D288" s="1">
        <v>26</v>
      </c>
      <c r="E288" s="1" t="s">
        <v>977</v>
      </c>
      <c r="F288" s="1" t="s">
        <v>998</v>
      </c>
      <c r="G288" s="2">
        <v>43908</v>
      </c>
      <c r="H288" s="1"/>
      <c r="I288" s="1"/>
      <c r="J288" s="1"/>
      <c r="K288" s="1"/>
      <c r="L288" s="1" t="s">
        <v>137</v>
      </c>
      <c r="M288" s="5" t="s">
        <v>1029</v>
      </c>
    </row>
    <row r="289" spans="1:13" ht="13.8" customHeight="1" x14ac:dyDescent="0.3">
      <c r="A289" s="6">
        <v>288</v>
      </c>
      <c r="B289" s="6" t="s">
        <v>78</v>
      </c>
      <c r="C289" s="1" t="s">
        <v>93</v>
      </c>
      <c r="D289" s="1">
        <v>71</v>
      </c>
      <c r="E289" s="1" t="s">
        <v>977</v>
      </c>
      <c r="F289" s="1" t="s">
        <v>999</v>
      </c>
      <c r="G289" s="2">
        <v>43908</v>
      </c>
      <c r="H289" s="1"/>
      <c r="I289" s="1"/>
      <c r="J289" s="1"/>
      <c r="K289" s="1"/>
      <c r="L289" s="1" t="s">
        <v>133</v>
      </c>
      <c r="M289" s="5" t="s">
        <v>1029</v>
      </c>
    </row>
    <row r="290" spans="1:13" ht="13.8" customHeight="1" x14ac:dyDescent="0.3">
      <c r="A290" s="6">
        <v>289</v>
      </c>
      <c r="B290" s="6" t="s">
        <v>78</v>
      </c>
      <c r="C290" s="1" t="s">
        <v>93</v>
      </c>
      <c r="D290" s="1">
        <v>62</v>
      </c>
      <c r="E290" s="1" t="s">
        <v>977</v>
      </c>
      <c r="F290" s="1" t="s">
        <v>1000</v>
      </c>
      <c r="G290" s="2">
        <v>43908</v>
      </c>
      <c r="H290" s="1"/>
      <c r="I290" s="1"/>
      <c r="J290" s="1"/>
      <c r="K290" s="1"/>
      <c r="L290" s="1" t="s">
        <v>133</v>
      </c>
      <c r="M290" s="5" t="s">
        <v>1029</v>
      </c>
    </row>
    <row r="291" spans="1:13" ht="13.8" customHeight="1" x14ac:dyDescent="0.3">
      <c r="A291" s="6">
        <v>290</v>
      </c>
      <c r="B291" s="6" t="s">
        <v>78</v>
      </c>
      <c r="C291" s="1" t="s">
        <v>93</v>
      </c>
      <c r="D291" s="1">
        <v>69</v>
      </c>
      <c r="E291" s="1" t="s">
        <v>977</v>
      </c>
      <c r="F291" s="1" t="s">
        <v>1001</v>
      </c>
      <c r="G291" s="2">
        <v>43908</v>
      </c>
      <c r="H291" s="1"/>
      <c r="I291" s="1"/>
      <c r="J291" s="1"/>
      <c r="K291" s="1"/>
      <c r="L291" s="1" t="s">
        <v>133</v>
      </c>
      <c r="M291" s="5" t="s">
        <v>1029</v>
      </c>
    </row>
    <row r="292" spans="1:13" ht="13.8" customHeight="1" x14ac:dyDescent="0.3">
      <c r="A292" s="6">
        <v>291</v>
      </c>
      <c r="B292" s="6" t="s">
        <v>78</v>
      </c>
      <c r="C292" s="1" t="s">
        <v>93</v>
      </c>
      <c r="D292" s="1">
        <v>52</v>
      </c>
      <c r="E292" s="1" t="s">
        <v>776</v>
      </c>
      <c r="F292" s="1" t="s">
        <v>1002</v>
      </c>
      <c r="G292" s="2">
        <v>43908</v>
      </c>
      <c r="H292" s="19">
        <v>43913</v>
      </c>
      <c r="I292" s="1"/>
      <c r="J292" s="1"/>
      <c r="K292" s="1"/>
      <c r="L292" s="1" t="s">
        <v>133</v>
      </c>
      <c r="M292" s="5" t="s">
        <v>1029</v>
      </c>
    </row>
    <row r="293" spans="1:13" ht="13.8" customHeight="1" x14ac:dyDescent="0.3">
      <c r="A293" s="6">
        <v>292</v>
      </c>
      <c r="B293" s="6" t="s">
        <v>77</v>
      </c>
      <c r="C293" s="1" t="s">
        <v>94</v>
      </c>
      <c r="D293" s="1">
        <v>64</v>
      </c>
      <c r="E293" s="1" t="s">
        <v>977</v>
      </c>
      <c r="F293" s="1" t="s">
        <v>1003</v>
      </c>
      <c r="G293" s="2">
        <v>43908</v>
      </c>
      <c r="H293" s="1"/>
      <c r="I293" s="1"/>
      <c r="J293" s="1"/>
      <c r="K293" s="1"/>
      <c r="L293" s="1" t="s">
        <v>133</v>
      </c>
      <c r="M293" s="5" t="s">
        <v>1029</v>
      </c>
    </row>
    <row r="294" spans="1:13" ht="13.8" customHeight="1" x14ac:dyDescent="0.3">
      <c r="A294" s="6">
        <v>293</v>
      </c>
      <c r="B294" s="6" t="s">
        <v>77</v>
      </c>
      <c r="C294" s="1" t="s">
        <v>93</v>
      </c>
      <c r="D294" s="1">
        <v>30</v>
      </c>
      <c r="E294" s="1" t="s">
        <v>650</v>
      </c>
      <c r="F294" s="1" t="s">
        <v>1004</v>
      </c>
      <c r="G294" s="2">
        <v>43908</v>
      </c>
      <c r="H294" s="1"/>
      <c r="I294" s="1"/>
      <c r="J294" s="1"/>
      <c r="K294" s="1"/>
      <c r="L294" s="1" t="s">
        <v>133</v>
      </c>
      <c r="M294" s="5" t="s">
        <v>1029</v>
      </c>
    </row>
    <row r="295" spans="1:13" ht="13.8" customHeight="1" x14ac:dyDescent="0.3">
      <c r="A295" s="6">
        <v>294</v>
      </c>
      <c r="B295" s="6" t="s">
        <v>78</v>
      </c>
      <c r="C295" s="1" t="s">
        <v>94</v>
      </c>
      <c r="D295" s="1">
        <v>58</v>
      </c>
      <c r="E295" s="1" t="s">
        <v>977</v>
      </c>
      <c r="F295" s="1" t="s">
        <v>1005</v>
      </c>
      <c r="G295" s="2">
        <v>43908</v>
      </c>
      <c r="H295" s="1"/>
      <c r="I295" s="1"/>
      <c r="J295" s="1"/>
      <c r="K295" s="1"/>
      <c r="L295" s="1" t="s">
        <v>133</v>
      </c>
      <c r="M295" s="5" t="s">
        <v>1029</v>
      </c>
    </row>
    <row r="296" spans="1:13" ht="13.8" customHeight="1" x14ac:dyDescent="0.3">
      <c r="A296" s="6">
        <v>295</v>
      </c>
      <c r="B296" s="6" t="s">
        <v>77</v>
      </c>
      <c r="C296" s="1" t="s">
        <v>93</v>
      </c>
      <c r="D296" s="1">
        <v>55</v>
      </c>
      <c r="E296" s="1" t="s">
        <v>977</v>
      </c>
      <c r="F296" s="1" t="s">
        <v>1006</v>
      </c>
      <c r="G296" s="2">
        <v>43908</v>
      </c>
      <c r="H296" s="1"/>
      <c r="I296" s="1"/>
      <c r="J296" s="1"/>
      <c r="K296" s="1"/>
      <c r="L296" s="1" t="s">
        <v>133</v>
      </c>
      <c r="M296" s="5" t="s">
        <v>1029</v>
      </c>
    </row>
    <row r="297" spans="1:13" ht="13.8" customHeight="1" x14ac:dyDescent="0.3">
      <c r="A297" s="6">
        <v>296</v>
      </c>
      <c r="B297" s="6" t="s">
        <v>77</v>
      </c>
      <c r="C297" s="1" t="s">
        <v>94</v>
      </c>
      <c r="D297" s="1">
        <v>25</v>
      </c>
      <c r="E297" s="1" t="s">
        <v>591</v>
      </c>
      <c r="F297" s="1" t="s">
        <v>1007</v>
      </c>
      <c r="G297" s="2">
        <v>43908</v>
      </c>
      <c r="H297" s="1"/>
      <c r="I297" s="1"/>
      <c r="J297" s="1"/>
      <c r="K297" s="1"/>
      <c r="L297" s="1" t="s">
        <v>133</v>
      </c>
      <c r="M297" s="5" t="s">
        <v>1029</v>
      </c>
    </row>
    <row r="298" spans="1:13" ht="13.8" customHeight="1" x14ac:dyDescent="0.3">
      <c r="A298" s="6">
        <v>297</v>
      </c>
      <c r="B298" s="6" t="s">
        <v>77</v>
      </c>
      <c r="C298" s="1" t="s">
        <v>93</v>
      </c>
      <c r="D298" s="1">
        <v>31</v>
      </c>
      <c r="E298" s="1" t="s">
        <v>519</v>
      </c>
      <c r="F298" s="1" t="s">
        <v>1008</v>
      </c>
      <c r="G298" s="2">
        <v>43908</v>
      </c>
      <c r="H298" s="1"/>
      <c r="I298" s="1"/>
      <c r="J298" s="1"/>
      <c r="K298" s="1"/>
      <c r="L298" s="1" t="s">
        <v>133</v>
      </c>
      <c r="M298" s="5" t="s">
        <v>1029</v>
      </c>
    </row>
    <row r="299" spans="1:13" ht="13.8" customHeight="1" x14ac:dyDescent="0.3">
      <c r="A299" s="6">
        <v>298</v>
      </c>
      <c r="B299" s="6" t="s">
        <v>77</v>
      </c>
      <c r="C299" s="1" t="s">
        <v>93</v>
      </c>
      <c r="D299" s="1">
        <v>44</v>
      </c>
      <c r="E299" s="1" t="s">
        <v>977</v>
      </c>
      <c r="F299" s="1" t="s">
        <v>1009</v>
      </c>
      <c r="G299" s="2">
        <v>43908</v>
      </c>
      <c r="H299" s="1"/>
      <c r="I299" s="1"/>
      <c r="J299" s="1"/>
      <c r="K299" s="1"/>
      <c r="L299" s="1" t="s">
        <v>133</v>
      </c>
      <c r="M299" s="5" t="s">
        <v>1029</v>
      </c>
    </row>
    <row r="300" spans="1:13" ht="13.8" customHeight="1" x14ac:dyDescent="0.3">
      <c r="A300" s="6">
        <v>299</v>
      </c>
      <c r="B300" s="6" t="s">
        <v>77</v>
      </c>
      <c r="C300" s="1" t="s">
        <v>93</v>
      </c>
      <c r="D300" s="1">
        <v>29</v>
      </c>
      <c r="E300" s="1" t="s">
        <v>977</v>
      </c>
      <c r="F300" s="1" t="s">
        <v>1010</v>
      </c>
      <c r="G300" s="2">
        <v>43908</v>
      </c>
      <c r="H300" s="1"/>
      <c r="I300" s="1"/>
      <c r="J300" s="1"/>
      <c r="K300" s="1"/>
      <c r="L300" s="1" t="s">
        <v>133</v>
      </c>
      <c r="M300" s="5" t="s">
        <v>1029</v>
      </c>
    </row>
    <row r="301" spans="1:13" ht="13.8" customHeight="1" x14ac:dyDescent="0.3">
      <c r="A301" s="6">
        <v>300</v>
      </c>
      <c r="B301" s="6" t="s">
        <v>77</v>
      </c>
      <c r="C301" s="1" t="s">
        <v>93</v>
      </c>
      <c r="D301" s="1">
        <v>28</v>
      </c>
      <c r="E301" s="1" t="s">
        <v>779</v>
      </c>
      <c r="F301" s="1" t="s">
        <v>1011</v>
      </c>
      <c r="G301" s="2">
        <v>43908</v>
      </c>
      <c r="H301" s="1"/>
      <c r="I301" s="1"/>
      <c r="J301" s="1"/>
      <c r="K301" s="1"/>
      <c r="L301" s="1" t="s">
        <v>133</v>
      </c>
      <c r="M301" s="5" t="s">
        <v>1029</v>
      </c>
    </row>
    <row r="302" spans="1:13" ht="13.8" customHeight="1" x14ac:dyDescent="0.3">
      <c r="A302" s="6">
        <v>301</v>
      </c>
      <c r="B302" s="6" t="s">
        <v>77</v>
      </c>
      <c r="C302" s="1" t="s">
        <v>93</v>
      </c>
      <c r="D302" s="1">
        <v>63</v>
      </c>
      <c r="E302" s="1" t="s">
        <v>977</v>
      </c>
      <c r="F302" s="1" t="s">
        <v>1012</v>
      </c>
      <c r="G302" s="2">
        <v>43908</v>
      </c>
      <c r="H302" s="1"/>
      <c r="I302" s="1"/>
      <c r="J302" s="1"/>
      <c r="K302" s="1"/>
      <c r="L302" s="1" t="s">
        <v>133</v>
      </c>
      <c r="M302" s="5" t="s">
        <v>1029</v>
      </c>
    </row>
    <row r="303" spans="1:13" ht="13.8" customHeight="1" x14ac:dyDescent="0.3">
      <c r="A303" s="6">
        <v>302</v>
      </c>
      <c r="B303" s="6" t="s">
        <v>78</v>
      </c>
      <c r="C303" s="1" t="s">
        <v>94</v>
      </c>
      <c r="D303" s="1">
        <v>49</v>
      </c>
      <c r="E303" s="1" t="s">
        <v>977</v>
      </c>
      <c r="F303" s="1" t="s">
        <v>1013</v>
      </c>
      <c r="G303" s="2">
        <v>43908</v>
      </c>
      <c r="H303" s="1"/>
      <c r="I303" s="1"/>
      <c r="J303" s="1"/>
      <c r="K303" s="1"/>
      <c r="L303" s="1" t="s">
        <v>137</v>
      </c>
      <c r="M303" s="5" t="s">
        <v>1029</v>
      </c>
    </row>
    <row r="304" spans="1:13" ht="13.8" customHeight="1" x14ac:dyDescent="0.3">
      <c r="A304" s="6">
        <v>303</v>
      </c>
      <c r="B304" s="6" t="s">
        <v>78</v>
      </c>
      <c r="C304" s="1" t="s">
        <v>93</v>
      </c>
      <c r="D304" s="1">
        <v>27</v>
      </c>
      <c r="E304" s="1" t="s">
        <v>591</v>
      </c>
      <c r="F304" s="1" t="s">
        <v>1014</v>
      </c>
      <c r="G304" s="2">
        <v>43908</v>
      </c>
      <c r="H304" s="1"/>
      <c r="I304" s="1"/>
      <c r="J304" s="1"/>
      <c r="K304" s="1"/>
      <c r="L304" s="1" t="s">
        <v>133</v>
      </c>
      <c r="M304" s="5" t="s">
        <v>1029</v>
      </c>
    </row>
    <row r="305" spans="1:13" ht="13.8" customHeight="1" x14ac:dyDescent="0.3">
      <c r="A305" s="6">
        <v>304</v>
      </c>
      <c r="B305" s="6" t="s">
        <v>77</v>
      </c>
      <c r="C305" s="1" t="s">
        <v>94</v>
      </c>
      <c r="D305" s="1">
        <v>27</v>
      </c>
      <c r="E305" s="1" t="s">
        <v>977</v>
      </c>
      <c r="F305" s="1" t="s">
        <v>1015</v>
      </c>
      <c r="G305" s="2">
        <v>43908</v>
      </c>
      <c r="H305" s="1"/>
      <c r="I305" s="1"/>
      <c r="J305" s="1"/>
      <c r="K305" s="1"/>
      <c r="L305" s="1" t="s">
        <v>133</v>
      </c>
      <c r="M305" s="5" t="s">
        <v>1029</v>
      </c>
    </row>
    <row r="306" spans="1:13" ht="13.8" customHeight="1" x14ac:dyDescent="0.3">
      <c r="A306" s="6">
        <v>305</v>
      </c>
      <c r="B306" s="6" t="s">
        <v>78</v>
      </c>
      <c r="C306" s="1" t="s">
        <v>93</v>
      </c>
      <c r="D306" s="1">
        <v>24</v>
      </c>
      <c r="E306" s="1" t="s">
        <v>977</v>
      </c>
      <c r="F306" s="1" t="s">
        <v>1016</v>
      </c>
      <c r="G306" s="2">
        <v>43908</v>
      </c>
      <c r="H306" s="1"/>
      <c r="I306" s="1"/>
      <c r="J306" s="1"/>
      <c r="K306" s="1"/>
      <c r="L306" s="1" t="s">
        <v>133</v>
      </c>
      <c r="M306" s="5" t="s">
        <v>1029</v>
      </c>
    </row>
    <row r="307" spans="1:13" ht="13.8" customHeight="1" x14ac:dyDescent="0.3">
      <c r="A307" s="6">
        <v>306</v>
      </c>
      <c r="B307" s="6" t="s">
        <v>77</v>
      </c>
      <c r="C307" s="1" t="s">
        <v>93</v>
      </c>
      <c r="D307" s="1">
        <v>56</v>
      </c>
      <c r="E307" s="1" t="s">
        <v>977</v>
      </c>
      <c r="F307" s="1" t="s">
        <v>1017</v>
      </c>
      <c r="G307" s="2">
        <v>43908</v>
      </c>
      <c r="H307" s="1"/>
      <c r="I307" s="1"/>
      <c r="J307" s="1"/>
      <c r="K307" s="1"/>
      <c r="L307" s="1" t="s">
        <v>133</v>
      </c>
      <c r="M307" s="5" t="s">
        <v>1029</v>
      </c>
    </row>
    <row r="308" spans="1:13" ht="13.8" customHeight="1" x14ac:dyDescent="0.3">
      <c r="A308" s="6">
        <v>307</v>
      </c>
      <c r="B308" s="6" t="s">
        <v>77</v>
      </c>
      <c r="C308" s="1" t="s">
        <v>94</v>
      </c>
      <c r="D308" s="1">
        <v>22</v>
      </c>
      <c r="E308" s="1" t="s">
        <v>977</v>
      </c>
      <c r="F308" s="1" t="s">
        <v>1018</v>
      </c>
      <c r="G308" s="2">
        <v>43908</v>
      </c>
      <c r="H308" s="1"/>
      <c r="I308" s="1"/>
      <c r="J308" s="1"/>
      <c r="K308" s="1"/>
      <c r="L308" s="1" t="s">
        <v>133</v>
      </c>
      <c r="M308" s="5" t="s">
        <v>1029</v>
      </c>
    </row>
    <row r="309" spans="1:13" ht="13.8" customHeight="1" x14ac:dyDescent="0.3">
      <c r="A309" s="6">
        <v>308</v>
      </c>
      <c r="B309" s="6" t="s">
        <v>77</v>
      </c>
      <c r="C309" s="1" t="s">
        <v>93</v>
      </c>
      <c r="D309" s="1">
        <v>59</v>
      </c>
      <c r="E309" s="1" t="s">
        <v>977</v>
      </c>
      <c r="F309" s="1" t="s">
        <v>1019</v>
      </c>
      <c r="G309" s="2">
        <v>43908</v>
      </c>
      <c r="H309" s="1"/>
      <c r="I309" s="1"/>
      <c r="J309" s="1"/>
      <c r="K309" s="1"/>
      <c r="L309" s="1" t="s">
        <v>133</v>
      </c>
      <c r="M309" s="5" t="s">
        <v>1029</v>
      </c>
    </row>
    <row r="310" spans="1:13" ht="13.8" customHeight="1" x14ac:dyDescent="0.3">
      <c r="A310" s="6">
        <v>309</v>
      </c>
      <c r="B310" s="6" t="s">
        <v>77</v>
      </c>
      <c r="C310" s="1" t="s">
        <v>93</v>
      </c>
      <c r="D310" s="1">
        <v>60</v>
      </c>
      <c r="E310" s="1" t="s">
        <v>977</v>
      </c>
      <c r="F310" s="1" t="s">
        <v>1020</v>
      </c>
      <c r="G310" s="2">
        <v>43908</v>
      </c>
      <c r="H310" s="1"/>
      <c r="I310" s="1"/>
      <c r="J310" s="1"/>
      <c r="K310" s="1"/>
      <c r="L310" s="1" t="s">
        <v>133</v>
      </c>
      <c r="M310" s="5" t="s">
        <v>1029</v>
      </c>
    </row>
    <row r="311" spans="1:13" ht="13.8" customHeight="1" x14ac:dyDescent="0.3">
      <c r="A311" s="6">
        <v>310</v>
      </c>
      <c r="B311" s="6" t="s">
        <v>78</v>
      </c>
      <c r="C311" s="1" t="s">
        <v>93</v>
      </c>
      <c r="D311" s="1">
        <v>58</v>
      </c>
      <c r="E311" s="1" t="s">
        <v>977</v>
      </c>
      <c r="F311" s="1" t="s">
        <v>1021</v>
      </c>
      <c r="G311" s="2">
        <v>43908</v>
      </c>
      <c r="H311" s="1"/>
      <c r="I311" s="1"/>
      <c r="J311" s="1"/>
      <c r="K311" s="1"/>
      <c r="L311" s="1" t="s">
        <v>133</v>
      </c>
      <c r="M311" s="5" t="s">
        <v>1029</v>
      </c>
    </row>
    <row r="312" spans="1:13" ht="13.8" customHeight="1" x14ac:dyDescent="0.3">
      <c r="A312" s="6">
        <v>311</v>
      </c>
      <c r="B312" s="6" t="s">
        <v>78</v>
      </c>
      <c r="C312" s="1" t="s">
        <v>94</v>
      </c>
      <c r="D312" s="1">
        <v>80</v>
      </c>
      <c r="E312" s="1" t="s">
        <v>977</v>
      </c>
      <c r="F312" s="1" t="s">
        <v>1022</v>
      </c>
      <c r="G312" s="2">
        <v>43908</v>
      </c>
      <c r="H312" s="19">
        <v>43912</v>
      </c>
      <c r="I312" s="1"/>
      <c r="J312" s="1"/>
      <c r="K312" s="1"/>
      <c r="L312" s="1" t="s">
        <v>133</v>
      </c>
      <c r="M312" s="5" t="s">
        <v>1029</v>
      </c>
    </row>
    <row r="313" spans="1:13" ht="13.8" customHeight="1" x14ac:dyDescent="0.3">
      <c r="A313" s="6">
        <v>312</v>
      </c>
      <c r="B313" s="6" t="s">
        <v>77</v>
      </c>
      <c r="C313" s="1" t="s">
        <v>93</v>
      </c>
      <c r="D313" s="1">
        <v>30</v>
      </c>
      <c r="E313" s="1" t="s">
        <v>623</v>
      </c>
      <c r="F313" s="1" t="s">
        <v>1023</v>
      </c>
      <c r="G313" s="2">
        <v>43908</v>
      </c>
      <c r="H313" s="1"/>
      <c r="I313" s="1"/>
      <c r="J313" s="1"/>
      <c r="K313" s="1"/>
      <c r="L313" s="1" t="s">
        <v>133</v>
      </c>
      <c r="M313" s="5" t="s">
        <v>1029</v>
      </c>
    </row>
    <row r="314" spans="1:13" ht="13.8" customHeight="1" x14ac:dyDescent="0.3">
      <c r="A314" s="6">
        <v>313</v>
      </c>
      <c r="B314" s="6" t="s">
        <v>77</v>
      </c>
      <c r="C314" s="1" t="s">
        <v>93</v>
      </c>
      <c r="D314" s="1">
        <v>39</v>
      </c>
      <c r="E314" s="1" t="s">
        <v>650</v>
      </c>
      <c r="F314" s="1" t="s">
        <v>1024</v>
      </c>
      <c r="G314" s="2">
        <v>43908</v>
      </c>
      <c r="H314" s="1"/>
      <c r="I314" s="1"/>
      <c r="J314" s="1"/>
      <c r="K314" s="1"/>
      <c r="L314" s="1" t="s">
        <v>133</v>
      </c>
      <c r="M314" s="5" t="s">
        <v>1029</v>
      </c>
    </row>
    <row r="315" spans="1:13" ht="13.8" customHeight="1" x14ac:dyDescent="0.3">
      <c r="A315" s="6">
        <v>314</v>
      </c>
      <c r="B315" s="6" t="s">
        <v>78</v>
      </c>
      <c r="C315" s="1" t="s">
        <v>93</v>
      </c>
      <c r="D315" s="1">
        <v>58</v>
      </c>
      <c r="E315" s="1" t="s">
        <v>503</v>
      </c>
      <c r="F315" s="1" t="s">
        <v>1111</v>
      </c>
      <c r="G315" s="2">
        <v>43909</v>
      </c>
      <c r="H315" s="1"/>
      <c r="I315" s="1"/>
      <c r="J315" s="1"/>
      <c r="K315" s="1"/>
      <c r="L315" s="1" t="s">
        <v>1058</v>
      </c>
      <c r="M315" s="5" t="s">
        <v>1128</v>
      </c>
    </row>
    <row r="316" spans="1:13" ht="13.8" customHeight="1" x14ac:dyDescent="0.3">
      <c r="A316" s="6">
        <v>315</v>
      </c>
      <c r="B316" s="6" t="s">
        <v>77</v>
      </c>
      <c r="C316" s="1" t="s">
        <v>93</v>
      </c>
      <c r="D316" s="1">
        <v>57</v>
      </c>
      <c r="E316" s="1" t="s">
        <v>503</v>
      </c>
      <c r="F316" s="1" t="s">
        <v>1112</v>
      </c>
      <c r="G316" s="2">
        <v>43909</v>
      </c>
      <c r="H316" s="1"/>
      <c r="I316" s="1"/>
      <c r="J316" s="1"/>
      <c r="K316" s="1"/>
      <c r="L316" s="1" t="s">
        <v>1062</v>
      </c>
      <c r="M316" s="5" t="s">
        <v>1128</v>
      </c>
    </row>
    <row r="317" spans="1:13" ht="13.8" customHeight="1" x14ac:dyDescent="0.3">
      <c r="A317" s="6">
        <v>316</v>
      </c>
      <c r="B317" s="6" t="s">
        <v>77</v>
      </c>
      <c r="C317" s="1" t="s">
        <v>93</v>
      </c>
      <c r="D317" s="1">
        <v>25</v>
      </c>
      <c r="E317" s="1" t="s">
        <v>591</v>
      </c>
      <c r="F317" s="1" t="s">
        <v>1096</v>
      </c>
      <c r="G317" s="2">
        <v>43909</v>
      </c>
      <c r="H317" s="1"/>
      <c r="I317" s="1"/>
      <c r="J317" s="1"/>
      <c r="K317" s="1"/>
      <c r="L317" s="1" t="s">
        <v>1064</v>
      </c>
      <c r="M317" s="5" t="s">
        <v>1128</v>
      </c>
    </row>
    <row r="318" spans="1:13" ht="13.8" customHeight="1" x14ac:dyDescent="0.3">
      <c r="A318" s="6">
        <v>317</v>
      </c>
      <c r="B318" s="6" t="s">
        <v>77</v>
      </c>
      <c r="C318" s="1" t="s">
        <v>93</v>
      </c>
      <c r="D318" s="1">
        <v>29</v>
      </c>
      <c r="E318" s="1" t="s">
        <v>503</v>
      </c>
      <c r="F318" s="1" t="s">
        <v>1113</v>
      </c>
      <c r="G318" s="2">
        <v>43909</v>
      </c>
      <c r="H318" s="1"/>
      <c r="I318" s="1"/>
      <c r="J318" s="1"/>
      <c r="K318" s="1"/>
      <c r="L318" s="1" t="s">
        <v>1066</v>
      </c>
      <c r="M318" s="5" t="s">
        <v>1128</v>
      </c>
    </row>
    <row r="319" spans="1:13" ht="13.8" customHeight="1" x14ac:dyDescent="0.3">
      <c r="A319" s="6">
        <v>318</v>
      </c>
      <c r="B319" s="6" t="s">
        <v>78</v>
      </c>
      <c r="C319" s="1" t="s">
        <v>94</v>
      </c>
      <c r="D319" s="1">
        <v>58</v>
      </c>
      <c r="E319" s="1" t="s">
        <v>473</v>
      </c>
      <c r="F319" s="1" t="s">
        <v>1097</v>
      </c>
      <c r="G319" s="2">
        <v>43909</v>
      </c>
      <c r="H319" s="1"/>
      <c r="I319" s="1"/>
      <c r="J319" s="1"/>
      <c r="K319" s="1"/>
      <c r="L319" s="1" t="s">
        <v>1066</v>
      </c>
      <c r="M319" s="5" t="s">
        <v>1128</v>
      </c>
    </row>
    <row r="320" spans="1:13" ht="13.8" customHeight="1" x14ac:dyDescent="0.3">
      <c r="A320" s="6">
        <v>319</v>
      </c>
      <c r="B320" s="6" t="s">
        <v>77</v>
      </c>
      <c r="C320" s="1" t="s">
        <v>94</v>
      </c>
      <c r="D320" s="1">
        <v>67</v>
      </c>
      <c r="E320" s="1" t="s">
        <v>608</v>
      </c>
      <c r="F320" s="1" t="s">
        <v>1098</v>
      </c>
      <c r="G320" s="2">
        <v>43909</v>
      </c>
      <c r="H320" s="1"/>
      <c r="I320" s="1"/>
      <c r="J320" s="1"/>
      <c r="K320" s="1"/>
      <c r="L320" s="1" t="s">
        <v>1066</v>
      </c>
      <c r="M320" s="5" t="s">
        <v>1128</v>
      </c>
    </row>
    <row r="321" spans="1:13" ht="13.8" customHeight="1" x14ac:dyDescent="0.3">
      <c r="A321" s="6">
        <v>320</v>
      </c>
      <c r="B321" s="6" t="s">
        <v>77</v>
      </c>
      <c r="C321" s="1" t="s">
        <v>93</v>
      </c>
      <c r="D321" s="1">
        <v>34</v>
      </c>
      <c r="E321" s="1" t="s">
        <v>503</v>
      </c>
      <c r="F321" s="1" t="s">
        <v>1099</v>
      </c>
      <c r="G321" s="2">
        <v>43909</v>
      </c>
      <c r="H321" s="1"/>
      <c r="I321" s="1"/>
      <c r="J321" s="1"/>
      <c r="K321" s="1"/>
      <c r="L321" s="1" t="s">
        <v>1071</v>
      </c>
      <c r="M321" s="5" t="s">
        <v>1128</v>
      </c>
    </row>
    <row r="322" spans="1:13" ht="13.8" customHeight="1" x14ac:dyDescent="0.3">
      <c r="A322" s="6">
        <v>321</v>
      </c>
      <c r="B322" s="6" t="s">
        <v>78</v>
      </c>
      <c r="C322" s="1" t="s">
        <v>94</v>
      </c>
      <c r="D322" s="1">
        <v>65</v>
      </c>
      <c r="E322" s="1" t="s">
        <v>503</v>
      </c>
      <c r="F322" s="1" t="s">
        <v>1114</v>
      </c>
      <c r="G322" s="2">
        <v>43909</v>
      </c>
      <c r="H322" s="1"/>
      <c r="I322" s="1"/>
      <c r="J322" s="1"/>
      <c r="K322" s="1"/>
      <c r="L322" s="1" t="s">
        <v>343</v>
      </c>
      <c r="M322" s="5" t="s">
        <v>1128</v>
      </c>
    </row>
    <row r="323" spans="1:13" ht="13.8" customHeight="1" x14ac:dyDescent="0.3">
      <c r="A323" s="6">
        <v>322</v>
      </c>
      <c r="B323" s="6" t="s">
        <v>77</v>
      </c>
      <c r="C323" s="1" t="s">
        <v>94</v>
      </c>
      <c r="D323" s="1">
        <v>46</v>
      </c>
      <c r="E323" s="1" t="s">
        <v>503</v>
      </c>
      <c r="F323" s="1" t="s">
        <v>1100</v>
      </c>
      <c r="G323" s="2">
        <v>43909</v>
      </c>
      <c r="H323" s="1"/>
      <c r="I323" s="1"/>
      <c r="J323" s="1"/>
      <c r="K323" s="1"/>
      <c r="L323" s="1" t="s">
        <v>1074</v>
      </c>
      <c r="M323" s="5" t="s">
        <v>1128</v>
      </c>
    </row>
    <row r="324" spans="1:13" ht="13.8" customHeight="1" x14ac:dyDescent="0.3">
      <c r="A324" s="6">
        <v>323</v>
      </c>
      <c r="B324" s="6" t="s">
        <v>77</v>
      </c>
      <c r="C324" s="1" t="s">
        <v>93</v>
      </c>
      <c r="D324" s="1">
        <v>24</v>
      </c>
      <c r="E324" s="1" t="s">
        <v>503</v>
      </c>
      <c r="F324" s="1" t="s">
        <v>1115</v>
      </c>
      <c r="G324" s="2">
        <v>43909</v>
      </c>
      <c r="H324" s="1"/>
      <c r="I324" s="1"/>
      <c r="J324" s="1"/>
      <c r="K324" s="1"/>
      <c r="L324" s="1" t="s">
        <v>1071</v>
      </c>
      <c r="M324" s="5" t="s">
        <v>1128</v>
      </c>
    </row>
    <row r="325" spans="1:13" ht="13.8" customHeight="1" x14ac:dyDescent="0.3">
      <c r="A325" s="6">
        <v>324</v>
      </c>
      <c r="B325" s="6" t="s">
        <v>77</v>
      </c>
      <c r="C325" s="1" t="s">
        <v>93</v>
      </c>
      <c r="D325" s="1">
        <v>45</v>
      </c>
      <c r="E325" s="1" t="s">
        <v>1094</v>
      </c>
      <c r="F325" s="1" t="s">
        <v>1101</v>
      </c>
      <c r="G325" s="2">
        <v>43909</v>
      </c>
      <c r="H325" s="1"/>
      <c r="I325" s="1"/>
      <c r="J325" s="1"/>
      <c r="K325" s="1"/>
      <c r="L325" s="1" t="s">
        <v>1071</v>
      </c>
      <c r="M325" s="5" t="s">
        <v>1128</v>
      </c>
    </row>
    <row r="326" spans="1:13" ht="13.8" customHeight="1" x14ac:dyDescent="0.3">
      <c r="A326" s="6">
        <v>325</v>
      </c>
      <c r="B326" s="6" t="s">
        <v>77</v>
      </c>
      <c r="C326" s="1" t="s">
        <v>93</v>
      </c>
      <c r="D326" s="1">
        <v>38</v>
      </c>
      <c r="E326" s="1" t="s">
        <v>608</v>
      </c>
      <c r="F326" s="1" t="s">
        <v>1102</v>
      </c>
      <c r="G326" s="2">
        <v>43909</v>
      </c>
      <c r="H326" s="1"/>
      <c r="I326" s="1"/>
      <c r="J326" s="1"/>
      <c r="K326" s="1"/>
      <c r="L326" s="1" t="s">
        <v>1071</v>
      </c>
      <c r="M326" s="5" t="s">
        <v>1128</v>
      </c>
    </row>
    <row r="327" spans="1:13" ht="13.8" customHeight="1" x14ac:dyDescent="0.3">
      <c r="A327" s="6">
        <v>326</v>
      </c>
      <c r="B327" s="6" t="s">
        <v>77</v>
      </c>
      <c r="C327" s="1" t="s">
        <v>93</v>
      </c>
      <c r="D327" s="1">
        <v>33</v>
      </c>
      <c r="E327" s="1" t="s">
        <v>503</v>
      </c>
      <c r="F327" s="1" t="s">
        <v>1116</v>
      </c>
      <c r="G327" s="2">
        <v>43909</v>
      </c>
      <c r="H327" s="1"/>
      <c r="I327" s="1"/>
      <c r="J327" s="1"/>
      <c r="K327" s="1"/>
      <c r="L327" s="1" t="s">
        <v>1071</v>
      </c>
      <c r="M327" s="5" t="s">
        <v>1128</v>
      </c>
    </row>
    <row r="328" spans="1:13" ht="13.8" customHeight="1" x14ac:dyDescent="0.3">
      <c r="A328" s="6">
        <v>327</v>
      </c>
      <c r="B328" s="6" t="s">
        <v>77</v>
      </c>
      <c r="C328" s="1" t="s">
        <v>94</v>
      </c>
      <c r="D328" s="1">
        <v>38</v>
      </c>
      <c r="E328" s="1" t="s">
        <v>503</v>
      </c>
      <c r="F328" s="1" t="s">
        <v>1117</v>
      </c>
      <c r="G328" s="2">
        <v>43909</v>
      </c>
      <c r="H328" s="1"/>
      <c r="I328" s="1"/>
      <c r="J328" s="1"/>
      <c r="K328" s="1"/>
      <c r="L328" s="1" t="s">
        <v>1071</v>
      </c>
      <c r="M328" s="5" t="s">
        <v>1128</v>
      </c>
    </row>
    <row r="329" spans="1:13" ht="13.8" customHeight="1" x14ac:dyDescent="0.3">
      <c r="A329" s="6">
        <v>328</v>
      </c>
      <c r="B329" s="6" t="s">
        <v>77</v>
      </c>
      <c r="C329" s="1" t="s">
        <v>94</v>
      </c>
      <c r="D329" s="1">
        <v>63</v>
      </c>
      <c r="E329" s="1" t="s">
        <v>503</v>
      </c>
      <c r="F329" s="1" t="s">
        <v>1103</v>
      </c>
      <c r="G329" s="2">
        <v>43909</v>
      </c>
      <c r="H329" s="1"/>
      <c r="I329" s="1"/>
      <c r="J329" s="1"/>
      <c r="K329" s="1"/>
      <c r="L329" s="1" t="s">
        <v>1071</v>
      </c>
      <c r="M329" s="5" t="s">
        <v>1128</v>
      </c>
    </row>
    <row r="330" spans="1:13" ht="13.8" customHeight="1" x14ac:dyDescent="0.3">
      <c r="A330" s="6">
        <v>329</v>
      </c>
      <c r="B330" s="6" t="s">
        <v>77</v>
      </c>
      <c r="C330" s="1" t="s">
        <v>93</v>
      </c>
      <c r="D330" s="1">
        <v>64</v>
      </c>
      <c r="E330" s="1" t="s">
        <v>503</v>
      </c>
      <c r="F330" s="1" t="s">
        <v>1118</v>
      </c>
      <c r="G330" s="2">
        <v>43909</v>
      </c>
      <c r="H330" s="1"/>
      <c r="I330" s="1"/>
      <c r="J330" s="1"/>
      <c r="K330" s="1"/>
      <c r="L330" s="1" t="s">
        <v>1071</v>
      </c>
      <c r="M330" s="5" t="s">
        <v>1128</v>
      </c>
    </row>
    <row r="331" spans="1:13" ht="13.8" customHeight="1" x14ac:dyDescent="0.3">
      <c r="A331" s="6">
        <v>330</v>
      </c>
      <c r="B331" s="6" t="s">
        <v>78</v>
      </c>
      <c r="C331" s="1" t="s">
        <v>93</v>
      </c>
      <c r="D331" s="1">
        <v>67</v>
      </c>
      <c r="E331" s="1" t="s">
        <v>503</v>
      </c>
      <c r="F331" s="1" t="s">
        <v>1119</v>
      </c>
      <c r="G331" s="2">
        <v>43909</v>
      </c>
      <c r="H331" s="1"/>
      <c r="I331" s="1"/>
      <c r="J331" s="1"/>
      <c r="K331" s="1"/>
      <c r="L331" s="1" t="s">
        <v>1071</v>
      </c>
      <c r="M331" s="5" t="s">
        <v>1128</v>
      </c>
    </row>
    <row r="332" spans="1:13" ht="13.8" customHeight="1" x14ac:dyDescent="0.3">
      <c r="A332" s="6">
        <v>331</v>
      </c>
      <c r="B332" s="6" t="s">
        <v>77</v>
      </c>
      <c r="C332" s="1" t="s">
        <v>94</v>
      </c>
      <c r="D332" s="1">
        <v>49</v>
      </c>
      <c r="E332" s="1" t="s">
        <v>503</v>
      </c>
      <c r="F332" s="1" t="s">
        <v>1104</v>
      </c>
      <c r="G332" s="2">
        <v>43909</v>
      </c>
      <c r="H332" s="1"/>
      <c r="I332" s="1"/>
      <c r="J332" s="1"/>
      <c r="K332" s="1"/>
      <c r="L332" s="1" t="s">
        <v>1071</v>
      </c>
      <c r="M332" s="5" t="s">
        <v>1128</v>
      </c>
    </row>
    <row r="333" spans="1:13" ht="13.8" customHeight="1" x14ac:dyDescent="0.3">
      <c r="A333" s="6">
        <v>332</v>
      </c>
      <c r="B333" s="6" t="s">
        <v>77</v>
      </c>
      <c r="C333" s="1" t="s">
        <v>94</v>
      </c>
      <c r="D333" s="1">
        <v>36</v>
      </c>
      <c r="E333" s="1" t="s">
        <v>777</v>
      </c>
      <c r="F333" s="1" t="s">
        <v>1105</v>
      </c>
      <c r="G333" s="2">
        <v>43909</v>
      </c>
      <c r="H333" s="1"/>
      <c r="I333" s="1"/>
      <c r="J333" s="1"/>
      <c r="K333" s="1"/>
      <c r="L333" s="1" t="s">
        <v>1071</v>
      </c>
      <c r="M333" s="5" t="s">
        <v>1128</v>
      </c>
    </row>
    <row r="334" spans="1:13" ht="13.8" customHeight="1" x14ac:dyDescent="0.3">
      <c r="A334" s="6">
        <v>333</v>
      </c>
      <c r="B334" s="6" t="s">
        <v>77</v>
      </c>
      <c r="C334" s="1" t="s">
        <v>93</v>
      </c>
      <c r="D334" s="1">
        <v>48</v>
      </c>
      <c r="E334" s="1" t="s">
        <v>1095</v>
      </c>
      <c r="F334" s="1" t="s">
        <v>1106</v>
      </c>
      <c r="G334" s="2">
        <v>43909</v>
      </c>
      <c r="H334" s="1"/>
      <c r="I334" s="1"/>
      <c r="J334" s="1"/>
      <c r="K334" s="1"/>
      <c r="L334" s="1" t="s">
        <v>1071</v>
      </c>
      <c r="M334" s="5" t="s">
        <v>1128</v>
      </c>
    </row>
    <row r="335" spans="1:13" ht="13.8" customHeight="1" x14ac:dyDescent="0.3">
      <c r="A335" s="6">
        <v>334</v>
      </c>
      <c r="B335" s="6" t="s">
        <v>77</v>
      </c>
      <c r="C335" s="1" t="s">
        <v>94</v>
      </c>
      <c r="D335" s="1">
        <v>32</v>
      </c>
      <c r="E335" s="1" t="s">
        <v>503</v>
      </c>
      <c r="F335" s="1" t="s">
        <v>1120</v>
      </c>
      <c r="G335" s="2">
        <v>43909</v>
      </c>
      <c r="H335" s="1"/>
      <c r="I335" s="1"/>
      <c r="J335" s="1"/>
      <c r="K335" s="1"/>
      <c r="L335" s="1" t="s">
        <v>1071</v>
      </c>
      <c r="M335" s="5" t="s">
        <v>1128</v>
      </c>
    </row>
    <row r="336" spans="1:13" ht="13.8" customHeight="1" x14ac:dyDescent="0.3">
      <c r="A336" s="6">
        <v>335</v>
      </c>
      <c r="B336" s="6" t="s">
        <v>78</v>
      </c>
      <c r="C336" s="1" t="s">
        <v>93</v>
      </c>
      <c r="D336" s="1">
        <v>57</v>
      </c>
      <c r="E336" s="1" t="s">
        <v>503</v>
      </c>
      <c r="F336" s="1" t="s">
        <v>1121</v>
      </c>
      <c r="G336" s="2">
        <v>43909</v>
      </c>
      <c r="H336" s="1"/>
      <c r="I336" s="1"/>
      <c r="J336" s="1"/>
      <c r="K336" s="1"/>
      <c r="L336" s="1" t="s">
        <v>1071</v>
      </c>
      <c r="M336" s="5" t="s">
        <v>1128</v>
      </c>
    </row>
    <row r="337" spans="1:13" ht="13.8" customHeight="1" x14ac:dyDescent="0.3">
      <c r="A337" s="6">
        <v>336</v>
      </c>
      <c r="B337" s="6" t="s">
        <v>78</v>
      </c>
      <c r="C337" s="1" t="s">
        <v>93</v>
      </c>
      <c r="D337" s="1">
        <v>60</v>
      </c>
      <c r="E337" s="1" t="s">
        <v>503</v>
      </c>
      <c r="F337" s="1" t="s">
        <v>1122</v>
      </c>
      <c r="G337" s="2">
        <v>43909</v>
      </c>
      <c r="H337" s="1"/>
      <c r="I337" s="1"/>
      <c r="J337" s="1"/>
      <c r="K337" s="1"/>
      <c r="L337" s="1" t="s">
        <v>1058</v>
      </c>
      <c r="M337" s="5" t="s">
        <v>1128</v>
      </c>
    </row>
    <row r="338" spans="1:13" ht="13.8" customHeight="1" x14ac:dyDescent="0.3">
      <c r="A338" s="6">
        <v>337</v>
      </c>
      <c r="B338" s="6" t="s">
        <v>77</v>
      </c>
      <c r="C338" s="1" t="s">
        <v>93</v>
      </c>
      <c r="D338" s="1">
        <v>31</v>
      </c>
      <c r="E338" s="1" t="s">
        <v>680</v>
      </c>
      <c r="F338" s="1" t="s">
        <v>1107</v>
      </c>
      <c r="G338" s="2">
        <v>43909</v>
      </c>
      <c r="H338" s="1"/>
      <c r="I338" s="1"/>
      <c r="J338" s="1"/>
      <c r="K338" s="1"/>
      <c r="L338" s="1" t="s">
        <v>343</v>
      </c>
      <c r="M338" s="5" t="s">
        <v>1128</v>
      </c>
    </row>
    <row r="339" spans="1:13" ht="13.8" customHeight="1" x14ac:dyDescent="0.3">
      <c r="A339" s="6">
        <v>338</v>
      </c>
      <c r="B339" s="6" t="s">
        <v>78</v>
      </c>
      <c r="C339" s="1" t="s">
        <v>93</v>
      </c>
      <c r="D339" s="1">
        <v>57</v>
      </c>
      <c r="E339" s="1" t="s">
        <v>503</v>
      </c>
      <c r="F339" s="1" t="s">
        <v>1123</v>
      </c>
      <c r="G339" s="2">
        <v>43909</v>
      </c>
      <c r="H339" s="1"/>
      <c r="I339" s="1"/>
      <c r="J339" s="1"/>
      <c r="K339" s="1"/>
      <c r="L339" s="1" t="s">
        <v>1071</v>
      </c>
      <c r="M339" s="5" t="s">
        <v>1128</v>
      </c>
    </row>
    <row r="340" spans="1:13" ht="13.8" customHeight="1" x14ac:dyDescent="0.3">
      <c r="A340" s="6">
        <v>339</v>
      </c>
      <c r="B340" s="6" t="s">
        <v>77</v>
      </c>
      <c r="C340" s="1" t="s">
        <v>93</v>
      </c>
      <c r="D340" s="1">
        <v>66</v>
      </c>
      <c r="E340" s="1" t="s">
        <v>503</v>
      </c>
      <c r="F340" s="1" t="s">
        <v>1124</v>
      </c>
      <c r="G340" s="2">
        <v>43909</v>
      </c>
      <c r="H340" s="1"/>
      <c r="I340" s="1"/>
      <c r="J340" s="1"/>
      <c r="K340" s="1"/>
      <c r="L340" s="1" t="s">
        <v>1071</v>
      </c>
      <c r="M340" s="5" t="s">
        <v>1128</v>
      </c>
    </row>
    <row r="341" spans="1:13" ht="13.8" customHeight="1" x14ac:dyDescent="0.3">
      <c r="A341" s="6">
        <v>340</v>
      </c>
      <c r="B341" s="6" t="s">
        <v>77</v>
      </c>
      <c r="C341" s="1" t="s">
        <v>93</v>
      </c>
      <c r="D341" s="1">
        <v>27</v>
      </c>
      <c r="E341" s="1" t="s">
        <v>503</v>
      </c>
      <c r="F341" s="1" t="s">
        <v>1125</v>
      </c>
      <c r="G341" s="2">
        <v>43909</v>
      </c>
      <c r="H341" s="1"/>
      <c r="I341" s="1"/>
      <c r="J341" s="1"/>
      <c r="K341" s="1"/>
      <c r="L341" s="1" t="s">
        <v>1071</v>
      </c>
      <c r="M341" s="5" t="s">
        <v>1128</v>
      </c>
    </row>
    <row r="342" spans="1:13" ht="13.8" customHeight="1" x14ac:dyDescent="0.3">
      <c r="A342" s="6">
        <v>341</v>
      </c>
      <c r="B342" s="6" t="s">
        <v>77</v>
      </c>
      <c r="C342" s="1" t="s">
        <v>93</v>
      </c>
      <c r="D342" s="1">
        <v>31</v>
      </c>
      <c r="E342" s="1" t="s">
        <v>779</v>
      </c>
      <c r="F342" s="1" t="s">
        <v>1108</v>
      </c>
      <c r="G342" s="2">
        <v>43909</v>
      </c>
      <c r="H342" s="1"/>
      <c r="I342" s="1"/>
      <c r="J342" s="1"/>
      <c r="K342" s="1"/>
      <c r="L342" s="1" t="s">
        <v>1071</v>
      </c>
      <c r="M342" s="5" t="s">
        <v>1128</v>
      </c>
    </row>
    <row r="343" spans="1:13" ht="13.8" customHeight="1" x14ac:dyDescent="0.3">
      <c r="A343" s="6">
        <v>342</v>
      </c>
      <c r="B343" s="6" t="s">
        <v>77</v>
      </c>
      <c r="C343" s="1" t="s">
        <v>93</v>
      </c>
      <c r="D343" s="1">
        <v>31</v>
      </c>
      <c r="E343" s="1" t="s">
        <v>503</v>
      </c>
      <c r="F343" s="1" t="s">
        <v>1126</v>
      </c>
      <c r="G343" s="2">
        <v>43909</v>
      </c>
      <c r="H343" s="1"/>
      <c r="I343" s="1"/>
      <c r="J343" s="1"/>
      <c r="K343" s="1"/>
      <c r="L343" s="1" t="s">
        <v>1071</v>
      </c>
      <c r="M343" s="5" t="s">
        <v>1128</v>
      </c>
    </row>
    <row r="344" spans="1:13" ht="13.8" customHeight="1" x14ac:dyDescent="0.3">
      <c r="A344" s="6">
        <v>343</v>
      </c>
      <c r="B344" s="6" t="s">
        <v>77</v>
      </c>
      <c r="C344" s="1" t="s">
        <v>94</v>
      </c>
      <c r="D344" s="1">
        <v>20</v>
      </c>
      <c r="E344" s="1" t="s">
        <v>503</v>
      </c>
      <c r="F344" s="1" t="s">
        <v>1109</v>
      </c>
      <c r="G344" s="2">
        <v>43909</v>
      </c>
      <c r="H344" s="1"/>
      <c r="I344" s="1"/>
      <c r="J344" s="1"/>
      <c r="K344" s="1"/>
      <c r="L344" s="1" t="s">
        <v>1071</v>
      </c>
      <c r="M344" s="5" t="s">
        <v>1128</v>
      </c>
    </row>
    <row r="345" spans="1:13" ht="13.8" customHeight="1" x14ac:dyDescent="0.3">
      <c r="A345" s="6">
        <v>344</v>
      </c>
      <c r="B345" s="6" t="s">
        <v>77</v>
      </c>
      <c r="C345" s="1" t="s">
        <v>94</v>
      </c>
      <c r="D345" s="1">
        <v>21</v>
      </c>
      <c r="E345" s="1" t="s">
        <v>503</v>
      </c>
      <c r="F345" s="1" t="s">
        <v>1127</v>
      </c>
      <c r="G345" s="2">
        <v>43909</v>
      </c>
      <c r="H345" s="1"/>
      <c r="I345" s="1"/>
      <c r="J345" s="1"/>
      <c r="K345" s="1"/>
      <c r="L345" s="1" t="s">
        <v>1071</v>
      </c>
      <c r="M345" s="5" t="s">
        <v>1128</v>
      </c>
    </row>
    <row r="346" spans="1:13" ht="13.8" customHeight="1" x14ac:dyDescent="0.3">
      <c r="A346" s="6">
        <v>345</v>
      </c>
      <c r="B346" s="6" t="s">
        <v>78</v>
      </c>
      <c r="C346" s="1" t="s">
        <v>93</v>
      </c>
      <c r="D346" s="1">
        <v>30</v>
      </c>
      <c r="E346" s="1" t="s">
        <v>1093</v>
      </c>
      <c r="F346" s="1" t="s">
        <v>1110</v>
      </c>
      <c r="G346" s="2">
        <v>43909</v>
      </c>
      <c r="H346" s="1"/>
      <c r="I346" s="1"/>
      <c r="J346" s="1"/>
      <c r="K346" s="1"/>
      <c r="L346" s="1" t="s">
        <v>1071</v>
      </c>
      <c r="M346" s="5" t="s">
        <v>1128</v>
      </c>
    </row>
    <row r="347" spans="1:13" ht="13.8" customHeight="1" x14ac:dyDescent="0.3">
      <c r="A347" s="1">
        <f>Annex!A81</f>
        <v>346</v>
      </c>
      <c r="B347" s="1" t="str">
        <f>IF(LEFT(Annex!H81,5)="Local","Local Transmission",Annex!H81)</f>
        <v>Imported</v>
      </c>
      <c r="C347" s="1" t="str">
        <f>Annex!J81</f>
        <v>Male</v>
      </c>
      <c r="D347" s="1">
        <f>Annex!D81</f>
        <v>59</v>
      </c>
      <c r="E347" s="1" t="str">
        <f>Annex!K81</f>
        <v>Singaporean</v>
      </c>
      <c r="F347" s="1" t="str">
        <f>Annex!L81</f>
        <v xml:space="preserve">Case 346 is a Imported case, 59 years old male Singapore Citizen  and has been to India . He is currently admitted at KTPH . </v>
      </c>
      <c r="G347" s="2">
        <v>43910</v>
      </c>
      <c r="H347" s="1"/>
      <c r="I347" s="1"/>
      <c r="J347" s="1"/>
      <c r="K347" s="1"/>
      <c r="L347" s="1" t="str">
        <f>Annex!C81</f>
        <v xml:space="preserve">KTPH </v>
      </c>
      <c r="M347" s="5" t="s">
        <v>1130</v>
      </c>
    </row>
    <row r="348" spans="1:13" ht="13.8" customHeight="1" x14ac:dyDescent="0.3">
      <c r="A348" s="1">
        <f>Annex!A82</f>
        <v>347</v>
      </c>
      <c r="B348" s="1" t="str">
        <f>IF(LEFT(Annex!H82,5)="Local","Local Transmission",Annex!H82)</f>
        <v>Imported</v>
      </c>
      <c r="C348" s="1" t="str">
        <f>Annex!J82</f>
        <v>Male</v>
      </c>
      <c r="D348" s="1">
        <f>Annex!D82</f>
        <v>27</v>
      </c>
      <c r="E348" s="1" t="str">
        <f>Annex!K82</f>
        <v>Singaporean</v>
      </c>
      <c r="F348" s="1" t="str">
        <f>Annex!L82</f>
        <v xml:space="preserve">Case 347 is a Imported case, 27 years old male Singapore Citizen  and has been to UK . He is currently admitted at KTPH . </v>
      </c>
      <c r="G348" s="2">
        <v>43910</v>
      </c>
      <c r="H348" s="1"/>
      <c r="I348" s="1"/>
      <c r="J348" s="1"/>
      <c r="K348" s="1"/>
      <c r="L348" s="1" t="str">
        <f>Annex!C82</f>
        <v xml:space="preserve">KTPH </v>
      </c>
      <c r="M348" s="5" t="s">
        <v>1130</v>
      </c>
    </row>
    <row r="349" spans="1:13" ht="13.8" customHeight="1" x14ac:dyDescent="0.3">
      <c r="A349" s="1">
        <f>Annex!A83</f>
        <v>348</v>
      </c>
      <c r="B349" s="1" t="str">
        <f>IF(LEFT(Annex!H83,5)="Local","Local Transmission",Annex!H83)</f>
        <v>Local Transmission</v>
      </c>
      <c r="C349" s="1" t="str">
        <f>Annex!J83</f>
        <v>Female</v>
      </c>
      <c r="D349" s="1">
        <f>Annex!D83</f>
        <v>51</v>
      </c>
      <c r="E349" s="1" t="str">
        <f>Annex!K83</f>
        <v>Singaporean</v>
      </c>
      <c r="F349" s="1" t="str">
        <f>Annex!L83</f>
        <v>Case 348 is a Local linked  case, 51 years old female Singapore Citizen  and has not been overseas. She is currently admitted at NUH . Family member of Case 227</v>
      </c>
      <c r="G349" s="2">
        <v>43910</v>
      </c>
      <c r="H349" s="1"/>
      <c r="I349" s="1"/>
      <c r="J349" s="1"/>
      <c r="K349" s="1"/>
      <c r="L349" s="1" t="str">
        <f>Annex!C83</f>
        <v xml:space="preserve">NUH </v>
      </c>
      <c r="M349" s="5" t="s">
        <v>1130</v>
      </c>
    </row>
    <row r="350" spans="1:13" ht="13.8" customHeight="1" x14ac:dyDescent="0.3">
      <c r="A350" s="1">
        <f>Annex!A84</f>
        <v>349</v>
      </c>
      <c r="B350" s="1" t="str">
        <f>IF(LEFT(Annex!H84,5)="Local","Local Transmission",Annex!H84)</f>
        <v>Imported</v>
      </c>
      <c r="C350" s="1" t="str">
        <f>Annex!J84</f>
        <v>Male</v>
      </c>
      <c r="D350" s="1">
        <f>Annex!D84</f>
        <v>21</v>
      </c>
      <c r="E350" s="1" t="str">
        <f>Annex!K84</f>
        <v>Singaporean</v>
      </c>
      <c r="F350" s="1" t="str">
        <f>Annex!L84</f>
        <v xml:space="preserve">Case 349 is a Imported case, 21 years old male Singapore Citizen  and has been to UK . He is currently admitted at CGH. </v>
      </c>
      <c r="G350" s="2">
        <v>43910</v>
      </c>
      <c r="H350" s="1"/>
      <c r="I350" s="1"/>
      <c r="J350" s="1"/>
      <c r="K350" s="1"/>
      <c r="L350" s="1" t="str">
        <f>Annex!C84</f>
        <v>CGH</v>
      </c>
      <c r="M350" s="5" t="s">
        <v>1130</v>
      </c>
    </row>
    <row r="351" spans="1:13" ht="13.8" customHeight="1" x14ac:dyDescent="0.3">
      <c r="A351" s="1">
        <f>Annex!A85</f>
        <v>350</v>
      </c>
      <c r="B351" s="1" t="str">
        <f>IF(LEFT(Annex!H85,5)="Local","Local Transmission",Annex!H85)</f>
        <v>Local Transmission</v>
      </c>
      <c r="C351" s="1" t="str">
        <f>Annex!J85</f>
        <v>Male</v>
      </c>
      <c r="D351" s="1">
        <f>Annex!D85</f>
        <v>61</v>
      </c>
      <c r="E351" s="1" t="str">
        <f>Annex!K85</f>
        <v>Singaporean</v>
      </c>
      <c r="F351" s="1" t="str">
        <f>Annex!L85</f>
        <v xml:space="preserve">Case 350 is a Local unlinked case, 61 years old male Singapore Citizen  and has not been overseas. He is currently admitted at CGH . </v>
      </c>
      <c r="G351" s="2">
        <v>43910</v>
      </c>
      <c r="H351" s="1"/>
      <c r="I351" s="1"/>
      <c r="J351" s="1"/>
      <c r="K351" s="1"/>
      <c r="L351" s="1" t="str">
        <f>Annex!C85</f>
        <v xml:space="preserve">CGH </v>
      </c>
      <c r="M351" s="5" t="s">
        <v>1130</v>
      </c>
    </row>
    <row r="352" spans="1:13" ht="13.8" customHeight="1" x14ac:dyDescent="0.3">
      <c r="A352" s="1">
        <f>Annex!A86</f>
        <v>351</v>
      </c>
      <c r="B352" s="1" t="str">
        <f>IF(LEFT(Annex!H86,5)="Local","Local Transmission",Annex!H86)</f>
        <v>Imported</v>
      </c>
      <c r="C352" s="1" t="str">
        <f>Annex!J86</f>
        <v>Male</v>
      </c>
      <c r="D352" s="1">
        <f>Annex!D86</f>
        <v>51</v>
      </c>
      <c r="E352" s="1" t="str">
        <f>Annex!K86</f>
        <v>Singaporean</v>
      </c>
      <c r="F352" s="1" t="str">
        <f>Annex!L86</f>
        <v xml:space="preserve">Case 351 is a Imported case, 51 years old male Singapore Citizen  and has been to Indonesia . He is currently admitted at SKH. </v>
      </c>
      <c r="G352" s="2">
        <v>43910</v>
      </c>
      <c r="H352" s="1"/>
      <c r="I352" s="1"/>
      <c r="J352" s="1"/>
      <c r="K352" s="1"/>
      <c r="L352" s="1" t="str">
        <f>Annex!C86</f>
        <v>SKH</v>
      </c>
      <c r="M352" s="5" t="s">
        <v>1130</v>
      </c>
    </row>
    <row r="353" spans="1:13" ht="13.8" customHeight="1" x14ac:dyDescent="0.3">
      <c r="A353" s="1">
        <f>Annex!A87</f>
        <v>352</v>
      </c>
      <c r="B353" s="1" t="str">
        <f>IF(LEFT(Annex!H87,5)="Local","Local Transmission",Annex!H87)</f>
        <v>Imported</v>
      </c>
      <c r="C353" s="1" t="str">
        <f>Annex!J87</f>
        <v>Male</v>
      </c>
      <c r="D353" s="1">
        <f>Annex!D87</f>
        <v>43</v>
      </c>
      <c r="E353" s="1" t="str">
        <f>Annex!K87</f>
        <v>Singaporean</v>
      </c>
      <c r="F353" s="1" t="str">
        <f>Annex!L87</f>
        <v xml:space="preserve">Case 352 is a Imported case, 43 years old male Singapore Citizen  and has been to Moscow, Russia, Copenhagen, Denmark. He is currently admitted at SGH. </v>
      </c>
      <c r="G353" s="2">
        <v>43910</v>
      </c>
      <c r="H353" s="1"/>
      <c r="I353" s="1"/>
      <c r="J353" s="1"/>
      <c r="K353" s="1"/>
      <c r="L353" s="1" t="str">
        <f>Annex!C87</f>
        <v>SGH</v>
      </c>
      <c r="M353" s="5" t="s">
        <v>1130</v>
      </c>
    </row>
    <row r="354" spans="1:13" ht="13.8" customHeight="1" x14ac:dyDescent="0.3">
      <c r="A354" s="1">
        <f>Annex!A88</f>
        <v>353</v>
      </c>
      <c r="B354" s="1" t="str">
        <f>IF(LEFT(Annex!H88,5)="Local","Local Transmission",Annex!H88)</f>
        <v>Local Transmission</v>
      </c>
      <c r="C354" s="1" t="str">
        <f>Annex!J88</f>
        <v>Male</v>
      </c>
      <c r="D354" s="1">
        <f>Annex!D88</f>
        <v>23</v>
      </c>
      <c r="E354" s="1" t="str">
        <f>Annex!K88</f>
        <v>Singaporean</v>
      </c>
      <c r="F354" s="1" t="str">
        <f>Annex!L88</f>
        <v>Case 353 is a Local linked  case, 23 years old male Singapore Citizen  and has not been overseas. He is currently admitted at NCID. Contact of Case 177</v>
      </c>
      <c r="G354" s="2">
        <v>43910</v>
      </c>
      <c r="H354" s="1"/>
      <c r="I354" s="1"/>
      <c r="J354" s="1"/>
      <c r="K354" s="1"/>
      <c r="L354" s="1" t="str">
        <f>Annex!C88</f>
        <v>NCID</v>
      </c>
      <c r="M354" s="5" t="s">
        <v>1130</v>
      </c>
    </row>
    <row r="355" spans="1:13" ht="13.8" customHeight="1" x14ac:dyDescent="0.3">
      <c r="A355" s="1">
        <f>Annex!A89</f>
        <v>354</v>
      </c>
      <c r="B355" s="1" t="str">
        <f>IF(LEFT(Annex!H89,5)="Local","Local Transmission",Annex!H89)</f>
        <v xml:space="preserve">Imported </v>
      </c>
      <c r="C355" s="1" t="str">
        <f>Annex!J89</f>
        <v>Male</v>
      </c>
      <c r="D355" s="1">
        <f>Annex!D89</f>
        <v>59</v>
      </c>
      <c r="E355" s="1" t="str">
        <f>Annex!K89</f>
        <v>Singaporean</v>
      </c>
      <c r="F355" s="1" t="str">
        <f>Annex!L89</f>
        <v>Case 354 is a Imported  case, 59 years old male Singapore Citizen  and has been to UK . He is currently admitted at SGH . Contact of Case 265</v>
      </c>
      <c r="G355" s="2">
        <v>43910</v>
      </c>
      <c r="H355" s="1"/>
      <c r="I355" s="1"/>
      <c r="J355" s="1"/>
      <c r="K355" s="1"/>
      <c r="L355" s="1" t="str">
        <f>Annex!C89</f>
        <v xml:space="preserve">SGH </v>
      </c>
      <c r="M355" s="5" t="s">
        <v>1130</v>
      </c>
    </row>
    <row r="356" spans="1:13" ht="13.8" customHeight="1" x14ac:dyDescent="0.3">
      <c r="A356" s="1">
        <f>Annex!A90</f>
        <v>355</v>
      </c>
      <c r="B356" s="1" t="str">
        <f>IF(LEFT(Annex!H90,5)="Local","Local Transmission",Annex!H90)</f>
        <v>Imported</v>
      </c>
      <c r="C356" s="1" t="str">
        <f>Annex!J90</f>
        <v>Male</v>
      </c>
      <c r="D356" s="1">
        <f>Annex!D90</f>
        <v>38</v>
      </c>
      <c r="E356" s="1" t="str">
        <f>Annex!K90</f>
        <v>Australian</v>
      </c>
      <c r="F356" s="1" t="str">
        <f>Annex!L90</f>
        <v xml:space="preserve">Case 355 is a Imported case, 38 years old male Australian (Long Term Visit Pass holder) and has been to UK . He is currently admitted at NCID . </v>
      </c>
      <c r="G356" s="2">
        <v>43910</v>
      </c>
      <c r="H356" s="1"/>
      <c r="I356" s="1"/>
      <c r="J356" s="1"/>
      <c r="K356" s="1"/>
      <c r="L356" s="1" t="str">
        <f>Annex!C90</f>
        <v xml:space="preserve">NCID </v>
      </c>
      <c r="M356" s="5" t="s">
        <v>1130</v>
      </c>
    </row>
    <row r="357" spans="1:13" ht="13.8" customHeight="1" x14ac:dyDescent="0.3">
      <c r="A357" s="1">
        <f>Annex!A91</f>
        <v>356</v>
      </c>
      <c r="B357" s="1" t="str">
        <f>IF(LEFT(Annex!H91,5)="Local","Local Transmission",Annex!H91)</f>
        <v>Imported</v>
      </c>
      <c r="C357" s="1" t="str">
        <f>Annex!J91</f>
        <v>Male</v>
      </c>
      <c r="D357" s="1">
        <f>Annex!D91</f>
        <v>27</v>
      </c>
      <c r="E357" s="1" t="str">
        <f>Annex!K91</f>
        <v>Australian</v>
      </c>
      <c r="F357" s="1" t="str">
        <f>Annex!L91</f>
        <v xml:space="preserve">Case 356 is a Imported case, 27 years old male Australian (Singapore Work Pass holder) and has been to India . He is currently admitted at NCID . </v>
      </c>
      <c r="G357" s="2">
        <v>43910</v>
      </c>
      <c r="H357" s="1"/>
      <c r="I357" s="1"/>
      <c r="J357" s="1"/>
      <c r="K357" s="1"/>
      <c r="L357" s="1" t="str">
        <f>Annex!C91</f>
        <v xml:space="preserve">NCID </v>
      </c>
      <c r="M357" s="5" t="s">
        <v>1130</v>
      </c>
    </row>
    <row r="358" spans="1:13" ht="13.8" customHeight="1" x14ac:dyDescent="0.3">
      <c r="A358" s="1">
        <f>Annex!A92</f>
        <v>357</v>
      </c>
      <c r="B358" s="1" t="str">
        <f>IF(LEFT(Annex!H92,5)="Local","Local Transmission",Annex!H92)</f>
        <v>Imported</v>
      </c>
      <c r="C358" s="1" t="str">
        <f>Annex!J92</f>
        <v>Male</v>
      </c>
      <c r="D358" s="1">
        <f>Annex!D92</f>
        <v>41</v>
      </c>
      <c r="E358" s="1" t="str">
        <f>Annex!K92</f>
        <v xml:space="preserve">German </v>
      </c>
      <c r="F358" s="1" t="str">
        <f>Annex!L92</f>
        <v xml:space="preserve">Case 357 is a Imported case, 41 years old male German  and has been to Germany, US, France, Monaco. He is currently admitted at MEH. </v>
      </c>
      <c r="G358" s="2">
        <v>43910</v>
      </c>
      <c r="H358" s="1"/>
      <c r="I358" s="1"/>
      <c r="J358" s="1"/>
      <c r="K358" s="1"/>
      <c r="L358" s="1" t="str">
        <f>Annex!C92</f>
        <v>MEH</v>
      </c>
      <c r="M358" s="5" t="s">
        <v>1130</v>
      </c>
    </row>
    <row r="359" spans="1:13" ht="13.8" customHeight="1" x14ac:dyDescent="0.3">
      <c r="A359" s="1">
        <f>Annex!A93</f>
        <v>358</v>
      </c>
      <c r="B359" s="1" t="str">
        <f>IF(LEFT(Annex!H93,5)="Local","Local Transmission",Annex!H93)</f>
        <v>Local Transmission</v>
      </c>
      <c r="C359" s="1" t="str">
        <f>Annex!J93</f>
        <v>Female</v>
      </c>
      <c r="D359" s="1">
        <f>Annex!D93</f>
        <v>39</v>
      </c>
      <c r="E359" s="1" t="str">
        <f>Annex!K93</f>
        <v>Singaporean</v>
      </c>
      <c r="F359" s="1" t="str">
        <f>Annex!L93</f>
        <v xml:space="preserve">Case 358 is a Local unlinked case, 39 years old female Singapore Permanent Resident and has not been overseas. She is currently admitted at NCID . </v>
      </c>
      <c r="G359" s="2">
        <v>43910</v>
      </c>
      <c r="H359" s="1"/>
      <c r="I359" s="1"/>
      <c r="J359" s="1"/>
      <c r="K359" s="1"/>
      <c r="L359" s="1" t="str">
        <f>Annex!C93</f>
        <v xml:space="preserve">NCID </v>
      </c>
      <c r="M359" s="5" t="s">
        <v>1130</v>
      </c>
    </row>
    <row r="360" spans="1:13" ht="13.8" customHeight="1" x14ac:dyDescent="0.3">
      <c r="A360" s="1">
        <f>Annex!A94</f>
        <v>359</v>
      </c>
      <c r="B360" s="1" t="str">
        <f>IF(LEFT(Annex!H94,5)="Local","Local Transmission",Annex!H94)</f>
        <v>Local Transmission</v>
      </c>
      <c r="C360" s="1" t="str">
        <f>Annex!J94</f>
        <v>Female</v>
      </c>
      <c r="D360" s="1">
        <f>Annex!D94</f>
        <v>45</v>
      </c>
      <c r="E360" s="1" t="str">
        <f>Annex!K94</f>
        <v>Singaporean</v>
      </c>
      <c r="F360" s="1" t="str">
        <f>Annex!L94</f>
        <v>Case 359 is a Local linked  case, 45 years old female Singapore Citizen  and has not been overseas. She is currently admitted at NUH . Contact of Case 321</v>
      </c>
      <c r="G360" s="2">
        <v>43910</v>
      </c>
      <c r="H360" s="1"/>
      <c r="I360" s="1"/>
      <c r="J360" s="1"/>
      <c r="K360" s="1"/>
      <c r="L360" s="1" t="str">
        <f>Annex!C94</f>
        <v xml:space="preserve">NUH </v>
      </c>
      <c r="M360" s="5" t="s">
        <v>1130</v>
      </c>
    </row>
    <row r="361" spans="1:13" ht="13.8" customHeight="1" x14ac:dyDescent="0.3">
      <c r="A361" s="1">
        <f>Annex!A95</f>
        <v>360</v>
      </c>
      <c r="B361" s="1" t="str">
        <f>IF(LEFT(Annex!H95,5)="Local","Local Transmission",Annex!H95)</f>
        <v>Imported</v>
      </c>
      <c r="C361" s="1" t="str">
        <f>Annex!J95</f>
        <v>Male</v>
      </c>
      <c r="D361" s="1">
        <f>Annex!D95</f>
        <v>26</v>
      </c>
      <c r="E361" s="1" t="str">
        <f>Annex!K95</f>
        <v>Singaporean</v>
      </c>
      <c r="F361" s="1" t="str">
        <f>Annex!L95</f>
        <v xml:space="preserve">Case 360 is a Imported case, 26 years old male Singapore Citizen  and has been to UK . He is currently admitted at NCID . </v>
      </c>
      <c r="G361" s="2">
        <v>43910</v>
      </c>
      <c r="H361" s="1"/>
      <c r="I361" s="1"/>
      <c r="J361" s="1"/>
      <c r="K361" s="1"/>
      <c r="L361" s="1" t="str">
        <f>Annex!C95</f>
        <v xml:space="preserve">NCID </v>
      </c>
      <c r="M361" s="5" t="s">
        <v>1130</v>
      </c>
    </row>
    <row r="362" spans="1:13" ht="13.8" customHeight="1" x14ac:dyDescent="0.3">
      <c r="A362" s="1">
        <f>Annex!A96</f>
        <v>361</v>
      </c>
      <c r="B362" s="1" t="str">
        <f>IF(LEFT(Annex!H96,5)="Local","Local Transmission",Annex!H96)</f>
        <v>Local Transmission</v>
      </c>
      <c r="C362" s="1" t="str">
        <f>Annex!J96</f>
        <v>Male</v>
      </c>
      <c r="D362" s="1">
        <f>Annex!D96</f>
        <v>32</v>
      </c>
      <c r="E362" s="1" t="str">
        <f>Annex!K96</f>
        <v>Singaporean</v>
      </c>
      <c r="F362" s="1" t="str">
        <f>Annex!L96</f>
        <v>Case 361 is a Local linked  case, 32 years old male Singapore Citizen  and has been to Thailand . He is currently admitted at NCID . Contact of Case 318</v>
      </c>
      <c r="G362" s="2">
        <v>43910</v>
      </c>
      <c r="H362" s="1"/>
      <c r="I362" s="1"/>
      <c r="J362" s="1"/>
      <c r="K362" s="1"/>
      <c r="L362" s="1" t="str">
        <f>Annex!C96</f>
        <v xml:space="preserve">NCID </v>
      </c>
      <c r="M362" s="5" t="s">
        <v>1130</v>
      </c>
    </row>
    <row r="363" spans="1:13" ht="13.8" customHeight="1" x14ac:dyDescent="0.3">
      <c r="A363" s="1">
        <f>Annex!A97</f>
        <v>362</v>
      </c>
      <c r="B363" s="1" t="str">
        <f>IF(LEFT(Annex!H97,5)="Local","Local Transmission",Annex!H97)</f>
        <v>Imported</v>
      </c>
      <c r="C363" s="1" t="str">
        <f>Annex!J97</f>
        <v>Female</v>
      </c>
      <c r="D363" s="1">
        <f>Annex!D97</f>
        <v>45</v>
      </c>
      <c r="E363" s="1" t="str">
        <f>Annex!K97</f>
        <v>Germany</v>
      </c>
      <c r="F363" s="1" t="str">
        <f>Annex!L97</f>
        <v xml:space="preserve">Case 362 is a Imported case, 45 years old female Germany (Long Term Pass holder) and has been to Germany, Holland . She is currently admitted at NCID . </v>
      </c>
      <c r="G363" s="2">
        <v>43910</v>
      </c>
      <c r="H363" s="1"/>
      <c r="I363" s="1"/>
      <c r="J363" s="1"/>
      <c r="K363" s="1"/>
      <c r="L363" s="1" t="str">
        <f>Annex!C97</f>
        <v xml:space="preserve">NCID </v>
      </c>
      <c r="M363" s="5" t="s">
        <v>1130</v>
      </c>
    </row>
    <row r="364" spans="1:13" ht="13.8" customHeight="1" x14ac:dyDescent="0.3">
      <c r="A364" s="1">
        <f>Annex!A98</f>
        <v>363</v>
      </c>
      <c r="B364" s="1" t="str">
        <f>IF(LEFT(Annex!H98,5)="Local","Local Transmission",Annex!H98)</f>
        <v>Imported</v>
      </c>
      <c r="C364" s="1" t="str">
        <f>Annex!J98</f>
        <v>Male</v>
      </c>
      <c r="D364" s="1">
        <f>Annex!D98</f>
        <v>49</v>
      </c>
      <c r="E364" s="1" t="str">
        <f>Annex!K98</f>
        <v>Singaporean</v>
      </c>
      <c r="F364" s="1" t="str">
        <f>Annex!L98</f>
        <v xml:space="preserve">Case 363 is a Imported case, 49 years old male Singapore Citizen  and has been to UK . He is currently admitted at SKH . </v>
      </c>
      <c r="G364" s="2">
        <v>43910</v>
      </c>
      <c r="H364" s="1"/>
      <c r="I364" s="1"/>
      <c r="J364" s="1"/>
      <c r="K364" s="1"/>
      <c r="L364" s="1" t="str">
        <f>Annex!C98</f>
        <v xml:space="preserve">SKH </v>
      </c>
      <c r="M364" s="5" t="s">
        <v>1130</v>
      </c>
    </row>
    <row r="365" spans="1:13" ht="13.8" customHeight="1" x14ac:dyDescent="0.3">
      <c r="A365" s="1">
        <f>Annex!A99</f>
        <v>364</v>
      </c>
      <c r="B365" s="1" t="str">
        <f>IF(LEFT(Annex!H99,5)="Local","Local Transmission",Annex!H99)</f>
        <v>Local Transmission</v>
      </c>
      <c r="C365" s="1" t="str">
        <f>Annex!J99</f>
        <v>Male</v>
      </c>
      <c r="D365" s="1">
        <f>Annex!D99</f>
        <v>52</v>
      </c>
      <c r="E365" s="1" t="str">
        <f>Annex!K99</f>
        <v>Singaporean</v>
      </c>
      <c r="F365" s="1" t="str">
        <f>Annex!L99</f>
        <v>Case 364 is a Local linked  case, 52 years old male Singapore Citizen  and has not been overseas. He is currently admitted at NCID . Contact of Case 225</v>
      </c>
      <c r="G365" s="2">
        <v>43910</v>
      </c>
      <c r="H365" s="1"/>
      <c r="I365" s="1"/>
      <c r="J365" s="1"/>
      <c r="K365" s="1"/>
      <c r="L365" s="1" t="str">
        <f>Annex!C99</f>
        <v xml:space="preserve">NCID </v>
      </c>
      <c r="M365" s="5" t="s">
        <v>1130</v>
      </c>
    </row>
    <row r="366" spans="1:13" ht="13.8" customHeight="1" x14ac:dyDescent="0.3">
      <c r="A366" s="1">
        <f>Annex!A100</f>
        <v>365</v>
      </c>
      <c r="B366" s="1" t="str">
        <f>IF(LEFT(Annex!H100,5)="Local","Local Transmission",Annex!H100)</f>
        <v>Imported</v>
      </c>
      <c r="C366" s="1" t="str">
        <f>Annex!J100</f>
        <v>Male</v>
      </c>
      <c r="D366" s="1">
        <f>Annex!D100</f>
        <v>33</v>
      </c>
      <c r="E366" s="1" t="str">
        <f>Annex!K100</f>
        <v>Netherlands</v>
      </c>
      <c r="F366" s="1" t="str">
        <f>Annex!L100</f>
        <v xml:space="preserve">Case 365 is a Imported case, 33 years old male Netherlands (Singapore Work Pass holder) and has been to Austria, Netherlands, UK. He is currently admitted at NCID . </v>
      </c>
      <c r="G366" s="2">
        <v>43910</v>
      </c>
      <c r="H366" s="1"/>
      <c r="I366" s="1"/>
      <c r="J366" s="1"/>
      <c r="K366" s="1"/>
      <c r="L366" s="1" t="str">
        <f>Annex!C100</f>
        <v xml:space="preserve">NCID </v>
      </c>
      <c r="M366" s="5" t="s">
        <v>1130</v>
      </c>
    </row>
    <row r="367" spans="1:13" ht="13.8" customHeight="1" x14ac:dyDescent="0.3">
      <c r="A367" s="1">
        <f>Annex!A101</f>
        <v>366</v>
      </c>
      <c r="B367" s="1" t="str">
        <f>IF(LEFT(Annex!H101,5)="Local","Local Transmission",Annex!H101)</f>
        <v xml:space="preserve">Imported </v>
      </c>
      <c r="C367" s="1" t="str">
        <f>Annex!J101</f>
        <v>Female</v>
      </c>
      <c r="D367" s="1">
        <f>Annex!D101</f>
        <v>26</v>
      </c>
      <c r="E367" s="1" t="str">
        <f>Annex!K101</f>
        <v>Singaporean</v>
      </c>
      <c r="F367" s="1" t="str">
        <f>Annex!L101</f>
        <v>Case 366 is a Imported  case, 26 years old female Singapore Citizen  and has been to UK, Switzerland, Austria. She is currently admitted at NCID . Contact of Case 304</v>
      </c>
      <c r="G367" s="2">
        <v>43910</v>
      </c>
      <c r="H367" s="1"/>
      <c r="I367" s="1"/>
      <c r="J367" s="1"/>
      <c r="K367" s="1"/>
      <c r="L367" s="1" t="str">
        <f>Annex!C101</f>
        <v xml:space="preserve">NCID </v>
      </c>
      <c r="M367" s="5" t="s">
        <v>1130</v>
      </c>
    </row>
    <row r="368" spans="1:13" ht="13.8" customHeight="1" x14ac:dyDescent="0.3">
      <c r="A368" s="1">
        <f>Annex!A102</f>
        <v>367</v>
      </c>
      <c r="B368" s="1" t="str">
        <f>IF(LEFT(Annex!H102,5)="Local","Local Transmission",Annex!H102)</f>
        <v>Local Transmission</v>
      </c>
      <c r="C368" s="1" t="str">
        <f>Annex!J102</f>
        <v>Male</v>
      </c>
      <c r="D368" s="1">
        <f>Annex!D102</f>
        <v>25</v>
      </c>
      <c r="E368" s="1" t="str">
        <f>Annex!K102</f>
        <v>Singaporean</v>
      </c>
      <c r="F368" s="1" t="str">
        <f>Annex!L102</f>
        <v>Case 367 is a Local linked case, 25 years old male Singapore Citizen  and has been to Malaysia . He is currently admitted at NCID . Family member of Case 338</v>
      </c>
      <c r="G368" s="2">
        <v>43910</v>
      </c>
      <c r="H368" s="1"/>
      <c r="I368" s="1"/>
      <c r="J368" s="1"/>
      <c r="K368" s="1"/>
      <c r="L368" s="1" t="str">
        <f>Annex!C102</f>
        <v xml:space="preserve">NCID </v>
      </c>
      <c r="M368" s="5" t="s">
        <v>1130</v>
      </c>
    </row>
    <row r="369" spans="1:13" ht="13.8" customHeight="1" x14ac:dyDescent="0.3">
      <c r="A369" s="1">
        <f>Annex!A103</f>
        <v>368</v>
      </c>
      <c r="B369" s="1" t="str">
        <f>IF(LEFT(Annex!H103,5)="Local","Local Transmission",Annex!H103)</f>
        <v>Local Transmission</v>
      </c>
      <c r="C369" s="1" t="str">
        <f>Annex!J103</f>
        <v>Female</v>
      </c>
      <c r="D369" s="1">
        <f>Annex!D103</f>
        <v>19</v>
      </c>
      <c r="E369" s="1" t="str">
        <f>Annex!K103</f>
        <v>Indonesian</v>
      </c>
      <c r="F369" s="1" t="str">
        <f>Annex!L103</f>
        <v>Case 368 is a Local linked  case, 19 years old female Indonesian (Long Term Visit Pass holder) and has not been overseas. She is currently admitted at NCID . Contact of Cases 225 and 294</v>
      </c>
      <c r="G369" s="2">
        <v>43910</v>
      </c>
      <c r="H369" s="1"/>
      <c r="I369" s="1"/>
      <c r="J369" s="1"/>
      <c r="K369" s="1"/>
      <c r="L369" s="1" t="str">
        <f>Annex!C103</f>
        <v xml:space="preserve">NCID </v>
      </c>
      <c r="M369" s="5" t="s">
        <v>1130</v>
      </c>
    </row>
    <row r="370" spans="1:13" ht="13.8" customHeight="1" x14ac:dyDescent="0.3">
      <c r="A370" s="1">
        <f>Annex!A104</f>
        <v>369</v>
      </c>
      <c r="B370" s="1" t="str">
        <f>IF(LEFT(Annex!H104,5)="Local","Local Transmission",Annex!H104)</f>
        <v>Imported</v>
      </c>
      <c r="C370" s="1" t="str">
        <f>Annex!J104</f>
        <v>Male</v>
      </c>
      <c r="D370" s="1">
        <f>Annex!D104</f>
        <v>34</v>
      </c>
      <c r="E370" s="1" t="str">
        <f>Annex!K104</f>
        <v>Singaporean</v>
      </c>
      <c r="F370" s="1" t="str">
        <f>Annex!L104</f>
        <v xml:space="preserve">Case 369 is a Imported case, 34 years old male Singapore Citizen  and has been to Thailand . He is currently admitted at NCID . </v>
      </c>
      <c r="G370" s="2">
        <v>43910</v>
      </c>
      <c r="H370" s="1"/>
      <c r="I370" s="1"/>
      <c r="J370" s="1"/>
      <c r="K370" s="1"/>
      <c r="L370" s="1" t="str">
        <f>Annex!C104</f>
        <v xml:space="preserve">NCID </v>
      </c>
      <c r="M370" s="5" t="s">
        <v>1130</v>
      </c>
    </row>
    <row r="371" spans="1:13" ht="13.8" customHeight="1" x14ac:dyDescent="0.3">
      <c r="A371" s="1">
        <f>Annex!A105</f>
        <v>370</v>
      </c>
      <c r="B371" s="1" t="str">
        <f>IF(LEFT(Annex!H105,5)="Local","Local Transmission",Annex!H105)</f>
        <v>Imported</v>
      </c>
      <c r="C371" s="1" t="str">
        <f>Annex!J105</f>
        <v>Male</v>
      </c>
      <c r="D371" s="1">
        <f>Annex!D105</f>
        <v>73</v>
      </c>
      <c r="E371" s="1" t="str">
        <f>Annex!K105</f>
        <v>Malaysia</v>
      </c>
      <c r="F371" s="1" t="str">
        <f>Annex!L105</f>
        <v xml:space="preserve">Case 370 is a Imported case, 73 years old male Malaysia (Singapore Work Pass holder)  and has been to Indonesia . He is currently admitted at NCID . </v>
      </c>
      <c r="G371" s="2">
        <v>43910</v>
      </c>
      <c r="H371" s="1"/>
      <c r="I371" s="1"/>
      <c r="J371" s="1"/>
      <c r="K371" s="1"/>
      <c r="L371" s="1" t="str">
        <f>Annex!C105</f>
        <v xml:space="preserve">NCID </v>
      </c>
      <c r="M371" s="5" t="s">
        <v>1130</v>
      </c>
    </row>
    <row r="372" spans="1:13" ht="13.8" customHeight="1" x14ac:dyDescent="0.3">
      <c r="A372" s="1">
        <f>Annex!A106</f>
        <v>371</v>
      </c>
      <c r="B372" s="1" t="str">
        <f>IF(LEFT(Annex!H106,5)="Local","Local Transmission",Annex!H106)</f>
        <v>Imported</v>
      </c>
      <c r="C372" s="1" t="str">
        <f>Annex!J106</f>
        <v>Male</v>
      </c>
      <c r="D372" s="1">
        <f>Annex!D106</f>
        <v>22</v>
      </c>
      <c r="E372" s="1" t="str">
        <f>Annex!K106</f>
        <v>Singaporean</v>
      </c>
      <c r="F372" s="1" t="str">
        <f>Annex!L106</f>
        <v xml:space="preserve">Case 371 is a Imported case, 22 years old male Singapore Citizen  and has been to UK . He is currently admitted at NCID . </v>
      </c>
      <c r="G372" s="2">
        <v>43910</v>
      </c>
      <c r="H372" s="1"/>
      <c r="I372" s="1"/>
      <c r="J372" s="1"/>
      <c r="K372" s="1"/>
      <c r="L372" s="1" t="str">
        <f>Annex!C106</f>
        <v xml:space="preserve">NCID </v>
      </c>
      <c r="M372" s="5" t="s">
        <v>1130</v>
      </c>
    </row>
    <row r="373" spans="1:13" ht="13.8" customHeight="1" x14ac:dyDescent="0.3">
      <c r="A373" s="1">
        <f>Annex!A107</f>
        <v>372</v>
      </c>
      <c r="B373" s="1" t="str">
        <f>IF(LEFT(Annex!H107,5)="Local","Local Transmission",Annex!H107)</f>
        <v>Imported</v>
      </c>
      <c r="C373" s="1" t="str">
        <f>Annex!J107</f>
        <v>Female</v>
      </c>
      <c r="D373" s="1">
        <f>Annex!D107</f>
        <v>22</v>
      </c>
      <c r="E373" s="1" t="str">
        <f>Annex!K107</f>
        <v>Singaporean</v>
      </c>
      <c r="F373" s="1" t="str">
        <f>Annex!L107</f>
        <v xml:space="preserve">Case 372 is a Imported case, 22 years old female Singapore Citizen  and has been to UK . She is currently admitted at NCID . </v>
      </c>
      <c r="G373" s="2">
        <v>43910</v>
      </c>
      <c r="H373" s="1"/>
      <c r="I373" s="1"/>
      <c r="J373" s="1"/>
      <c r="K373" s="1"/>
      <c r="L373" s="1" t="str">
        <f>Annex!C107</f>
        <v xml:space="preserve">NCID </v>
      </c>
      <c r="M373" s="5" t="s">
        <v>1130</v>
      </c>
    </row>
    <row r="374" spans="1:13" ht="13.8" customHeight="1" x14ac:dyDescent="0.3">
      <c r="A374" s="1">
        <f>Annex!A108</f>
        <v>373</v>
      </c>
      <c r="B374" s="1" t="str">
        <f>IF(LEFT(Annex!H108,5)="Local","Local Transmission",Annex!H108)</f>
        <v>Imported</v>
      </c>
      <c r="C374" s="1" t="str">
        <f>Annex!J108</f>
        <v>Male</v>
      </c>
      <c r="D374" s="1">
        <f>Annex!D108</f>
        <v>51</v>
      </c>
      <c r="E374" s="1" t="str">
        <f>Annex!K108</f>
        <v>Singaporean</v>
      </c>
      <c r="F374" s="1" t="str">
        <f>Annex!L108</f>
        <v xml:space="preserve">Case 373 is a Imported case, 51 years old male Singapore Citizen  and has been to UK . He is currently admitted at NCID . </v>
      </c>
      <c r="G374" s="2">
        <v>43910</v>
      </c>
      <c r="H374" s="1"/>
      <c r="I374" s="1"/>
      <c r="J374" s="1"/>
      <c r="K374" s="1"/>
      <c r="L374" s="1" t="str">
        <f>Annex!C108</f>
        <v xml:space="preserve">NCID </v>
      </c>
      <c r="M374" s="5" t="s">
        <v>1130</v>
      </c>
    </row>
    <row r="375" spans="1:13" ht="13.8" customHeight="1" x14ac:dyDescent="0.3">
      <c r="A375" s="1">
        <f>Annex!A109</f>
        <v>374</v>
      </c>
      <c r="B375" s="1" t="str">
        <f>IF(LEFT(Annex!H109,5)="Local","Local Transmission",Annex!H109)</f>
        <v>Imported</v>
      </c>
      <c r="C375" s="1" t="str">
        <f>Annex!J109</f>
        <v>Female</v>
      </c>
      <c r="D375" s="1">
        <f>Annex!D109</f>
        <v>23</v>
      </c>
      <c r="E375" s="1" t="str">
        <f>Annex!K109</f>
        <v>Singaporean</v>
      </c>
      <c r="F375" s="1" t="str">
        <f>Annex!L109</f>
        <v xml:space="preserve">Case 374 is a Imported case, 23 years old female Singapore Citizen  and has been to UK . She is currently admitted at NCID . </v>
      </c>
      <c r="G375" s="2">
        <v>43910</v>
      </c>
      <c r="H375" s="1"/>
      <c r="I375" s="1"/>
      <c r="J375" s="1"/>
      <c r="K375" s="1"/>
      <c r="L375" s="1" t="str">
        <f>Annex!C109</f>
        <v xml:space="preserve">NCID </v>
      </c>
      <c r="M375" s="5" t="s">
        <v>1130</v>
      </c>
    </row>
    <row r="376" spans="1:13" ht="13.8" customHeight="1" x14ac:dyDescent="0.3">
      <c r="A376" s="1">
        <f>Annex!A110</f>
        <v>375</v>
      </c>
      <c r="B376" s="1" t="str">
        <f>IF(LEFT(Annex!H110,5)="Local","Local Transmission",Annex!H110)</f>
        <v>Imported</v>
      </c>
      <c r="C376" s="1" t="str">
        <f>Annex!J110</f>
        <v>Female</v>
      </c>
      <c r="D376" s="1">
        <f>Annex!D110</f>
        <v>25</v>
      </c>
      <c r="E376" s="1" t="str">
        <f>Annex!K110</f>
        <v>Singaporean</v>
      </c>
      <c r="F376" s="1" t="str">
        <f>Annex!L110</f>
        <v xml:space="preserve">Case 375 is a Imported case, 25 years old female Singapore Citizen  and has been to US . She is currently admitted at NCID . </v>
      </c>
      <c r="G376" s="2">
        <v>43910</v>
      </c>
      <c r="H376" s="1"/>
      <c r="I376" s="1"/>
      <c r="J376" s="1"/>
      <c r="K376" s="1"/>
      <c r="L376" s="1" t="str">
        <f>Annex!C110</f>
        <v xml:space="preserve">NCID </v>
      </c>
      <c r="M376" s="5" t="s">
        <v>1130</v>
      </c>
    </row>
    <row r="377" spans="1:13" ht="13.8" customHeight="1" x14ac:dyDescent="0.3">
      <c r="A377" s="1">
        <f>Annex!A111</f>
        <v>376</v>
      </c>
      <c r="B377" s="1" t="str">
        <f>IF(LEFT(Annex!H111,5)="Local","Local Transmission",Annex!H111)</f>
        <v>Imported</v>
      </c>
      <c r="C377" s="1" t="str">
        <f>Annex!J111</f>
        <v>Female</v>
      </c>
      <c r="D377" s="1">
        <f>Annex!D111</f>
        <v>21</v>
      </c>
      <c r="E377" s="1" t="str">
        <f>Annex!K111</f>
        <v>Singaporean</v>
      </c>
      <c r="F377" s="1" t="str">
        <f>Annex!L111</f>
        <v xml:space="preserve">Case 376 is a Imported case, 21 years old female Singapore Permanent Resident  and has been to UK . She is currently admitted at NCID . </v>
      </c>
      <c r="G377" s="2">
        <v>43910</v>
      </c>
      <c r="H377" s="1"/>
      <c r="I377" s="1"/>
      <c r="J377" s="1"/>
      <c r="K377" s="1"/>
      <c r="L377" s="1" t="str">
        <f>Annex!C111</f>
        <v xml:space="preserve">NCID </v>
      </c>
      <c r="M377" s="5" t="s">
        <v>1130</v>
      </c>
    </row>
    <row r="378" spans="1:13" ht="13.8" customHeight="1" x14ac:dyDescent="0.3">
      <c r="A378" s="1">
        <f>Annex!A112</f>
        <v>377</v>
      </c>
      <c r="B378" s="1" t="str">
        <f>IF(LEFT(Annex!H112,5)="Local","Local Transmission",Annex!H112)</f>
        <v>Imported</v>
      </c>
      <c r="C378" s="1" t="str">
        <f>Annex!J112</f>
        <v>Male</v>
      </c>
      <c r="D378" s="1">
        <f>Annex!D112</f>
        <v>59</v>
      </c>
      <c r="E378" s="1" t="str">
        <f>Annex!K112</f>
        <v>Singaporean</v>
      </c>
      <c r="F378" s="1" t="str">
        <f>Annex!L112</f>
        <v xml:space="preserve">Case 377 is a Imported case, 59 years old male Singapore Citizen  and has been to UK . He is currently admitted at NUH . </v>
      </c>
      <c r="G378" s="2">
        <v>43910</v>
      </c>
      <c r="H378" s="1"/>
      <c r="I378" s="1"/>
      <c r="J378" s="1"/>
      <c r="K378" s="1"/>
      <c r="L378" s="1" t="str">
        <f>Annex!C112</f>
        <v xml:space="preserve">NUH </v>
      </c>
      <c r="M378" s="5" t="s">
        <v>1130</v>
      </c>
    </row>
    <row r="379" spans="1:13" ht="13.8" customHeight="1" x14ac:dyDescent="0.3">
      <c r="A379" s="1">
        <f>Annex!A113</f>
        <v>378</v>
      </c>
      <c r="B379" s="1" t="str">
        <f>IF(LEFT(Annex!H113,5)="Local","Local Transmission",Annex!H113)</f>
        <v>Imported</v>
      </c>
      <c r="C379" s="1" t="str">
        <f>Annex!J113</f>
        <v>Male</v>
      </c>
      <c r="D379" s="1">
        <f>Annex!D113</f>
        <v>38</v>
      </c>
      <c r="E379" s="1" t="str">
        <f>Annex!K113</f>
        <v>UK</v>
      </c>
      <c r="F379" s="1" t="str">
        <f>Annex!L113</f>
        <v xml:space="preserve">Case 378 is a Imported case, 38 years old male UK (Long Term Visit Pass holder)  and has been to UK . He is currently admitted at NCID . </v>
      </c>
      <c r="G379" s="2">
        <v>43910</v>
      </c>
      <c r="H379" s="1"/>
      <c r="I379" s="1"/>
      <c r="J379" s="1"/>
      <c r="K379" s="1"/>
      <c r="L379" s="1" t="str">
        <f>Annex!C113</f>
        <v xml:space="preserve">NCID </v>
      </c>
      <c r="M379" s="5" t="s">
        <v>1130</v>
      </c>
    </row>
    <row r="380" spans="1:13" ht="13.8" customHeight="1" x14ac:dyDescent="0.3">
      <c r="A380" s="1">
        <f>Annex!A114</f>
        <v>379</v>
      </c>
      <c r="B380" s="1" t="str">
        <f>IF(LEFT(Annex!H114,5)="Local","Local Transmission",Annex!H114)</f>
        <v>Imported</v>
      </c>
      <c r="C380" s="1" t="str">
        <f>Annex!J114</f>
        <v>Male</v>
      </c>
      <c r="D380" s="1">
        <f>Annex!D114</f>
        <v>62</v>
      </c>
      <c r="E380" s="1" t="str">
        <f>Annex!K114</f>
        <v>Sweden</v>
      </c>
      <c r="F380" s="1" t="str">
        <f>Annex!L114</f>
        <v xml:space="preserve">Case 379 is a Imported case, 62 years old male Sweden (Singapore Work Pass holder)  and has been to Indonesia . He is currently admitted at NCID . </v>
      </c>
      <c r="G380" s="2">
        <v>43910</v>
      </c>
      <c r="H380" s="1"/>
      <c r="I380" s="1"/>
      <c r="J380" s="1"/>
      <c r="K380" s="1"/>
      <c r="L380" s="1" t="str">
        <f>Annex!C114</f>
        <v xml:space="preserve">NCID </v>
      </c>
      <c r="M380" s="5" t="s">
        <v>1130</v>
      </c>
    </row>
    <row r="381" spans="1:13" ht="13.8" customHeight="1" x14ac:dyDescent="0.3">
      <c r="A381" s="1">
        <f>Annex!A115</f>
        <v>380</v>
      </c>
      <c r="B381" s="1" t="str">
        <f>IF(LEFT(Annex!H115,5)="Local","Local Transmission",Annex!H115)</f>
        <v>Imported</v>
      </c>
      <c r="C381" s="1" t="str">
        <f>Annex!J115</f>
        <v>Male</v>
      </c>
      <c r="D381" s="1">
        <f>Annex!D115</f>
        <v>34</v>
      </c>
      <c r="E381" s="1" t="str">
        <f>Annex!K115</f>
        <v>Singaporean</v>
      </c>
      <c r="F381" s="1" t="str">
        <f>Annex!L115</f>
        <v xml:space="preserve">Case 380 is a Imported case, 34 years old male Singapore Citizen  and has been to Switzerland . He is currently admitted at SGH . </v>
      </c>
      <c r="G381" s="2">
        <v>43910</v>
      </c>
      <c r="H381" s="1"/>
      <c r="I381" s="1"/>
      <c r="J381" s="1"/>
      <c r="K381" s="1"/>
      <c r="L381" s="1" t="str">
        <f>Annex!C115</f>
        <v xml:space="preserve">SGH </v>
      </c>
      <c r="M381" s="5" t="s">
        <v>1130</v>
      </c>
    </row>
    <row r="382" spans="1:13" ht="13.8" customHeight="1" x14ac:dyDescent="0.3">
      <c r="A382" s="1">
        <f>Annex!A116</f>
        <v>381</v>
      </c>
      <c r="B382" s="1" t="str">
        <f>IF(LEFT(Annex!H116,5)="Local","Local Transmission",Annex!H116)</f>
        <v>Imported</v>
      </c>
      <c r="C382" s="1" t="str">
        <f>Annex!J116</f>
        <v>Female</v>
      </c>
      <c r="D382" s="1">
        <f>Annex!D116</f>
        <v>27</v>
      </c>
      <c r="E382" s="1" t="str">
        <f>Annex!K116</f>
        <v>Singaporean</v>
      </c>
      <c r="F382" s="1" t="str">
        <f>Annex!L116</f>
        <v xml:space="preserve">Case 381 is a Imported case, 27 years old female Singapore Permanent Resident  and has been to Spain . She is currently admitted at SGH . </v>
      </c>
      <c r="G382" s="2">
        <v>43910</v>
      </c>
      <c r="H382" s="1"/>
      <c r="I382" s="1"/>
      <c r="J382" s="1"/>
      <c r="K382" s="1"/>
      <c r="L382" s="1" t="str">
        <f>Annex!C116</f>
        <v xml:space="preserve">SGH </v>
      </c>
      <c r="M382" s="5" t="s">
        <v>1130</v>
      </c>
    </row>
    <row r="383" spans="1:13" ht="13.8" customHeight="1" x14ac:dyDescent="0.3">
      <c r="A383" s="1">
        <f>Annex!A117</f>
        <v>382</v>
      </c>
      <c r="B383" s="1" t="str">
        <f>IF(LEFT(Annex!H117,5)="Local","Local Transmission",Annex!H117)</f>
        <v>Imported</v>
      </c>
      <c r="C383" s="1" t="str">
        <f>Annex!J117</f>
        <v>Female</v>
      </c>
      <c r="D383" s="1">
        <f>Annex!D117</f>
        <v>55</v>
      </c>
      <c r="E383" s="1" t="str">
        <f>Annex!K117</f>
        <v>Singaporean</v>
      </c>
      <c r="F383" s="1" t="str">
        <f>Annex!L117</f>
        <v xml:space="preserve">Case 382 is a Imported case, 55 years old female Singapore Citizen  and has been to UK . She is currently admitted at SGH . </v>
      </c>
      <c r="G383" s="2">
        <v>43910</v>
      </c>
      <c r="H383" s="1"/>
      <c r="I383" s="1"/>
      <c r="J383" s="1"/>
      <c r="K383" s="1"/>
      <c r="L383" s="1" t="str">
        <f>Annex!C117</f>
        <v xml:space="preserve">SGH </v>
      </c>
      <c r="M383" s="5" t="s">
        <v>1130</v>
      </c>
    </row>
    <row r="384" spans="1:13" ht="13.8" customHeight="1" x14ac:dyDescent="0.3">
      <c r="A384" s="1">
        <f>Annex!A118</f>
        <v>383</v>
      </c>
      <c r="B384" s="1" t="str">
        <f>IF(LEFT(Annex!H118,5)="Local","Local Transmission",Annex!H118)</f>
        <v>Imported</v>
      </c>
      <c r="C384" s="1" t="str">
        <f>Annex!J118</f>
        <v>Female</v>
      </c>
      <c r="D384" s="1">
        <f>Annex!D118</f>
        <v>42</v>
      </c>
      <c r="E384" s="1" t="str">
        <f>Annex!K118</f>
        <v>Singaporean</v>
      </c>
      <c r="F384" s="1" t="str">
        <f>Annex!L118</f>
        <v xml:space="preserve">Case 383 is a Imported case, 42 years old female Singapore Citizen  and has been to UK . She is currently admitted at NCID . </v>
      </c>
      <c r="G384" s="2">
        <v>43910</v>
      </c>
      <c r="H384" s="1"/>
      <c r="I384" s="1"/>
      <c r="J384" s="1"/>
      <c r="K384" s="1"/>
      <c r="L384" s="1" t="str">
        <f>Annex!C118</f>
        <v xml:space="preserve">NCID </v>
      </c>
      <c r="M384" s="5" t="s">
        <v>1130</v>
      </c>
    </row>
    <row r="385" spans="1:13" ht="13.8" customHeight="1" x14ac:dyDescent="0.3">
      <c r="A385" s="1">
        <f>Annex!A119</f>
        <v>384</v>
      </c>
      <c r="B385" s="1" t="str">
        <f>IF(LEFT(Annex!H119,5)="Local","Local Transmission",Annex!H119)</f>
        <v>Local Transmission</v>
      </c>
      <c r="C385" s="1" t="str">
        <f>Annex!J119</f>
        <v>Male</v>
      </c>
      <c r="D385" s="1">
        <f>Annex!D119</f>
        <v>65</v>
      </c>
      <c r="E385" s="1" t="str">
        <f>Annex!K119</f>
        <v>Singaporean</v>
      </c>
      <c r="F385" s="1" t="str">
        <f>Annex!L119</f>
        <v xml:space="preserve">Case 384 is a Local unlinked case, 65 years old male Singapore Citizen  and has not been overseas. He is currently admitted at NCID . </v>
      </c>
      <c r="G385" s="2">
        <v>43910</v>
      </c>
      <c r="H385" s="1"/>
      <c r="I385" s="1"/>
      <c r="J385" s="1"/>
      <c r="K385" s="1"/>
      <c r="L385" s="1" t="str">
        <f>Annex!C119</f>
        <v xml:space="preserve">NCID </v>
      </c>
      <c r="M385" s="5" t="s">
        <v>1130</v>
      </c>
    </row>
    <row r="386" spans="1:13" ht="13.8" customHeight="1" x14ac:dyDescent="0.3">
      <c r="A386" s="1">
        <f>Annex!A120</f>
        <v>385</v>
      </c>
      <c r="B386" s="1" t="str">
        <f>IF(LEFT(Annex!H120,5)="Local","Local Transmission",Annex!H120)</f>
        <v>Imported</v>
      </c>
      <c r="C386" s="1" t="str">
        <f>Annex!J120</f>
        <v>Male</v>
      </c>
      <c r="D386" s="1">
        <f>Annex!D120</f>
        <v>22</v>
      </c>
      <c r="E386" s="1" t="str">
        <f>Annex!K120</f>
        <v>Singaporean</v>
      </c>
      <c r="F386" s="1" t="str">
        <f>Annex!L120</f>
        <v xml:space="preserve">Case 385 is a Imported case, 22 years old male Singapore Citizen  and has been to UK . He is currently admitted at CGH . </v>
      </c>
      <c r="G386" s="2">
        <v>43910</v>
      </c>
      <c r="H386" s="1"/>
      <c r="I386" s="1"/>
      <c r="J386" s="1"/>
      <c r="K386" s="1"/>
      <c r="L386" s="1" t="str">
        <f>Annex!C120</f>
        <v xml:space="preserve">CGH </v>
      </c>
      <c r="M386" s="5" t="s">
        <v>1130</v>
      </c>
    </row>
    <row r="387" spans="1:13" ht="13.8" customHeight="1" x14ac:dyDescent="0.3">
      <c r="A387" s="1">
        <f>Annex!A121</f>
        <v>386</v>
      </c>
      <c r="B387" s="1" t="str">
        <f>IF(LEFT(Annex!H121,5)="Local","Local Transmission",Annex!H121)</f>
        <v>Local Transmission</v>
      </c>
      <c r="C387" s="1" t="str">
        <f>Annex!J121</f>
        <v>Female</v>
      </c>
      <c r="D387" s="1">
        <f>Annex!D121</f>
        <v>64</v>
      </c>
      <c r="E387" s="1" t="str">
        <f>Annex!K121</f>
        <v>Singaporean</v>
      </c>
      <c r="F387" s="1" t="str">
        <f>Annex!L121</f>
        <v xml:space="preserve">Case 386 is a Local unlinked case, 64 years old female Singapore Citizen  and has not been overseas. She is currently admitted at NTFGH . </v>
      </c>
      <c r="G387" s="2">
        <v>43911</v>
      </c>
      <c r="H387" s="1"/>
      <c r="I387" s="1"/>
      <c r="J387" s="1"/>
      <c r="K387" s="1"/>
      <c r="L387" s="1" t="str">
        <f>Annex!C121</f>
        <v xml:space="preserve">NTFGH </v>
      </c>
      <c r="M387" s="5" t="s">
        <v>1131</v>
      </c>
    </row>
    <row r="388" spans="1:13" ht="13.8" customHeight="1" x14ac:dyDescent="0.3">
      <c r="A388" s="1">
        <f>Annex!A122</f>
        <v>387</v>
      </c>
      <c r="B388" s="1" t="str">
        <f>IF(LEFT(Annex!H122,5)="Local","Local Transmission",Annex!H122)</f>
        <v xml:space="preserve">Imported </v>
      </c>
      <c r="C388" s="1" t="str">
        <f>Annex!J122</f>
        <v>Female</v>
      </c>
      <c r="D388" s="1">
        <f>Annex!D122</f>
        <v>30</v>
      </c>
      <c r="E388" s="1" t="str">
        <f>Annex!K122</f>
        <v>Switzerland</v>
      </c>
      <c r="F388" s="1" t="str">
        <f>Annex!L122</f>
        <v>Case 387 is a Imported  case, 30 years old female Switzerland (Singapore Work Pass holder)  and has been to France, Switzerland . She is currently admitted at NUH. Contact of Case 337</v>
      </c>
      <c r="G388" s="2">
        <v>43911</v>
      </c>
      <c r="H388" s="1"/>
      <c r="I388" s="1"/>
      <c r="J388" s="1"/>
      <c r="K388" s="1"/>
      <c r="L388" s="1" t="str">
        <f>Annex!C122</f>
        <v>NUH</v>
      </c>
      <c r="M388" s="5" t="s">
        <v>1131</v>
      </c>
    </row>
    <row r="389" spans="1:13" ht="13.8" customHeight="1" x14ac:dyDescent="0.3">
      <c r="A389" s="1">
        <f>Annex!A123</f>
        <v>388</v>
      </c>
      <c r="B389" s="1" t="str">
        <f>IF(LEFT(Annex!H123,5)="Local","Local Transmission",Annex!H123)</f>
        <v>Local Transmission</v>
      </c>
      <c r="C389" s="1" t="str">
        <f>Annex!J123</f>
        <v>Male</v>
      </c>
      <c r="D389" s="1">
        <f>Annex!D123</f>
        <v>40</v>
      </c>
      <c r="E389" s="1" t="str">
        <f>Annex!K123</f>
        <v>Singaporean</v>
      </c>
      <c r="F389" s="1" t="str">
        <f>Annex!L123</f>
        <v>Case 388 is a Local linked  case, 40 years old male Singapore Citizen  and has not been overseas. He is currently admitted at SKH . Family member of Case 351</v>
      </c>
      <c r="G389" s="2">
        <v>43911</v>
      </c>
      <c r="H389" s="1"/>
      <c r="I389" s="1"/>
      <c r="J389" s="1"/>
      <c r="K389" s="1"/>
      <c r="L389" s="1" t="str">
        <f>Annex!C123</f>
        <v xml:space="preserve">SKH </v>
      </c>
      <c r="M389" s="5" t="s">
        <v>1131</v>
      </c>
    </row>
    <row r="390" spans="1:13" ht="13.8" customHeight="1" x14ac:dyDescent="0.3">
      <c r="A390" s="1">
        <f>Annex!A124</f>
        <v>389</v>
      </c>
      <c r="B390" s="1" t="str">
        <f>IF(LEFT(Annex!H124,5)="Local","Local Transmission",Annex!H124)</f>
        <v xml:space="preserve">Imported </v>
      </c>
      <c r="C390" s="1" t="str">
        <f>Annex!J124</f>
        <v>Female</v>
      </c>
      <c r="D390" s="1">
        <f>Annex!D124</f>
        <v>36</v>
      </c>
      <c r="E390" s="1" t="str">
        <f>Annex!K124</f>
        <v>Russia</v>
      </c>
      <c r="F390" s="1" t="str">
        <f>Annex!L124</f>
        <v>Case 389 is a Imported  case, 36 years old female Russia (Singapore Work Pass holder)  and has been to India . She is currently admitted at KKH . Family member of Case 298</v>
      </c>
      <c r="G390" s="2">
        <v>43911</v>
      </c>
      <c r="H390" s="1"/>
      <c r="I390" s="1"/>
      <c r="J390" s="1"/>
      <c r="K390" s="1"/>
      <c r="L390" s="1" t="str">
        <f>Annex!C124</f>
        <v xml:space="preserve">KKH </v>
      </c>
      <c r="M390" s="5" t="s">
        <v>1131</v>
      </c>
    </row>
    <row r="391" spans="1:13" ht="13.8" customHeight="1" x14ac:dyDescent="0.3">
      <c r="A391" s="1">
        <f>Annex!A125</f>
        <v>390</v>
      </c>
      <c r="B391" s="1" t="str">
        <f>IF(LEFT(Annex!H125,5)="Local","Local Transmission",Annex!H125)</f>
        <v>Imported</v>
      </c>
      <c r="C391" s="1" t="str">
        <f>Annex!J125</f>
        <v>Female</v>
      </c>
      <c r="D391" s="1">
        <f>Annex!D125</f>
        <v>35</v>
      </c>
      <c r="E391" s="1" t="str">
        <f>Annex!K125</f>
        <v>Singaporean</v>
      </c>
      <c r="F391" s="1" t="str">
        <f>Annex!L125</f>
        <v xml:space="preserve">Case 390 is a Imported case, 35 years old female Singapore Citizen  and has been to UK . She is currently admitted at KKH . </v>
      </c>
      <c r="G391" s="2">
        <v>43911</v>
      </c>
      <c r="H391" s="1"/>
      <c r="I391" s="1"/>
      <c r="J391" s="1"/>
      <c r="K391" s="1"/>
      <c r="L391" s="1" t="str">
        <f>Annex!C125</f>
        <v xml:space="preserve">KKH </v>
      </c>
      <c r="M391" s="5" t="s">
        <v>1131</v>
      </c>
    </row>
    <row r="392" spans="1:13" ht="13.8" customHeight="1" x14ac:dyDescent="0.3">
      <c r="A392" s="1">
        <f>Annex!A126</f>
        <v>391</v>
      </c>
      <c r="B392" s="1" t="str">
        <f>IF(LEFT(Annex!H126,5)="Local","Local Transmission",Annex!H126)</f>
        <v>Imported</v>
      </c>
      <c r="C392" s="1" t="str">
        <f>Annex!J126</f>
        <v>Male</v>
      </c>
      <c r="D392" s="1">
        <f>Annex!D126</f>
        <v>53</v>
      </c>
      <c r="E392" s="1" t="str">
        <f>Annex!K126</f>
        <v xml:space="preserve">Australia </v>
      </c>
      <c r="F392" s="1" t="str">
        <f>Annex!L126</f>
        <v xml:space="preserve">Case 391 is a Imported case, 53 years old male Australia  and has been to Australia, US . He is currently admitted at NUH . </v>
      </c>
      <c r="G392" s="2">
        <v>43911</v>
      </c>
      <c r="H392" s="1"/>
      <c r="I392" s="1"/>
      <c r="J392" s="1"/>
      <c r="K392" s="1"/>
      <c r="L392" s="1" t="str">
        <f>Annex!C126</f>
        <v xml:space="preserve">NUH </v>
      </c>
      <c r="M392" s="5" t="s">
        <v>1131</v>
      </c>
    </row>
    <row r="393" spans="1:13" ht="13.8" customHeight="1" x14ac:dyDescent="0.3">
      <c r="A393" s="1">
        <f>Annex!A127</f>
        <v>392</v>
      </c>
      <c r="B393" s="1" t="str">
        <f>IF(LEFT(Annex!H127,5)="Local","Local Transmission",Annex!H127)</f>
        <v>Imported</v>
      </c>
      <c r="C393" s="1" t="str">
        <f>Annex!J127</f>
        <v>Male</v>
      </c>
      <c r="D393" s="1">
        <f>Annex!D127</f>
        <v>54</v>
      </c>
      <c r="E393" s="1" t="str">
        <f>Annex!K127</f>
        <v>Singaporean</v>
      </c>
      <c r="F393" s="1" t="str">
        <f>Annex!L127</f>
        <v xml:space="preserve">Case 392 is a Imported case, 54 years old male Singapore Permanent Resident  and has been to Indonesia . He is currently admitted at NCID . </v>
      </c>
      <c r="G393" s="2">
        <v>43911</v>
      </c>
      <c r="H393" s="1"/>
      <c r="I393" s="1"/>
      <c r="J393" s="1"/>
      <c r="K393" s="1"/>
      <c r="L393" s="1" t="str">
        <f>Annex!C127</f>
        <v xml:space="preserve">NCID </v>
      </c>
      <c r="M393" s="5" t="s">
        <v>1131</v>
      </c>
    </row>
    <row r="394" spans="1:13" ht="13.8" customHeight="1" x14ac:dyDescent="0.3">
      <c r="A394" s="1">
        <f>Annex!A128</f>
        <v>393</v>
      </c>
      <c r="B394" s="1" t="str">
        <f>IF(LEFT(Annex!H128,5)="Local","Local Transmission",Annex!H128)</f>
        <v>Imported</v>
      </c>
      <c r="C394" s="1" t="str">
        <f>Annex!J128</f>
        <v>Male</v>
      </c>
      <c r="D394" s="1">
        <f>Annex!D128</f>
        <v>21</v>
      </c>
      <c r="E394" s="1" t="str">
        <f>Annex!K128</f>
        <v>Singaporean</v>
      </c>
      <c r="F394" s="1" t="str">
        <f>Annex!L128</f>
        <v xml:space="preserve">Case 393 is a Imported case, 21 years old male Singapore Citizen  and has been to UK . He is currently admitted at NCID . </v>
      </c>
      <c r="G394" s="2">
        <v>43911</v>
      </c>
      <c r="H394" s="1"/>
      <c r="I394" s="1"/>
      <c r="J394" s="1"/>
      <c r="K394" s="1"/>
      <c r="L394" s="1" t="str">
        <f>Annex!C128</f>
        <v xml:space="preserve">NCID </v>
      </c>
      <c r="M394" s="5" t="s">
        <v>1131</v>
      </c>
    </row>
    <row r="395" spans="1:13" ht="13.8" customHeight="1" x14ac:dyDescent="0.3">
      <c r="A395" s="1">
        <f>Annex!A129</f>
        <v>394</v>
      </c>
      <c r="B395" s="1" t="str">
        <f>IF(LEFT(Annex!H129,5)="Local","Local Transmission",Annex!H129)</f>
        <v>Imported</v>
      </c>
      <c r="C395" s="1" t="str">
        <f>Annex!J129</f>
        <v>Female</v>
      </c>
      <c r="D395" s="1">
        <f>Annex!D129</f>
        <v>66</v>
      </c>
      <c r="E395" s="1" t="str">
        <f>Annex!K129</f>
        <v>Philippines</v>
      </c>
      <c r="F395" s="1" t="str">
        <f>Annex!L129</f>
        <v xml:space="preserve">Case 394 is a Imported case, 66 years old female Philippines (Long Term Pass holder)  and has been to Philippines . She is currently admitted at CGH . </v>
      </c>
      <c r="G395" s="2">
        <v>43911</v>
      </c>
      <c r="H395" s="1"/>
      <c r="I395" s="1"/>
      <c r="J395" s="1"/>
      <c r="K395" s="1"/>
      <c r="L395" s="1" t="str">
        <f>Annex!C129</f>
        <v xml:space="preserve">CGH </v>
      </c>
      <c r="M395" s="5" t="s">
        <v>1131</v>
      </c>
    </row>
    <row r="396" spans="1:13" ht="13.8" customHeight="1" x14ac:dyDescent="0.3">
      <c r="A396" s="1">
        <f>Annex!A130</f>
        <v>395</v>
      </c>
      <c r="B396" s="1" t="str">
        <f>IF(LEFT(Annex!H130,5)="Local","Local Transmission",Annex!H130)</f>
        <v>Local Transmission</v>
      </c>
      <c r="C396" s="1" t="str">
        <f>Annex!J130</f>
        <v>Male</v>
      </c>
      <c r="D396" s="1">
        <f>Annex!D130</f>
        <v>54</v>
      </c>
      <c r="E396" s="1" t="str">
        <f>Annex!K130</f>
        <v>Singaporean</v>
      </c>
      <c r="F396" s="1" t="str">
        <f>Annex!L130</f>
        <v xml:space="preserve">Case 395 is a Local unlinked case, 54 years old male Singapore Citizen  and has not been overseas. He is currently admitted at NCID . </v>
      </c>
      <c r="G396" s="2">
        <v>43911</v>
      </c>
      <c r="H396" s="1"/>
      <c r="I396" s="1"/>
      <c r="J396" s="1"/>
      <c r="K396" s="1"/>
      <c r="L396" s="1" t="str">
        <f>Annex!C130</f>
        <v xml:space="preserve">NCID </v>
      </c>
      <c r="M396" s="5" t="s">
        <v>1131</v>
      </c>
    </row>
    <row r="397" spans="1:13" ht="13.8" customHeight="1" x14ac:dyDescent="0.3">
      <c r="A397" s="1">
        <f>Annex!A131</f>
        <v>396</v>
      </c>
      <c r="B397" s="1" t="str">
        <f>IF(LEFT(Annex!H131,5)="Local","Local Transmission",Annex!H131)</f>
        <v>Local Transmission</v>
      </c>
      <c r="C397" s="1" t="str">
        <f>Annex!J131</f>
        <v>Male</v>
      </c>
      <c r="D397" s="1">
        <f>Annex!D131</f>
        <v>46</v>
      </c>
      <c r="E397" s="1" t="str">
        <f>Annex!K131</f>
        <v>Singaporean</v>
      </c>
      <c r="F397" s="1" t="str">
        <f>Annex!L131</f>
        <v xml:space="preserve">Case 396 is a Local unlinked case, 46 years old male Singapore Citizen  and has not been overseas. He is currently admitted at SKH . </v>
      </c>
      <c r="G397" s="2">
        <v>43911</v>
      </c>
      <c r="H397" s="1"/>
      <c r="I397" s="1"/>
      <c r="J397" s="1"/>
      <c r="K397" s="1"/>
      <c r="L397" s="1" t="str">
        <f>Annex!C131</f>
        <v xml:space="preserve">SKH </v>
      </c>
      <c r="M397" s="5" t="s">
        <v>1131</v>
      </c>
    </row>
    <row r="398" spans="1:13" ht="13.8" customHeight="1" x14ac:dyDescent="0.3">
      <c r="A398" s="1">
        <f>Annex!A132</f>
        <v>397</v>
      </c>
      <c r="B398" s="1" t="str">
        <f>IF(LEFT(Annex!H132,5)="Local","Local Transmission",Annex!H132)</f>
        <v xml:space="preserve">Imported </v>
      </c>
      <c r="C398" s="1" t="str">
        <f>Annex!J132</f>
        <v>Male</v>
      </c>
      <c r="D398" s="1">
        <f>Annex!D132</f>
        <v>43</v>
      </c>
      <c r="E398" s="1" t="str">
        <f>Annex!K132</f>
        <v>Ireland</v>
      </c>
      <c r="F398" s="1" t="str">
        <f>Annex!L132</f>
        <v>Case 397 is a Imported  case, 43 years old male Ireland (Singapore Work Pass holder)  and has been to Ireland . He is currently admitted at NCID . Contact of Case 180</v>
      </c>
      <c r="G398" s="2">
        <v>43911</v>
      </c>
      <c r="H398" s="1"/>
      <c r="I398" s="1"/>
      <c r="J398" s="1"/>
      <c r="K398" s="1"/>
      <c r="L398" s="1" t="str">
        <f>Annex!C132</f>
        <v xml:space="preserve">NCID </v>
      </c>
      <c r="M398" s="5" t="s">
        <v>1131</v>
      </c>
    </row>
    <row r="399" spans="1:13" ht="13.8" customHeight="1" x14ac:dyDescent="0.3">
      <c r="A399" s="1">
        <f>Annex!A133</f>
        <v>398</v>
      </c>
      <c r="B399" s="1" t="str">
        <f>IF(LEFT(Annex!H133,5)="Local","Local Transmission",Annex!H133)</f>
        <v>Local Transmission</v>
      </c>
      <c r="C399" s="1" t="str">
        <f>Annex!J133</f>
        <v>Male</v>
      </c>
      <c r="D399" s="1">
        <f>Annex!D133</f>
        <v>57</v>
      </c>
      <c r="E399" s="1" t="str">
        <f>Annex!K133</f>
        <v>Singaporean</v>
      </c>
      <c r="F399" s="1" t="str">
        <f>Annex!L133</f>
        <v xml:space="preserve">Case 398 is a Local unlinked case, 57 years old male Singapore Permanent Resident  and has not been overseas. He is currently admitted at KTPH7 . </v>
      </c>
      <c r="G399" s="2">
        <v>43911</v>
      </c>
      <c r="H399" s="1"/>
      <c r="I399" s="1"/>
      <c r="J399" s="1"/>
      <c r="K399" s="1"/>
      <c r="L399" s="1" t="str">
        <f>Annex!C133</f>
        <v xml:space="preserve">KTPH7 </v>
      </c>
      <c r="M399" s="5" t="s">
        <v>1131</v>
      </c>
    </row>
    <row r="400" spans="1:13" ht="13.8" customHeight="1" x14ac:dyDescent="0.3">
      <c r="A400" s="1">
        <f>Annex!A134</f>
        <v>399</v>
      </c>
      <c r="B400" s="1" t="str">
        <f>IF(LEFT(Annex!H134,5)="Local","Local Transmission",Annex!H134)</f>
        <v>Imported</v>
      </c>
      <c r="C400" s="1" t="str">
        <f>Annex!J134</f>
        <v>Female</v>
      </c>
      <c r="D400" s="1">
        <f>Annex!D134</f>
        <v>23</v>
      </c>
      <c r="E400" s="1" t="str">
        <f>Annex!K134</f>
        <v>Singaporean</v>
      </c>
      <c r="F400" s="1" t="str">
        <f>Annex!L134</f>
        <v xml:space="preserve">Case 399 is a Imported case, 23 years old female Singapore Citizen  and has been to UK . She is currently admitted at NCID . </v>
      </c>
      <c r="G400" s="2">
        <v>43911</v>
      </c>
      <c r="H400" s="1"/>
      <c r="I400" s="1"/>
      <c r="J400" s="1"/>
      <c r="K400" s="1"/>
      <c r="L400" s="1" t="str">
        <f>Annex!C134</f>
        <v xml:space="preserve">NCID </v>
      </c>
      <c r="M400" s="5" t="s">
        <v>1131</v>
      </c>
    </row>
    <row r="401" spans="1:13" ht="13.8" customHeight="1" x14ac:dyDescent="0.3">
      <c r="A401" s="1">
        <f>Annex!A135</f>
        <v>400</v>
      </c>
      <c r="B401" s="1" t="str">
        <f>IF(LEFT(Annex!H135,5)="Local","Local Transmission",Annex!H135)</f>
        <v>Imported</v>
      </c>
      <c r="C401" s="1" t="str">
        <f>Annex!J135</f>
        <v>Male</v>
      </c>
      <c r="D401" s="1">
        <f>Annex!D135</f>
        <v>56</v>
      </c>
      <c r="E401" s="1" t="str">
        <f>Annex!K135</f>
        <v>Singaporean</v>
      </c>
      <c r="F401" s="1" t="str">
        <f>Annex!L135</f>
        <v xml:space="preserve">Case 400 is a Imported case, 56 years old male Singapore Citizen  and has been to UK . He is currently admitted at NCID . </v>
      </c>
      <c r="G401" s="2">
        <v>43911</v>
      </c>
      <c r="H401" s="1"/>
      <c r="I401" s="1"/>
      <c r="J401" s="1"/>
      <c r="K401" s="1"/>
      <c r="L401" s="1" t="str">
        <f>Annex!C135</f>
        <v xml:space="preserve">NCID </v>
      </c>
      <c r="M401" s="5" t="s">
        <v>1131</v>
      </c>
    </row>
    <row r="402" spans="1:13" ht="13.8" customHeight="1" x14ac:dyDescent="0.3">
      <c r="A402" s="1">
        <f>Annex!A136</f>
        <v>401</v>
      </c>
      <c r="B402" s="1" t="str">
        <f>IF(LEFT(Annex!H136,5)="Local","Local Transmission",Annex!H136)</f>
        <v>Imported</v>
      </c>
      <c r="C402" s="1" t="str">
        <f>Annex!J136</f>
        <v>Male</v>
      </c>
      <c r="D402" s="1">
        <f>Annex!D136</f>
        <v>20</v>
      </c>
      <c r="E402" s="1" t="str">
        <f>Annex!K136</f>
        <v>Singaporean</v>
      </c>
      <c r="F402" s="1" t="str">
        <f>Annex!L136</f>
        <v xml:space="preserve">Case 401 is a Imported case, 20 years old male Singapore Citizen  and has been to UK . He is currently admitted at NCID . </v>
      </c>
      <c r="G402" s="2">
        <v>43911</v>
      </c>
      <c r="H402" s="1"/>
      <c r="I402" s="1"/>
      <c r="J402" s="1"/>
      <c r="K402" s="1"/>
      <c r="L402" s="1" t="str">
        <f>Annex!C136</f>
        <v xml:space="preserve">NCID </v>
      </c>
      <c r="M402" s="5" t="s">
        <v>1131</v>
      </c>
    </row>
    <row r="403" spans="1:13" ht="13.8" customHeight="1" x14ac:dyDescent="0.3">
      <c r="A403" s="1">
        <f>Annex!A137</f>
        <v>402</v>
      </c>
      <c r="B403" s="1" t="str">
        <f>IF(LEFT(Annex!H137,5)="Local","Local Transmission",Annex!H137)</f>
        <v>Imported</v>
      </c>
      <c r="C403" s="1" t="str">
        <f>Annex!J137</f>
        <v>Female</v>
      </c>
      <c r="D403" s="1">
        <f>Annex!D137</f>
        <v>22</v>
      </c>
      <c r="E403" s="1" t="str">
        <f>Annex!K137</f>
        <v xml:space="preserve">Indonesia Indonesia </v>
      </c>
      <c r="F403" s="1" t="str">
        <f>Annex!L137</f>
        <v xml:space="preserve">Case 402 is a Imported case, 22 years old female Indonesia Indonesia  and has not been overseas. She is currently admitted at MENH. </v>
      </c>
      <c r="G403" s="2">
        <v>43911</v>
      </c>
      <c r="H403" s="1"/>
      <c r="I403" s="1"/>
      <c r="J403" s="1"/>
      <c r="K403" s="1"/>
      <c r="L403" s="1" t="str">
        <f>Annex!C137</f>
        <v>MENH</v>
      </c>
      <c r="M403" s="5" t="s">
        <v>1131</v>
      </c>
    </row>
    <row r="404" spans="1:13" ht="13.8" customHeight="1" x14ac:dyDescent="0.3">
      <c r="A404" s="1">
        <f>Annex!A138</f>
        <v>403</v>
      </c>
      <c r="B404" s="1" t="str">
        <f>IF(LEFT(Annex!H138,5)="Local","Local Transmission",Annex!H138)</f>
        <v>Imported</v>
      </c>
      <c r="C404" s="1" t="str">
        <f>Annex!J138</f>
        <v>Male</v>
      </c>
      <c r="D404" s="1">
        <f>Annex!D138</f>
        <v>77</v>
      </c>
      <c r="E404" s="1" t="str">
        <f>Annex!K138</f>
        <v>Indonesia</v>
      </c>
      <c r="F404" s="1" t="str">
        <f>Annex!L138</f>
        <v xml:space="preserve">Case 403 is a Imported case, 77 years old male Indonesia (Long Term Pass holder)  and has been to Indonesia . He is currently admitted at MEH . </v>
      </c>
      <c r="G404" s="2">
        <v>43911</v>
      </c>
      <c r="H404" s="1"/>
      <c r="I404" s="1"/>
      <c r="J404" s="1"/>
      <c r="K404" s="1"/>
      <c r="L404" s="1" t="str">
        <f>Annex!C138</f>
        <v xml:space="preserve">MEH </v>
      </c>
      <c r="M404" s="5" t="s">
        <v>1131</v>
      </c>
    </row>
    <row r="405" spans="1:13" ht="13.8" customHeight="1" x14ac:dyDescent="0.3">
      <c r="A405" s="1">
        <f>Annex!A139</f>
        <v>404</v>
      </c>
      <c r="B405" s="1" t="str">
        <f>IF(LEFT(Annex!H139,5)="Local","Local Transmission",Annex!H139)</f>
        <v>Imported</v>
      </c>
      <c r="C405" s="1" t="str">
        <f>Annex!J139</f>
        <v>Male</v>
      </c>
      <c r="D405" s="1">
        <f>Annex!D139</f>
        <v>28</v>
      </c>
      <c r="E405" s="1" t="str">
        <f>Annex!K139</f>
        <v>Australia</v>
      </c>
      <c r="F405" s="1" t="str">
        <f>Annex!L139</f>
        <v xml:space="preserve">Case 404 is a Imported case, 28 years old male Australia (Long Term Pass holder)  and has been to Malaysia, Philippines . He is currently admitted at NCID . </v>
      </c>
      <c r="G405" s="2">
        <v>43911</v>
      </c>
      <c r="H405" s="1"/>
      <c r="I405" s="1"/>
      <c r="J405" s="1"/>
      <c r="K405" s="1"/>
      <c r="L405" s="1" t="str">
        <f>Annex!C139</f>
        <v xml:space="preserve">NCID </v>
      </c>
      <c r="M405" s="5" t="s">
        <v>1131</v>
      </c>
    </row>
    <row r="406" spans="1:13" ht="13.8" customHeight="1" x14ac:dyDescent="0.3">
      <c r="A406" s="1">
        <f>Annex!A140</f>
        <v>405</v>
      </c>
      <c r="B406" s="1" t="str">
        <f>IF(LEFT(Annex!H140,5)="Local","Local Transmission",Annex!H140)</f>
        <v>Imported</v>
      </c>
      <c r="C406" s="1" t="str">
        <f>Annex!J140</f>
        <v>Male</v>
      </c>
      <c r="D406" s="1">
        <f>Annex!D140</f>
        <v>25</v>
      </c>
      <c r="E406" s="1" t="str">
        <f>Annex!K140</f>
        <v>Singaporean</v>
      </c>
      <c r="F406" s="1" t="str">
        <f>Annex!L140</f>
        <v xml:space="preserve">Case 405 is a Imported case, 25 years old male Singapore Citizen  and has been to UK . He is currently admitted at NCID . </v>
      </c>
      <c r="G406" s="2">
        <v>43911</v>
      </c>
      <c r="H406" s="1"/>
      <c r="I406" s="1"/>
      <c r="J406" s="1"/>
      <c r="K406" s="1"/>
      <c r="L406" s="1" t="str">
        <f>Annex!C140</f>
        <v xml:space="preserve">NCID </v>
      </c>
      <c r="M406" s="5" t="s">
        <v>1131</v>
      </c>
    </row>
    <row r="407" spans="1:13" ht="13.8" customHeight="1" x14ac:dyDescent="0.3">
      <c r="A407" s="1">
        <f>Annex!A141</f>
        <v>406</v>
      </c>
      <c r="B407" s="1" t="str">
        <f>IF(LEFT(Annex!H141,5)="Local","Local Transmission",Annex!H141)</f>
        <v>unlinked</v>
      </c>
      <c r="C407" s="1" t="str">
        <f>Annex!J141</f>
        <v>Female</v>
      </c>
      <c r="D407" s="1">
        <f>Annex!D141</f>
        <v>61</v>
      </c>
      <c r="E407" s="1" t="str">
        <f>Annex!K141</f>
        <v>Singaporean</v>
      </c>
      <c r="F407" s="1" t="str">
        <f>Annex!L141</f>
        <v xml:space="preserve">Case 406 is a unlinked case, 61 years old female Singapore Citizen  and has been to Local . She is currently admitted at KTPH . </v>
      </c>
      <c r="G407" s="2">
        <v>43911</v>
      </c>
      <c r="H407" s="1"/>
      <c r="I407" s="1"/>
      <c r="J407" s="1"/>
      <c r="K407" s="1"/>
      <c r="L407" s="1" t="str">
        <f>Annex!C141</f>
        <v xml:space="preserve">KTPH </v>
      </c>
      <c r="M407" s="5" t="s">
        <v>1131</v>
      </c>
    </row>
    <row r="408" spans="1:13" ht="13.8" customHeight="1" x14ac:dyDescent="0.3">
      <c r="A408" s="1">
        <f>Annex!A142</f>
        <v>407</v>
      </c>
      <c r="B408" s="1" t="str">
        <f>IF(LEFT(Annex!H142,5)="Local","Local Transmission",Annex!H142)</f>
        <v>Imported</v>
      </c>
      <c r="C408" s="1" t="str">
        <f>Annex!J142</f>
        <v>Male</v>
      </c>
      <c r="D408" s="1">
        <f>Annex!D142</f>
        <v>25</v>
      </c>
      <c r="E408" s="1" t="str">
        <f>Annex!K142</f>
        <v xml:space="preserve">Spain </v>
      </c>
      <c r="F408" s="1" t="str">
        <f>Annex!L142</f>
        <v xml:space="preserve">Case 407 is a Imported case, 25 years old male Spain  and has been to Pending . He is currently admitted at NCID . </v>
      </c>
      <c r="G408" s="2">
        <v>43911</v>
      </c>
      <c r="H408" s="1"/>
      <c r="I408" s="1"/>
      <c r="J408" s="1"/>
      <c r="K408" s="1"/>
      <c r="L408" s="1" t="str">
        <f>Annex!C142</f>
        <v xml:space="preserve">NCID </v>
      </c>
      <c r="M408" s="5" t="s">
        <v>1131</v>
      </c>
    </row>
    <row r="409" spans="1:13" ht="13.8" customHeight="1" x14ac:dyDescent="0.3">
      <c r="A409" s="1">
        <f>Annex!A143</f>
        <v>408</v>
      </c>
      <c r="B409" s="1" t="str">
        <f>IF(LEFT(Annex!H143,5)="Local","Local Transmission",Annex!H143)</f>
        <v>Imported</v>
      </c>
      <c r="C409" s="1" t="str">
        <f>Annex!J143</f>
        <v>Male</v>
      </c>
      <c r="D409" s="1">
        <f>Annex!D143</f>
        <v>27</v>
      </c>
      <c r="E409" s="1" t="str">
        <f>Annex!K143</f>
        <v>Singaporean</v>
      </c>
      <c r="F409" s="1" t="str">
        <f>Annex!L143</f>
        <v xml:space="preserve">Case 408 is a Imported case, 27 years old male Singapore Citizen  and has been to US . He is currently admitted at NUH . </v>
      </c>
      <c r="G409" s="2">
        <v>43911</v>
      </c>
      <c r="H409" s="1"/>
      <c r="I409" s="1"/>
      <c r="J409" s="1"/>
      <c r="K409" s="1"/>
      <c r="L409" s="1" t="str">
        <f>Annex!C143</f>
        <v xml:space="preserve">NUH </v>
      </c>
      <c r="M409" s="5" t="s">
        <v>1131</v>
      </c>
    </row>
    <row r="410" spans="1:13" ht="13.8" customHeight="1" x14ac:dyDescent="0.3">
      <c r="A410" s="1">
        <f>Annex!A144</f>
        <v>409</v>
      </c>
      <c r="B410" s="1" t="str">
        <f>IF(LEFT(Annex!H144,5)="Local","Local Transmission",Annex!H144)</f>
        <v>Imported</v>
      </c>
      <c r="C410" s="1" t="str">
        <f>Annex!J144</f>
        <v>Female</v>
      </c>
      <c r="D410" s="1">
        <f>Annex!D144</f>
        <v>23</v>
      </c>
      <c r="E410" s="1" t="str">
        <f>Annex!K144</f>
        <v xml:space="preserve">Australia </v>
      </c>
      <c r="F410" s="1" t="str">
        <f>Annex!L144</f>
        <v xml:space="preserve">Case 409 is a Imported case, 23 years old female Australia  (Singapore Work Pass holder)  and has been to US . She is currently admitted at NUH . </v>
      </c>
      <c r="G410" s="2">
        <v>43911</v>
      </c>
      <c r="H410" s="1"/>
      <c r="I410" s="1"/>
      <c r="J410" s="1"/>
      <c r="K410" s="1"/>
      <c r="L410" s="1" t="str">
        <f>Annex!C144</f>
        <v xml:space="preserve">NUH </v>
      </c>
      <c r="M410" s="5" t="s">
        <v>1131</v>
      </c>
    </row>
    <row r="411" spans="1:13" ht="13.8" customHeight="1" x14ac:dyDescent="0.3">
      <c r="A411" s="1">
        <f>Annex!A145</f>
        <v>410</v>
      </c>
      <c r="B411" s="1" t="str">
        <f>IF(LEFT(Annex!H145,5)="Local","Local Transmission",Annex!H145)</f>
        <v>Imported</v>
      </c>
      <c r="C411" s="1" t="str">
        <f>Annex!J145</f>
        <v>Female</v>
      </c>
      <c r="D411" s="1">
        <f>Annex!D145</f>
        <v>20</v>
      </c>
      <c r="E411" s="1" t="str">
        <f>Annex!K145</f>
        <v>Singaporean</v>
      </c>
      <c r="F411" s="1" t="str">
        <f>Annex!L145</f>
        <v xml:space="preserve">Case 410 is a Imported case, 20 years old female Singapore Citizen  and has been to UK . She is currently admitted at NCID . </v>
      </c>
      <c r="G411" s="2">
        <v>43911</v>
      </c>
      <c r="H411" s="1"/>
      <c r="I411" s="1"/>
      <c r="J411" s="1"/>
      <c r="K411" s="1"/>
      <c r="L411" s="1" t="str">
        <f>Annex!C145</f>
        <v xml:space="preserve">NCID </v>
      </c>
      <c r="M411" s="5" t="s">
        <v>1131</v>
      </c>
    </row>
    <row r="412" spans="1:13" ht="13.8" customHeight="1" x14ac:dyDescent="0.3">
      <c r="A412" s="1">
        <f>Annex!A146</f>
        <v>411</v>
      </c>
      <c r="B412" s="1" t="str">
        <f>IF(LEFT(Annex!H146,5)="Local","Local Transmission",Annex!H146)</f>
        <v>Imported</v>
      </c>
      <c r="C412" s="1" t="str">
        <f>Annex!J146</f>
        <v>Male</v>
      </c>
      <c r="D412" s="1">
        <f>Annex!D146</f>
        <v>30</v>
      </c>
      <c r="E412" s="1" t="str">
        <f>Annex!K146</f>
        <v>Singaporean</v>
      </c>
      <c r="F412" s="1" t="str">
        <f>Annex!L146</f>
        <v xml:space="preserve">Case 411 is a Imported case, 30 years old male Singapore Citizen  and has been to UK . He is currently admitted at NCID . </v>
      </c>
      <c r="G412" s="2">
        <v>43911</v>
      </c>
      <c r="H412" s="1"/>
      <c r="I412" s="1"/>
      <c r="J412" s="1"/>
      <c r="K412" s="1"/>
      <c r="L412" s="1" t="str">
        <f>Annex!C146</f>
        <v xml:space="preserve">NCID </v>
      </c>
      <c r="M412" s="5" t="s">
        <v>1131</v>
      </c>
    </row>
    <row r="413" spans="1:13" ht="13.8" customHeight="1" x14ac:dyDescent="0.3">
      <c r="A413" s="1">
        <f>Annex!A147</f>
        <v>412</v>
      </c>
      <c r="B413" s="1" t="str">
        <f>IF(LEFT(Annex!H147,5)="Local","Local Transmission",Annex!H147)</f>
        <v>Imported</v>
      </c>
      <c r="C413" s="1" t="str">
        <f>Annex!J147</f>
        <v>Female</v>
      </c>
      <c r="D413" s="1">
        <f>Annex!D147</f>
        <v>19</v>
      </c>
      <c r="E413" s="1" t="str">
        <f>Annex!K147</f>
        <v>Singaporean</v>
      </c>
      <c r="F413" s="1" t="str">
        <f>Annex!L147</f>
        <v xml:space="preserve">Case 412 is a Imported case, 19 years old female Singapore Citizen  and has been to UK . She is currently admitted at NCID . </v>
      </c>
      <c r="G413" s="2">
        <v>43911</v>
      </c>
      <c r="H413" s="1"/>
      <c r="I413" s="1"/>
      <c r="J413" s="1"/>
      <c r="K413" s="1"/>
      <c r="L413" s="1" t="str">
        <f>Annex!C147</f>
        <v xml:space="preserve">NCID </v>
      </c>
      <c r="M413" s="5" t="s">
        <v>1131</v>
      </c>
    </row>
    <row r="414" spans="1:13" ht="13.8" customHeight="1" x14ac:dyDescent="0.3">
      <c r="A414" s="1">
        <f>Annex!A148</f>
        <v>413</v>
      </c>
      <c r="B414" s="1" t="str">
        <f>IF(LEFT(Annex!H148,5)="Local","Local Transmission",Annex!H148)</f>
        <v>Imported</v>
      </c>
      <c r="C414" s="1" t="str">
        <f>Annex!J148</f>
        <v>Male</v>
      </c>
      <c r="D414" s="1">
        <f>Annex!D148</f>
        <v>29</v>
      </c>
      <c r="E414" s="1" t="str">
        <f>Annex!K148</f>
        <v>Singaporean</v>
      </c>
      <c r="F414" s="1" t="str">
        <f>Annex!L148</f>
        <v xml:space="preserve">Case 413 is a Imported case, 29 years old male Singapore Citizen  and has been to Switzerland . He is currently admitted at NCID . </v>
      </c>
      <c r="G414" s="2">
        <v>43911</v>
      </c>
      <c r="H414" s="1"/>
      <c r="I414" s="1"/>
      <c r="J414" s="1"/>
      <c r="K414" s="1"/>
      <c r="L414" s="1" t="str">
        <f>Annex!C148</f>
        <v xml:space="preserve">NCID </v>
      </c>
      <c r="M414" s="5" t="s">
        <v>1131</v>
      </c>
    </row>
    <row r="415" spans="1:13" ht="13.8" customHeight="1" x14ac:dyDescent="0.3">
      <c r="A415" s="1">
        <f>Annex!A149</f>
        <v>414</v>
      </c>
      <c r="B415" s="1" t="str">
        <f>IF(LEFT(Annex!H149,5)="Local","Local Transmission",Annex!H149)</f>
        <v>Imported</v>
      </c>
      <c r="C415" s="1" t="str">
        <f>Annex!J149</f>
        <v>Male</v>
      </c>
      <c r="D415" s="1">
        <f>Annex!D149</f>
        <v>37</v>
      </c>
      <c r="E415" s="1" t="str">
        <f>Annex!K149</f>
        <v>Australia</v>
      </c>
      <c r="F415" s="1" t="str">
        <f>Annex!L149</f>
        <v xml:space="preserve">Case 414 is a Imported case, 37 years old male Australia (Long Term Pass holder)  and has been to US . He is currently admitted at NCID . </v>
      </c>
      <c r="G415" s="2">
        <v>43911</v>
      </c>
      <c r="H415" s="1"/>
      <c r="I415" s="1"/>
      <c r="J415" s="1"/>
      <c r="K415" s="1"/>
      <c r="L415" s="1" t="str">
        <f>Annex!C149</f>
        <v xml:space="preserve">NCID </v>
      </c>
      <c r="M415" s="5" t="s">
        <v>1131</v>
      </c>
    </row>
    <row r="416" spans="1:13" ht="13.8" customHeight="1" x14ac:dyDescent="0.3">
      <c r="A416" s="1">
        <f>Annex!A150</f>
        <v>415</v>
      </c>
      <c r="B416" s="1" t="str">
        <f>IF(LEFT(Annex!H150,5)="Local","Local Transmission",Annex!H150)</f>
        <v xml:space="preserve">Imported </v>
      </c>
      <c r="C416" s="1" t="str">
        <f>Annex!J150</f>
        <v>Female</v>
      </c>
      <c r="D416" s="1">
        <f>Annex!D150</f>
        <v>64</v>
      </c>
      <c r="E416" s="1" t="str">
        <f>Annex!K150</f>
        <v xml:space="preserve">Indonesia </v>
      </c>
      <c r="F416" s="1" t="str">
        <f>Annex!L150</f>
        <v>Case 415 is a Imported  case, 64 years old female Indonesia  and has been to Indonesia . She is currently admitted at NCID . Family member of Case 212</v>
      </c>
      <c r="G416" s="2">
        <v>43911</v>
      </c>
      <c r="H416" s="1"/>
      <c r="I416" s="1"/>
      <c r="J416" s="1"/>
      <c r="K416" s="1"/>
      <c r="L416" s="1" t="str">
        <f>Annex!C150</f>
        <v xml:space="preserve">NCID </v>
      </c>
      <c r="M416" s="5" t="s">
        <v>1131</v>
      </c>
    </row>
    <row r="417" spans="1:13" ht="13.8" customHeight="1" x14ac:dyDescent="0.3">
      <c r="A417" s="1">
        <f>Annex!A151</f>
        <v>416</v>
      </c>
      <c r="B417" s="1" t="str">
        <f>IF(LEFT(Annex!H151,5)="Local","Local Transmission",Annex!H151)</f>
        <v>Imported</v>
      </c>
      <c r="C417" s="1" t="str">
        <f>Annex!J151</f>
        <v>Male</v>
      </c>
      <c r="D417" s="1">
        <f>Annex!D151</f>
        <v>21</v>
      </c>
      <c r="E417" s="1" t="str">
        <f>Annex!K151</f>
        <v>Singaporean</v>
      </c>
      <c r="F417" s="1" t="str">
        <f>Annex!L151</f>
        <v xml:space="preserve">Case 416 is a Imported case, 21 years old male Singapore Citizen  and has been to UK . He is currently admitted at NCID . </v>
      </c>
      <c r="G417" s="2">
        <v>43911</v>
      </c>
      <c r="H417" s="1"/>
      <c r="I417" s="1"/>
      <c r="J417" s="1"/>
      <c r="K417" s="1"/>
      <c r="L417" s="1" t="str">
        <f>Annex!C151</f>
        <v xml:space="preserve">NCID </v>
      </c>
      <c r="M417" s="5" t="s">
        <v>1131</v>
      </c>
    </row>
    <row r="418" spans="1:13" ht="13.8" customHeight="1" x14ac:dyDescent="0.3">
      <c r="A418" s="1">
        <f>Annex!A152</f>
        <v>417</v>
      </c>
      <c r="B418" s="1" t="str">
        <f>IF(LEFT(Annex!H152,5)="Local","Local Transmission",Annex!H152)</f>
        <v>Imported</v>
      </c>
      <c r="C418" s="1" t="str">
        <f>Annex!J152</f>
        <v>Female</v>
      </c>
      <c r="D418" s="1">
        <f>Annex!D152</f>
        <v>18</v>
      </c>
      <c r="E418" s="1" t="str">
        <f>Annex!K152</f>
        <v>France</v>
      </c>
      <c r="F418" s="1" t="str">
        <f>Annex!L152</f>
        <v xml:space="preserve">Case 417 is a Imported case, 18 years old female France (Long Term Pass holder)  and has been to UK . She is currently admitted at NCID . </v>
      </c>
      <c r="G418" s="2">
        <v>43911</v>
      </c>
      <c r="H418" s="1"/>
      <c r="I418" s="1"/>
      <c r="J418" s="1"/>
      <c r="K418" s="1"/>
      <c r="L418" s="1" t="str">
        <f>Annex!C152</f>
        <v xml:space="preserve">NCID </v>
      </c>
      <c r="M418" s="5" t="s">
        <v>1131</v>
      </c>
    </row>
    <row r="419" spans="1:13" ht="13.8" customHeight="1" x14ac:dyDescent="0.3">
      <c r="A419" s="1">
        <f>Annex!A153</f>
        <v>418</v>
      </c>
      <c r="B419" s="1" t="str">
        <f>IF(LEFT(Annex!H153,5)="Local","Local Transmission",Annex!H153)</f>
        <v xml:space="preserve">Imported </v>
      </c>
      <c r="C419" s="1" t="str">
        <f>Annex!J153</f>
        <v>Male</v>
      </c>
      <c r="D419" s="1">
        <f>Annex!D153</f>
        <v>44</v>
      </c>
      <c r="E419" s="1" t="str">
        <f>Annex!K153</f>
        <v>Singaporean</v>
      </c>
      <c r="F419" s="1" t="str">
        <f>Annex!L153</f>
        <v xml:space="preserve">Case 418 is a Imported  case, 44 years old male Singapore Permanent Resident  and has been to US . He is currently admitted at NCID . </v>
      </c>
      <c r="G419" s="2">
        <v>43911</v>
      </c>
      <c r="H419" s="1"/>
      <c r="I419" s="1"/>
      <c r="J419" s="1"/>
      <c r="K419" s="1"/>
      <c r="L419" s="1" t="str">
        <f>Annex!C153</f>
        <v xml:space="preserve">NCID </v>
      </c>
      <c r="M419" s="5" t="s">
        <v>1131</v>
      </c>
    </row>
    <row r="420" spans="1:13" ht="13.8" customHeight="1" x14ac:dyDescent="0.3">
      <c r="A420" s="1">
        <f>Annex!A154</f>
        <v>419</v>
      </c>
      <c r="B420" s="1" t="str">
        <f>IF(LEFT(Annex!H154,5)="Local","Local Transmission",Annex!H154)</f>
        <v>Imported</v>
      </c>
      <c r="C420" s="1" t="str">
        <f>Annex!J154</f>
        <v>Male</v>
      </c>
      <c r="D420" s="1">
        <f>Annex!D154</f>
        <v>45</v>
      </c>
      <c r="E420" s="1" t="str">
        <f>Annex!K154</f>
        <v xml:space="preserve">Netherlands </v>
      </c>
      <c r="F420" s="1" t="str">
        <f>Annex!L154</f>
        <v xml:space="preserve">Case 419 is a Imported case, 45 years old male Netherlands  and has been to Pending . He is currently admitted at NCID . </v>
      </c>
      <c r="G420" s="2">
        <v>43911</v>
      </c>
      <c r="H420" s="1"/>
      <c r="I420" s="1"/>
      <c r="J420" s="1"/>
      <c r="K420" s="1"/>
      <c r="L420" s="1" t="str">
        <f>Annex!C154</f>
        <v xml:space="preserve">NCID </v>
      </c>
      <c r="M420" s="5" t="s">
        <v>1131</v>
      </c>
    </row>
    <row r="421" spans="1:13" ht="13.8" customHeight="1" x14ac:dyDescent="0.3">
      <c r="A421" s="1">
        <f>Annex!A155</f>
        <v>420</v>
      </c>
      <c r="B421" s="1" t="str">
        <f>IF(LEFT(Annex!H155,5)="Local","Local Transmission",Annex!H155)</f>
        <v>Imported</v>
      </c>
      <c r="C421" s="1" t="str">
        <f>Annex!J155</f>
        <v>Female</v>
      </c>
      <c r="D421" s="1">
        <f>Annex!D155</f>
        <v>21</v>
      </c>
      <c r="E421" s="1" t="str">
        <f>Annex!K155</f>
        <v>Singaporean</v>
      </c>
      <c r="F421" s="1" t="str">
        <f>Annex!L155</f>
        <v xml:space="preserve">Case 420 is a Imported case, 21 years old female Singapore Citizen  and has been to UK . She is currently admitted at NCID . </v>
      </c>
      <c r="G421" s="2">
        <v>43911</v>
      </c>
      <c r="H421" s="1"/>
      <c r="I421" s="1"/>
      <c r="J421" s="1"/>
      <c r="K421" s="1"/>
      <c r="L421" s="1" t="str">
        <f>Annex!C155</f>
        <v xml:space="preserve">NCID </v>
      </c>
      <c r="M421" s="5" t="s">
        <v>1131</v>
      </c>
    </row>
    <row r="422" spans="1:13" ht="13.8" customHeight="1" x14ac:dyDescent="0.3">
      <c r="A422" s="1">
        <f>Annex!A156</f>
        <v>421</v>
      </c>
      <c r="B422" s="1" t="str">
        <f>IF(LEFT(Annex!H156,5)="Local","Local Transmission",Annex!H156)</f>
        <v>Imported</v>
      </c>
      <c r="C422" s="1" t="str">
        <f>Annex!J156</f>
        <v>Male</v>
      </c>
      <c r="D422" s="1">
        <f>Annex!D156</f>
        <v>23</v>
      </c>
      <c r="E422" s="1" t="str">
        <f>Annex!K156</f>
        <v>Singaporean</v>
      </c>
      <c r="F422" s="1" t="str">
        <f>Annex!L156</f>
        <v xml:space="preserve">Case 421 is a Imported case, 23 years old male Singapore Citizen  and has been to UK . He is currently admitted at NCID . </v>
      </c>
      <c r="G422" s="2">
        <v>43911</v>
      </c>
      <c r="H422" s="1"/>
      <c r="I422" s="1"/>
      <c r="J422" s="1"/>
      <c r="K422" s="1"/>
      <c r="L422" s="1" t="str">
        <f>Annex!C156</f>
        <v xml:space="preserve">NCID </v>
      </c>
      <c r="M422" s="5" t="s">
        <v>1131</v>
      </c>
    </row>
    <row r="423" spans="1:13" ht="13.8" customHeight="1" x14ac:dyDescent="0.3">
      <c r="A423" s="1">
        <f>Annex!A157</f>
        <v>422</v>
      </c>
      <c r="B423" s="1" t="str">
        <f>IF(LEFT(Annex!H157,5)="Local","Local Transmission",Annex!H157)</f>
        <v>Imported</v>
      </c>
      <c r="C423" s="1" t="str">
        <f>Annex!J157</f>
        <v>Female</v>
      </c>
      <c r="D423" s="1">
        <f>Annex!D157</f>
        <v>56</v>
      </c>
      <c r="E423" s="1" t="str">
        <f>Annex!K157</f>
        <v>Singaporean</v>
      </c>
      <c r="F423" s="1" t="str">
        <f>Annex!L157</f>
        <v xml:space="preserve">Case 422 is a Imported case, 56 years old female Singapore Citizen  and has been to US . She is currently admitted at NCID . </v>
      </c>
      <c r="G423" s="2">
        <v>43911</v>
      </c>
      <c r="H423" s="1"/>
      <c r="I423" s="1"/>
      <c r="J423" s="1"/>
      <c r="K423" s="1"/>
      <c r="L423" s="1" t="str">
        <f>Annex!C157</f>
        <v xml:space="preserve">NCID </v>
      </c>
      <c r="M423" s="5" t="s">
        <v>1131</v>
      </c>
    </row>
    <row r="424" spans="1:13" ht="13.8" customHeight="1" x14ac:dyDescent="0.3">
      <c r="A424" s="1">
        <f>Annex!A158</f>
        <v>423</v>
      </c>
      <c r="B424" s="1" t="str">
        <f>IF(LEFT(Annex!H158,5)="Local","Local Transmission",Annex!H158)</f>
        <v>Imported</v>
      </c>
      <c r="C424" s="1" t="str">
        <f>Annex!J158</f>
        <v>Male</v>
      </c>
      <c r="D424" s="1">
        <f>Annex!D158</f>
        <v>24</v>
      </c>
      <c r="E424" s="1" t="str">
        <f>Annex!K158</f>
        <v>Singaporean</v>
      </c>
      <c r="F424" s="1" t="str">
        <f>Annex!L158</f>
        <v xml:space="preserve">Case 423 is a Imported case, 24 years old male Singapore Citizen  and has been to Ireland . He is currently admitted at NCID . </v>
      </c>
      <c r="G424" s="2">
        <v>43911</v>
      </c>
      <c r="H424" s="1"/>
      <c r="I424" s="1"/>
      <c r="J424" s="1"/>
      <c r="K424" s="1"/>
      <c r="L424" s="1" t="str">
        <f>Annex!C158</f>
        <v xml:space="preserve">NCID </v>
      </c>
      <c r="M424" s="5" t="s">
        <v>1131</v>
      </c>
    </row>
    <row r="425" spans="1:13" ht="13.8" customHeight="1" x14ac:dyDescent="0.3">
      <c r="A425" s="1">
        <f>Annex!A159</f>
        <v>424</v>
      </c>
      <c r="B425" s="1" t="str">
        <f>IF(LEFT(Annex!H159,5)="Local","Local Transmission",Annex!H159)</f>
        <v xml:space="preserve">Imported </v>
      </c>
      <c r="C425" s="1" t="str">
        <f>Annex!J159</f>
        <v>Male</v>
      </c>
      <c r="D425" s="1">
        <f>Annex!D159</f>
        <v>24</v>
      </c>
      <c r="E425" s="1" t="str">
        <f>Annex!K159</f>
        <v>Singaporean</v>
      </c>
      <c r="F425" s="1" t="str">
        <f>Annex!L159</f>
        <v>Case 424 is a Imported  case, 24 years old male Singapore Citizen  and has been to US . He is currently admitted at CGH . Contact of Case 425</v>
      </c>
      <c r="G425" s="2">
        <v>43911</v>
      </c>
      <c r="H425" s="1"/>
      <c r="I425" s="1"/>
      <c r="J425" s="1"/>
      <c r="K425" s="1"/>
      <c r="L425" s="1" t="str">
        <f>Annex!C159</f>
        <v xml:space="preserve">CGH </v>
      </c>
      <c r="M425" s="5" t="s">
        <v>1131</v>
      </c>
    </row>
    <row r="426" spans="1:13" ht="13.8" customHeight="1" x14ac:dyDescent="0.3">
      <c r="A426" s="1">
        <f>Annex!A160</f>
        <v>425</v>
      </c>
      <c r="B426" s="1" t="str">
        <f>IF(LEFT(Annex!H160,5)="Local","Local Transmission",Annex!H160)</f>
        <v xml:space="preserve">Imported </v>
      </c>
      <c r="C426" s="1" t="str">
        <f>Annex!J160</f>
        <v>Female</v>
      </c>
      <c r="D426" s="1">
        <f>Annex!D160</f>
        <v>21</v>
      </c>
      <c r="E426" s="1" t="str">
        <f>Annex!K160</f>
        <v>Singaporean</v>
      </c>
      <c r="F426" s="1" t="str">
        <f>Annex!L160</f>
        <v>Case 425 is a Imported  case, 21 years old female Singapore Citizen  and has been to US . She is currently admitted at CGH . Contact of Case 424</v>
      </c>
      <c r="G426" s="2">
        <v>43911</v>
      </c>
      <c r="H426" s="1"/>
      <c r="I426" s="1"/>
      <c r="J426" s="1"/>
      <c r="K426" s="1"/>
      <c r="L426" s="1" t="str">
        <f>Annex!C160</f>
        <v xml:space="preserve">CGH </v>
      </c>
      <c r="M426" s="5" t="s">
        <v>1131</v>
      </c>
    </row>
    <row r="427" spans="1:13" ht="13.8" customHeight="1" x14ac:dyDescent="0.3">
      <c r="A427" s="1">
        <f>Annex!A161</f>
        <v>426</v>
      </c>
      <c r="B427" s="1" t="str">
        <f>IF(LEFT(Annex!H161,5)="Local","Local Transmission",Annex!H161)</f>
        <v>Local Transmission</v>
      </c>
      <c r="C427" s="1" t="str">
        <f>Annex!J161</f>
        <v>Female</v>
      </c>
      <c r="D427" s="1">
        <f>Annex!D161</f>
        <v>55</v>
      </c>
      <c r="E427" s="1" t="str">
        <f>Annex!K161</f>
        <v>Singaporean</v>
      </c>
      <c r="F427" s="1" t="str">
        <f>Annex!L161</f>
        <v xml:space="preserve">Case 426 is a Local Unlinked case, 55 years old female Singapore Citizen  and has not been overseas. She is currently admitted at NCID . </v>
      </c>
      <c r="G427" s="2">
        <v>43911</v>
      </c>
      <c r="H427" s="1"/>
      <c r="I427" s="1"/>
      <c r="J427" s="1"/>
      <c r="K427" s="1"/>
      <c r="L427" s="1" t="str">
        <f>Annex!C161</f>
        <v xml:space="preserve">NCID </v>
      </c>
      <c r="M427" s="5" t="s">
        <v>1131</v>
      </c>
    </row>
    <row r="428" spans="1:13" ht="13.8" customHeight="1" x14ac:dyDescent="0.3">
      <c r="A428" s="1">
        <f>Annex!A162</f>
        <v>427</v>
      </c>
      <c r="B428" s="1" t="str">
        <f>IF(LEFT(Annex!H162,5)="Local","Local Transmission",Annex!H162)</f>
        <v>Imported</v>
      </c>
      <c r="C428" s="1" t="str">
        <f>Annex!J162</f>
        <v>Male</v>
      </c>
      <c r="D428" s="1">
        <f>Annex!D162</f>
        <v>39</v>
      </c>
      <c r="E428" s="1" t="str">
        <f>Annex!K162</f>
        <v>Singaporean</v>
      </c>
      <c r="F428" s="1" t="str">
        <f>Annex!L162</f>
        <v xml:space="preserve">Case 427 is a Imported case, 39 years old male Singapore Citizen  and has been to US . He is currently admitted at NCID . </v>
      </c>
      <c r="G428" s="2">
        <v>43911</v>
      </c>
      <c r="H428" s="1"/>
      <c r="I428" s="1"/>
      <c r="J428" s="1"/>
      <c r="K428" s="1"/>
      <c r="L428" s="1" t="str">
        <f>Annex!C162</f>
        <v xml:space="preserve">NCID </v>
      </c>
      <c r="M428" s="5" t="s">
        <v>1131</v>
      </c>
    </row>
    <row r="429" spans="1:13" ht="13.8" customHeight="1" x14ac:dyDescent="0.3">
      <c r="A429" s="1">
        <f>Annex!A163</f>
        <v>428</v>
      </c>
      <c r="B429" s="1" t="str">
        <f>IF(LEFT(Annex!H163,5)="Local","Local Transmission",Annex!H163)</f>
        <v>Imported</v>
      </c>
      <c r="C429" s="1" t="str">
        <f>Annex!J163</f>
        <v>Male</v>
      </c>
      <c r="D429" s="1">
        <f>Annex!D163</f>
        <v>22</v>
      </c>
      <c r="E429" s="1" t="str">
        <f>Annex!K163</f>
        <v>Singaporean</v>
      </c>
      <c r="F429" s="1" t="str">
        <f>Annex!L163</f>
        <v xml:space="preserve">Case 428 is a Imported case, 22 years old male Singapore Citizen  and has been to UK . He is currently admitted at NCID . </v>
      </c>
      <c r="G429" s="2">
        <v>43911</v>
      </c>
      <c r="H429" s="1"/>
      <c r="I429" s="1"/>
      <c r="J429" s="1"/>
      <c r="K429" s="1"/>
      <c r="L429" s="1" t="str">
        <f>Annex!C163</f>
        <v xml:space="preserve">NCID </v>
      </c>
      <c r="M429" s="5" t="s">
        <v>1131</v>
      </c>
    </row>
    <row r="430" spans="1:13" ht="13.8" customHeight="1" x14ac:dyDescent="0.3">
      <c r="A430" s="1">
        <f>Annex!A164</f>
        <v>429</v>
      </c>
      <c r="B430" s="1" t="str">
        <f>IF(LEFT(Annex!H164,5)="Local","Local Transmission",Annex!H164)</f>
        <v>Imported</v>
      </c>
      <c r="C430" s="1" t="str">
        <f>Annex!J164</f>
        <v>Female</v>
      </c>
      <c r="D430" s="1">
        <f>Annex!D164</f>
        <v>31</v>
      </c>
      <c r="E430" s="1" t="str">
        <f>Annex!K164</f>
        <v>Singaporean</v>
      </c>
      <c r="F430" s="1" t="str">
        <f>Annex!L164</f>
        <v xml:space="preserve">Case 429 is a Imported case, 31 years old female Singapore Citizen  and has been to Germany, UK . She is currently admitted at NCID . </v>
      </c>
      <c r="G430" s="2">
        <v>43911</v>
      </c>
      <c r="H430" s="1"/>
      <c r="I430" s="1"/>
      <c r="J430" s="1"/>
      <c r="K430" s="1"/>
      <c r="L430" s="1" t="str">
        <f>Annex!C164</f>
        <v xml:space="preserve">NCID </v>
      </c>
      <c r="M430" s="5" t="s">
        <v>1131</v>
      </c>
    </row>
    <row r="431" spans="1:13" ht="13.8" customHeight="1" x14ac:dyDescent="0.3">
      <c r="A431" s="1">
        <f>Annex!A165</f>
        <v>430</v>
      </c>
      <c r="B431" s="1" t="str">
        <f>IF(LEFT(Annex!H165,5)="Local","Local Transmission",Annex!H165)</f>
        <v>Local Transmission</v>
      </c>
      <c r="C431" s="1" t="str">
        <f>Annex!J165</f>
        <v>Female</v>
      </c>
      <c r="D431" s="1">
        <f>Annex!D165</f>
        <v>59</v>
      </c>
      <c r="E431" s="1" t="str">
        <f>Annex!K165</f>
        <v>Singaporean</v>
      </c>
      <c r="F431" s="1" t="str">
        <f>Annex!L165</f>
        <v>Case 430 is a Local linked  case, 59 years old female Singapore Citizen  and has not been overseas. She is currently admitted at NCID . Family member of Case 350</v>
      </c>
      <c r="G431" s="2">
        <v>43911</v>
      </c>
      <c r="H431" s="1"/>
      <c r="I431" s="1"/>
      <c r="J431" s="1"/>
      <c r="K431" s="1"/>
      <c r="L431" s="1" t="str">
        <f>Annex!C165</f>
        <v xml:space="preserve">NCID </v>
      </c>
      <c r="M431" s="5" t="s">
        <v>1131</v>
      </c>
    </row>
    <row r="432" spans="1:13" ht="13.8" customHeight="1" x14ac:dyDescent="0.3">
      <c r="A432" s="1">
        <f>Annex!A166</f>
        <v>431</v>
      </c>
      <c r="B432" s="1" t="str">
        <f>IF(LEFT(Annex!H166,5)="Local","Local Transmission",Annex!H166)</f>
        <v>Imported</v>
      </c>
      <c r="C432" s="1" t="str">
        <f>Annex!J166</f>
        <v>Male</v>
      </c>
      <c r="D432" s="1">
        <f>Annex!D166</f>
        <v>58</v>
      </c>
      <c r="E432" s="1" t="str">
        <f>Annex!K166</f>
        <v>Singaporean</v>
      </c>
      <c r="F432" s="1" t="str">
        <f>Annex!L166</f>
        <v xml:space="preserve">Case 431 is a Imported case, 58 years old male Singapore Citizen  and has been to UK . He is currently admitted at NCID . </v>
      </c>
      <c r="G432" s="2">
        <v>43911</v>
      </c>
      <c r="H432" s="1"/>
      <c r="I432" s="1"/>
      <c r="J432" s="1"/>
      <c r="K432" s="1"/>
      <c r="L432" s="1" t="str">
        <f>Annex!C166</f>
        <v xml:space="preserve">NCID </v>
      </c>
      <c r="M432" s="5" t="s">
        <v>1131</v>
      </c>
    </row>
    <row r="433" spans="1:13" ht="13.8" customHeight="1" x14ac:dyDescent="0.3">
      <c r="A433" s="1">
        <f>Annex!A167</f>
        <v>432</v>
      </c>
      <c r="B433" s="1" t="str">
        <f>IF(LEFT(Annex!H167,5)="Local","Local Transmission",Annex!H167)</f>
        <v xml:space="preserve">Imported </v>
      </c>
      <c r="C433" s="1" t="str">
        <f>Annex!J167</f>
        <v>Female</v>
      </c>
      <c r="D433" s="1">
        <f>Annex!D167</f>
        <v>53</v>
      </c>
      <c r="E433" s="1" t="str">
        <f>Annex!K167</f>
        <v>UK</v>
      </c>
      <c r="F433" s="1" t="str">
        <f>Annex!L167</f>
        <v xml:space="preserve">Case 432 is a Imported  case, 53 years old female UK (Long Term Pass holder)  and has been to Indonesia . She is currently admitted at NCID . </v>
      </c>
      <c r="G433" s="2">
        <v>43911</v>
      </c>
      <c r="H433" s="1"/>
      <c r="I433" s="1"/>
      <c r="J433" s="1"/>
      <c r="K433" s="1"/>
      <c r="L433" s="1" t="str">
        <f>Annex!C167</f>
        <v xml:space="preserve">NCID </v>
      </c>
      <c r="M433" s="5" t="s">
        <v>1131</v>
      </c>
    </row>
    <row r="434" spans="1:13" ht="13.8" customHeight="1" x14ac:dyDescent="0.3">
      <c r="A434" s="1">
        <f>Annex!A168</f>
        <v>433</v>
      </c>
      <c r="B434" s="1" t="str">
        <f>IF(LEFT(Annex!H168,5)="Local","Local Transmission",Annex!H168)</f>
        <v>Imported</v>
      </c>
      <c r="C434" s="1" t="str">
        <f>Annex!J168</f>
        <v>Male</v>
      </c>
      <c r="D434" s="1">
        <f>Annex!D168</f>
        <v>24</v>
      </c>
      <c r="E434" s="1" t="str">
        <f>Annex!K168</f>
        <v>Singaporean</v>
      </c>
      <c r="F434" s="1" t="str">
        <f>Annex!L168</f>
        <v xml:space="preserve">Case 433 is a Imported case, 24 years old male Singapore Citizen  and has been to Canada . He is currently admitted at KTPH . </v>
      </c>
      <c r="G434" s="2">
        <v>43912</v>
      </c>
      <c r="H434" s="1"/>
      <c r="I434" s="1"/>
      <c r="J434" s="1"/>
      <c r="K434" s="1"/>
      <c r="L434" s="1" t="str">
        <f>Annex!C168</f>
        <v xml:space="preserve">KTPH </v>
      </c>
      <c r="M434" s="5" t="s">
        <v>1134</v>
      </c>
    </row>
    <row r="435" spans="1:13" ht="13.8" customHeight="1" x14ac:dyDescent="0.3">
      <c r="A435" s="1">
        <f>Annex!A169</f>
        <v>434</v>
      </c>
      <c r="B435" s="1" t="str">
        <f>IF(LEFT(Annex!H169,5)="Local","Local Transmission",Annex!H169)</f>
        <v>Local Transmission</v>
      </c>
      <c r="C435" s="1" t="str">
        <f>Annex!J169</f>
        <v>Male</v>
      </c>
      <c r="D435" s="1">
        <f>Annex!D169</f>
        <v>36</v>
      </c>
      <c r="E435" s="1" t="str">
        <f>Annex!K169</f>
        <v>Singaporean</v>
      </c>
      <c r="F435" s="1" t="str">
        <f>Annex!L169</f>
        <v xml:space="preserve">Case 434 is a Local unlinked case, 36 years old male Singapore Citizen  and has been to Malaysia . He is currently admitted at NCID . </v>
      </c>
      <c r="G435" s="2">
        <v>43912</v>
      </c>
      <c r="H435" s="1"/>
      <c r="I435" s="1"/>
      <c r="J435" s="1"/>
      <c r="K435" s="1"/>
      <c r="L435" s="1" t="str">
        <f>Annex!C169</f>
        <v xml:space="preserve">NCID </v>
      </c>
      <c r="M435" s="5" t="s">
        <v>1134</v>
      </c>
    </row>
    <row r="436" spans="1:13" ht="13.8" customHeight="1" x14ac:dyDescent="0.3">
      <c r="A436" s="1">
        <f>Annex!A170</f>
        <v>435</v>
      </c>
      <c r="B436" s="1" t="str">
        <f>IF(LEFT(Annex!H170,5)="Local","Local Transmission",Annex!H170)</f>
        <v>Imported</v>
      </c>
      <c r="C436" s="1" t="str">
        <f>Annex!J170</f>
        <v>Female</v>
      </c>
      <c r="D436" s="1">
        <f>Annex!D170</f>
        <v>30</v>
      </c>
      <c r="E436" s="1" t="str">
        <f>Annex!K170</f>
        <v>Singaporean</v>
      </c>
      <c r="F436" s="1" t="str">
        <f>Annex!L170</f>
        <v xml:space="preserve">Case 435 is a Imported case, 30 years old female Singapore Citizen  and has been to Malaysia . She is currently admitted at NCID . </v>
      </c>
      <c r="G436" s="2">
        <v>43912</v>
      </c>
      <c r="H436" s="1"/>
      <c r="I436" s="1"/>
      <c r="J436" s="1"/>
      <c r="K436" s="1"/>
      <c r="L436" s="1" t="str">
        <f>Annex!C170</f>
        <v xml:space="preserve">NCID </v>
      </c>
      <c r="M436" s="5" t="s">
        <v>1134</v>
      </c>
    </row>
    <row r="437" spans="1:13" ht="13.8" customHeight="1" x14ac:dyDescent="0.3">
      <c r="A437" s="1">
        <f>Annex!A171</f>
        <v>436</v>
      </c>
      <c r="B437" s="1" t="str">
        <f>IF(LEFT(Annex!H171,5)="Local","Local Transmission",Annex!H171)</f>
        <v>Imported</v>
      </c>
      <c r="C437" s="1" t="str">
        <f>Annex!J171</f>
        <v>Male</v>
      </c>
      <c r="D437" s="1">
        <f>Annex!D171</f>
        <v>46</v>
      </c>
      <c r="E437" s="1" t="str">
        <f>Annex!K171</f>
        <v>Singaporean</v>
      </c>
      <c r="F437" s="1" t="str">
        <f>Annex!L171</f>
        <v xml:space="preserve">Case 436 is a Imported case, 46 years old male Singapore Citizen  and has been to Philippines . He is currently admitted at NCID . </v>
      </c>
      <c r="G437" s="2">
        <v>43912</v>
      </c>
      <c r="H437" s="1"/>
      <c r="I437" s="1"/>
      <c r="J437" s="1"/>
      <c r="K437" s="1"/>
      <c r="L437" s="1" t="str">
        <f>Annex!C171</f>
        <v xml:space="preserve">NCID </v>
      </c>
      <c r="M437" s="5" t="s">
        <v>1134</v>
      </c>
    </row>
    <row r="438" spans="1:13" ht="13.8" customHeight="1" x14ac:dyDescent="0.3">
      <c r="A438" s="1">
        <f>Annex!A172</f>
        <v>437</v>
      </c>
      <c r="B438" s="1" t="str">
        <f>IF(LEFT(Annex!H172,5)="Local","Local Transmission",Annex!H172)</f>
        <v>Imported</v>
      </c>
      <c r="C438" s="1" t="str">
        <f>Annex!J172</f>
        <v>Male</v>
      </c>
      <c r="D438" s="1">
        <f>Annex!D172</f>
        <v>33</v>
      </c>
      <c r="E438" s="1" t="str">
        <f>Annex!K172</f>
        <v>UK</v>
      </c>
      <c r="F438" s="1" t="str">
        <f>Annex!L172</f>
        <v xml:space="preserve">Case 437 is a Imported case, 33 years old male UK (Singapore Work Pass holder)  and has been to Demark, Switzerland, France . He is currently admitted at SGH . </v>
      </c>
      <c r="G438" s="2">
        <v>43912</v>
      </c>
      <c r="H438" s="1"/>
      <c r="I438" s="1"/>
      <c r="J438" s="1"/>
      <c r="K438" s="1"/>
      <c r="L438" s="1" t="str">
        <f>Annex!C172</f>
        <v xml:space="preserve">SGH </v>
      </c>
      <c r="M438" s="5" t="s">
        <v>1134</v>
      </c>
    </row>
    <row r="439" spans="1:13" ht="13.8" customHeight="1" x14ac:dyDescent="0.3">
      <c r="A439" s="1">
        <f>Annex!A173</f>
        <v>438</v>
      </c>
      <c r="B439" s="1" t="str">
        <f>IF(LEFT(Annex!H173,5)="Local","Local Transmission",Annex!H173)</f>
        <v>Imported</v>
      </c>
      <c r="C439" s="1" t="str">
        <f>Annex!J173</f>
        <v>Female</v>
      </c>
      <c r="D439" s="1">
        <f>Annex!D173</f>
        <v>55</v>
      </c>
      <c r="E439" s="1" t="str">
        <f>Annex!K173</f>
        <v xml:space="preserve">US </v>
      </c>
      <c r="F439" s="1" t="str">
        <f>Annex!L173</f>
        <v xml:space="preserve">Case 438 is a Imported case, 55 years old female US  and has been to US . She is currently admitted at SGH . </v>
      </c>
      <c r="G439" s="2">
        <v>43912</v>
      </c>
      <c r="H439" s="1"/>
      <c r="I439" s="1"/>
      <c r="J439" s="1"/>
      <c r="K439" s="1"/>
      <c r="L439" s="1" t="str">
        <f>Annex!C173</f>
        <v xml:space="preserve">SGH </v>
      </c>
      <c r="M439" s="5" t="s">
        <v>1134</v>
      </c>
    </row>
    <row r="440" spans="1:13" ht="13.8" customHeight="1" x14ac:dyDescent="0.3">
      <c r="A440" s="1">
        <f>Annex!A174</f>
        <v>439</v>
      </c>
      <c r="B440" s="1" t="str">
        <f>IF(LEFT(Annex!H174,5)="Local","Local Transmission",Annex!H174)</f>
        <v>Imported</v>
      </c>
      <c r="C440" s="1" t="str">
        <f>Annex!J174</f>
        <v>Female</v>
      </c>
      <c r="D440" s="1">
        <f>Annex!D174</f>
        <v>55</v>
      </c>
      <c r="E440" s="1" t="str">
        <f>Annex!K174</f>
        <v>Denmark</v>
      </c>
      <c r="F440" s="1" t="str">
        <f>Annex!L174</f>
        <v xml:space="preserve">Case 439 is a Imported case, 55 years old female Denmark (Long Term Pass holder)  and has been to Denmark . She is currently admitted at NCID . </v>
      </c>
      <c r="G440" s="2">
        <v>43912</v>
      </c>
      <c r="H440" s="1"/>
      <c r="I440" s="1"/>
      <c r="J440" s="1"/>
      <c r="K440" s="1"/>
      <c r="L440" s="1" t="str">
        <f>Annex!C174</f>
        <v xml:space="preserve">NCID </v>
      </c>
      <c r="M440" s="5" t="s">
        <v>1134</v>
      </c>
    </row>
    <row r="441" spans="1:13" ht="13.8" customHeight="1" x14ac:dyDescent="0.3">
      <c r="A441" s="1">
        <f>Annex!A175</f>
        <v>440</v>
      </c>
      <c r="B441" s="1" t="str">
        <f>IF(LEFT(Annex!H175,5)="Local","Local Transmission",Annex!H175)</f>
        <v>Imported</v>
      </c>
      <c r="C441" s="1" t="str">
        <f>Annex!J175</f>
        <v>Male</v>
      </c>
      <c r="D441" s="1">
        <f>Annex!D175</f>
        <v>55</v>
      </c>
      <c r="E441" s="1" t="str">
        <f>Annex!K175</f>
        <v>Singaporean</v>
      </c>
      <c r="F441" s="1" t="str">
        <f>Annex!L175</f>
        <v xml:space="preserve">Case 440 is a Imported case, 55 years old male Singapore Citizen  and has been to UK . He is currently admitted at NCID . </v>
      </c>
      <c r="G441" s="2">
        <v>43912</v>
      </c>
      <c r="H441" s="1"/>
      <c r="I441" s="1"/>
      <c r="J441" s="1"/>
      <c r="K441" s="1"/>
      <c r="L441" s="1" t="str">
        <f>Annex!C175</f>
        <v xml:space="preserve">NCID </v>
      </c>
      <c r="M441" s="5" t="s">
        <v>1134</v>
      </c>
    </row>
    <row r="442" spans="1:13" ht="13.8" customHeight="1" x14ac:dyDescent="0.3">
      <c r="A442" s="1">
        <f>Annex!A176</f>
        <v>441</v>
      </c>
      <c r="B442" s="1" t="str">
        <f>IF(LEFT(Annex!H176,5)="Local","Local Transmission",Annex!H176)</f>
        <v xml:space="preserve">Imported </v>
      </c>
      <c r="C442" s="1" t="str">
        <f>Annex!J176</f>
        <v>Female</v>
      </c>
      <c r="D442" s="1">
        <f>Annex!D176</f>
        <v>57</v>
      </c>
      <c r="E442" s="1" t="str">
        <f>Annex!K176</f>
        <v>Singaporean</v>
      </c>
      <c r="F442" s="1" t="str">
        <f>Annex!L176</f>
        <v>Case 441 is a Imported  case, 57 years old female Singapore Citizen  and has been to US, Mexico . She is currently admitted at NCID . Family member of Case 308; Contact of Case 277</v>
      </c>
      <c r="G442" s="2">
        <v>43912</v>
      </c>
      <c r="H442" s="1"/>
      <c r="I442" s="1"/>
      <c r="J442" s="1"/>
      <c r="K442" s="1"/>
      <c r="L442" s="1" t="str">
        <f>Annex!C176</f>
        <v xml:space="preserve">NCID </v>
      </c>
      <c r="M442" s="5" t="s">
        <v>1134</v>
      </c>
    </row>
    <row r="443" spans="1:13" ht="13.8" customHeight="1" x14ac:dyDescent="0.3">
      <c r="A443" s="1">
        <f>Annex!A177</f>
        <v>442</v>
      </c>
      <c r="B443" s="1" t="str">
        <f>IF(LEFT(Annex!H177,5)="Local","Local Transmission",Annex!H177)</f>
        <v>Local Transmission</v>
      </c>
      <c r="C443" s="1" t="str">
        <f>Annex!J177</f>
        <v>Female</v>
      </c>
      <c r="D443" s="1">
        <f>Annex!D177</f>
        <v>48</v>
      </c>
      <c r="E443" s="1" t="str">
        <f>Annex!K177</f>
        <v>Singaporean</v>
      </c>
      <c r="F443" s="1" t="str">
        <f>Annex!L177</f>
        <v>Case 442 is a Local linked  case, 48 years old female Singapore Citizen  and has not been overseas. She is currently admitted at NCID . Family member of Case 398</v>
      </c>
      <c r="G443" s="2">
        <v>43912</v>
      </c>
      <c r="H443" s="1"/>
      <c r="I443" s="1"/>
      <c r="J443" s="1"/>
      <c r="K443" s="1"/>
      <c r="L443" s="1" t="str">
        <f>Annex!C177</f>
        <v xml:space="preserve">NCID </v>
      </c>
      <c r="M443" s="5" t="s">
        <v>1134</v>
      </c>
    </row>
    <row r="444" spans="1:13" ht="13.8" customHeight="1" x14ac:dyDescent="0.3">
      <c r="A444" s="1">
        <f>Annex!A178</f>
        <v>443</v>
      </c>
      <c r="B444" s="1" t="str">
        <f>IF(LEFT(Annex!H178,5)="Local","Local Transmission",Annex!H178)</f>
        <v>Local Transmission</v>
      </c>
      <c r="C444" s="1" t="str">
        <f>Annex!J178</f>
        <v>Male</v>
      </c>
      <c r="D444" s="1">
        <f>Annex!D178</f>
        <v>29</v>
      </c>
      <c r="E444" s="1" t="str">
        <f>Annex!K178</f>
        <v>Singaporean</v>
      </c>
      <c r="F444" s="1" t="str">
        <f>Annex!L178</f>
        <v>Case 443 is a Local linked  case, 29 years old male Singapore Citizen  and has not been overseas. He is currently admitted at NUH . boulder+ Gym</v>
      </c>
      <c r="G444" s="2">
        <v>43912</v>
      </c>
      <c r="H444" s="1"/>
      <c r="I444" s="1"/>
      <c r="J444" s="1"/>
      <c r="K444" s="1"/>
      <c r="L444" s="1" t="str">
        <f>Annex!C178</f>
        <v xml:space="preserve">NUH </v>
      </c>
      <c r="M444" s="5" t="s">
        <v>1134</v>
      </c>
    </row>
    <row r="445" spans="1:13" ht="13.8" customHeight="1" x14ac:dyDescent="0.3">
      <c r="A445" s="1">
        <f>Annex!A179</f>
        <v>444</v>
      </c>
      <c r="B445" s="1" t="str">
        <f>IF(LEFT(Annex!H179,5)="Local","Local Transmission",Annex!H179)</f>
        <v>Imported</v>
      </c>
      <c r="C445" s="1" t="str">
        <f>Annex!J179</f>
        <v>Male</v>
      </c>
      <c r="D445" s="1">
        <f>Annex!D179</f>
        <v>44</v>
      </c>
      <c r="E445" s="1" t="str">
        <f>Annex!K179</f>
        <v>Singaporean</v>
      </c>
      <c r="F445" s="1" t="str">
        <f>Annex!L179</f>
        <v xml:space="preserve">Case 444 is a Imported case, 44 years old male Singapore Citizen  and has not been overseas. He is currently admitted at NCID . </v>
      </c>
      <c r="G445" s="2">
        <v>43912</v>
      </c>
      <c r="H445" s="1"/>
      <c r="I445" s="1"/>
      <c r="J445" s="1"/>
      <c r="K445" s="1"/>
      <c r="L445" s="1" t="str">
        <f>Annex!C179</f>
        <v xml:space="preserve">NCID </v>
      </c>
      <c r="M445" s="5" t="s">
        <v>1134</v>
      </c>
    </row>
    <row r="446" spans="1:13" ht="13.8" customHeight="1" x14ac:dyDescent="0.3">
      <c r="A446" s="1">
        <f>Annex!A180</f>
        <v>445</v>
      </c>
      <c r="B446" s="1" t="str">
        <f>IF(LEFT(Annex!H180,5)="Local","Local Transmission",Annex!H180)</f>
        <v>Imported</v>
      </c>
      <c r="C446" s="1" t="str">
        <f>Annex!J180</f>
        <v>Male</v>
      </c>
      <c r="D446" s="1">
        <f>Annex!D180</f>
        <v>21</v>
      </c>
      <c r="E446" s="1" t="str">
        <f>Annex!K180</f>
        <v>Singaporean</v>
      </c>
      <c r="F446" s="1" t="str">
        <f>Annex!L180</f>
        <v xml:space="preserve">Case 445 is a Imported case, 21 years old male Singapore Citizen  and has been to UK . He is currently admitted at NCID . </v>
      </c>
      <c r="G446" s="2">
        <v>43912</v>
      </c>
      <c r="H446" s="1"/>
      <c r="I446" s="1"/>
      <c r="J446" s="1"/>
      <c r="K446" s="1"/>
      <c r="L446" s="1" t="str">
        <f>Annex!C180</f>
        <v xml:space="preserve">NCID </v>
      </c>
      <c r="M446" s="5" t="s">
        <v>1134</v>
      </c>
    </row>
    <row r="447" spans="1:13" ht="13.8" customHeight="1" x14ac:dyDescent="0.3">
      <c r="A447" s="1">
        <f>Annex!A181</f>
        <v>446</v>
      </c>
      <c r="B447" s="1" t="str">
        <f>IF(LEFT(Annex!H181,5)="Local","Local Transmission",Annex!H181)</f>
        <v xml:space="preserve">Imported </v>
      </c>
      <c r="C447" s="1" t="str">
        <f>Annex!J181</f>
        <v>Female</v>
      </c>
      <c r="D447" s="1">
        <f>Annex!D181</f>
        <v>26</v>
      </c>
      <c r="E447" s="1" t="str">
        <f>Annex!K181</f>
        <v>Indonesia</v>
      </c>
      <c r="F447" s="1" t="str">
        <f>Annex!L181</f>
        <v>Case 446 is a Imported  case, 26 years old female Indonesia (Long Term Pass holder)  and has been to UK . She is currently admitted at NCID . Contact of Case 378</v>
      </c>
      <c r="G447" s="2">
        <v>43912</v>
      </c>
      <c r="H447" s="1"/>
      <c r="I447" s="1"/>
      <c r="J447" s="1"/>
      <c r="K447" s="1"/>
      <c r="L447" s="1" t="str">
        <f>Annex!C181</f>
        <v xml:space="preserve">NCID </v>
      </c>
      <c r="M447" s="5" t="s">
        <v>1134</v>
      </c>
    </row>
    <row r="448" spans="1:13" ht="13.8" customHeight="1" x14ac:dyDescent="0.3">
      <c r="A448" s="1">
        <f>Annex!A182</f>
        <v>447</v>
      </c>
      <c r="B448" s="1" t="str">
        <f>IF(LEFT(Annex!H182,5)="Local","Local Transmission",Annex!H182)</f>
        <v>Imported</v>
      </c>
      <c r="C448" s="1" t="str">
        <f>Annex!J182</f>
        <v>Female</v>
      </c>
      <c r="D448" s="1">
        <f>Annex!D182</f>
        <v>32</v>
      </c>
      <c r="E448" s="1" t="str">
        <f>Annex!K182</f>
        <v>Singaporean</v>
      </c>
      <c r="F448" s="1" t="str">
        <f>Annex!L182</f>
        <v xml:space="preserve">Case 447 is a Imported case, 32 years old female Singapore Citizen  and has been to UK . She is currently admitted at NCID . </v>
      </c>
      <c r="G448" s="2">
        <v>43912</v>
      </c>
      <c r="H448" s="1"/>
      <c r="I448" s="1"/>
      <c r="J448" s="1"/>
      <c r="K448" s="1"/>
      <c r="L448" s="1" t="str">
        <f>Annex!C182</f>
        <v xml:space="preserve">NCID </v>
      </c>
      <c r="M448" s="5" t="s">
        <v>1134</v>
      </c>
    </row>
    <row r="449" spans="1:13" ht="13.8" customHeight="1" x14ac:dyDescent="0.3">
      <c r="A449" s="1">
        <f>Annex!A183</f>
        <v>448</v>
      </c>
      <c r="B449" s="1" t="str">
        <f>IF(LEFT(Annex!H183,5)="Local","Local Transmission",Annex!H183)</f>
        <v>Imported</v>
      </c>
      <c r="C449" s="1" t="str">
        <f>Annex!J183</f>
        <v>Male</v>
      </c>
      <c r="D449" s="1">
        <f>Annex!D183</f>
        <v>21</v>
      </c>
      <c r="E449" s="1" t="str">
        <f>Annex!K183</f>
        <v>Singaporean</v>
      </c>
      <c r="F449" s="1" t="str">
        <f>Annex!L183</f>
        <v xml:space="preserve">Case 448 is a Imported case, 21 years old male Singapore Citizen  and has been to UK . He is currently admitted at NCID . </v>
      </c>
      <c r="G449" s="2">
        <v>43912</v>
      </c>
      <c r="H449" s="1"/>
      <c r="I449" s="1"/>
      <c r="J449" s="1"/>
      <c r="K449" s="1"/>
      <c r="L449" s="1" t="str">
        <f>Annex!C183</f>
        <v xml:space="preserve">NCID </v>
      </c>
      <c r="M449" s="5" t="s">
        <v>1134</v>
      </c>
    </row>
    <row r="450" spans="1:13" ht="13.8" customHeight="1" x14ac:dyDescent="0.3">
      <c r="A450" s="1">
        <f>Annex!A184</f>
        <v>449</v>
      </c>
      <c r="B450" s="1" t="str">
        <f>IF(LEFT(Annex!H184,5)="Local","Local Transmission",Annex!H184)</f>
        <v>Imported</v>
      </c>
      <c r="C450" s="1" t="str">
        <f>Annex!J184</f>
        <v>Male</v>
      </c>
      <c r="D450" s="1">
        <f>Annex!D184</f>
        <v>21</v>
      </c>
      <c r="E450" s="1" t="str">
        <f>Annex!K184</f>
        <v>Singaporean</v>
      </c>
      <c r="F450" s="1" t="str">
        <f>Annex!L184</f>
        <v xml:space="preserve">Case 449 is a Imported case, 21 years old male Singapore Citizen  and has been to UK . He is currently admitted at NCID . </v>
      </c>
      <c r="G450" s="2">
        <v>43912</v>
      </c>
      <c r="H450" s="1"/>
      <c r="I450" s="1"/>
      <c r="J450" s="1"/>
      <c r="K450" s="1"/>
      <c r="L450" s="1" t="str">
        <f>Annex!C184</f>
        <v xml:space="preserve">NCID </v>
      </c>
      <c r="M450" s="5" t="s">
        <v>1134</v>
      </c>
    </row>
    <row r="451" spans="1:13" ht="13.8" customHeight="1" x14ac:dyDescent="0.3">
      <c r="A451" s="1">
        <f>Annex!A185</f>
        <v>450</v>
      </c>
      <c r="B451" s="1" t="str">
        <f>IF(LEFT(Annex!H185,5)="Local","Local Transmission",Annex!H185)</f>
        <v>Local Transmission</v>
      </c>
      <c r="C451" s="1" t="str">
        <f>Annex!J185</f>
        <v>Male</v>
      </c>
      <c r="D451" s="1">
        <f>Annex!D185</f>
        <v>44</v>
      </c>
      <c r="E451" s="1" t="str">
        <f>Annex!K185</f>
        <v>Singaporean</v>
      </c>
      <c r="F451" s="1" t="str">
        <f>Annex!L185</f>
        <v xml:space="preserve">Case 450 is a Local unlinked case, 44 years old male Singapore Citizen  and has not been overseas. He is currently admitted at NCID . </v>
      </c>
      <c r="G451" s="2">
        <v>43912</v>
      </c>
      <c r="H451" s="1"/>
      <c r="I451" s="1"/>
      <c r="J451" s="1"/>
      <c r="K451" s="1"/>
      <c r="L451" s="1" t="str">
        <f>Annex!C185</f>
        <v xml:space="preserve">NCID </v>
      </c>
      <c r="M451" s="5" t="s">
        <v>1134</v>
      </c>
    </row>
    <row r="452" spans="1:13" ht="13.8" customHeight="1" x14ac:dyDescent="0.3">
      <c r="A452" s="1">
        <f>Annex!A186</f>
        <v>451</v>
      </c>
      <c r="B452" s="1" t="str">
        <f>IF(LEFT(Annex!H186,5)="Local","Local Transmission",Annex!H186)</f>
        <v>Local Transmission</v>
      </c>
      <c r="C452" s="1" t="str">
        <f>Annex!J186</f>
        <v>Male</v>
      </c>
      <c r="D452" s="1">
        <f>Annex!D186</f>
        <v>62</v>
      </c>
      <c r="E452" s="1" t="str">
        <f>Annex!K186</f>
        <v>Singaporean</v>
      </c>
      <c r="F452" s="1" t="str">
        <f>Annex!L186</f>
        <v>Case 451 is a Local linked  case, 62 years old male Singapore Citizen  and has not been overseas. He is currently admitted at NCID . Contact of Case 404</v>
      </c>
      <c r="G452" s="2">
        <v>43912</v>
      </c>
      <c r="H452" s="1"/>
      <c r="I452" s="1"/>
      <c r="J452" s="1"/>
      <c r="K452" s="1"/>
      <c r="L452" s="1" t="str">
        <f>Annex!C186</f>
        <v xml:space="preserve">NCID </v>
      </c>
      <c r="M452" s="5" t="s">
        <v>1134</v>
      </c>
    </row>
    <row r="453" spans="1:13" ht="13.8" customHeight="1" x14ac:dyDescent="0.3">
      <c r="A453" s="1">
        <f>Annex!A187</f>
        <v>452</v>
      </c>
      <c r="B453" s="1" t="str">
        <f>IF(LEFT(Annex!H187,5)="Local","Local Transmission",Annex!H187)</f>
        <v>Imported</v>
      </c>
      <c r="C453" s="1" t="str">
        <f>Annex!J187</f>
        <v>Female</v>
      </c>
      <c r="D453" s="1">
        <f>Annex!D187</f>
        <v>22</v>
      </c>
      <c r="E453" s="1" t="str">
        <f>Annex!K187</f>
        <v>Singaporean</v>
      </c>
      <c r="F453" s="1" t="str">
        <f>Annex!L187</f>
        <v xml:space="preserve">Case 452 is a Imported case, 22 years old female Singapore Permanent Resident  and has been to UK . She is currently admitted at NCID . </v>
      </c>
      <c r="G453" s="2">
        <v>43912</v>
      </c>
      <c r="H453" s="1"/>
      <c r="I453" s="1"/>
      <c r="J453" s="1"/>
      <c r="K453" s="1"/>
      <c r="L453" s="1" t="str">
        <f>Annex!C187</f>
        <v xml:space="preserve">NCID </v>
      </c>
      <c r="M453" s="5" t="s">
        <v>1134</v>
      </c>
    </row>
    <row r="454" spans="1:13" ht="13.8" customHeight="1" x14ac:dyDescent="0.3">
      <c r="A454" s="1">
        <f>Annex!A188</f>
        <v>453</v>
      </c>
      <c r="B454" s="1" t="str">
        <f>IF(LEFT(Annex!H188,5)="Local","Local Transmission",Annex!H188)</f>
        <v>Imported</v>
      </c>
      <c r="C454" s="1" t="str">
        <f>Annex!J188</f>
        <v>Male</v>
      </c>
      <c r="D454" s="1">
        <f>Annex!D188</f>
        <v>41</v>
      </c>
      <c r="E454" s="1" t="str">
        <f>Annex!K188</f>
        <v>India</v>
      </c>
      <c r="F454" s="1" t="str">
        <f>Annex!L188</f>
        <v xml:space="preserve">Case 453 is a Imported case, 41 years old male India (Long Term Pass holder)  and has been to UK . He is currently admitted at NCID . </v>
      </c>
      <c r="G454" s="2">
        <v>43912</v>
      </c>
      <c r="H454" s="1"/>
      <c r="I454" s="1"/>
      <c r="J454" s="1"/>
      <c r="K454" s="1"/>
      <c r="L454" s="1" t="str">
        <f>Annex!C188</f>
        <v xml:space="preserve">NCID </v>
      </c>
      <c r="M454" s="5" t="s">
        <v>1134</v>
      </c>
    </row>
    <row r="455" spans="1:13" ht="13.8" customHeight="1" x14ac:dyDescent="0.3">
      <c r="A455" s="1">
        <f>Annex!A189</f>
        <v>454</v>
      </c>
      <c r="B455" s="1" t="str">
        <f>IF(LEFT(Annex!H189,5)="Local","Local Transmission",Annex!H189)</f>
        <v>Imported</v>
      </c>
      <c r="C455" s="1" t="str">
        <f>Annex!J189</f>
        <v>Female</v>
      </c>
      <c r="D455" s="1">
        <f>Annex!D189</f>
        <v>47</v>
      </c>
      <c r="E455" s="1" t="str">
        <f>Annex!K189</f>
        <v>Singaporean</v>
      </c>
      <c r="F455" s="1" t="str">
        <f>Annex!L189</f>
        <v xml:space="preserve">Case 454 is a Imported case, 47 years old female Singapore Citizen  and has been to US . She is currently admitted at NCID . </v>
      </c>
      <c r="G455" s="2">
        <v>43912</v>
      </c>
      <c r="H455" s="1"/>
      <c r="I455" s="1"/>
      <c r="J455" s="1"/>
      <c r="K455" s="1"/>
      <c r="L455" s="1" t="str">
        <f>Annex!C189</f>
        <v xml:space="preserve">NCID </v>
      </c>
      <c r="M455" s="5" t="s">
        <v>1134</v>
      </c>
    </row>
    <row r="456" spans="1:13" ht="13.8" customHeight="1" x14ac:dyDescent="0.3">
      <c r="A456" s="1">
        <f>Annex!A190</f>
        <v>455</v>
      </c>
      <c r="B456" s="1" t="str">
        <f>IF(LEFT(Annex!H190,5)="Local","Local Transmission",Annex!H190)</f>
        <v>Imported</v>
      </c>
      <c r="C456" s="1" t="str">
        <f>Annex!J190</f>
        <v>Male</v>
      </c>
      <c r="D456" s="1">
        <f>Annex!D190</f>
        <v>29</v>
      </c>
      <c r="E456" s="1" t="str">
        <f>Annex!K190</f>
        <v>Singaporean</v>
      </c>
      <c r="F456" s="1" t="str">
        <f>Annex!L190</f>
        <v xml:space="preserve">Case 455 is a Imported case, 29 years old male Singapore Citizen  and has been to UK . He is currently admitted at NCID . </v>
      </c>
      <c r="G456" s="2">
        <v>43912</v>
      </c>
      <c r="H456" s="1"/>
      <c r="I456" s="1"/>
      <c r="J456" s="1"/>
      <c r="K456" s="1"/>
      <c r="L456" s="1" t="str">
        <f>Annex!C190</f>
        <v xml:space="preserve">NCID </v>
      </c>
      <c r="M456" s="5" t="s">
        <v>1134</v>
      </c>
    </row>
    <row r="457" spans="1:13" ht="13.8" customHeight="1" x14ac:dyDescent="0.3">
      <c r="A457" s="1">
        <f>Annex!A191</f>
        <v>456</v>
      </c>
      <c r="B457" s="1" t="str">
        <f>IF(LEFT(Annex!H191,5)="Local","Local Transmission",Annex!H191)</f>
        <v>Imported</v>
      </c>
      <c r="C457" s="1" t="str">
        <f>Annex!J191</f>
        <v>Male</v>
      </c>
      <c r="D457" s="1">
        <f>Annex!D191</f>
        <v>24</v>
      </c>
      <c r="E457" s="1" t="str">
        <f>Annex!K191</f>
        <v>Singaporean</v>
      </c>
      <c r="F457" s="1" t="str">
        <f>Annex!L191</f>
        <v xml:space="preserve">Case 456 is a Imported case, 24 years old male Singapore Citizen  and has been to UK . He is currently admitted at CGH . </v>
      </c>
      <c r="G457" s="2">
        <v>43913</v>
      </c>
      <c r="H457" s="1"/>
      <c r="I457" s="1"/>
      <c r="J457" s="1"/>
      <c r="K457" s="1"/>
      <c r="L457" s="1" t="str">
        <f>Annex!C191</f>
        <v xml:space="preserve">CGH </v>
      </c>
      <c r="M457" s="5" t="s">
        <v>1220</v>
      </c>
    </row>
    <row r="458" spans="1:13" ht="13.8" customHeight="1" x14ac:dyDescent="0.3">
      <c r="A458" s="1">
        <f>Annex!A192</f>
        <v>457</v>
      </c>
      <c r="B458" s="1" t="str">
        <f>IF(LEFT(Annex!H192,5)="Local","Local Transmission",Annex!H192)</f>
        <v>Local Transmission</v>
      </c>
      <c r="C458" s="1" t="str">
        <f>Annex!J192</f>
        <v>Male</v>
      </c>
      <c r="D458" s="1">
        <f>Annex!D192</f>
        <v>40</v>
      </c>
      <c r="E458" s="1" t="str">
        <f>Annex!K192</f>
        <v>Myanmar</v>
      </c>
      <c r="F458" s="1" t="str">
        <f>Annex!L192</f>
        <v xml:space="preserve">Case 457 is a Local unlinked case, 40 years old male Myanmar (Singapore Work Pass holder)  and has not been overseas. He is currently admitted at CGH . </v>
      </c>
      <c r="G458" s="2">
        <v>43913</v>
      </c>
      <c r="H458" s="1"/>
      <c r="I458" s="1"/>
      <c r="J458" s="1"/>
      <c r="K458" s="1"/>
      <c r="L458" s="1" t="str">
        <f>Annex!C192</f>
        <v xml:space="preserve">CGH </v>
      </c>
      <c r="M458" s="5" t="s">
        <v>1220</v>
      </c>
    </row>
    <row r="459" spans="1:13" ht="13.8" customHeight="1" x14ac:dyDescent="0.3">
      <c r="A459" s="1">
        <f>Annex!A193</f>
        <v>458</v>
      </c>
      <c r="B459" s="1" t="str">
        <f>IF(LEFT(Annex!H193,5)="Local","Local Transmission",Annex!H193)</f>
        <v>Imported</v>
      </c>
      <c r="C459" s="1" t="str">
        <f>Annex!J193</f>
        <v>Female</v>
      </c>
      <c r="D459" s="1">
        <f>Annex!D193</f>
        <v>20</v>
      </c>
      <c r="E459" s="1" t="str">
        <f>Annex!K193</f>
        <v>Singaporean</v>
      </c>
      <c r="F459" s="1" t="str">
        <f>Annex!L193</f>
        <v xml:space="preserve">Case 458 is a Imported case, 20 years old female Singapore Citizen  and has been to UK . She is currently admitted at NCID . </v>
      </c>
      <c r="G459" s="2">
        <v>43913</v>
      </c>
      <c r="H459" s="1"/>
      <c r="I459" s="1"/>
      <c r="J459" s="1"/>
      <c r="K459" s="1"/>
      <c r="L459" s="1" t="str">
        <f>Annex!C193</f>
        <v xml:space="preserve">NCID </v>
      </c>
      <c r="M459" s="5" t="s">
        <v>1220</v>
      </c>
    </row>
    <row r="460" spans="1:13" ht="13.8" customHeight="1" x14ac:dyDescent="0.3">
      <c r="A460" s="1">
        <f>Annex!A194</f>
        <v>459</v>
      </c>
      <c r="B460" s="1" t="str">
        <f>IF(LEFT(Annex!H194,5)="Local","Local Transmission",Annex!H194)</f>
        <v>Local Transmission</v>
      </c>
      <c r="C460" s="1" t="str">
        <f>Annex!J194</f>
        <v>Male</v>
      </c>
      <c r="D460" s="1">
        <f>Annex!D194</f>
        <v>67</v>
      </c>
      <c r="E460" s="1" t="str">
        <f>Annex!K194</f>
        <v>Singaporean</v>
      </c>
      <c r="F460" s="1" t="str">
        <f>Annex!L194</f>
        <v xml:space="preserve">Case 459 is a Local unlinked case, 67 years old male Singapore Citizen  and has not been overseas. He is currently admitted at AH . </v>
      </c>
      <c r="G460" s="2">
        <v>43913</v>
      </c>
      <c r="H460" s="1"/>
      <c r="I460" s="1"/>
      <c r="J460" s="1"/>
      <c r="K460" s="1"/>
      <c r="L460" s="1" t="str">
        <f>Annex!C194</f>
        <v xml:space="preserve">AH </v>
      </c>
      <c r="M460" s="5" t="s">
        <v>1220</v>
      </c>
    </row>
    <row r="461" spans="1:13" ht="13.8" customHeight="1" x14ac:dyDescent="0.3">
      <c r="A461" s="1">
        <f>Annex!A195</f>
        <v>460</v>
      </c>
      <c r="B461" s="1" t="str">
        <f>IF(LEFT(Annex!H195,5)="Local","Local Transmission",Annex!H195)</f>
        <v>Imported</v>
      </c>
      <c r="C461" s="1" t="str">
        <f>Annex!J195</f>
        <v>Female</v>
      </c>
      <c r="D461" s="1">
        <f>Annex!D195</f>
        <v>23</v>
      </c>
      <c r="E461" s="1" t="str">
        <f>Annex!K195</f>
        <v xml:space="preserve">New Zealand </v>
      </c>
      <c r="F461" s="1" t="str">
        <f>Annex!L195</f>
        <v xml:space="preserve">Case 460 is a Imported case, 23 years old female New Zealand  and has been to UK . She is currently admitted at NUH . </v>
      </c>
      <c r="G461" s="2">
        <v>43913</v>
      </c>
      <c r="H461" s="1"/>
      <c r="I461" s="1"/>
      <c r="J461" s="1"/>
      <c r="K461" s="1"/>
      <c r="L461" s="1" t="str">
        <f>Annex!C195</f>
        <v xml:space="preserve">NUH </v>
      </c>
      <c r="M461" s="5" t="s">
        <v>1220</v>
      </c>
    </row>
    <row r="462" spans="1:13" ht="13.8" customHeight="1" x14ac:dyDescent="0.3">
      <c r="A462" s="1">
        <f>Annex!A196</f>
        <v>461</v>
      </c>
      <c r="B462" s="1" t="str">
        <f>IF(LEFT(Annex!H196,5)="Local","Local Transmission",Annex!H196)</f>
        <v>Imported</v>
      </c>
      <c r="C462" s="1" t="str">
        <f>Annex!J196</f>
        <v>Female</v>
      </c>
      <c r="D462" s="1">
        <f>Annex!D196</f>
        <v>49</v>
      </c>
      <c r="E462" s="1" t="str">
        <f>Annex!K196</f>
        <v>Singaporean</v>
      </c>
      <c r="F462" s="1" t="str">
        <f>Annex!L196</f>
        <v xml:space="preserve">Case 461 is a Imported case, 49 years old female Singapore Citizen  and has been to Malaysia . She is currently admitted at NUH . </v>
      </c>
      <c r="G462" s="2">
        <v>43913</v>
      </c>
      <c r="H462" s="1"/>
      <c r="I462" s="1"/>
      <c r="J462" s="1"/>
      <c r="K462" s="1"/>
      <c r="L462" s="1" t="str">
        <f>Annex!C196</f>
        <v xml:space="preserve">NUH </v>
      </c>
      <c r="M462" s="5" t="s">
        <v>1220</v>
      </c>
    </row>
    <row r="463" spans="1:13" ht="13.8" customHeight="1" x14ac:dyDescent="0.3">
      <c r="A463" s="1">
        <f>Annex!A197</f>
        <v>462</v>
      </c>
      <c r="B463" s="1" t="str">
        <f>IF(LEFT(Annex!H197,5)="Local","Local Transmission",Annex!H197)</f>
        <v>Imported</v>
      </c>
      <c r="C463" s="1" t="str">
        <f>Annex!J197</f>
        <v>Female</v>
      </c>
      <c r="D463" s="1">
        <f>Annex!D197</f>
        <v>20</v>
      </c>
      <c r="E463" s="1" t="str">
        <f>Annex!K197</f>
        <v>Singaporean</v>
      </c>
      <c r="F463" s="1" t="str">
        <f>Annex!L197</f>
        <v xml:space="preserve">Case 462 is a Imported case, 20 years old female Singapore Citizen  and has been to UK . She is currently admitted at CGH . </v>
      </c>
      <c r="G463" s="2">
        <v>43913</v>
      </c>
      <c r="H463" s="1"/>
      <c r="I463" s="1"/>
      <c r="J463" s="1"/>
      <c r="K463" s="1"/>
      <c r="L463" s="1" t="str">
        <f>Annex!C197</f>
        <v xml:space="preserve">CGH </v>
      </c>
      <c r="M463" s="5" t="s">
        <v>1220</v>
      </c>
    </row>
    <row r="464" spans="1:13" ht="13.8" customHeight="1" x14ac:dyDescent="0.3">
      <c r="A464" s="1">
        <f>Annex!A198</f>
        <v>463</v>
      </c>
      <c r="B464" s="1" t="str">
        <f>IF(LEFT(Annex!H198,5)="Local","Local Transmission",Annex!H198)</f>
        <v>Imported</v>
      </c>
      <c r="C464" s="1" t="str">
        <f>Annex!J198</f>
        <v>Male</v>
      </c>
      <c r="D464" s="1">
        <f>Annex!D198</f>
        <v>64</v>
      </c>
      <c r="E464" s="1" t="str">
        <f>Annex!K198</f>
        <v>Singaporean</v>
      </c>
      <c r="F464" s="1" t="str">
        <f>Annex!L198</f>
        <v xml:space="preserve">Case 463 is a Imported case, 64 years old male Singapore Citizen  and has been to Malaysia, Indonesia . He is currently admitted at NTFGH . </v>
      </c>
      <c r="G464" s="2">
        <v>43913</v>
      </c>
      <c r="H464" s="1"/>
      <c r="I464" s="1"/>
      <c r="J464" s="1"/>
      <c r="K464" s="1"/>
      <c r="L464" s="1" t="str">
        <f>Annex!C198</f>
        <v xml:space="preserve">NTFGH </v>
      </c>
      <c r="M464" s="5" t="s">
        <v>1220</v>
      </c>
    </row>
    <row r="465" spans="1:13" ht="13.8" customHeight="1" x14ac:dyDescent="0.3">
      <c r="A465" s="1">
        <f>Annex!A199</f>
        <v>464</v>
      </c>
      <c r="B465" s="1" t="str">
        <f>IF(LEFT(Annex!H199,5)="Local","Local Transmission",Annex!H199)</f>
        <v>Imported</v>
      </c>
      <c r="C465" s="1" t="str">
        <f>Annex!J199</f>
        <v>Male</v>
      </c>
      <c r="D465" s="1">
        <f>Annex!D199</f>
        <v>23</v>
      </c>
      <c r="E465" s="1" t="str">
        <f>Annex!K199</f>
        <v>Singaporean</v>
      </c>
      <c r="F465" s="1" t="str">
        <f>Annex!L199</f>
        <v xml:space="preserve">Case 464 is a Imported case, 23 years old male Singapore Citizen  and has been to UK . He is currently admitted at NTFGH . </v>
      </c>
      <c r="G465" s="2">
        <v>43913</v>
      </c>
      <c r="H465" s="1"/>
      <c r="I465" s="1"/>
      <c r="J465" s="1"/>
      <c r="K465" s="1"/>
      <c r="L465" s="1" t="str">
        <f>Annex!C199</f>
        <v xml:space="preserve">NTFGH </v>
      </c>
      <c r="M465" s="5" t="s">
        <v>1220</v>
      </c>
    </row>
    <row r="466" spans="1:13" ht="13.8" customHeight="1" x14ac:dyDescent="0.3">
      <c r="A466" s="1">
        <f>Annex!A200</f>
        <v>465</v>
      </c>
      <c r="B466" s="1" t="str">
        <f>IF(LEFT(Annex!H200,5)="Local","Local Transmission",Annex!H200)</f>
        <v>Imported</v>
      </c>
      <c r="C466" s="1" t="str">
        <f>Annex!J200</f>
        <v>Male</v>
      </c>
      <c r="D466" s="1">
        <f>Annex!D200</f>
        <v>41</v>
      </c>
      <c r="E466" s="1" t="str">
        <f>Annex!K200</f>
        <v>Singaporean</v>
      </c>
      <c r="F466" s="1" t="str">
        <f>Annex!L200</f>
        <v xml:space="preserve">Case 465 is a Imported case, 41 years old male Singapore Citizen  and has been to UK . He is currently admitted at NCID . </v>
      </c>
      <c r="G466" s="2">
        <v>43913</v>
      </c>
      <c r="H466" s="1"/>
      <c r="I466" s="1"/>
      <c r="J466" s="1"/>
      <c r="K466" s="1"/>
      <c r="L466" s="1" t="str">
        <f>Annex!C200</f>
        <v xml:space="preserve">NCID </v>
      </c>
      <c r="M466" s="5" t="s">
        <v>1220</v>
      </c>
    </row>
    <row r="467" spans="1:13" ht="13.8" customHeight="1" x14ac:dyDescent="0.3">
      <c r="A467" s="1">
        <f>Annex!A201</f>
        <v>466</v>
      </c>
      <c r="B467" s="1" t="str">
        <f>IF(LEFT(Annex!H201,5)="Local","Local Transmission",Annex!H201)</f>
        <v>Imported</v>
      </c>
      <c r="C467" s="1" t="str">
        <f>Annex!J201</f>
        <v>Male</v>
      </c>
      <c r="D467" s="1">
        <f>Annex!D201</f>
        <v>55</v>
      </c>
      <c r="E467" s="1" t="str">
        <f>Annex!K201</f>
        <v>Singaporean</v>
      </c>
      <c r="F467" s="1" t="str">
        <f>Annex!L201</f>
        <v xml:space="preserve">Case 466 is a Imported case, 55 years old male Singapore Permanent Resident  and has been to Indonesia . He is currently admitted at NCID . </v>
      </c>
      <c r="G467" s="2">
        <v>43913</v>
      </c>
      <c r="H467" s="1"/>
      <c r="I467" s="1"/>
      <c r="J467" s="1"/>
      <c r="K467" s="1"/>
      <c r="L467" s="1" t="str">
        <f>Annex!C201</f>
        <v xml:space="preserve">NCID </v>
      </c>
      <c r="M467" s="5" t="s">
        <v>1220</v>
      </c>
    </row>
    <row r="468" spans="1:13" ht="13.8" customHeight="1" x14ac:dyDescent="0.3">
      <c r="A468" s="1">
        <f>Annex!A202</f>
        <v>467</v>
      </c>
      <c r="B468" s="1" t="str">
        <f>IF(LEFT(Annex!H202,5)="Local","Local Transmission",Annex!H202)</f>
        <v>Imported</v>
      </c>
      <c r="C468" s="1" t="str">
        <f>Annex!J202</f>
        <v>Female</v>
      </c>
      <c r="D468" s="1">
        <f>Annex!D202</f>
        <v>20</v>
      </c>
      <c r="E468" s="1" t="str">
        <f>Annex!K202</f>
        <v>Singaporean</v>
      </c>
      <c r="F468" s="1" t="str">
        <f>Annex!L202</f>
        <v xml:space="preserve">Case 467 is a Imported case, 20 years old female Singapore Citizen  and has been to UK . She is currently admitted at NCID . </v>
      </c>
      <c r="G468" s="2">
        <v>43913</v>
      </c>
      <c r="H468" s="1"/>
      <c r="I468" s="1"/>
      <c r="J468" s="1"/>
      <c r="K468" s="1"/>
      <c r="L468" s="1" t="str">
        <f>Annex!C202</f>
        <v xml:space="preserve">NCID </v>
      </c>
      <c r="M468" s="5" t="s">
        <v>1220</v>
      </c>
    </row>
    <row r="469" spans="1:13" ht="13.8" customHeight="1" x14ac:dyDescent="0.3">
      <c r="A469" s="1">
        <f>Annex!A203</f>
        <v>468</v>
      </c>
      <c r="B469" s="1" t="str">
        <f>IF(LEFT(Annex!H203,5)="Local","Local Transmission",Annex!H203)</f>
        <v>Imported</v>
      </c>
      <c r="C469" s="1" t="str">
        <f>Annex!J203</f>
        <v>Male</v>
      </c>
      <c r="D469" s="1">
        <f>Annex!D203</f>
        <v>28</v>
      </c>
      <c r="E469" s="1" t="str">
        <f>Annex!K203</f>
        <v>Singaporean</v>
      </c>
      <c r="F469" s="1" t="str">
        <f>Annex!L203</f>
        <v xml:space="preserve">Case 468 is a Imported case, 28 years old male Singapore Permanent Resident  and has been to UK . He is currently admitted at NCID . </v>
      </c>
      <c r="G469" s="2">
        <v>43913</v>
      </c>
      <c r="H469" s="1"/>
      <c r="I469" s="1"/>
      <c r="J469" s="1"/>
      <c r="K469" s="1"/>
      <c r="L469" s="1" t="str">
        <f>Annex!C203</f>
        <v xml:space="preserve">NCID </v>
      </c>
      <c r="M469" s="5" t="s">
        <v>1220</v>
      </c>
    </row>
    <row r="470" spans="1:13" ht="13.8" customHeight="1" x14ac:dyDescent="0.3">
      <c r="A470" s="1">
        <f>Annex!A204</f>
        <v>469</v>
      </c>
      <c r="B470" s="1" t="str">
        <f>IF(LEFT(Annex!H204,5)="Local","Local Transmission",Annex!H204)</f>
        <v>Imported</v>
      </c>
      <c r="C470" s="1" t="str">
        <f>Annex!J204</f>
        <v>Male</v>
      </c>
      <c r="D470" s="1">
        <f>Annex!D204</f>
        <v>43</v>
      </c>
      <c r="E470" s="1" t="str">
        <f>Annex!K204</f>
        <v>Singaporean</v>
      </c>
      <c r="F470" s="1" t="str">
        <f>Annex!L204</f>
        <v xml:space="preserve">Case 469 is a Imported case, 43 years old male Singapore Citizen  and has been to Spain, Malaysia . He is currently admitted at NCID . </v>
      </c>
      <c r="G470" s="2">
        <v>43913</v>
      </c>
      <c r="H470" s="1"/>
      <c r="I470" s="1"/>
      <c r="J470" s="1"/>
      <c r="K470" s="1"/>
      <c r="L470" s="1" t="str">
        <f>Annex!C204</f>
        <v xml:space="preserve">NCID </v>
      </c>
      <c r="M470" s="5" t="s">
        <v>1220</v>
      </c>
    </row>
    <row r="471" spans="1:13" ht="13.8" customHeight="1" x14ac:dyDescent="0.3">
      <c r="A471" s="1">
        <f>Annex!A205</f>
        <v>470</v>
      </c>
      <c r="B471" s="1" t="str">
        <f>IF(LEFT(Annex!H205,5)="Local","Local Transmission",Annex!H205)</f>
        <v>Imported</v>
      </c>
      <c r="C471" s="1" t="str">
        <f>Annex!J205</f>
        <v>Female</v>
      </c>
      <c r="D471" s="1">
        <f>Annex!D205</f>
        <v>24</v>
      </c>
      <c r="E471" s="1" t="str">
        <f>Annex!K205</f>
        <v>Singaporean</v>
      </c>
      <c r="F471" s="1" t="str">
        <f>Annex!L205</f>
        <v xml:space="preserve">Case 470 is a Imported case, 24 years old female Singapore Permanent Resident  and has been to Indonesia . She is currently admitted at NCID . </v>
      </c>
      <c r="G471" s="2">
        <v>43913</v>
      </c>
      <c r="H471" s="1"/>
      <c r="I471" s="1"/>
      <c r="J471" s="1"/>
      <c r="K471" s="1"/>
      <c r="L471" s="1" t="str">
        <f>Annex!C205</f>
        <v xml:space="preserve">NCID </v>
      </c>
      <c r="M471" s="5" t="s">
        <v>1220</v>
      </c>
    </row>
    <row r="472" spans="1:13" ht="13.8" customHeight="1" x14ac:dyDescent="0.3">
      <c r="A472" s="1">
        <f>Annex!A206</f>
        <v>471</v>
      </c>
      <c r="B472" s="1" t="str">
        <f>IF(LEFT(Annex!H206,5)="Local","Local Transmission",Annex!H206)</f>
        <v>Imported</v>
      </c>
      <c r="C472" s="1" t="str">
        <f>Annex!J206</f>
        <v>Male</v>
      </c>
      <c r="D472" s="1">
        <f>Annex!D206</f>
        <v>22</v>
      </c>
      <c r="E472" s="1" t="str">
        <f>Annex!K206</f>
        <v>Singaporean</v>
      </c>
      <c r="F472" s="1" t="str">
        <f>Annex!L206</f>
        <v xml:space="preserve">Case 471 is a Imported case, 22 years old male Singapore Citizen  and has been to UK . He is currently admitted at NCID . </v>
      </c>
      <c r="G472" s="2">
        <v>43913</v>
      </c>
      <c r="H472" s="1"/>
      <c r="I472" s="1"/>
      <c r="J472" s="1"/>
      <c r="K472" s="1"/>
      <c r="L472" s="1" t="str">
        <f>Annex!C206</f>
        <v xml:space="preserve">NCID </v>
      </c>
      <c r="M472" s="5" t="s">
        <v>1220</v>
      </c>
    </row>
    <row r="473" spans="1:13" ht="13.8" customHeight="1" x14ac:dyDescent="0.3">
      <c r="A473" s="1">
        <f>Annex!A207</f>
        <v>472</v>
      </c>
      <c r="B473" s="1" t="str">
        <f>IF(LEFT(Annex!H207,5)="Local","Local Transmission",Annex!H207)</f>
        <v>Imported</v>
      </c>
      <c r="C473" s="1" t="str">
        <f>Annex!J207</f>
        <v>Female</v>
      </c>
      <c r="D473" s="1">
        <f>Annex!D207</f>
        <v>19</v>
      </c>
      <c r="E473" s="1" t="str">
        <f>Annex!K207</f>
        <v>Singaporean</v>
      </c>
      <c r="F473" s="1" t="str">
        <f>Annex!L207</f>
        <v xml:space="preserve">Case 472 is a Imported case, 19 years old female Singapore Citizen  and has been to UK . She is currently admitted at NCID . </v>
      </c>
      <c r="G473" s="2">
        <v>43913</v>
      </c>
      <c r="H473" s="1"/>
      <c r="I473" s="1"/>
      <c r="J473" s="1"/>
      <c r="K473" s="1"/>
      <c r="L473" s="1" t="str">
        <f>Annex!C207</f>
        <v xml:space="preserve">NCID </v>
      </c>
      <c r="M473" s="5" t="s">
        <v>1220</v>
      </c>
    </row>
    <row r="474" spans="1:13" ht="13.8" customHeight="1" x14ac:dyDescent="0.3">
      <c r="A474" s="1">
        <f>Annex!A208</f>
        <v>473</v>
      </c>
      <c r="B474" s="1" t="str">
        <f>IF(LEFT(Annex!H208,5)="Local","Local Transmission",Annex!H208)</f>
        <v>Imported</v>
      </c>
      <c r="C474" s="1" t="str">
        <f>Annex!J208</f>
        <v>Male</v>
      </c>
      <c r="D474" s="1">
        <f>Annex!D208</f>
        <v>25</v>
      </c>
      <c r="E474" s="1" t="str">
        <f>Annex!K208</f>
        <v>Singaporean</v>
      </c>
      <c r="F474" s="1" t="str">
        <f>Annex!L208</f>
        <v xml:space="preserve">Case 473 is a Imported case, 25 years old male Singapore Citizen  and has been to UK . He is currently admitted at NCID . </v>
      </c>
      <c r="G474" s="2">
        <v>43913</v>
      </c>
      <c r="H474" s="1"/>
      <c r="I474" s="1"/>
      <c r="J474" s="1"/>
      <c r="K474" s="1"/>
      <c r="L474" s="1" t="str">
        <f>Annex!C208</f>
        <v xml:space="preserve">NCID </v>
      </c>
      <c r="M474" s="5" t="s">
        <v>1220</v>
      </c>
    </row>
    <row r="475" spans="1:13" ht="13.8" customHeight="1" x14ac:dyDescent="0.3">
      <c r="A475" s="1">
        <f>Annex!A209</f>
        <v>474</v>
      </c>
      <c r="B475" s="1" t="str">
        <f>IF(LEFT(Annex!H209,5)="Local","Local Transmission",Annex!H209)</f>
        <v>Imported</v>
      </c>
      <c r="C475" s="1" t="str">
        <f>Annex!J209</f>
        <v>Female</v>
      </c>
      <c r="D475" s="1">
        <f>Annex!D209</f>
        <v>22</v>
      </c>
      <c r="E475" s="1" t="str">
        <f>Annex!K209</f>
        <v>Singaporean</v>
      </c>
      <c r="F475" s="1" t="str">
        <f>Annex!L209</f>
        <v xml:space="preserve">Case 474 is a Imported case, 22 years old female Singapore Citizen  and has been to UK . She is currently admitted at NCID . </v>
      </c>
      <c r="G475" s="2">
        <v>43913</v>
      </c>
      <c r="H475" s="1"/>
      <c r="I475" s="1"/>
      <c r="J475" s="1"/>
      <c r="K475" s="1"/>
      <c r="L475" s="1" t="str">
        <f>Annex!C209</f>
        <v xml:space="preserve">NCID </v>
      </c>
      <c r="M475" s="5" t="s">
        <v>1220</v>
      </c>
    </row>
    <row r="476" spans="1:13" ht="13.8" customHeight="1" x14ac:dyDescent="0.3">
      <c r="A476" s="1">
        <f>Annex!A210</f>
        <v>475</v>
      </c>
      <c r="B476" s="1" t="str">
        <f>IF(LEFT(Annex!H210,5)="Local","Local Transmission",Annex!H210)</f>
        <v xml:space="preserve">Imported </v>
      </c>
      <c r="C476" s="1" t="str">
        <f>Annex!J210</f>
        <v>Female</v>
      </c>
      <c r="D476" s="1">
        <f>Annex!D210</f>
        <v>22</v>
      </c>
      <c r="E476" s="1" t="str">
        <f>Annex!K210</f>
        <v>Singaporean</v>
      </c>
      <c r="F476" s="1" t="str">
        <f>Annex!L210</f>
        <v>Case 475 is a Imported  case, 22 years old female Singapore Citizen  and has been to Ireland . She is currently admitted at NCID . Contact of Case 423</v>
      </c>
      <c r="G476" s="2">
        <v>43913</v>
      </c>
      <c r="H476" s="1"/>
      <c r="I476" s="1"/>
      <c r="J476" s="1"/>
      <c r="K476" s="1"/>
      <c r="L476" s="1" t="str">
        <f>Annex!C210</f>
        <v xml:space="preserve">NCID </v>
      </c>
      <c r="M476" s="5" t="s">
        <v>1220</v>
      </c>
    </row>
    <row r="477" spans="1:13" ht="13.8" customHeight="1" x14ac:dyDescent="0.3">
      <c r="A477" s="1">
        <f>Annex!A211</f>
        <v>476</v>
      </c>
      <c r="B477" s="1" t="str">
        <f>IF(LEFT(Annex!H211,5)="Local","Local Transmission",Annex!H211)</f>
        <v xml:space="preserve">Imported </v>
      </c>
      <c r="C477" s="1" t="str">
        <f>Annex!J211</f>
        <v>Male</v>
      </c>
      <c r="D477" s="1">
        <f>Annex!D211</f>
        <v>68</v>
      </c>
      <c r="E477" s="1" t="str">
        <f>Annex!K211</f>
        <v>Indonesia</v>
      </c>
      <c r="F477" s="1" t="str">
        <f>Annex!L211</f>
        <v xml:space="preserve">Case 476 is a Imported  case, 68 years old male Indonesia (Singapore Work Pass holder)  and has been to Indonesia . He is currently admitted at NCID . </v>
      </c>
      <c r="G477" s="2">
        <v>43913</v>
      </c>
      <c r="H477" s="1"/>
      <c r="I477" s="1"/>
      <c r="J477" s="1"/>
      <c r="K477" s="1"/>
      <c r="L477" s="1" t="str">
        <f>Annex!C211</f>
        <v xml:space="preserve">NCID </v>
      </c>
      <c r="M477" s="5" t="s">
        <v>1220</v>
      </c>
    </row>
    <row r="478" spans="1:13" ht="13.8" customHeight="1" x14ac:dyDescent="0.3">
      <c r="A478" s="1">
        <f>Annex!A212</f>
        <v>477</v>
      </c>
      <c r="B478" s="1" t="str">
        <f>IF(LEFT(Annex!H212,5)="Local","Local Transmission",Annex!H212)</f>
        <v>Local Transmission</v>
      </c>
      <c r="C478" s="1" t="str">
        <f>Annex!J212</f>
        <v>Male</v>
      </c>
      <c r="D478" s="1">
        <f>Annex!D212</f>
        <v>44</v>
      </c>
      <c r="E478" s="1" t="str">
        <f>Annex!K212</f>
        <v>Ireland</v>
      </c>
      <c r="F478" s="1" t="str">
        <f>Annex!L212</f>
        <v xml:space="preserve">Case 477 is a Local unlinked case, 44 years old male Ireland (Singapore Work Pass holder)  and has not been overseas. He is currently admitted at NCID . </v>
      </c>
      <c r="G478" s="2">
        <v>43913</v>
      </c>
      <c r="H478" s="1"/>
      <c r="I478" s="1"/>
      <c r="J478" s="1"/>
      <c r="K478" s="1"/>
      <c r="L478" s="1" t="str">
        <f>Annex!C212</f>
        <v xml:space="preserve">NCID </v>
      </c>
      <c r="M478" s="5" t="s">
        <v>1220</v>
      </c>
    </row>
    <row r="479" spans="1:13" ht="13.8" customHeight="1" x14ac:dyDescent="0.3">
      <c r="A479" s="1">
        <f>Annex!A213</f>
        <v>478</v>
      </c>
      <c r="B479" s="1" t="str">
        <f>IF(LEFT(Annex!H213,5)="Local","Local Transmission",Annex!H213)</f>
        <v>Local Transmission</v>
      </c>
      <c r="C479" s="1" t="str">
        <f>Annex!J213</f>
        <v>Male</v>
      </c>
      <c r="D479" s="1">
        <f>Annex!D213</f>
        <v>80</v>
      </c>
      <c r="E479" s="1" t="str">
        <f>Annex!K213</f>
        <v>Singaporean</v>
      </c>
      <c r="F479" s="1" t="str">
        <f>Annex!L213</f>
        <v xml:space="preserve">Case 478 is a Local unlinked case, 80 years old male Singapore Citizen  and has not been overseas. He is currently admitted at NCID . </v>
      </c>
      <c r="G479" s="2">
        <v>43913</v>
      </c>
      <c r="H479" s="1"/>
      <c r="I479" s="1"/>
      <c r="J479" s="1"/>
      <c r="K479" s="1"/>
      <c r="L479" s="1" t="str">
        <f>Annex!C213</f>
        <v xml:space="preserve">NCID </v>
      </c>
      <c r="M479" s="5" t="s">
        <v>1220</v>
      </c>
    </row>
    <row r="480" spans="1:13" ht="13.8" customHeight="1" x14ac:dyDescent="0.3">
      <c r="A480" s="1">
        <f>Annex!A214</f>
        <v>479</v>
      </c>
      <c r="B480" s="1" t="str">
        <f>IF(LEFT(Annex!H214,5)="Local","Local Transmission",Annex!H214)</f>
        <v>Local Transmission</v>
      </c>
      <c r="C480" s="1" t="str">
        <f>Annex!J214</f>
        <v>Female</v>
      </c>
      <c r="D480" s="1">
        <f>Annex!D214</f>
        <v>35</v>
      </c>
      <c r="E480" s="1" t="str">
        <f>Annex!K214</f>
        <v>Indonesia</v>
      </c>
      <c r="F480" s="1" t="str">
        <f>Annex!L214</f>
        <v xml:space="preserve">Case 479 is a Local unlinked case, 35 years old female Indonesia (Singapore Work Pass holder)  and has not been overseas. She is currently admitted at NUH . </v>
      </c>
      <c r="G480" s="2">
        <v>43913</v>
      </c>
      <c r="H480" s="1"/>
      <c r="I480" s="1"/>
      <c r="J480" s="1"/>
      <c r="K480" s="1"/>
      <c r="L480" s="1" t="str">
        <f>Annex!C214</f>
        <v xml:space="preserve">NUH </v>
      </c>
      <c r="M480" s="5" t="s">
        <v>1220</v>
      </c>
    </row>
    <row r="481" spans="1:13" ht="13.8" customHeight="1" x14ac:dyDescent="0.3">
      <c r="A481" s="1">
        <f>Annex!A215</f>
        <v>480</v>
      </c>
      <c r="B481" s="1" t="str">
        <f>IF(LEFT(Annex!H215,5)="Local","Local Transmission",Annex!H215)</f>
        <v>Local Transmission</v>
      </c>
      <c r="C481" s="1" t="str">
        <f>Annex!J215</f>
        <v>Female</v>
      </c>
      <c r="D481" s="1">
        <f>Annex!D215</f>
        <v>52</v>
      </c>
      <c r="E481" s="1" t="str">
        <f>Annex!K215</f>
        <v>Singaporean</v>
      </c>
      <c r="F481" s="1" t="str">
        <f>Annex!L215</f>
        <v xml:space="preserve">Case 480 is a Local unlinked case, 52 years old female Singapore Citizen  and has not been overseas. She is currently admitted at KTPH . </v>
      </c>
      <c r="G481" s="2">
        <v>43913</v>
      </c>
      <c r="H481" s="1"/>
      <c r="I481" s="1"/>
      <c r="J481" s="1"/>
      <c r="K481" s="1"/>
      <c r="L481" s="1" t="str">
        <f>Annex!C215</f>
        <v xml:space="preserve">KTPH </v>
      </c>
      <c r="M481" s="5" t="s">
        <v>1220</v>
      </c>
    </row>
    <row r="482" spans="1:13" ht="13.8" customHeight="1" x14ac:dyDescent="0.3">
      <c r="A482" s="1">
        <f>Annex!A216</f>
        <v>481</v>
      </c>
      <c r="B482" s="1" t="str">
        <f>IF(LEFT(Annex!H216,5)="Local","Local Transmission",Annex!H216)</f>
        <v xml:space="preserve">Imported </v>
      </c>
      <c r="C482" s="1" t="str">
        <f>Annex!J216</f>
        <v>Female</v>
      </c>
      <c r="D482" s="1">
        <f>Annex!D216</f>
        <v>37</v>
      </c>
      <c r="E482" s="1" t="str">
        <f>Annex!K216</f>
        <v>Singaporean</v>
      </c>
      <c r="F482" s="1" t="str">
        <f>Annex!L216</f>
        <v>Case 481 is a Imported  case, 37 years old female Singapore Permanent Resident  and has been to UK . She is currently admitted at NCID . Family member of Case 440</v>
      </c>
      <c r="G482" s="2">
        <v>43913</v>
      </c>
      <c r="H482" s="1"/>
      <c r="I482" s="1"/>
      <c r="J482" s="1"/>
      <c r="K482" s="1"/>
      <c r="L482" s="1" t="str">
        <f>Annex!C216</f>
        <v xml:space="preserve">NCID </v>
      </c>
      <c r="M482" s="5" t="s">
        <v>1220</v>
      </c>
    </row>
    <row r="483" spans="1:13" ht="13.8" customHeight="1" x14ac:dyDescent="0.3">
      <c r="A483" s="1">
        <f>Annex!A217</f>
        <v>482</v>
      </c>
      <c r="B483" s="1" t="str">
        <f>IF(LEFT(Annex!H217,5)="Local","Local Transmission",Annex!H217)</f>
        <v>Imported</v>
      </c>
      <c r="C483" s="1" t="str">
        <f>Annex!J217</f>
        <v>Male</v>
      </c>
      <c r="D483" s="1">
        <f>Annex!D217</f>
        <v>35</v>
      </c>
      <c r="E483" s="1" t="str">
        <f>Annex!K217</f>
        <v>Singaporean</v>
      </c>
      <c r="F483" s="1" t="str">
        <f>Annex!L217</f>
        <v xml:space="preserve">Case 482 is a Imported case, 35 years old male Singapore Citizen  and has been to US . He is currently admitted at NCID . </v>
      </c>
      <c r="G483" s="2">
        <v>43913</v>
      </c>
      <c r="H483" s="1"/>
      <c r="I483" s="1"/>
      <c r="J483" s="1"/>
      <c r="K483" s="1"/>
      <c r="L483" s="1" t="str">
        <f>Annex!C217</f>
        <v xml:space="preserve">NCID </v>
      </c>
      <c r="M483" s="5" t="s">
        <v>1220</v>
      </c>
    </row>
    <row r="484" spans="1:13" ht="13.8" customHeight="1" x14ac:dyDescent="0.3">
      <c r="A484" s="1">
        <f>Annex!A218</f>
        <v>483</v>
      </c>
      <c r="B484" s="1" t="str">
        <f>IF(LEFT(Annex!H218,5)="Local","Local Transmission",Annex!H218)</f>
        <v>Imported</v>
      </c>
      <c r="C484" s="1" t="str">
        <f>Annex!J218</f>
        <v>Female</v>
      </c>
      <c r="D484" s="1">
        <f>Annex!D218</f>
        <v>28</v>
      </c>
      <c r="E484" s="1" t="str">
        <f>Annex!K218</f>
        <v>Singaporean</v>
      </c>
      <c r="F484" s="1" t="str">
        <f>Annex!L218</f>
        <v xml:space="preserve">Case 483 is a Imported case, 28 years old female Singapore Citizen  and has been to US . She is currently admitted at NCID . </v>
      </c>
      <c r="G484" s="2">
        <v>43913</v>
      </c>
      <c r="H484" s="1"/>
      <c r="I484" s="1"/>
      <c r="J484" s="1"/>
      <c r="K484" s="1"/>
      <c r="L484" s="1" t="str">
        <f>Annex!C218</f>
        <v xml:space="preserve">NCID </v>
      </c>
      <c r="M484" s="5" t="s">
        <v>1220</v>
      </c>
    </row>
    <row r="485" spans="1:13" ht="13.8" customHeight="1" x14ac:dyDescent="0.3">
      <c r="A485" s="1">
        <f>Annex!A219</f>
        <v>484</v>
      </c>
      <c r="B485" s="1" t="str">
        <f>IF(LEFT(Annex!H219,5)="Local","Local Transmission",Annex!H219)</f>
        <v>Imported</v>
      </c>
      <c r="C485" s="1" t="str">
        <f>Annex!J219</f>
        <v>Male</v>
      </c>
      <c r="D485" s="1">
        <f>Annex!D219</f>
        <v>21</v>
      </c>
      <c r="E485" s="1" t="str">
        <f>Annex!K219</f>
        <v>Singaporean</v>
      </c>
      <c r="F485" s="1" t="str">
        <f>Annex!L219</f>
        <v xml:space="preserve">Case 484 is a Imported case, 21 years old male Singapore Citizen  and has been to UK . He is currently admitted at NCID . </v>
      </c>
      <c r="G485" s="2">
        <v>43913</v>
      </c>
      <c r="H485" s="1"/>
      <c r="I485" s="1"/>
      <c r="J485" s="1"/>
      <c r="K485" s="1"/>
      <c r="L485" s="1" t="str">
        <f>Annex!C219</f>
        <v xml:space="preserve">NCID </v>
      </c>
      <c r="M485" s="5" t="s">
        <v>1220</v>
      </c>
    </row>
    <row r="486" spans="1:13" ht="13.8" customHeight="1" x14ac:dyDescent="0.3">
      <c r="A486" s="1">
        <f>Annex!A220</f>
        <v>485</v>
      </c>
      <c r="B486" s="1" t="str">
        <f>IF(LEFT(Annex!H220,5)="Local","Local Transmission",Annex!H220)</f>
        <v>Imported</v>
      </c>
      <c r="C486" s="1" t="str">
        <f>Annex!J220</f>
        <v>Male</v>
      </c>
      <c r="D486" s="1">
        <f>Annex!D220</f>
        <v>20</v>
      </c>
      <c r="E486" s="1" t="str">
        <f>Annex!K220</f>
        <v>Singaporean</v>
      </c>
      <c r="F486" s="1" t="str">
        <f>Annex!L220</f>
        <v xml:space="preserve">Case 485 is a Imported case, 20 years old male Singapore Citizen  and has been to UK . He is currently admitted at NCID . </v>
      </c>
      <c r="G486" s="2">
        <v>43913</v>
      </c>
      <c r="H486" s="1"/>
      <c r="I486" s="1"/>
      <c r="J486" s="1"/>
      <c r="K486" s="1"/>
      <c r="L486" s="1" t="str">
        <f>Annex!C220</f>
        <v xml:space="preserve">NCID </v>
      </c>
      <c r="M486" s="5" t="s">
        <v>1220</v>
      </c>
    </row>
    <row r="487" spans="1:13" ht="13.8" customHeight="1" x14ac:dyDescent="0.3">
      <c r="A487" s="1">
        <f>Annex!A221</f>
        <v>486</v>
      </c>
      <c r="B487" s="1" t="str">
        <f>IF(LEFT(Annex!H221,5)="Local","Local Transmission",Annex!H221)</f>
        <v>Imported</v>
      </c>
      <c r="C487" s="1" t="str">
        <f>Annex!J221</f>
        <v>Male</v>
      </c>
      <c r="D487" s="1">
        <f>Annex!D221</f>
        <v>22</v>
      </c>
      <c r="E487" s="1" t="str">
        <f>Annex!K221</f>
        <v>Singaporean</v>
      </c>
      <c r="F487" s="1" t="str">
        <f>Annex!L221</f>
        <v xml:space="preserve">Case 486 is a Imported case, 22 years old male Singapore Citizen  and has been to UK . He is currently admitted at NCID . </v>
      </c>
      <c r="G487" s="2">
        <v>43913</v>
      </c>
      <c r="H487" s="1"/>
      <c r="I487" s="1"/>
      <c r="J487" s="1"/>
      <c r="K487" s="1"/>
      <c r="L487" s="1" t="str">
        <f>Annex!C221</f>
        <v xml:space="preserve">NCID </v>
      </c>
      <c r="M487" s="5" t="s">
        <v>1220</v>
      </c>
    </row>
    <row r="488" spans="1:13" ht="13.8" customHeight="1" x14ac:dyDescent="0.3">
      <c r="A488" s="1">
        <f>Annex!A222</f>
        <v>487</v>
      </c>
      <c r="B488" s="1" t="str">
        <f>IF(LEFT(Annex!H222,5)="Local","Local Transmission",Annex!H222)</f>
        <v>Imported</v>
      </c>
      <c r="C488" s="1" t="str">
        <f>Annex!J222</f>
        <v>Male</v>
      </c>
      <c r="D488" s="1">
        <f>Annex!D222</f>
        <v>72</v>
      </c>
      <c r="E488" s="1" t="str">
        <f>Annex!K222</f>
        <v>Singaporean</v>
      </c>
      <c r="F488" s="1" t="str">
        <f>Annex!L222</f>
        <v xml:space="preserve">Case 487 is a Imported case, 72 years old male Singapore Citizen  and has been to Indonesia . He is currently admitted at NCID . </v>
      </c>
      <c r="G488" s="2">
        <v>43913</v>
      </c>
      <c r="H488" s="1"/>
      <c r="I488" s="1"/>
      <c r="J488" s="1"/>
      <c r="K488" s="1"/>
      <c r="L488" s="1" t="str">
        <f>Annex!C222</f>
        <v xml:space="preserve">NCID </v>
      </c>
      <c r="M488" s="5" t="s">
        <v>1220</v>
      </c>
    </row>
    <row r="489" spans="1:13" ht="13.8" customHeight="1" x14ac:dyDescent="0.3">
      <c r="A489" s="1">
        <f>Annex!A223</f>
        <v>488</v>
      </c>
      <c r="B489" s="1" t="str">
        <f>IF(LEFT(Annex!H223,5)="Local","Local Transmission",Annex!H223)</f>
        <v>Imported</v>
      </c>
      <c r="C489" s="1" t="str">
        <f>Annex!J223</f>
        <v>Male</v>
      </c>
      <c r="D489" s="1">
        <f>Annex!D223</f>
        <v>36</v>
      </c>
      <c r="E489" s="1" t="str">
        <f>Annex!K223</f>
        <v>Singaporean</v>
      </c>
      <c r="F489" s="1" t="str">
        <f>Annex!L223</f>
        <v xml:space="preserve">Case 488 is a Imported case, 36 years old male Singapore Citizen  and has been to UK . He is currently admitted at SKH . </v>
      </c>
      <c r="G489" s="2">
        <v>43913</v>
      </c>
      <c r="H489" s="1"/>
      <c r="I489" s="1"/>
      <c r="J489" s="1"/>
      <c r="K489" s="1"/>
      <c r="L489" s="1" t="str">
        <f>Annex!C223</f>
        <v xml:space="preserve">SKH </v>
      </c>
      <c r="M489" s="5" t="s">
        <v>1220</v>
      </c>
    </row>
    <row r="490" spans="1:13" ht="13.8" customHeight="1" x14ac:dyDescent="0.3">
      <c r="A490" s="1">
        <f>Annex!A224</f>
        <v>489</v>
      </c>
      <c r="B490" s="1" t="str">
        <f>IF(LEFT(Annex!H224,5)="Local","Local Transmission",Annex!H224)</f>
        <v>Imported</v>
      </c>
      <c r="C490" s="1" t="str">
        <f>Annex!J224</f>
        <v>Male</v>
      </c>
      <c r="D490" s="1">
        <f>Annex!D224</f>
        <v>25</v>
      </c>
      <c r="E490" s="1" t="str">
        <f>Annex!K224</f>
        <v>Singaporean</v>
      </c>
      <c r="F490" s="1" t="str">
        <f>Annex!L224</f>
        <v xml:space="preserve">Case 489 is a Imported case, 25 years old male Singapore Citizen  and has been to UK . He is currently admitted at NCID . </v>
      </c>
      <c r="G490" s="2">
        <v>43913</v>
      </c>
      <c r="H490" s="1"/>
      <c r="I490" s="1"/>
      <c r="J490" s="1"/>
      <c r="K490" s="1"/>
      <c r="L490" s="1" t="str">
        <f>Annex!C224</f>
        <v xml:space="preserve">NCID </v>
      </c>
      <c r="M490" s="5" t="s">
        <v>1220</v>
      </c>
    </row>
    <row r="491" spans="1:13" ht="13.8" customHeight="1" x14ac:dyDescent="0.3">
      <c r="A491" s="1">
        <f>Annex!A225</f>
        <v>490</v>
      </c>
      <c r="B491" s="1" t="str">
        <f>IF(LEFT(Annex!H225,5)="Local","Local Transmission",Annex!H225)</f>
        <v>Imported</v>
      </c>
      <c r="C491" s="1" t="str">
        <f>Annex!J225</f>
        <v>Male</v>
      </c>
      <c r="D491" s="1">
        <f>Annex!D225</f>
        <v>36</v>
      </c>
      <c r="E491" s="1" t="str">
        <f>Annex!K225</f>
        <v>Singaporean</v>
      </c>
      <c r="F491" s="1" t="str">
        <f>Annex!L225</f>
        <v xml:space="preserve">Case 490 is a Imported case, 36 years old male Singapore Citizen  and has been to France, UK . He is currently admitted at AH . </v>
      </c>
      <c r="G491" s="2">
        <v>43913</v>
      </c>
      <c r="H491" s="1"/>
      <c r="I491" s="1"/>
      <c r="J491" s="1"/>
      <c r="K491" s="1"/>
      <c r="L491" s="1" t="str">
        <f>Annex!C225</f>
        <v xml:space="preserve">AH </v>
      </c>
      <c r="M491" s="5" t="s">
        <v>1220</v>
      </c>
    </row>
    <row r="492" spans="1:13" ht="13.8" customHeight="1" x14ac:dyDescent="0.3">
      <c r="A492" s="1">
        <f>Annex!A226</f>
        <v>491</v>
      </c>
      <c r="B492" s="1" t="str">
        <f>IF(LEFT(Annex!H226,5)="Local","Local Transmission",Annex!H226)</f>
        <v xml:space="preserve">Imported </v>
      </c>
      <c r="C492" s="1" t="str">
        <f>Annex!J226</f>
        <v>Male</v>
      </c>
      <c r="D492" s="1">
        <f>Annex!D226</f>
        <v>22</v>
      </c>
      <c r="E492" s="1" t="str">
        <f>Annex!K226</f>
        <v>Singaporean</v>
      </c>
      <c r="F492" s="1" t="str">
        <f>Annex!L226</f>
        <v>Case 491 is a Imported  case, 22 years old male Singapore Citizen  and has been to UK . He is currently admitted at NCID . Contact of Case 269</v>
      </c>
      <c r="G492" s="2">
        <v>43913</v>
      </c>
      <c r="H492" s="1"/>
      <c r="I492" s="1"/>
      <c r="J492" s="1"/>
      <c r="K492" s="1"/>
      <c r="L492" s="1" t="str">
        <f>Annex!C226</f>
        <v xml:space="preserve">NCID </v>
      </c>
      <c r="M492" s="5" t="s">
        <v>1220</v>
      </c>
    </row>
    <row r="493" spans="1:13" ht="13.8" customHeight="1" x14ac:dyDescent="0.3">
      <c r="A493" s="1">
        <f>Annex!A227</f>
        <v>492</v>
      </c>
      <c r="B493" s="1" t="str">
        <f>IF(LEFT(Annex!H227,5)="Local","Local Transmission",Annex!H227)</f>
        <v>Imported</v>
      </c>
      <c r="C493" s="1" t="str">
        <f>Annex!J227</f>
        <v>Female</v>
      </c>
      <c r="D493" s="1">
        <f>Annex!D227</f>
        <v>24</v>
      </c>
      <c r="E493" s="1" t="str">
        <f>Annex!K227</f>
        <v>India</v>
      </c>
      <c r="F493" s="1" t="str">
        <f>Annex!L227</f>
        <v xml:space="preserve">Case 492 is a Imported case, 24 years old female India (Long Term Pass holder)  and has been to UK . She is currently admitted at NCID . </v>
      </c>
      <c r="G493" s="2">
        <v>43913</v>
      </c>
      <c r="H493" s="1"/>
      <c r="I493" s="1"/>
      <c r="J493" s="1"/>
      <c r="K493" s="1"/>
      <c r="L493" s="1" t="str">
        <f>Annex!C227</f>
        <v xml:space="preserve">NCID </v>
      </c>
      <c r="M493" s="5" t="s">
        <v>1220</v>
      </c>
    </row>
    <row r="494" spans="1:13" ht="13.8" customHeight="1" x14ac:dyDescent="0.3">
      <c r="A494" s="1">
        <f>Annex!A228</f>
        <v>493</v>
      </c>
      <c r="B494" s="1" t="str">
        <f>IF(LEFT(Annex!H228,5)="Local","Local Transmission",Annex!H228)</f>
        <v>Imported</v>
      </c>
      <c r="C494" s="1" t="str">
        <f>Annex!J228</f>
        <v>Female</v>
      </c>
      <c r="D494" s="1">
        <f>Annex!D228</f>
        <v>23</v>
      </c>
      <c r="E494" s="1" t="str">
        <f>Annex!K228</f>
        <v>Singaporean</v>
      </c>
      <c r="F494" s="1" t="str">
        <f>Annex!L228</f>
        <v xml:space="preserve">Case 493 is a Imported case, 23 years old female Singapore Citizen  and has been to UK . She is currently admitted at NCID . </v>
      </c>
      <c r="G494" s="2">
        <v>43913</v>
      </c>
      <c r="H494" s="1"/>
      <c r="I494" s="1"/>
      <c r="J494" s="1"/>
      <c r="K494" s="1"/>
      <c r="L494" s="1" t="str">
        <f>Annex!C228</f>
        <v xml:space="preserve">NCID </v>
      </c>
      <c r="M494" s="5" t="s">
        <v>1220</v>
      </c>
    </row>
    <row r="495" spans="1:13" ht="13.8" customHeight="1" x14ac:dyDescent="0.3">
      <c r="A495" s="1">
        <f>Annex!A229</f>
        <v>494</v>
      </c>
      <c r="B495" s="1" t="str">
        <f>IF(LEFT(Annex!H229,5)="Local","Local Transmission",Annex!H229)</f>
        <v>Imported</v>
      </c>
      <c r="C495" s="1" t="str">
        <f>Annex!J229</f>
        <v>Male</v>
      </c>
      <c r="D495" s="1">
        <f>Annex!D229</f>
        <v>24</v>
      </c>
      <c r="E495" s="1" t="str">
        <f>Annex!K229</f>
        <v>Singaporean</v>
      </c>
      <c r="F495" s="1" t="str">
        <f>Annex!L229</f>
        <v xml:space="preserve">Case 494 is a Imported case, 24 years old male Singapore Citizen  and has been to Sweden . He is currently admitted at NCID . </v>
      </c>
      <c r="G495" s="2">
        <v>43913</v>
      </c>
      <c r="H495" s="1"/>
      <c r="I495" s="1"/>
      <c r="J495" s="1"/>
      <c r="K495" s="1"/>
      <c r="L495" s="1" t="str">
        <f>Annex!C229</f>
        <v xml:space="preserve">NCID </v>
      </c>
      <c r="M495" s="5" t="s">
        <v>1220</v>
      </c>
    </row>
    <row r="496" spans="1:13" ht="13.8" customHeight="1" x14ac:dyDescent="0.3">
      <c r="A496" s="1">
        <f>Annex!A230</f>
        <v>495</v>
      </c>
      <c r="B496" s="1" t="str">
        <f>IF(LEFT(Annex!H230,5)="Local","Local Transmission",Annex!H230)</f>
        <v xml:space="preserve">Imported </v>
      </c>
      <c r="C496" s="1" t="str">
        <f>Annex!J230</f>
        <v>Female</v>
      </c>
      <c r="D496" s="1">
        <f>Annex!D230</f>
        <v>29</v>
      </c>
      <c r="E496" s="1" t="str">
        <f>Annex!K230</f>
        <v>Singaporean</v>
      </c>
      <c r="F496" s="1" t="str">
        <f>Annex!L230</f>
        <v>Case 495 is a Imported  case, 29 years old female Singapore Citizen  and has been to UK . She is currently admitted at NCID . Family member of Case 468</v>
      </c>
      <c r="G496" s="2">
        <v>43913</v>
      </c>
      <c r="H496" s="1"/>
      <c r="I496" s="1"/>
      <c r="J496" s="1"/>
      <c r="K496" s="1"/>
      <c r="L496" s="1" t="str">
        <f>Annex!C230</f>
        <v xml:space="preserve">NCID </v>
      </c>
      <c r="M496" s="5" t="s">
        <v>1220</v>
      </c>
    </row>
    <row r="497" spans="1:13" ht="13.8" customHeight="1" x14ac:dyDescent="0.3">
      <c r="A497" s="1">
        <f>Annex!A231</f>
        <v>496</v>
      </c>
      <c r="B497" s="1" t="str">
        <f>IF(LEFT(Annex!H231,5)="Local","Local Transmission",Annex!H231)</f>
        <v>Imported</v>
      </c>
      <c r="C497" s="1" t="str">
        <f>Annex!J231</f>
        <v>Female</v>
      </c>
      <c r="D497" s="1">
        <f>Annex!D231</f>
        <v>21</v>
      </c>
      <c r="E497" s="1" t="str">
        <f>Annex!K231</f>
        <v>Singaporean</v>
      </c>
      <c r="F497" s="1" t="str">
        <f>Annex!L231</f>
        <v xml:space="preserve">Case 496 is a Imported case, 21 years old female Singapore Citizen  and has been to UK . She is currently admitted at NCID . </v>
      </c>
      <c r="G497" s="2">
        <v>43913</v>
      </c>
      <c r="H497" s="1"/>
      <c r="I497" s="1"/>
      <c r="J497" s="1"/>
      <c r="K497" s="1"/>
      <c r="L497" s="1" t="str">
        <f>Annex!C231</f>
        <v xml:space="preserve">NCID </v>
      </c>
      <c r="M497" s="5" t="s">
        <v>1220</v>
      </c>
    </row>
    <row r="498" spans="1:13" ht="13.8" customHeight="1" x14ac:dyDescent="0.3">
      <c r="A498" s="1">
        <f>Annex!A232</f>
        <v>497</v>
      </c>
      <c r="B498" s="1" t="str">
        <f>IF(LEFT(Annex!H232,5)="Local","Local Transmission",Annex!H232)</f>
        <v>Imported</v>
      </c>
      <c r="C498" s="1" t="str">
        <f>Annex!J232</f>
        <v>Female</v>
      </c>
      <c r="D498" s="1">
        <f>Annex!D232</f>
        <v>63</v>
      </c>
      <c r="E498" s="1" t="str">
        <f>Annex!K232</f>
        <v>Singaporean</v>
      </c>
      <c r="F498" s="1" t="str">
        <f>Annex!L232</f>
        <v xml:space="preserve">Case 497 is a Imported case, 63 years old female Singapore Citizen  and has been to UK . She is currently admitted at NCID . </v>
      </c>
      <c r="G498" s="2">
        <v>43913</v>
      </c>
      <c r="H498" s="1"/>
      <c r="I498" s="1"/>
      <c r="J498" s="1"/>
      <c r="K498" s="1"/>
      <c r="L498" s="1" t="str">
        <f>Annex!C232</f>
        <v xml:space="preserve">NCID </v>
      </c>
      <c r="M498" s="5" t="s">
        <v>1220</v>
      </c>
    </row>
    <row r="499" spans="1:13" ht="13.8" customHeight="1" x14ac:dyDescent="0.3">
      <c r="A499" s="1">
        <f>Annex!A233</f>
        <v>498</v>
      </c>
      <c r="B499" s="1" t="str">
        <f>IF(LEFT(Annex!H233,5)="Local","Local Transmission",Annex!H233)</f>
        <v>Imported</v>
      </c>
      <c r="C499" s="1" t="str">
        <f>Annex!J233</f>
        <v>Female</v>
      </c>
      <c r="D499" s="1">
        <f>Annex!D233</f>
        <v>22</v>
      </c>
      <c r="E499" s="1" t="str">
        <f>Annex!K233</f>
        <v>Singaporean</v>
      </c>
      <c r="F499" s="1" t="str">
        <f>Annex!L233</f>
        <v xml:space="preserve">Case 498 is a Imported case, 22 years old female Singapore Citizen  and has been to UK . She is currently admitted at NCID . </v>
      </c>
      <c r="G499" s="2">
        <v>43913</v>
      </c>
      <c r="H499" s="1"/>
      <c r="I499" s="1"/>
      <c r="J499" s="1"/>
      <c r="K499" s="1"/>
      <c r="L499" s="1" t="str">
        <f>Annex!C233</f>
        <v xml:space="preserve">NCID </v>
      </c>
      <c r="M499" s="5" t="s">
        <v>1220</v>
      </c>
    </row>
    <row r="500" spans="1:13" ht="13.8" customHeight="1" x14ac:dyDescent="0.3">
      <c r="A500" s="1">
        <f>Annex!A234</f>
        <v>499</v>
      </c>
      <c r="B500" s="1" t="str">
        <f>IF(LEFT(Annex!H234,5)="Local","Local Transmission",Annex!H234)</f>
        <v>Imported</v>
      </c>
      <c r="C500" s="1" t="str">
        <f>Annex!J234</f>
        <v>Female</v>
      </c>
      <c r="D500" s="1">
        <f>Annex!D234</f>
        <v>27</v>
      </c>
      <c r="E500" s="1" t="str">
        <f>Annex!K234</f>
        <v>Singaporean</v>
      </c>
      <c r="F500" s="1" t="str">
        <f>Annex!L234</f>
        <v xml:space="preserve">Case 499 is a Imported case, 27 years old female Singapore Citizen  and has been to US . She is currently admitted at NCID . </v>
      </c>
      <c r="G500" s="2">
        <v>43913</v>
      </c>
      <c r="H500" s="1"/>
      <c r="I500" s="1"/>
      <c r="J500" s="1"/>
      <c r="K500" s="1"/>
      <c r="L500" s="1" t="str">
        <f>Annex!C234</f>
        <v xml:space="preserve">NCID </v>
      </c>
      <c r="M500" s="5" t="s">
        <v>1220</v>
      </c>
    </row>
    <row r="501" spans="1:13" ht="13.8" customHeight="1" x14ac:dyDescent="0.3">
      <c r="A501" s="1">
        <f>Annex!A235</f>
        <v>500</v>
      </c>
      <c r="B501" s="1" t="str">
        <f>IF(LEFT(Annex!H235,5)="Local","Local Transmission",Annex!H235)</f>
        <v>Imported</v>
      </c>
      <c r="C501" s="1" t="str">
        <f>Annex!J235</f>
        <v>Male</v>
      </c>
      <c r="D501" s="1">
        <f>Annex!D235</f>
        <v>24</v>
      </c>
      <c r="E501" s="1" t="str">
        <f>Annex!K235</f>
        <v>Singaporean</v>
      </c>
      <c r="F501" s="1" t="str">
        <f>Annex!L235</f>
        <v xml:space="preserve">Case 500 is a Imported case, 24 years old male Singapore Citizen  and has been to Switzerland, Iceland . He is currently admitted at NCID . </v>
      </c>
      <c r="G501" s="2">
        <v>43913</v>
      </c>
      <c r="H501" s="1"/>
      <c r="I501" s="1"/>
      <c r="J501" s="1"/>
      <c r="K501" s="1"/>
      <c r="L501" s="1" t="str">
        <f>Annex!C235</f>
        <v xml:space="preserve">NCID </v>
      </c>
      <c r="M501" s="5" t="s">
        <v>1220</v>
      </c>
    </row>
    <row r="502" spans="1:13" ht="13.8" customHeight="1" x14ac:dyDescent="0.3">
      <c r="A502" s="1">
        <f>Annex!A236</f>
        <v>501</v>
      </c>
      <c r="B502" s="1" t="str">
        <f>IF(LEFT(Annex!H236,5)="Local","Local Transmission",Annex!H236)</f>
        <v>Imported</v>
      </c>
      <c r="C502" s="1" t="str">
        <f>Annex!J236</f>
        <v>Male</v>
      </c>
      <c r="D502" s="1">
        <f>Annex!D236</f>
        <v>65</v>
      </c>
      <c r="E502" s="1" t="str">
        <f>Annex!K236</f>
        <v>Singaporean</v>
      </c>
      <c r="F502" s="1" t="str">
        <f>Annex!L236</f>
        <v xml:space="preserve">Case 501 is a Imported case, 65 years old male Singapore Citizen  and has been to UK . He is currently admitted at NCID . </v>
      </c>
      <c r="G502" s="2">
        <v>43913</v>
      </c>
      <c r="H502" s="1"/>
      <c r="I502" s="1"/>
      <c r="J502" s="1"/>
      <c r="K502" s="1"/>
      <c r="L502" s="1" t="str">
        <f>Annex!C236</f>
        <v xml:space="preserve">NCID </v>
      </c>
      <c r="M502" s="5" t="s">
        <v>1220</v>
      </c>
    </row>
    <row r="503" spans="1:13" ht="13.8" customHeight="1" x14ac:dyDescent="0.3">
      <c r="A503" s="1">
        <f>Annex!A237</f>
        <v>502</v>
      </c>
      <c r="B503" s="1" t="str">
        <f>IF(LEFT(Annex!H237,5)="Local","Local Transmission",Annex!H237)</f>
        <v>Imported</v>
      </c>
      <c r="C503" s="1" t="str">
        <f>Annex!J237</f>
        <v>Female</v>
      </c>
      <c r="D503" s="1">
        <f>Annex!D237</f>
        <v>74</v>
      </c>
      <c r="E503" s="1" t="str">
        <f>Annex!K237</f>
        <v>India</v>
      </c>
      <c r="F503" s="1" t="str">
        <f>Annex!L237</f>
        <v xml:space="preserve">Case 502 is a Imported case, 74 years old female India (Long Term Pass holder)  and has been to UK . She is currently admitted at NCID . </v>
      </c>
      <c r="G503" s="2">
        <v>43913</v>
      </c>
      <c r="H503" s="1"/>
      <c r="I503" s="1"/>
      <c r="J503" s="1"/>
      <c r="K503" s="1"/>
      <c r="L503" s="1" t="str">
        <f>Annex!C237</f>
        <v xml:space="preserve">NCID </v>
      </c>
      <c r="M503" s="5" t="s">
        <v>1220</v>
      </c>
    </row>
    <row r="504" spans="1:13" ht="13.8" customHeight="1" x14ac:dyDescent="0.3">
      <c r="A504" s="1">
        <f>Annex!A238</f>
        <v>503</v>
      </c>
      <c r="B504" s="1" t="str">
        <f>IF(LEFT(Annex!H238,5)="Local","Local Transmission",Annex!H238)</f>
        <v>Imported</v>
      </c>
      <c r="C504" s="1" t="str">
        <f>Annex!J238</f>
        <v>Male</v>
      </c>
      <c r="D504" s="1">
        <f>Annex!D238</f>
        <v>26</v>
      </c>
      <c r="E504" s="1" t="str">
        <f>Annex!K238</f>
        <v>Singaporean</v>
      </c>
      <c r="F504" s="1" t="str">
        <f>Annex!L238</f>
        <v xml:space="preserve">Case 503 is a Imported case, 26 years old male Singapore Citizen  and has been to UK . He is currently admitted at NCID . </v>
      </c>
      <c r="G504" s="2">
        <v>43913</v>
      </c>
      <c r="H504" s="1"/>
      <c r="I504" s="1"/>
      <c r="J504" s="1"/>
      <c r="K504" s="1"/>
      <c r="L504" s="1" t="str">
        <f>Annex!C238</f>
        <v xml:space="preserve">NCID </v>
      </c>
      <c r="M504" s="5" t="s">
        <v>1220</v>
      </c>
    </row>
    <row r="505" spans="1:13" ht="13.8" customHeight="1" x14ac:dyDescent="0.3">
      <c r="A505" s="1">
        <f>Annex!A239</f>
        <v>504</v>
      </c>
      <c r="B505" s="1" t="str">
        <f>IF(LEFT(Annex!H239,5)="Local","Local Transmission",Annex!H239)</f>
        <v>Imported</v>
      </c>
      <c r="C505" s="1" t="str">
        <f>Annex!J239</f>
        <v>Female</v>
      </c>
      <c r="D505" s="1">
        <f>Annex!D239</f>
        <v>32</v>
      </c>
      <c r="E505" s="1" t="str">
        <f>Annex!K239</f>
        <v>Singaporean</v>
      </c>
      <c r="F505" s="1" t="str">
        <f>Annex!L239</f>
        <v xml:space="preserve">Case 504 is a Imported case, 32 years old female Singapore Citizen  and has been to Netherlands, UK . She is currently admitted at NCID . </v>
      </c>
      <c r="G505" s="2">
        <v>43913</v>
      </c>
      <c r="H505" s="1"/>
      <c r="I505" s="1"/>
      <c r="J505" s="1"/>
      <c r="K505" s="1"/>
      <c r="L505" s="1" t="str">
        <f>Annex!C239</f>
        <v xml:space="preserve">NCID </v>
      </c>
      <c r="M505" s="5" t="s">
        <v>1220</v>
      </c>
    </row>
    <row r="506" spans="1:13" ht="13.8" customHeight="1" x14ac:dyDescent="0.3">
      <c r="A506" s="1">
        <f>Annex!A240</f>
        <v>505</v>
      </c>
      <c r="B506" s="1" t="str">
        <f>IF(LEFT(Annex!H240,5)="Local","Local Transmission",Annex!H240)</f>
        <v>Imported</v>
      </c>
      <c r="C506" s="1" t="str">
        <f>Annex!J240</f>
        <v>Male</v>
      </c>
      <c r="D506" s="1">
        <f>Annex!D240</f>
        <v>24</v>
      </c>
      <c r="E506" s="1" t="str">
        <f>Annex!K240</f>
        <v>Singaporean</v>
      </c>
      <c r="F506" s="1" t="str">
        <f>Annex!L240</f>
        <v xml:space="preserve">Case 505 is a Imported case, 24 years old male Singapore Citizen  and has been to UK . He is currently admitted at NCID . </v>
      </c>
      <c r="G506" s="2">
        <v>43913</v>
      </c>
      <c r="H506" s="1"/>
      <c r="I506" s="1"/>
      <c r="J506" s="1"/>
      <c r="K506" s="1"/>
      <c r="L506" s="1" t="str">
        <f>Annex!C240</f>
        <v xml:space="preserve">NCID </v>
      </c>
      <c r="M506" s="5" t="s">
        <v>1220</v>
      </c>
    </row>
    <row r="507" spans="1:13" ht="13.8" customHeight="1" x14ac:dyDescent="0.3">
      <c r="A507" s="1">
        <f>Annex!A241</f>
        <v>506</v>
      </c>
      <c r="B507" s="1" t="str">
        <f>IF(LEFT(Annex!H241,5)="Local","Local Transmission",Annex!H241)</f>
        <v>Imported</v>
      </c>
      <c r="C507" s="1" t="str">
        <f>Annex!J241</f>
        <v>Male</v>
      </c>
      <c r="D507" s="1">
        <f>Annex!D241</f>
        <v>49</v>
      </c>
      <c r="E507" s="1" t="str">
        <f>Annex!K241</f>
        <v>Australia</v>
      </c>
      <c r="F507" s="1" t="str">
        <f>Annex!L241</f>
        <v xml:space="preserve">Case 506 is a Imported case, 49 years old male Australia (Singapore Work Pass holder)  and has been to France, UK . He is currently admitted at NCID . </v>
      </c>
      <c r="G507" s="2">
        <v>43913</v>
      </c>
      <c r="H507" s="1"/>
      <c r="I507" s="1"/>
      <c r="J507" s="1"/>
      <c r="K507" s="1"/>
      <c r="L507" s="1" t="str">
        <f>Annex!C241</f>
        <v xml:space="preserve">NCID </v>
      </c>
      <c r="M507" s="5" t="s">
        <v>1220</v>
      </c>
    </row>
    <row r="508" spans="1:13" ht="13.8" customHeight="1" x14ac:dyDescent="0.3">
      <c r="A508" s="1">
        <f>Annex!A242</f>
        <v>507</v>
      </c>
      <c r="B508" s="1" t="str">
        <f>IF(LEFT(Annex!H242,5)="Local","Local Transmission",Annex!H242)</f>
        <v>Imported</v>
      </c>
      <c r="C508" s="1" t="str">
        <f>Annex!J242</f>
        <v>Female</v>
      </c>
      <c r="D508" s="1">
        <f>Annex!D242</f>
        <v>29</v>
      </c>
      <c r="E508" s="1" t="str">
        <f>Annex!K242</f>
        <v>Singaporean</v>
      </c>
      <c r="F508" s="1" t="str">
        <f>Annex!L242</f>
        <v xml:space="preserve">Case 507 is a Imported case, 29 years old female Singapore Citizen  and has been to UK . She is currently admitted at NCID . </v>
      </c>
      <c r="G508" s="2">
        <v>43913</v>
      </c>
      <c r="H508" s="1"/>
      <c r="I508" s="1"/>
      <c r="J508" s="1"/>
      <c r="K508" s="1"/>
      <c r="L508" s="1" t="str">
        <f>Annex!C242</f>
        <v xml:space="preserve">NCID </v>
      </c>
      <c r="M508" s="5" t="s">
        <v>1220</v>
      </c>
    </row>
    <row r="509" spans="1:13" ht="13.8" customHeight="1" x14ac:dyDescent="0.3">
      <c r="A509" s="1">
        <f>Annex!A243</f>
        <v>508</v>
      </c>
      <c r="B509" s="1" t="str">
        <f>IF(LEFT(Annex!H243,5)="Local","Local Transmission",Annex!H243)</f>
        <v>Imported</v>
      </c>
      <c r="C509" s="1" t="str">
        <f>Annex!J243</f>
        <v>Male</v>
      </c>
      <c r="D509" s="1">
        <f>Annex!D243</f>
        <v>23</v>
      </c>
      <c r="E509" s="1" t="str">
        <f>Annex!K243</f>
        <v>Singaporean</v>
      </c>
      <c r="F509" s="1" t="str">
        <f>Annex!L243</f>
        <v xml:space="preserve">Case 508 is a Imported case, 23 years old male Singapore Citizen  and has been to UK . He is currently admitted at NCID . </v>
      </c>
      <c r="G509" s="2">
        <v>43913</v>
      </c>
      <c r="H509" s="1"/>
      <c r="I509" s="1"/>
      <c r="J509" s="1"/>
      <c r="K509" s="1"/>
      <c r="L509" s="1" t="str">
        <f>Annex!C243</f>
        <v xml:space="preserve">NCID </v>
      </c>
      <c r="M509" s="5" t="s">
        <v>1220</v>
      </c>
    </row>
    <row r="510" spans="1:13" ht="13.8" customHeight="1" x14ac:dyDescent="0.3">
      <c r="A510" s="1">
        <f>Annex!A244</f>
        <v>509</v>
      </c>
      <c r="B510" s="1" t="str">
        <f>IF(LEFT(Annex!H244,5)="Local","Local Transmission",Annex!H244)</f>
        <v xml:space="preserve">Imported </v>
      </c>
      <c r="C510" s="1" t="str">
        <f>Annex!J244</f>
        <v>Male</v>
      </c>
      <c r="D510" s="1">
        <f>Annex!D244</f>
        <v>53</v>
      </c>
      <c r="E510" s="1" t="str">
        <f>Annex!K244</f>
        <v>Singaporean</v>
      </c>
      <c r="F510" s="1" t="str">
        <f>Annex!L244</f>
        <v>Case 509 is a Imported  case, 53 years old male Singapore Citizen  and has been to Indonesia . He is currently admitted at NCID . Contact of Case 212</v>
      </c>
      <c r="G510" s="2">
        <v>43913</v>
      </c>
      <c r="H510" s="1"/>
      <c r="I510" s="1"/>
      <c r="J510" s="1"/>
      <c r="K510" s="1"/>
      <c r="L510" s="1" t="str">
        <f>Annex!C244</f>
        <v xml:space="preserve">NCID </v>
      </c>
      <c r="M510" s="5" t="s">
        <v>1220</v>
      </c>
    </row>
  </sheetData>
  <autoFilter ref="A1:M90" xr:uid="{B4B1FAEE-450F-477A-BE8A-B1F98D96BD45}"/>
  <hyperlinks>
    <hyperlink ref="M32" r:id="rId1" xr:uid="{EFB591B9-7371-4250-8C62-5651A1730A9B}"/>
    <hyperlink ref="M33" r:id="rId2" xr:uid="{39BDCF3E-9CBB-426E-9DC7-8C9DBCFA5ADA}"/>
    <hyperlink ref="M34" r:id="rId3" xr:uid="{77D68FE3-D88D-412A-AD4E-E6F1365D96D3}"/>
    <hyperlink ref="M31" r:id="rId4" xr:uid="{6E5CC3B3-FF5E-4C52-B106-CE80B4D0F3E8}"/>
    <hyperlink ref="M42" r:id="rId5" xr:uid="{DB60E76E-EEB2-4639-A5A8-8C6607A298FD}"/>
    <hyperlink ref="M43" r:id="rId6" xr:uid="{16152A42-AE1C-4860-BC9F-18A1375B42D3}"/>
    <hyperlink ref="M44" r:id="rId7" xr:uid="{514A44E5-67E2-432C-A212-539BB420849F}"/>
    <hyperlink ref="M45" r:id="rId8" xr:uid="{D462DED1-F111-4779-ACFD-A77111CCB953}"/>
    <hyperlink ref="M46" r:id="rId9" xr:uid="{6A25B273-11B5-4876-A6B0-D3B7A95D2FA5}"/>
    <hyperlink ref="M35" r:id="rId10" xr:uid="{1F99ADDB-FC2E-4C82-BABC-31A34A5678F3}"/>
    <hyperlink ref="M36" r:id="rId11" xr:uid="{F6B67785-3CAD-477A-9B87-A0007E9A80D2}"/>
    <hyperlink ref="M37" r:id="rId12" xr:uid="{7AA415A2-7E11-4121-9A8C-3E19381B5742}"/>
    <hyperlink ref="M38" r:id="rId13" xr:uid="{D03A9887-73C7-4073-BDA7-E22ED356004C}"/>
    <hyperlink ref="M39" r:id="rId14" xr:uid="{7C52CCB3-00D4-4381-A6C6-157FEF8A75C3}"/>
    <hyperlink ref="M40" r:id="rId15" xr:uid="{013728CF-DCF3-4A10-8DCA-61C5EEFB1758}"/>
    <hyperlink ref="M41" r:id="rId16" xr:uid="{BC622A11-A815-4C27-96DB-E59D64A694C4}"/>
    <hyperlink ref="M47" r:id="rId17" xr:uid="{5D28CD03-0B39-469E-8DE6-DCD8BB4209CF}"/>
    <hyperlink ref="M48" r:id="rId18" xr:uid="{EA337B42-5B24-4637-AC9B-33172C74C5AE}"/>
    <hyperlink ref="M20" r:id="rId19" xr:uid="{B86C7A5E-FF28-4287-B1B6-FB5AD370A42D}"/>
    <hyperlink ref="M21" r:id="rId20" xr:uid="{240FA270-903E-435A-9D34-947B99668438}"/>
    <hyperlink ref="M22" r:id="rId21" xr:uid="{E1668338-8FAE-40F6-A63D-C622AC8147E2}"/>
    <hyperlink ref="M23" r:id="rId22" xr:uid="{2CFBAE3D-3353-480D-B4CA-04200DA843FB}"/>
    <hyperlink ref="M24" r:id="rId23" xr:uid="{CA299B73-7DE7-44DD-A576-FB3C31B0CE18}"/>
    <hyperlink ref="M25" r:id="rId24" xr:uid="{22771273-0BA9-4D80-B787-6322F6DCA92F}"/>
    <hyperlink ref="M26" r:id="rId25" xr:uid="{0E6983AF-4368-4292-90BE-3CD95242747C}"/>
    <hyperlink ref="M27" r:id="rId26" xr:uid="{FBAA27E7-F2F5-49C4-84D6-6A38FDB3D299}"/>
    <hyperlink ref="M28" r:id="rId27" xr:uid="{DD376E5A-3307-4DAF-8384-79B379DAAD12}"/>
    <hyperlink ref="M29" r:id="rId28" xr:uid="{87BC7281-90D4-4E27-91B8-4DE53B199B42}"/>
    <hyperlink ref="M30" r:id="rId29" xr:uid="{9B6CB6EA-F3E1-47B1-8D82-8E3390D4CFCB}"/>
    <hyperlink ref="M49" r:id="rId30" xr:uid="{EC09659E-8517-4D65-B7BC-E0CC7D1E5815}"/>
    <hyperlink ref="M50" r:id="rId31" xr:uid="{534D9DF4-4FD8-47C0-9A87-1885A48838DE}"/>
    <hyperlink ref="M51" r:id="rId32" xr:uid="{87481290-E20E-4A36-AEE9-4BF692874A1D}"/>
    <hyperlink ref="M60" r:id="rId33" xr:uid="{277F45DA-1232-44F5-AFF5-C1B219B6324D}"/>
    <hyperlink ref="M61" r:id="rId34" xr:uid="{D0969A87-F018-4D46-B445-8AAD978AA986}"/>
    <hyperlink ref="M62" r:id="rId35" xr:uid="{B2FBCA98-0F61-44C5-BF7D-CCC1929C2333}"/>
    <hyperlink ref="M63" r:id="rId36" xr:uid="{099E6598-B051-4ACB-8AA4-ACD648224A2F}"/>
    <hyperlink ref="M64" r:id="rId37" xr:uid="{41863FCA-FCA4-48A2-8BA8-CCFC3670F077}"/>
    <hyperlink ref="M65" r:id="rId38" xr:uid="{91B7855B-69EB-4164-96A6-8D92F5FE565C}"/>
    <hyperlink ref="M66" r:id="rId39" xr:uid="{1B53526A-7EEC-4752-9C07-13EE2CDA7491}"/>
    <hyperlink ref="M67" r:id="rId40" xr:uid="{7DB93D72-620F-45FA-8145-3AD7E3D41E42}"/>
    <hyperlink ref="M68" r:id="rId41" xr:uid="{9E3A73E8-D986-4A95-83C0-84841257E527}"/>
    <hyperlink ref="M69" r:id="rId42" xr:uid="{290F6E81-5985-447D-BA9F-93C6ADB44861}"/>
    <hyperlink ref="M70" r:id="rId43" xr:uid="{027746E8-12FC-450A-A9C9-70761DBAF356}"/>
    <hyperlink ref="M71" r:id="rId44" xr:uid="{93079146-DADB-488E-9F75-E1BAA76AB2BD}"/>
    <hyperlink ref="M72" r:id="rId45" xr:uid="{01139638-21B2-408B-9839-29C5AFB2A17B}"/>
    <hyperlink ref="M73" r:id="rId46" xr:uid="{7C878684-109A-47EE-B88C-088B30408FB5}"/>
    <hyperlink ref="M74" r:id="rId47" xr:uid="{A2C1C47C-14CB-416D-B9DF-81310BB53AEC}"/>
    <hyperlink ref="M75" r:id="rId48" xr:uid="{5CA4D625-4631-4A60-A705-0B9ED234CACA}"/>
    <hyperlink ref="M76" r:id="rId49" xr:uid="{407B85EB-B561-4920-BA3A-DBADDAD614B0}"/>
    <hyperlink ref="M77" r:id="rId50" xr:uid="{9CE5DC14-BD75-4124-805C-A4F08A707201}"/>
    <hyperlink ref="M78" r:id="rId51" xr:uid="{B64F761F-1A25-407C-809E-E0A6AD4FE58C}"/>
    <hyperlink ref="M79" r:id="rId52" xr:uid="{E798519E-49D1-4936-A237-515952AB2EDE}"/>
    <hyperlink ref="M80" r:id="rId53" xr:uid="{75C42458-B313-48FB-BFD1-AA3BE8B41973}"/>
    <hyperlink ref="M81" r:id="rId54" xr:uid="{25281B51-5D5C-46A3-8FD1-2B1625837512}"/>
    <hyperlink ref="M82" r:id="rId55" xr:uid="{19B2F2CA-BA3D-4932-9494-2498A7998C82}"/>
    <hyperlink ref="M83" r:id="rId56" xr:uid="{49E31C79-FE1C-4BE0-B727-4B813955C7BE}"/>
    <hyperlink ref="M84" r:id="rId57" xr:uid="{D0DD7EC0-2F3A-47DC-B239-4A1D5FAC372F}"/>
    <hyperlink ref="M85" r:id="rId58" xr:uid="{B6748C5E-E63C-48BA-AD64-844611E0E2D5}"/>
    <hyperlink ref="M86" r:id="rId59" xr:uid="{DCD10D03-A92F-4B34-84E2-78420A3DB256}"/>
    <hyperlink ref="M87" r:id="rId60" xr:uid="{19D10A7A-F936-48BD-B78D-BDD03A205256}"/>
    <hyperlink ref="M88" r:id="rId61" xr:uid="{F07A8930-A485-4D32-B8F8-C061538F42FD}"/>
    <hyperlink ref="M89" r:id="rId62" xr:uid="{1EDA0780-F1DC-4359-98E6-960143647081}"/>
    <hyperlink ref="M90" r:id="rId63" xr:uid="{34152B56-0E35-407A-8784-9E785E682D63}"/>
    <hyperlink ref="M91" r:id="rId64" xr:uid="{74CC21D3-E61D-43D5-A4B4-66AEB10AA62B}"/>
    <hyperlink ref="M92" r:id="rId65" xr:uid="{5EDC8036-ECDC-4E37-AA54-E82FECAD9C1D}"/>
    <hyperlink ref="M93" r:id="rId66" xr:uid="{178FD449-C08B-4893-88DE-0D1B65F4AC2A}"/>
    <hyperlink ref="M94" r:id="rId67" xr:uid="{7F2962AC-73BE-4C23-9085-2366F7784E50}"/>
    <hyperlink ref="M95" r:id="rId68" xr:uid="{6611DB5F-D407-4F20-A681-869AB0DAF1A8}"/>
    <hyperlink ref="M96" r:id="rId69" xr:uid="{44C80B7F-4E7D-4791-9F49-65D432610339}"/>
    <hyperlink ref="M97" r:id="rId70" xr:uid="{2826E595-DFBB-4C8B-8290-A0AC9E6D477A}"/>
    <hyperlink ref="M98" r:id="rId71" xr:uid="{BD2F26A7-BE6D-45CD-AD7C-92558A7B49F6}"/>
    <hyperlink ref="M99" r:id="rId72" xr:uid="{5B0A8B5D-D6D6-4D6D-A02A-5C6C3958FD73}"/>
    <hyperlink ref="M100" r:id="rId73" xr:uid="{B403A384-025B-449A-A9F5-F3BD410A929F}"/>
    <hyperlink ref="M101" r:id="rId74" xr:uid="{B2C419E1-136E-42F3-BD62-DE3D0E508C17}"/>
    <hyperlink ref="M102" r:id="rId75" xr:uid="{2338C51E-10E3-43AB-B91E-8667C64A8A36}"/>
    <hyperlink ref="M103" r:id="rId76" xr:uid="{4C8D082D-9CD8-4F64-A0F6-2A53F6E4A4A2}"/>
    <hyperlink ref="M104" r:id="rId77" xr:uid="{8B3A1C04-EECB-4CDE-8B96-F5FB8EB2C91B}"/>
    <hyperlink ref="M105" r:id="rId78" xr:uid="{F42E1B9A-967F-4B35-91C2-7250A1D018ED}"/>
    <hyperlink ref="M106" r:id="rId79" xr:uid="{C5A3DBD4-99D8-42DD-A478-CBBCB75A2313}"/>
    <hyperlink ref="M107" r:id="rId80" xr:uid="{2BDEB90A-0045-4514-939D-B022CC53744B}"/>
    <hyperlink ref="M108" r:id="rId81" xr:uid="{95734672-80F4-431A-9140-61B8D44D2D5E}"/>
    <hyperlink ref="M109" r:id="rId82" xr:uid="{C13EDBF9-BA6A-4471-8311-2A65804C55DE}"/>
    <hyperlink ref="M110" r:id="rId83" xr:uid="{9A1EBEE0-F0FA-4989-95FE-7ECECC88B204}"/>
    <hyperlink ref="M111" r:id="rId84" xr:uid="{C41FAA39-42B1-4417-9DCA-F3615277A31E}"/>
    <hyperlink ref="M112" r:id="rId85" xr:uid="{30FD5323-2709-4743-9E30-633802EE6086}"/>
    <hyperlink ref="M113" r:id="rId86" xr:uid="{3AA2DCD7-1E9B-41BD-96BB-1F007537CF95}"/>
    <hyperlink ref="M114" r:id="rId87" xr:uid="{7ADE9FCE-4277-4BD7-8910-6BDB344A0858}"/>
    <hyperlink ref="M115" r:id="rId88" xr:uid="{CC2AE5A1-DFFF-4DE4-8401-85CB01220197}"/>
    <hyperlink ref="M116" r:id="rId89" xr:uid="{C79D869D-F7D1-43A7-AEF3-6E7D21373670}"/>
    <hyperlink ref="M117" r:id="rId90" xr:uid="{7C678B35-908A-4790-BE78-48E4D56D4B31}"/>
    <hyperlink ref="M118" r:id="rId91" xr:uid="{E74BA640-62A6-4F0B-BD60-6E9F319AF7E4}"/>
  </hyperlinks>
  <pageMargins left="0.7" right="0.7" top="0.75" bottom="0.75" header="0.3" footer="0.3"/>
  <pageSetup orientation="portrait" r:id="rId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44BD5-3861-4C2D-9A5C-EAA62177AF2F}">
  <dimension ref="A1:P244"/>
  <sheetViews>
    <sheetView topLeftCell="G219" workbookViewId="0">
      <selection activeCell="N244" sqref="N244"/>
    </sheetView>
  </sheetViews>
  <sheetFormatPr defaultRowHeight="14.4" x14ac:dyDescent="0.3"/>
  <cols>
    <col min="6" max="6" width="21.109375" customWidth="1"/>
    <col min="7" max="7" width="19.77734375" customWidth="1"/>
    <col min="8" max="8" width="12.88671875" bestFit="1" customWidth="1"/>
    <col min="9" max="9" width="49.33203125" customWidth="1"/>
    <col min="10" max="11" width="37.5546875" customWidth="1"/>
  </cols>
  <sheetData>
    <row r="1" spans="1:12" x14ac:dyDescent="0.3">
      <c r="A1" t="s">
        <v>923</v>
      </c>
      <c r="B1" t="s">
        <v>924</v>
      </c>
      <c r="C1" t="s">
        <v>925</v>
      </c>
      <c r="D1" t="s">
        <v>926</v>
      </c>
      <c r="E1" t="s">
        <v>91</v>
      </c>
      <c r="F1" t="s">
        <v>667</v>
      </c>
      <c r="G1" t="s">
        <v>927</v>
      </c>
      <c r="H1" t="s">
        <v>928</v>
      </c>
      <c r="I1" t="s">
        <v>929</v>
      </c>
      <c r="J1" t="s">
        <v>18</v>
      </c>
      <c r="K1" s="25"/>
    </row>
    <row r="2" spans="1:12" x14ac:dyDescent="0.3">
      <c r="A2">
        <v>267</v>
      </c>
      <c r="B2">
        <v>43907</v>
      </c>
      <c r="C2" t="s">
        <v>137</v>
      </c>
      <c r="D2">
        <v>72</v>
      </c>
      <c r="E2" t="s">
        <v>930</v>
      </c>
      <c r="F2" t="s">
        <v>931</v>
      </c>
      <c r="G2" t="s">
        <v>437</v>
      </c>
      <c r="H2" t="s">
        <v>77</v>
      </c>
      <c r="K2" s="26"/>
      <c r="L2" t="str">
        <f t="shared" ref="L2:L48" si="0">"Case "&amp;A2&amp;" is a "&amp;H2&amp;" case, "&amp;D2&amp;" years old "&amp;IF(E2="F","female",IF(E2="M","male"))&amp;" "&amp;F2 &amp;IF(G2=""," and has not been overseas"," and has been to "&amp;G2)&amp;". "&amp;IF(E2="F","She",IF(E2="M","He"))&amp;" is currently admitted at "&amp;C2&amp;". "&amp;I2</f>
        <v xml:space="preserve">Case 267 is a Imported case, 72 years old female Singapore Citizen and has been to Indonesia. She is currently admitted at KTPH. </v>
      </c>
    </row>
    <row r="3" spans="1:12" x14ac:dyDescent="0.3">
      <c r="A3">
        <v>268</v>
      </c>
      <c r="B3">
        <v>43907</v>
      </c>
      <c r="C3" t="s">
        <v>133</v>
      </c>
      <c r="D3">
        <v>64</v>
      </c>
      <c r="E3" t="s">
        <v>932</v>
      </c>
      <c r="F3" t="s">
        <v>650</v>
      </c>
      <c r="G3" t="s">
        <v>933</v>
      </c>
      <c r="H3" t="s">
        <v>77</v>
      </c>
      <c r="K3" s="26"/>
      <c r="L3" t="str">
        <f t="shared" si="0"/>
        <v xml:space="preserve">Case 268 is a Imported case, 64 years old male British and has been to Switzerland, UK. He is currently admitted at NCID. </v>
      </c>
    </row>
    <row r="4" spans="1:12" x14ac:dyDescent="0.3">
      <c r="A4">
        <v>269</v>
      </c>
      <c r="B4">
        <v>43907</v>
      </c>
      <c r="C4" t="s">
        <v>133</v>
      </c>
      <c r="D4">
        <v>19</v>
      </c>
      <c r="E4" t="s">
        <v>930</v>
      </c>
      <c r="F4" t="s">
        <v>931</v>
      </c>
      <c r="G4" t="s">
        <v>356</v>
      </c>
      <c r="H4" t="s">
        <v>77</v>
      </c>
      <c r="K4" s="26"/>
      <c r="L4" t="str">
        <f t="shared" si="0"/>
        <v xml:space="preserve">Case 269 is a Imported case, 19 years old female Singapore Citizen and has been to UK. She is currently admitted at NCID. </v>
      </c>
    </row>
    <row r="5" spans="1:12" x14ac:dyDescent="0.3">
      <c r="A5">
        <v>270</v>
      </c>
      <c r="B5">
        <v>43907</v>
      </c>
      <c r="C5" t="s">
        <v>142</v>
      </c>
      <c r="D5">
        <v>62</v>
      </c>
      <c r="E5" t="s">
        <v>930</v>
      </c>
      <c r="F5" t="s">
        <v>931</v>
      </c>
      <c r="G5" t="s">
        <v>934</v>
      </c>
      <c r="H5" t="s">
        <v>77</v>
      </c>
      <c r="I5" t="s">
        <v>975</v>
      </c>
      <c r="K5" s="26"/>
      <c r="L5" t="str">
        <f t="shared" si="0"/>
        <v>Case 270 is a Imported case, 62 years old female Singapore Citizen and has been to Croatia, Bosnia, Serbia, Slovenia, Austria. She is currently admitted at NTFGH. Case 230 is a family member of Cases 270 and 272. 
Travelled together with Case 309</v>
      </c>
    </row>
    <row r="6" spans="1:12" x14ac:dyDescent="0.3">
      <c r="A6">
        <v>271</v>
      </c>
      <c r="B6">
        <v>43907</v>
      </c>
      <c r="C6" t="s">
        <v>142</v>
      </c>
      <c r="D6">
        <v>29</v>
      </c>
      <c r="E6" t="s">
        <v>932</v>
      </c>
      <c r="F6" t="s">
        <v>931</v>
      </c>
      <c r="G6" t="s">
        <v>356</v>
      </c>
      <c r="H6" t="s">
        <v>77</v>
      </c>
      <c r="K6" s="26"/>
      <c r="L6" t="str">
        <f t="shared" si="0"/>
        <v xml:space="preserve">Case 271 is a Imported case, 29 years old male Singapore Citizen and has been to UK. He is currently admitted at NTFGH. </v>
      </c>
    </row>
    <row r="7" spans="1:12" x14ac:dyDescent="0.3">
      <c r="A7">
        <v>272</v>
      </c>
      <c r="B7">
        <v>43907</v>
      </c>
      <c r="C7" t="s">
        <v>142</v>
      </c>
      <c r="D7">
        <v>65</v>
      </c>
      <c r="E7" t="s">
        <v>932</v>
      </c>
      <c r="F7" t="s">
        <v>931</v>
      </c>
      <c r="G7" t="s">
        <v>935</v>
      </c>
      <c r="H7" t="s">
        <v>77</v>
      </c>
      <c r="I7" t="s">
        <v>976</v>
      </c>
      <c r="K7" s="26"/>
      <c r="L7" t="str">
        <f t="shared" si="0"/>
        <v>Case 272 is a Imported case, 65 years old male Singapore Citizen and has been to Eastern Europe. He is currently admitted at NTFGH. Case 230 is son of Cases 270 and 272. 
Travelled together with Case 309</v>
      </c>
    </row>
    <row r="8" spans="1:12" x14ac:dyDescent="0.3">
      <c r="A8">
        <v>273</v>
      </c>
      <c r="B8">
        <v>43907</v>
      </c>
      <c r="C8" t="s">
        <v>138</v>
      </c>
      <c r="D8">
        <v>69</v>
      </c>
      <c r="E8" t="s">
        <v>932</v>
      </c>
      <c r="F8" t="s">
        <v>931</v>
      </c>
      <c r="H8" t="s">
        <v>936</v>
      </c>
      <c r="K8" s="26"/>
      <c r="L8" t="str">
        <f t="shared" si="0"/>
        <v xml:space="preserve">Case 273 is a Local Unlinked case, 69 years old male Singapore Citizen and has not been overseas. He is currently admitted at NUH. </v>
      </c>
    </row>
    <row r="9" spans="1:12" x14ac:dyDescent="0.3">
      <c r="A9">
        <v>274</v>
      </c>
      <c r="B9">
        <v>43907</v>
      </c>
      <c r="C9" t="s">
        <v>133</v>
      </c>
      <c r="D9">
        <v>50</v>
      </c>
      <c r="E9" t="s">
        <v>932</v>
      </c>
      <c r="F9" t="s">
        <v>967</v>
      </c>
      <c r="G9" t="s">
        <v>937</v>
      </c>
      <c r="H9" t="s">
        <v>77</v>
      </c>
      <c r="K9" s="26"/>
      <c r="L9" t="str">
        <f t="shared" si="0"/>
        <v xml:space="preserve">Case 274 is a Imported case, 50 years old male American
(Singapore Work Pass) and has been to US. He is currently admitted at NCID. </v>
      </c>
    </row>
    <row r="10" spans="1:12" x14ac:dyDescent="0.3">
      <c r="A10">
        <v>275</v>
      </c>
      <c r="B10">
        <v>43907</v>
      </c>
      <c r="C10" t="s">
        <v>142</v>
      </c>
      <c r="D10">
        <v>27</v>
      </c>
      <c r="E10" t="s">
        <v>932</v>
      </c>
      <c r="F10" t="s">
        <v>931</v>
      </c>
      <c r="G10" t="s">
        <v>938</v>
      </c>
      <c r="H10" t="s">
        <v>936</v>
      </c>
      <c r="K10" s="26"/>
      <c r="L10" t="str">
        <f t="shared" si="0"/>
        <v xml:space="preserve">Case 275 is a Local Unlinked case, 27 years old male Singapore Citizen and has been to Indonesia, Malaysia. He is currently admitted at NTFGH. </v>
      </c>
    </row>
    <row r="11" spans="1:12" x14ac:dyDescent="0.3">
      <c r="A11">
        <v>276</v>
      </c>
      <c r="B11">
        <v>43907</v>
      </c>
      <c r="C11" t="s">
        <v>142</v>
      </c>
      <c r="D11">
        <v>21</v>
      </c>
      <c r="E11" t="s">
        <v>932</v>
      </c>
      <c r="F11" t="s">
        <v>931</v>
      </c>
      <c r="G11" t="s">
        <v>356</v>
      </c>
      <c r="H11" t="s">
        <v>77</v>
      </c>
      <c r="K11" s="26"/>
      <c r="L11" t="str">
        <f t="shared" si="0"/>
        <v xml:space="preserve">Case 276 is a Imported case, 21 years old male Singapore Citizen and has been to UK. He is currently admitted at NTFGH. </v>
      </c>
    </row>
    <row r="12" spans="1:12" x14ac:dyDescent="0.3">
      <c r="A12">
        <v>277</v>
      </c>
      <c r="B12">
        <v>43907</v>
      </c>
      <c r="C12" t="s">
        <v>135</v>
      </c>
      <c r="D12">
        <v>55</v>
      </c>
      <c r="E12" t="s">
        <v>932</v>
      </c>
      <c r="F12" t="s">
        <v>931</v>
      </c>
      <c r="G12" t="s">
        <v>937</v>
      </c>
      <c r="H12" t="s">
        <v>77</v>
      </c>
      <c r="K12" s="26"/>
      <c r="L12" t="str">
        <f t="shared" si="0"/>
        <v xml:space="preserve">Case 277 is a Imported case, 55 years old male Singapore Citizen and has been to US. He is currently admitted at CGH. </v>
      </c>
    </row>
    <row r="13" spans="1:12" x14ac:dyDescent="0.3">
      <c r="A13">
        <v>278</v>
      </c>
      <c r="B13">
        <v>43907</v>
      </c>
      <c r="C13" t="s">
        <v>133</v>
      </c>
      <c r="D13">
        <v>48</v>
      </c>
      <c r="E13" t="s">
        <v>930</v>
      </c>
      <c r="F13" t="s">
        <v>777</v>
      </c>
      <c r="G13" t="s">
        <v>939</v>
      </c>
      <c r="H13" t="s">
        <v>77</v>
      </c>
      <c r="K13" s="27"/>
      <c r="L13" t="str">
        <f t="shared" si="0"/>
        <v xml:space="preserve">Case 278 is a Imported case, 48 years old female American and has been to Switzerland, US. She is currently admitted at NCID. </v>
      </c>
    </row>
    <row r="14" spans="1:12" x14ac:dyDescent="0.3">
      <c r="A14">
        <v>279</v>
      </c>
      <c r="B14">
        <v>43907</v>
      </c>
      <c r="C14" t="s">
        <v>133</v>
      </c>
      <c r="D14">
        <v>71</v>
      </c>
      <c r="E14" t="s">
        <v>932</v>
      </c>
      <c r="F14" t="s">
        <v>931</v>
      </c>
      <c r="G14" t="s">
        <v>706</v>
      </c>
      <c r="H14" t="s">
        <v>77</v>
      </c>
      <c r="K14" s="26"/>
      <c r="L14" t="str">
        <f t="shared" si="0"/>
        <v xml:space="preserve">Case 279 is a Imported case, 71 years old male Singapore Citizen and has been to Philippines . He is currently admitted at NCID. </v>
      </c>
    </row>
    <row r="15" spans="1:12" x14ac:dyDescent="0.3">
      <c r="A15">
        <v>280</v>
      </c>
      <c r="B15">
        <v>43907</v>
      </c>
      <c r="C15" t="s">
        <v>133</v>
      </c>
      <c r="D15">
        <v>21</v>
      </c>
      <c r="E15" t="s">
        <v>930</v>
      </c>
      <c r="F15" t="s">
        <v>931</v>
      </c>
      <c r="G15" t="s">
        <v>356</v>
      </c>
      <c r="H15" t="s">
        <v>77</v>
      </c>
      <c r="K15" s="26"/>
      <c r="L15" t="str">
        <f t="shared" si="0"/>
        <v xml:space="preserve">Case 280 is a Imported case, 21 years old female Singapore Citizen and has been to UK. She is currently admitted at NCID. </v>
      </c>
    </row>
    <row r="16" spans="1:12" x14ac:dyDescent="0.3">
      <c r="A16">
        <v>281</v>
      </c>
      <c r="B16">
        <v>43907</v>
      </c>
      <c r="C16" t="s">
        <v>133</v>
      </c>
      <c r="D16">
        <v>46</v>
      </c>
      <c r="E16" t="s">
        <v>932</v>
      </c>
      <c r="F16" t="s">
        <v>931</v>
      </c>
      <c r="G16" t="s">
        <v>940</v>
      </c>
      <c r="H16" t="s">
        <v>77</v>
      </c>
      <c r="K16" s="26"/>
      <c r="L16" t="str">
        <f t="shared" si="0"/>
        <v xml:space="preserve">Case 281 is a Imported case, 46 years old male Singapore Citizen and has been to US, Canada. He is currently admitted at NCID. </v>
      </c>
    </row>
    <row r="17" spans="1:12" x14ac:dyDescent="0.3">
      <c r="A17">
        <v>282</v>
      </c>
      <c r="B17">
        <v>43907</v>
      </c>
      <c r="C17" t="s">
        <v>133</v>
      </c>
      <c r="E17" t="s">
        <v>932</v>
      </c>
      <c r="G17" t="s">
        <v>354</v>
      </c>
      <c r="H17" t="s">
        <v>77</v>
      </c>
      <c r="K17" s="26"/>
      <c r="L17" t="str">
        <f t="shared" si="0"/>
        <v xml:space="preserve">Case 282 is a Imported case,  years old male  and has been to France. He is currently admitted at NCID. </v>
      </c>
    </row>
    <row r="18" spans="1:12" x14ac:dyDescent="0.3">
      <c r="A18">
        <v>283</v>
      </c>
      <c r="B18">
        <v>43907</v>
      </c>
      <c r="C18" t="s">
        <v>133</v>
      </c>
      <c r="D18">
        <v>62</v>
      </c>
      <c r="E18" t="s">
        <v>930</v>
      </c>
      <c r="F18" t="s">
        <v>931</v>
      </c>
      <c r="G18" t="s">
        <v>171</v>
      </c>
      <c r="H18" t="s">
        <v>941</v>
      </c>
      <c r="I18" t="s">
        <v>942</v>
      </c>
      <c r="J18" t="s">
        <v>943</v>
      </c>
      <c r="K18" s="26"/>
      <c r="L18" t="str">
        <f t="shared" si="0"/>
        <v>Case 283 is a Local Linked case, 62 years old female Singapore Citizen and has been to Malaysia. She is currently admitted at NCID. Cases 144,208, 214, 235</v>
      </c>
    </row>
    <row r="19" spans="1:12" x14ac:dyDescent="0.3">
      <c r="A19">
        <v>284</v>
      </c>
      <c r="B19">
        <v>43907</v>
      </c>
      <c r="C19" t="s">
        <v>133</v>
      </c>
      <c r="D19">
        <v>32</v>
      </c>
      <c r="E19" t="s">
        <v>932</v>
      </c>
      <c r="F19" t="s">
        <v>931</v>
      </c>
      <c r="G19" t="s">
        <v>937</v>
      </c>
      <c r="H19" t="s">
        <v>77</v>
      </c>
      <c r="K19" s="26"/>
      <c r="L19" t="str">
        <f t="shared" si="0"/>
        <v xml:space="preserve">Case 284 is a Imported case, 32 years old male Singapore Citizen and has been to US. He is currently admitted at NCID. </v>
      </c>
    </row>
    <row r="20" spans="1:12" x14ac:dyDescent="0.3">
      <c r="A20">
        <v>285</v>
      </c>
      <c r="B20">
        <v>43907</v>
      </c>
      <c r="C20" t="s">
        <v>133</v>
      </c>
      <c r="D20">
        <v>42</v>
      </c>
      <c r="E20" t="s">
        <v>930</v>
      </c>
      <c r="F20" t="s">
        <v>970</v>
      </c>
      <c r="G20" t="s">
        <v>435</v>
      </c>
      <c r="H20" t="s">
        <v>77</v>
      </c>
      <c r="K20" s="26"/>
      <c r="L20" t="str">
        <f t="shared" si="0"/>
        <v xml:space="preserve">Case 285 is a Imported case, 42 years old female Thai (Singapore Work Pass) and has been to Thailand. She is currently admitted at NCID. </v>
      </c>
    </row>
    <row r="21" spans="1:12" x14ac:dyDescent="0.3">
      <c r="A21">
        <v>286</v>
      </c>
      <c r="B21">
        <v>43907</v>
      </c>
      <c r="C21" t="s">
        <v>133</v>
      </c>
      <c r="D21">
        <v>54</v>
      </c>
      <c r="E21" t="s">
        <v>932</v>
      </c>
      <c r="F21" t="s">
        <v>968</v>
      </c>
      <c r="G21" t="s">
        <v>356</v>
      </c>
      <c r="H21" t="s">
        <v>77</v>
      </c>
      <c r="K21" s="26"/>
      <c r="L21" t="str">
        <f t="shared" si="0"/>
        <v xml:space="preserve">Case 286 is a Imported case, 54 years old male British (Singapore Work Pass) and has been to UK. He is currently admitted at NCID. </v>
      </c>
    </row>
    <row r="22" spans="1:12" x14ac:dyDescent="0.3">
      <c r="A22">
        <v>287</v>
      </c>
      <c r="B22">
        <v>43907</v>
      </c>
      <c r="C22" t="s">
        <v>137</v>
      </c>
      <c r="D22">
        <v>26</v>
      </c>
      <c r="E22" t="s">
        <v>932</v>
      </c>
      <c r="F22" t="s">
        <v>931</v>
      </c>
      <c r="H22" t="s">
        <v>941</v>
      </c>
      <c r="I22" t="s">
        <v>945</v>
      </c>
      <c r="K22" s="26"/>
      <c r="L22" t="str">
        <f t="shared" si="0"/>
        <v>Case 287 is a Local Linked case, 26 years old male Singapore Citizen and has not been overseas. He is currently admitted at KTPH. Family member of 267</v>
      </c>
    </row>
    <row r="23" spans="1:12" x14ac:dyDescent="0.3">
      <c r="A23">
        <v>288</v>
      </c>
      <c r="B23">
        <v>43908</v>
      </c>
      <c r="C23" t="s">
        <v>133</v>
      </c>
      <c r="D23">
        <v>71</v>
      </c>
      <c r="E23" t="s">
        <v>932</v>
      </c>
      <c r="F23" t="s">
        <v>931</v>
      </c>
      <c r="G23" t="s">
        <v>171</v>
      </c>
      <c r="H23" t="s">
        <v>936</v>
      </c>
      <c r="K23" s="26"/>
      <c r="L23" t="str">
        <f t="shared" si="0"/>
        <v xml:space="preserve">Case 288 is a Local Unlinked case, 71 years old male Singapore Citizen and has been to Malaysia. He is currently admitted at NCID. </v>
      </c>
    </row>
    <row r="24" spans="1:12" x14ac:dyDescent="0.3">
      <c r="A24">
        <v>289</v>
      </c>
      <c r="B24">
        <v>43908</v>
      </c>
      <c r="C24" t="s">
        <v>133</v>
      </c>
      <c r="D24">
        <v>62</v>
      </c>
      <c r="E24" t="s">
        <v>932</v>
      </c>
      <c r="F24" t="s">
        <v>931</v>
      </c>
      <c r="H24" t="s">
        <v>941</v>
      </c>
      <c r="I24" t="s">
        <v>946</v>
      </c>
      <c r="K24" s="26"/>
      <c r="L24" t="str">
        <f t="shared" si="0"/>
        <v>Case 289 is a Local Linked case, 62 years old male Singapore Citizen and has not been overseas. He is currently admitted at NCID. Contact of Case 212</v>
      </c>
    </row>
    <row r="25" spans="1:12" x14ac:dyDescent="0.3">
      <c r="A25">
        <v>290</v>
      </c>
      <c r="B25">
        <v>43908</v>
      </c>
      <c r="C25" t="s">
        <v>133</v>
      </c>
      <c r="D25">
        <v>69</v>
      </c>
      <c r="E25" t="s">
        <v>932</v>
      </c>
      <c r="F25" t="s">
        <v>931</v>
      </c>
      <c r="H25" t="s">
        <v>941</v>
      </c>
      <c r="K25" s="26"/>
      <c r="L25" t="str">
        <f t="shared" si="0"/>
        <v xml:space="preserve">Case 290 is a Local Linked case, 69 years old male Singapore Citizen and has not been overseas. He is currently admitted at NCID. </v>
      </c>
    </row>
    <row r="26" spans="1:12" x14ac:dyDescent="0.3">
      <c r="A26">
        <v>291</v>
      </c>
      <c r="B26">
        <v>43908</v>
      </c>
      <c r="C26" t="s">
        <v>133</v>
      </c>
      <c r="D26">
        <v>52</v>
      </c>
      <c r="E26" t="s">
        <v>932</v>
      </c>
      <c r="F26" t="s">
        <v>969</v>
      </c>
      <c r="G26" t="s">
        <v>437</v>
      </c>
      <c r="H26" t="s">
        <v>941</v>
      </c>
      <c r="I26" t="s">
        <v>947</v>
      </c>
      <c r="K26" s="26"/>
      <c r="L26" t="str">
        <f t="shared" si="0"/>
        <v>Case 291 is a Local Linked case, 52 years old male Indian (Singapore Long Term Pass) and has been to Indonesia. He is currently admitted at NCID. Family member of 260</v>
      </c>
    </row>
    <row r="27" spans="1:12" x14ac:dyDescent="0.3">
      <c r="A27">
        <v>292</v>
      </c>
      <c r="B27">
        <v>43908</v>
      </c>
      <c r="C27" t="s">
        <v>133</v>
      </c>
      <c r="D27">
        <v>64</v>
      </c>
      <c r="E27" t="s">
        <v>930</v>
      </c>
      <c r="F27" t="s">
        <v>931</v>
      </c>
      <c r="G27" t="s">
        <v>948</v>
      </c>
      <c r="H27" t="s">
        <v>77</v>
      </c>
      <c r="K27" s="26"/>
      <c r="L27" t="str">
        <f t="shared" si="0"/>
        <v xml:space="preserve">Case 292 is a Imported case, 64 years old female Singapore Citizen and has been to Turkey. She is currently admitted at NCID. </v>
      </c>
    </row>
    <row r="28" spans="1:12" x14ac:dyDescent="0.3">
      <c r="A28">
        <v>293</v>
      </c>
      <c r="B28">
        <v>43908</v>
      </c>
      <c r="C28" t="s">
        <v>133</v>
      </c>
      <c r="D28">
        <v>30</v>
      </c>
      <c r="E28" t="s">
        <v>932</v>
      </c>
      <c r="F28" t="s">
        <v>968</v>
      </c>
      <c r="G28" t="s">
        <v>356</v>
      </c>
      <c r="H28" t="s">
        <v>77</v>
      </c>
      <c r="K28" s="26"/>
      <c r="L28" t="str">
        <f t="shared" si="0"/>
        <v xml:space="preserve">Case 293 is a Imported case, 30 years old male British (Singapore Work Pass) and has been to UK. He is currently admitted at NCID. </v>
      </c>
    </row>
    <row r="29" spans="1:12" x14ac:dyDescent="0.3">
      <c r="A29">
        <v>294</v>
      </c>
      <c r="B29">
        <v>43908</v>
      </c>
      <c r="C29" t="s">
        <v>133</v>
      </c>
      <c r="D29">
        <v>58</v>
      </c>
      <c r="E29" t="s">
        <v>930</v>
      </c>
      <c r="F29" t="s">
        <v>949</v>
      </c>
      <c r="G29" t="s">
        <v>437</v>
      </c>
      <c r="H29" t="s">
        <v>941</v>
      </c>
      <c r="I29" t="s">
        <v>950</v>
      </c>
      <c r="K29" s="26"/>
      <c r="L29" t="str">
        <f t="shared" si="0"/>
        <v>Case 294 is a Local Linked case, 58 years old female Singapore Permanent Resident and has been to Indonesia. She is currently admitted at NCID. Contact of Cases 225 and 237</v>
      </c>
    </row>
    <row r="30" spans="1:12" x14ac:dyDescent="0.3">
      <c r="A30">
        <v>295</v>
      </c>
      <c r="B30">
        <v>43908</v>
      </c>
      <c r="C30" t="s">
        <v>133</v>
      </c>
      <c r="D30">
        <v>55</v>
      </c>
      <c r="E30" t="s">
        <v>932</v>
      </c>
      <c r="F30" t="s">
        <v>931</v>
      </c>
      <c r="G30" t="s">
        <v>937</v>
      </c>
      <c r="H30" t="s">
        <v>77</v>
      </c>
      <c r="K30" s="26"/>
      <c r="L30" t="str">
        <f t="shared" si="0"/>
        <v xml:space="preserve">Case 295 is a Imported case, 55 years old male Singapore Citizen and has been to US. He is currently admitted at NCID. </v>
      </c>
    </row>
    <row r="31" spans="1:12" x14ac:dyDescent="0.3">
      <c r="A31">
        <v>296</v>
      </c>
      <c r="B31">
        <v>43908</v>
      </c>
      <c r="C31" t="s">
        <v>133</v>
      </c>
      <c r="D31">
        <v>25</v>
      </c>
      <c r="E31" t="s">
        <v>930</v>
      </c>
      <c r="F31" t="s">
        <v>971</v>
      </c>
      <c r="G31" t="s">
        <v>356</v>
      </c>
      <c r="H31" t="s">
        <v>77</v>
      </c>
      <c r="K31" s="26"/>
      <c r="L31" t="str">
        <f t="shared" si="0"/>
        <v xml:space="preserve">Case 296 is a Imported case, 25 years old female Malaysian (Singapore Work Pass) and has been to UK. She is currently admitted at NCID. </v>
      </c>
    </row>
    <row r="32" spans="1:12" x14ac:dyDescent="0.3">
      <c r="A32">
        <v>297</v>
      </c>
      <c r="B32">
        <v>43908</v>
      </c>
      <c r="C32" t="s">
        <v>133</v>
      </c>
      <c r="D32">
        <v>31</v>
      </c>
      <c r="E32" t="s">
        <v>932</v>
      </c>
      <c r="F32" t="s">
        <v>972</v>
      </c>
      <c r="G32" t="s">
        <v>437</v>
      </c>
      <c r="H32" t="s">
        <v>77</v>
      </c>
      <c r="K32" s="26"/>
      <c r="L32" t="str">
        <f t="shared" si="0"/>
        <v xml:space="preserve">Case 297 is a Imported case, 31 years old male Indonesian (Singapore Work Pass) and has been to Indonesia. He is currently admitted at NCID. </v>
      </c>
    </row>
    <row r="33" spans="1:12" x14ac:dyDescent="0.3">
      <c r="A33">
        <v>298</v>
      </c>
      <c r="B33">
        <v>43908</v>
      </c>
      <c r="C33" t="s">
        <v>133</v>
      </c>
      <c r="D33">
        <v>44</v>
      </c>
      <c r="E33" t="s">
        <v>932</v>
      </c>
      <c r="F33" t="s">
        <v>931</v>
      </c>
      <c r="G33" t="s">
        <v>951</v>
      </c>
      <c r="H33" t="s">
        <v>77</v>
      </c>
      <c r="K33" s="26"/>
      <c r="L33" t="str">
        <f t="shared" si="0"/>
        <v xml:space="preserve">Case 298 is a Imported case, 44 years old male Singapore Citizen and has been to India. He is currently admitted at NCID. </v>
      </c>
    </row>
    <row r="34" spans="1:12" x14ac:dyDescent="0.3">
      <c r="A34">
        <v>299</v>
      </c>
      <c r="B34">
        <v>43908</v>
      </c>
      <c r="C34" t="s">
        <v>133</v>
      </c>
      <c r="D34">
        <v>29</v>
      </c>
      <c r="E34" t="s">
        <v>932</v>
      </c>
      <c r="F34" t="s">
        <v>931</v>
      </c>
      <c r="G34" t="s">
        <v>952</v>
      </c>
      <c r="H34" t="s">
        <v>77</v>
      </c>
      <c r="I34" t="s">
        <v>953</v>
      </c>
      <c r="K34" s="26"/>
      <c r="L34" t="str">
        <f t="shared" si="0"/>
        <v>Case 299 is a Imported case, 29 years old male Singapore Citizen and has been to Philippines. He is currently admitted at NCID. Family member of Case 259</v>
      </c>
    </row>
    <row r="35" spans="1:12" x14ac:dyDescent="0.3">
      <c r="A35">
        <v>300</v>
      </c>
      <c r="B35">
        <v>43908</v>
      </c>
      <c r="C35" t="s">
        <v>133</v>
      </c>
      <c r="D35">
        <v>28</v>
      </c>
      <c r="E35" t="s">
        <v>932</v>
      </c>
      <c r="F35" t="s">
        <v>973</v>
      </c>
      <c r="G35" t="s">
        <v>954</v>
      </c>
      <c r="H35" t="s">
        <v>77</v>
      </c>
      <c r="I35" t="s">
        <v>955</v>
      </c>
      <c r="K35" s="26"/>
      <c r="L35" t="str">
        <f t="shared" si="0"/>
        <v>Case 300 is a Imported case, 28 years old male German (Singapore Work Pass) and has been to Switzerland, Austria. He is currently admitted at NCID. Contact of Case 250</v>
      </c>
    </row>
    <row r="36" spans="1:12" x14ac:dyDescent="0.3">
      <c r="A36">
        <v>301</v>
      </c>
      <c r="B36">
        <v>43908</v>
      </c>
      <c r="C36" t="s">
        <v>133</v>
      </c>
      <c r="D36">
        <v>63</v>
      </c>
      <c r="E36" t="s">
        <v>932</v>
      </c>
      <c r="F36" t="s">
        <v>931</v>
      </c>
      <c r="G36" t="s">
        <v>956</v>
      </c>
      <c r="H36" t="s">
        <v>77</v>
      </c>
      <c r="K36" s="26"/>
      <c r="L36" t="str">
        <f t="shared" si="0"/>
        <v xml:space="preserve">Case 301 is a Imported case, 63 years old male Singapore Citizen and has been to Austria, Switzerland. He is currently admitted at NCID. </v>
      </c>
    </row>
    <row r="37" spans="1:12" x14ac:dyDescent="0.3">
      <c r="A37">
        <v>302</v>
      </c>
      <c r="B37">
        <v>43908</v>
      </c>
      <c r="C37" t="s">
        <v>137</v>
      </c>
      <c r="D37">
        <v>49</v>
      </c>
      <c r="E37" t="s">
        <v>930</v>
      </c>
      <c r="F37" t="s">
        <v>931</v>
      </c>
      <c r="H37" t="s">
        <v>936</v>
      </c>
      <c r="K37" s="26"/>
      <c r="L37" t="str">
        <f t="shared" si="0"/>
        <v xml:space="preserve">Case 302 is a Local Unlinked case, 49 years old female Singapore Citizen and has not been overseas. She is currently admitted at KTPH. </v>
      </c>
    </row>
    <row r="38" spans="1:12" x14ac:dyDescent="0.3">
      <c r="A38">
        <v>303</v>
      </c>
      <c r="B38">
        <v>43908</v>
      </c>
      <c r="C38" t="s">
        <v>133</v>
      </c>
      <c r="D38">
        <v>27</v>
      </c>
      <c r="E38" t="s">
        <v>932</v>
      </c>
      <c r="F38" t="s">
        <v>974</v>
      </c>
      <c r="G38" t="s">
        <v>171</v>
      </c>
      <c r="H38" t="s">
        <v>941</v>
      </c>
      <c r="I38" t="s">
        <v>957</v>
      </c>
      <c r="K38" s="26"/>
      <c r="L38" t="str">
        <f t="shared" si="0"/>
        <v>Case 303 is a Local Linked case, 27 years old male Malaysian (Singapore Long Term Pass) and has been to Malaysia. He is currently admitted at NCID. Family member of Case 248</v>
      </c>
    </row>
    <row r="39" spans="1:12" x14ac:dyDescent="0.3">
      <c r="A39">
        <v>304</v>
      </c>
      <c r="B39">
        <v>43908</v>
      </c>
      <c r="C39" t="s">
        <v>133</v>
      </c>
      <c r="D39">
        <v>27</v>
      </c>
      <c r="E39" t="s">
        <v>930</v>
      </c>
      <c r="F39" t="s">
        <v>931</v>
      </c>
      <c r="G39" t="s">
        <v>958</v>
      </c>
      <c r="H39" t="s">
        <v>77</v>
      </c>
      <c r="K39" s="26"/>
      <c r="L39" t="str">
        <f t="shared" si="0"/>
        <v xml:space="preserve">Case 304 is a Imported case, 27 years old female Singapore Citizen and has been to UK, Switzerland, Austria. She is currently admitted at NCID. </v>
      </c>
    </row>
    <row r="40" spans="1:12" ht="15" x14ac:dyDescent="0.3">
      <c r="A40">
        <v>305</v>
      </c>
      <c r="B40">
        <v>43908</v>
      </c>
      <c r="C40" t="s">
        <v>133</v>
      </c>
      <c r="D40">
        <v>24</v>
      </c>
      <c r="E40" t="s">
        <v>932</v>
      </c>
      <c r="F40" t="s">
        <v>931</v>
      </c>
      <c r="H40" t="s">
        <v>941</v>
      </c>
      <c r="I40" t="s">
        <v>959</v>
      </c>
      <c r="J40" t="s">
        <v>733</v>
      </c>
      <c r="K40" s="28"/>
      <c r="L40" t="str">
        <f t="shared" si="0"/>
        <v xml:space="preserve">Case 305 is a Local Linked case, 24 years old male Singapore Citizen and has not been overseas. He is currently admitted at NCID. Contact of Case 142 </v>
      </c>
    </row>
    <row r="41" spans="1:12" x14ac:dyDescent="0.3">
      <c r="A41">
        <v>306</v>
      </c>
      <c r="B41">
        <v>43908</v>
      </c>
      <c r="C41" t="s">
        <v>133</v>
      </c>
      <c r="D41">
        <v>56</v>
      </c>
      <c r="E41" t="s">
        <v>932</v>
      </c>
      <c r="F41" t="s">
        <v>931</v>
      </c>
      <c r="G41" t="s">
        <v>356</v>
      </c>
      <c r="H41" t="s">
        <v>77</v>
      </c>
      <c r="K41" s="26"/>
      <c r="L41" t="str">
        <f t="shared" si="0"/>
        <v xml:space="preserve">Case 306 is a Imported case, 56 years old male Singapore Citizen and has been to UK. He is currently admitted at NCID. </v>
      </c>
    </row>
    <row r="42" spans="1:12" x14ac:dyDescent="0.3">
      <c r="A42">
        <v>307</v>
      </c>
      <c r="B42">
        <v>43908</v>
      </c>
      <c r="C42" t="s">
        <v>133</v>
      </c>
      <c r="D42">
        <v>22</v>
      </c>
      <c r="E42" t="s">
        <v>930</v>
      </c>
      <c r="F42" t="s">
        <v>931</v>
      </c>
      <c r="G42" t="s">
        <v>952</v>
      </c>
      <c r="H42" t="s">
        <v>77</v>
      </c>
      <c r="K42" s="26"/>
      <c r="L42" t="str">
        <f t="shared" si="0"/>
        <v xml:space="preserve">Case 307 is a Imported case, 22 years old female Singapore Citizen and has been to Philippines. She is currently admitted at NCID. </v>
      </c>
    </row>
    <row r="43" spans="1:12" x14ac:dyDescent="0.3">
      <c r="A43">
        <v>308</v>
      </c>
      <c r="B43">
        <v>43908</v>
      </c>
      <c r="C43" t="s">
        <v>133</v>
      </c>
      <c r="D43">
        <v>59</v>
      </c>
      <c r="E43" t="s">
        <v>932</v>
      </c>
      <c r="F43" t="s">
        <v>931</v>
      </c>
      <c r="G43" t="s">
        <v>937</v>
      </c>
      <c r="H43" t="s">
        <v>77</v>
      </c>
      <c r="I43" t="s">
        <v>960</v>
      </c>
      <c r="K43" s="26"/>
      <c r="L43" t="str">
        <f t="shared" si="0"/>
        <v>Case 308 is a Imported case, 59 years old male Singapore Citizen and has been to US. He is currently admitted at NCID. Contact of Case 277</v>
      </c>
    </row>
    <row r="44" spans="1:12" x14ac:dyDescent="0.3">
      <c r="A44">
        <v>309</v>
      </c>
      <c r="B44">
        <v>43908</v>
      </c>
      <c r="C44" t="s">
        <v>133</v>
      </c>
      <c r="D44">
        <v>60</v>
      </c>
      <c r="E44" t="s">
        <v>932</v>
      </c>
      <c r="F44" t="s">
        <v>931</v>
      </c>
      <c r="G44" t="s">
        <v>961</v>
      </c>
      <c r="H44" t="s">
        <v>77</v>
      </c>
      <c r="I44" t="s">
        <v>962</v>
      </c>
      <c r="K44" s="26"/>
      <c r="L44" t="str">
        <f t="shared" si="0"/>
        <v>Case 309 is a Imported case, 60 years old male Singapore Citizen and has been to Croatia, Austria. He is currently admitted at NCID. Contact of Case 230</v>
      </c>
    </row>
    <row r="45" spans="1:12" x14ac:dyDescent="0.3">
      <c r="A45">
        <v>310</v>
      </c>
      <c r="B45">
        <v>43908</v>
      </c>
      <c r="C45" t="s">
        <v>133</v>
      </c>
      <c r="D45">
        <v>58</v>
      </c>
      <c r="E45" t="s">
        <v>932</v>
      </c>
      <c r="F45" t="s">
        <v>931</v>
      </c>
      <c r="H45" t="s">
        <v>941</v>
      </c>
      <c r="I45" t="s">
        <v>963</v>
      </c>
      <c r="J45" t="s">
        <v>964</v>
      </c>
      <c r="K45" s="26"/>
      <c r="L45" t="str">
        <f t="shared" si="0"/>
        <v>Case 310 is a Local Linked case, 58 years old male Singapore Citizen and has not been overseas. He is currently admitted at NCID. Contact of Cases 183 and 252</v>
      </c>
    </row>
    <row r="46" spans="1:12" x14ac:dyDescent="0.3">
      <c r="A46">
        <v>311</v>
      </c>
      <c r="B46">
        <v>43908</v>
      </c>
      <c r="C46" t="s">
        <v>133</v>
      </c>
      <c r="D46">
        <v>80</v>
      </c>
      <c r="E46" t="s">
        <v>930</v>
      </c>
      <c r="F46" t="s">
        <v>931</v>
      </c>
      <c r="H46" t="s">
        <v>941</v>
      </c>
      <c r="I46" t="s">
        <v>965</v>
      </c>
      <c r="K46" s="26"/>
      <c r="L46" t="str">
        <f t="shared" si="0"/>
        <v>Case 311 is a Local Linked case, 80 years old female Singapore Citizen and has not been overseas. She is currently admitted at NCID. Family member of Case 234</v>
      </c>
    </row>
    <row r="47" spans="1:12" x14ac:dyDescent="0.3">
      <c r="A47">
        <v>312</v>
      </c>
      <c r="B47">
        <v>43908</v>
      </c>
      <c r="C47" t="s">
        <v>133</v>
      </c>
      <c r="D47">
        <v>30</v>
      </c>
      <c r="E47" t="s">
        <v>932</v>
      </c>
      <c r="F47" t="s">
        <v>623</v>
      </c>
      <c r="G47" t="s">
        <v>966</v>
      </c>
      <c r="H47" t="s">
        <v>77</v>
      </c>
      <c r="K47" s="26"/>
      <c r="L47" t="str">
        <f t="shared" si="0"/>
        <v xml:space="preserve">Case 312 is a Imported case, 30 years old male French and has been to France, Germany. He is currently admitted at NCID. </v>
      </c>
    </row>
    <row r="48" spans="1:12" x14ac:dyDescent="0.3">
      <c r="A48">
        <v>313</v>
      </c>
      <c r="B48">
        <v>43908</v>
      </c>
      <c r="C48" t="s">
        <v>133</v>
      </c>
      <c r="D48">
        <v>39</v>
      </c>
      <c r="E48" t="s">
        <v>932</v>
      </c>
      <c r="F48" t="s">
        <v>968</v>
      </c>
      <c r="G48" t="s">
        <v>356</v>
      </c>
      <c r="H48" t="s">
        <v>77</v>
      </c>
      <c r="K48" s="26"/>
      <c r="L48" t="str">
        <f t="shared" si="0"/>
        <v xml:space="preserve">Case 313 is a Imported case, 39 years old male British (Singapore Work Pass) and has been to UK. He is currently admitted at NCID. </v>
      </c>
    </row>
    <row r="49" spans="1:14" x14ac:dyDescent="0.3">
      <c r="A49">
        <v>314</v>
      </c>
      <c r="B49">
        <v>43908</v>
      </c>
      <c r="C49" t="s">
        <v>1058</v>
      </c>
      <c r="D49">
        <v>58</v>
      </c>
      <c r="E49" t="s">
        <v>1059</v>
      </c>
      <c r="F49" t="s">
        <v>1060</v>
      </c>
      <c r="H49" t="s">
        <v>1061</v>
      </c>
      <c r="J49" t="str">
        <f>IF(TRIM(E49)="M","Male",IF(TRIM(E49)="F","Female",""))</f>
        <v>Male</v>
      </c>
      <c r="K49" t="str">
        <f>IF(LEFT(F49,9)="Singapore","Singaporean",LEFT(F49,FIND("(",F49)-2))</f>
        <v>Singaporean</v>
      </c>
      <c r="L49" t="str">
        <f>"Case "&amp;A49&amp;" is a "&amp;H49&amp;" case, "&amp;D49&amp;" years old "&amp;LOWER(J49)&amp;" "&amp;F49 &amp;IF(G49=""," and has not been overseas"," and has been to "&amp;G49)&amp;". "&amp;IF(TRIM(E49)="F","She",IF(TRIM(E49)="M","He"))&amp;" is currently admitted at "&amp;C49&amp;". "&amp;I49</f>
        <v xml:space="preserve">Case 314 is a Local unlinked case, 58 years old male Singapore Citizen  and has not been overseas. He is currently admitted at KTPH . </v>
      </c>
      <c r="M49" t="str">
        <f>IF(G49="","",A49)</f>
        <v/>
      </c>
      <c r="N49" t="str">
        <f>IF(G49="","",G49)</f>
        <v/>
      </c>
    </row>
    <row r="50" spans="1:14" x14ac:dyDescent="0.3">
      <c r="A50" s="23">
        <v>315</v>
      </c>
      <c r="B50" s="24">
        <v>43908</v>
      </c>
      <c r="C50" t="s">
        <v>1062</v>
      </c>
      <c r="D50">
        <v>57</v>
      </c>
      <c r="E50" t="s">
        <v>1059</v>
      </c>
      <c r="F50" t="s">
        <v>1060</v>
      </c>
      <c r="G50" t="s">
        <v>1063</v>
      </c>
      <c r="H50" t="s">
        <v>77</v>
      </c>
      <c r="J50" t="str">
        <f t="shared" ref="J50:J80" si="1">IF(TRIM(E50)="M","Male",IF(TRIM(E50)="F","Female",""))</f>
        <v>Male</v>
      </c>
      <c r="K50" t="str">
        <f t="shared" ref="K50:K80" si="2">IF(LEFT(F50,9)="Singapore","Singaporean",LEFT(F50,FIND("(",F50)-2))</f>
        <v>Singaporean</v>
      </c>
      <c r="L50" t="str">
        <f t="shared" ref="L50:L80" si="3">"Case "&amp;A50&amp;" is a "&amp;H50&amp;" case, "&amp;D50&amp;" years old "&amp;LOWER(J50)&amp;" "&amp;F50 &amp;IF(G50=""," and has not been overseas"," and has been to "&amp;G50)&amp;". "&amp;IF(TRIM(E50)="F","She",IF(TRIM(E50)="M","He"))&amp;" is currently admitted at "&amp;C50&amp;". "&amp;I50</f>
        <v xml:space="preserve">Case 315 is a Imported case, 57 years old male Singapore Citizen  and has been to UK . He is currently admitted at NTFGH . </v>
      </c>
      <c r="M50">
        <f t="shared" ref="M50:M80" si="4">IF(G50="","",A50)</f>
        <v>315</v>
      </c>
      <c r="N50" t="str">
        <f t="shared" ref="N50:N80" si="5">IF(G50="","",G50)</f>
        <v xml:space="preserve">UK </v>
      </c>
    </row>
    <row r="51" spans="1:14" x14ac:dyDescent="0.3">
      <c r="A51" s="23">
        <v>316</v>
      </c>
      <c r="B51" s="24">
        <v>43908</v>
      </c>
      <c r="C51" t="s">
        <v>1064</v>
      </c>
      <c r="D51">
        <v>25</v>
      </c>
      <c r="E51" t="s">
        <v>932</v>
      </c>
      <c r="F51" t="s">
        <v>1065</v>
      </c>
      <c r="G51" t="s">
        <v>360</v>
      </c>
      <c r="H51" t="s">
        <v>77</v>
      </c>
      <c r="J51" t="str">
        <f t="shared" si="1"/>
        <v>Male</v>
      </c>
      <c r="K51" t="str">
        <f t="shared" si="2"/>
        <v>Malaysia</v>
      </c>
      <c r="L51" t="str">
        <f t="shared" si="3"/>
        <v xml:space="preserve">Case 316 is a Imported case, 25 years old male Malaysia (Singapore Work Pass)  and has been to Malaysia . He is currently admitted at CGH . </v>
      </c>
      <c r="M51">
        <f t="shared" si="4"/>
        <v>316</v>
      </c>
      <c r="N51" t="str">
        <f t="shared" si="5"/>
        <v xml:space="preserve">Malaysia </v>
      </c>
    </row>
    <row r="52" spans="1:14" x14ac:dyDescent="0.3">
      <c r="A52" s="23">
        <v>317</v>
      </c>
      <c r="B52" s="24">
        <v>43908</v>
      </c>
      <c r="C52" t="s">
        <v>1066</v>
      </c>
      <c r="D52">
        <v>29</v>
      </c>
      <c r="E52" t="s">
        <v>1059</v>
      </c>
      <c r="F52" t="s">
        <v>1060</v>
      </c>
      <c r="G52" t="s">
        <v>1063</v>
      </c>
      <c r="H52" t="s">
        <v>77</v>
      </c>
      <c r="J52" t="str">
        <f t="shared" si="1"/>
        <v>Male</v>
      </c>
      <c r="K52" t="str">
        <f t="shared" si="2"/>
        <v>Singaporean</v>
      </c>
      <c r="L52" t="str">
        <f t="shared" si="3"/>
        <v xml:space="preserve">Case 317 is a Imported case, 29 years old male Singapore Citizen  and has been to UK . He is currently admitted at SKH . </v>
      </c>
      <c r="M52">
        <f t="shared" si="4"/>
        <v>317</v>
      </c>
      <c r="N52" t="str">
        <f t="shared" si="5"/>
        <v xml:space="preserve">UK </v>
      </c>
    </row>
    <row r="53" spans="1:14" x14ac:dyDescent="0.3">
      <c r="A53" s="23">
        <v>318</v>
      </c>
      <c r="B53" s="24">
        <v>43908</v>
      </c>
      <c r="C53" t="s">
        <v>1066</v>
      </c>
      <c r="D53">
        <v>58</v>
      </c>
      <c r="E53" t="s">
        <v>930</v>
      </c>
      <c r="F53" t="s">
        <v>1067</v>
      </c>
      <c r="H53" t="s">
        <v>1061</v>
      </c>
      <c r="J53" t="str">
        <f t="shared" si="1"/>
        <v>Female</v>
      </c>
      <c r="K53" t="str">
        <f t="shared" si="2"/>
        <v>China</v>
      </c>
      <c r="L53" t="str">
        <f t="shared" si="3"/>
        <v xml:space="preserve">Case 318 is a Local unlinked case, 58 years old female China (Singapore Long Term Pass) and has not been overseas. She is currently admitted at SKH . </v>
      </c>
      <c r="M53" t="str">
        <f t="shared" si="4"/>
        <v/>
      </c>
      <c r="N53" t="str">
        <f t="shared" si="5"/>
        <v/>
      </c>
    </row>
    <row r="54" spans="1:14" x14ac:dyDescent="0.3">
      <c r="A54" s="23">
        <v>319</v>
      </c>
      <c r="B54" s="24">
        <v>43908</v>
      </c>
      <c r="C54" t="s">
        <v>1066</v>
      </c>
      <c r="D54">
        <v>67</v>
      </c>
      <c r="E54" t="s">
        <v>930</v>
      </c>
      <c r="F54" t="s">
        <v>1068</v>
      </c>
      <c r="G54" t="s">
        <v>706</v>
      </c>
      <c r="H54" t="s">
        <v>1069</v>
      </c>
      <c r="I54" t="s">
        <v>1070</v>
      </c>
      <c r="J54" t="str">
        <f t="shared" si="1"/>
        <v>Female</v>
      </c>
      <c r="K54" t="str">
        <f t="shared" si="2"/>
        <v>Philippines</v>
      </c>
      <c r="L54" t="str">
        <f t="shared" si="3"/>
        <v>Case 319 is a Imported  case, 67 years old female Philippines (Singapore Work Pass)  and has been to Philippines . She is currently admitted at SKH . Contact of Case 279</v>
      </c>
      <c r="M54">
        <f t="shared" si="4"/>
        <v>319</v>
      </c>
      <c r="N54" t="str">
        <f t="shared" si="5"/>
        <v xml:space="preserve">Philippines </v>
      </c>
    </row>
    <row r="55" spans="1:14" x14ac:dyDescent="0.3">
      <c r="A55">
        <v>320</v>
      </c>
      <c r="B55" s="24">
        <v>43908</v>
      </c>
      <c r="C55" t="s">
        <v>1071</v>
      </c>
      <c r="D55">
        <v>34</v>
      </c>
      <c r="E55" t="s">
        <v>932</v>
      </c>
      <c r="F55" t="s">
        <v>1072</v>
      </c>
      <c r="G55" t="s">
        <v>1063</v>
      </c>
      <c r="H55" t="s">
        <v>77</v>
      </c>
      <c r="J55" t="str">
        <f t="shared" si="1"/>
        <v>Male</v>
      </c>
      <c r="K55" t="str">
        <f t="shared" si="2"/>
        <v>Singaporean</v>
      </c>
      <c r="L55" t="str">
        <f t="shared" si="3"/>
        <v xml:space="preserve">Case 320 is a Imported case, 34 years old male Singapore Permanent Resident  and has been to UK . He is currently admitted at NCID . </v>
      </c>
      <c r="M55">
        <f t="shared" si="4"/>
        <v>320</v>
      </c>
      <c r="N55" t="str">
        <f t="shared" si="5"/>
        <v xml:space="preserve">UK </v>
      </c>
    </row>
    <row r="56" spans="1:14" x14ac:dyDescent="0.3">
      <c r="A56">
        <v>321</v>
      </c>
      <c r="B56" s="24">
        <v>43908</v>
      </c>
      <c r="C56" t="s">
        <v>343</v>
      </c>
      <c r="D56">
        <v>65</v>
      </c>
      <c r="E56" t="s">
        <v>1073</v>
      </c>
      <c r="F56" t="s">
        <v>1060</v>
      </c>
      <c r="H56" t="s">
        <v>1061</v>
      </c>
      <c r="J56" t="str">
        <f t="shared" si="1"/>
        <v>Female</v>
      </c>
      <c r="K56" t="str">
        <f t="shared" si="2"/>
        <v>Singaporean</v>
      </c>
      <c r="L56" t="str">
        <f t="shared" si="3"/>
        <v xml:space="preserve">Case 321 is a Local unlinked case, 65 years old female Singapore Citizen  and has not been overseas. She is currently admitted at NUH . </v>
      </c>
      <c r="M56" t="str">
        <f t="shared" si="4"/>
        <v/>
      </c>
      <c r="N56" t="str">
        <f t="shared" si="5"/>
        <v/>
      </c>
    </row>
    <row r="57" spans="1:14" x14ac:dyDescent="0.3">
      <c r="A57">
        <v>322</v>
      </c>
      <c r="B57" s="24">
        <v>43908</v>
      </c>
      <c r="C57" t="s">
        <v>1074</v>
      </c>
      <c r="D57">
        <v>46</v>
      </c>
      <c r="E57" t="s">
        <v>930</v>
      </c>
      <c r="F57" t="s">
        <v>949</v>
      </c>
      <c r="G57" t="s">
        <v>1075</v>
      </c>
      <c r="H57" t="s">
        <v>77</v>
      </c>
      <c r="J57" t="str">
        <f t="shared" si="1"/>
        <v>Female</v>
      </c>
      <c r="K57" t="str">
        <f t="shared" si="2"/>
        <v>Singaporean</v>
      </c>
      <c r="L57" t="str">
        <f t="shared" si="3"/>
        <v xml:space="preserve">Case 322 is a Imported case, 46 years old female Singapore Permanent Resident and has been to Switzerland, France . She is currently admitted at AH . </v>
      </c>
      <c r="M57">
        <f t="shared" si="4"/>
        <v>322</v>
      </c>
      <c r="N57" t="str">
        <f t="shared" si="5"/>
        <v xml:space="preserve">Switzerland, France </v>
      </c>
    </row>
    <row r="58" spans="1:14" x14ac:dyDescent="0.3">
      <c r="A58">
        <v>323</v>
      </c>
      <c r="B58" s="24">
        <v>43908</v>
      </c>
      <c r="C58" t="s">
        <v>1071</v>
      </c>
      <c r="D58">
        <v>24</v>
      </c>
      <c r="E58" t="s">
        <v>1059</v>
      </c>
      <c r="F58" t="s">
        <v>1060</v>
      </c>
      <c r="G58" t="s">
        <v>1063</v>
      </c>
      <c r="H58" t="s">
        <v>77</v>
      </c>
      <c r="J58" t="str">
        <f t="shared" si="1"/>
        <v>Male</v>
      </c>
      <c r="K58" t="str">
        <f t="shared" si="2"/>
        <v>Singaporean</v>
      </c>
      <c r="L58" t="str">
        <f t="shared" si="3"/>
        <v xml:space="preserve">Case 323 is a Imported case, 24 years old male Singapore Citizen  and has been to UK . He is currently admitted at NCID . </v>
      </c>
      <c r="M58">
        <f t="shared" si="4"/>
        <v>323</v>
      </c>
      <c r="N58" t="str">
        <f t="shared" si="5"/>
        <v xml:space="preserve">UK </v>
      </c>
    </row>
    <row r="59" spans="1:14" x14ac:dyDescent="0.3">
      <c r="A59">
        <v>324</v>
      </c>
      <c r="B59" s="24">
        <v>43908</v>
      </c>
      <c r="C59" t="s">
        <v>1071</v>
      </c>
      <c r="D59">
        <v>45</v>
      </c>
      <c r="E59" t="s">
        <v>932</v>
      </c>
      <c r="F59" t="s">
        <v>1076</v>
      </c>
      <c r="G59" t="s">
        <v>1063</v>
      </c>
      <c r="H59" t="s">
        <v>77</v>
      </c>
      <c r="J59" t="str">
        <f t="shared" si="1"/>
        <v>Male</v>
      </c>
      <c r="K59" t="str">
        <f t="shared" si="2"/>
        <v>Brazil</v>
      </c>
      <c r="L59" t="str">
        <f t="shared" si="3"/>
        <v xml:space="preserve">Case 324 is a Imported case, 45 years old male Brazil (Singapore Work Pass)  and has been to UK . He is currently admitted at NCID . </v>
      </c>
      <c r="M59">
        <f t="shared" si="4"/>
        <v>324</v>
      </c>
      <c r="N59" t="str">
        <f t="shared" si="5"/>
        <v xml:space="preserve">UK </v>
      </c>
    </row>
    <row r="60" spans="1:14" x14ac:dyDescent="0.3">
      <c r="A60">
        <v>325</v>
      </c>
      <c r="B60" s="24">
        <v>43909</v>
      </c>
      <c r="C60" t="s">
        <v>1071</v>
      </c>
      <c r="D60">
        <v>38</v>
      </c>
      <c r="E60" t="s">
        <v>932</v>
      </c>
      <c r="F60" t="s">
        <v>1068</v>
      </c>
      <c r="G60" t="s">
        <v>1063</v>
      </c>
      <c r="H60" t="s">
        <v>77</v>
      </c>
      <c r="J60" t="str">
        <f t="shared" si="1"/>
        <v>Male</v>
      </c>
      <c r="K60" t="str">
        <f t="shared" si="2"/>
        <v>Philippines</v>
      </c>
      <c r="L60" t="str">
        <f t="shared" si="3"/>
        <v xml:space="preserve">Case 325 is a Imported case, 38 years old male Philippines (Singapore Work Pass)  and has been to UK . He is currently admitted at NCID . </v>
      </c>
      <c r="M60">
        <f t="shared" si="4"/>
        <v>325</v>
      </c>
      <c r="N60" t="str">
        <f t="shared" si="5"/>
        <v xml:space="preserve">UK </v>
      </c>
    </row>
    <row r="61" spans="1:14" x14ac:dyDescent="0.3">
      <c r="A61">
        <v>326</v>
      </c>
      <c r="B61" s="24">
        <v>43909</v>
      </c>
      <c r="C61" t="s">
        <v>1071</v>
      </c>
      <c r="D61">
        <v>33</v>
      </c>
      <c r="E61" t="s">
        <v>1059</v>
      </c>
      <c r="F61" t="s">
        <v>1060</v>
      </c>
      <c r="G61" t="s">
        <v>1077</v>
      </c>
      <c r="H61" t="s">
        <v>77</v>
      </c>
      <c r="J61" t="str">
        <f t="shared" si="1"/>
        <v>Male</v>
      </c>
      <c r="K61" t="str">
        <f t="shared" si="2"/>
        <v>Singaporean</v>
      </c>
      <c r="L61" t="str">
        <f t="shared" si="3"/>
        <v xml:space="preserve">Case 326 is a Imported case, 33 years old male Singapore Citizen  and has been to UK, Netherlands . He is currently admitted at NCID . </v>
      </c>
      <c r="M61">
        <f t="shared" si="4"/>
        <v>326</v>
      </c>
      <c r="N61" t="str">
        <f t="shared" si="5"/>
        <v xml:space="preserve">UK, Netherlands </v>
      </c>
    </row>
    <row r="62" spans="1:14" x14ac:dyDescent="0.3">
      <c r="A62">
        <v>327</v>
      </c>
      <c r="B62" s="24">
        <v>43909</v>
      </c>
      <c r="C62" t="s">
        <v>1071</v>
      </c>
      <c r="D62">
        <v>38</v>
      </c>
      <c r="E62" t="s">
        <v>1073</v>
      </c>
      <c r="F62" t="s">
        <v>931</v>
      </c>
      <c r="G62" t="s">
        <v>1078</v>
      </c>
      <c r="H62" t="s">
        <v>77</v>
      </c>
      <c r="J62" t="str">
        <f t="shared" si="1"/>
        <v>Female</v>
      </c>
      <c r="K62" t="str">
        <f t="shared" si="2"/>
        <v>Singaporean</v>
      </c>
      <c r="L62" t="str">
        <f t="shared" si="3"/>
        <v xml:space="preserve">Case 327 is a Imported case, 38 years old female Singapore Citizen and has been to Switzerland, Italy, Austria, Germany. She is currently admitted at NCID . </v>
      </c>
      <c r="M62">
        <f t="shared" si="4"/>
        <v>327</v>
      </c>
      <c r="N62" t="str">
        <f t="shared" si="5"/>
        <v>Switzerland, Italy, Austria, Germany</v>
      </c>
    </row>
    <row r="63" spans="1:14" x14ac:dyDescent="0.3">
      <c r="A63">
        <v>328</v>
      </c>
      <c r="B63" s="24">
        <v>43909</v>
      </c>
      <c r="C63" t="s">
        <v>1071</v>
      </c>
      <c r="D63">
        <v>63</v>
      </c>
      <c r="E63" t="s">
        <v>930</v>
      </c>
      <c r="F63" t="s">
        <v>1072</v>
      </c>
      <c r="G63" t="s">
        <v>1079</v>
      </c>
      <c r="H63" t="s">
        <v>1069</v>
      </c>
      <c r="I63" t="s">
        <v>1080</v>
      </c>
      <c r="J63" t="str">
        <f t="shared" si="1"/>
        <v>Female</v>
      </c>
      <c r="K63" t="str">
        <f t="shared" si="2"/>
        <v>Singaporean</v>
      </c>
      <c r="L63" t="str">
        <f t="shared" si="3"/>
        <v>Case 328 is a Imported  case, 63 years old female Singapore Permanent Resident  and has been to UK, Switzerland . She is currently admitted at NCID . Family member of Case 268</v>
      </c>
      <c r="M63">
        <f t="shared" si="4"/>
        <v>328</v>
      </c>
      <c r="N63" t="str">
        <f t="shared" si="5"/>
        <v xml:space="preserve">UK, Switzerland </v>
      </c>
    </row>
    <row r="64" spans="1:14" x14ac:dyDescent="0.3">
      <c r="A64">
        <v>329</v>
      </c>
      <c r="B64" s="24">
        <v>43909</v>
      </c>
      <c r="C64" t="s">
        <v>1071</v>
      </c>
      <c r="D64">
        <v>64</v>
      </c>
      <c r="E64" t="s">
        <v>1059</v>
      </c>
      <c r="F64" t="s">
        <v>1060</v>
      </c>
      <c r="G64" t="s">
        <v>1081</v>
      </c>
      <c r="H64" t="s">
        <v>1069</v>
      </c>
      <c r="I64" t="s">
        <v>1082</v>
      </c>
      <c r="J64" t="str">
        <f t="shared" si="1"/>
        <v>Male</v>
      </c>
      <c r="K64" t="str">
        <f t="shared" si="2"/>
        <v>Singaporean</v>
      </c>
      <c r="L64" t="str">
        <f t="shared" si="3"/>
        <v>Case 329 is a Imported  case, 64 years old male Singapore Citizen  and has been to Turkey . He is currently admitted at NCID . Family member of Case 292</v>
      </c>
      <c r="M64">
        <f t="shared" si="4"/>
        <v>329</v>
      </c>
      <c r="N64" t="str">
        <f t="shared" si="5"/>
        <v xml:space="preserve">Turkey </v>
      </c>
    </row>
    <row r="65" spans="1:14" x14ac:dyDescent="0.3">
      <c r="A65">
        <v>330</v>
      </c>
      <c r="B65" s="24">
        <v>43909</v>
      </c>
      <c r="C65" t="s">
        <v>1071</v>
      </c>
      <c r="D65">
        <v>67</v>
      </c>
      <c r="E65" t="s">
        <v>1059</v>
      </c>
      <c r="F65" t="s">
        <v>1060</v>
      </c>
      <c r="H65" t="s">
        <v>1061</v>
      </c>
      <c r="J65" t="str">
        <f t="shared" si="1"/>
        <v>Male</v>
      </c>
      <c r="K65" t="str">
        <f t="shared" si="2"/>
        <v>Singaporean</v>
      </c>
      <c r="L65" t="str">
        <f t="shared" si="3"/>
        <v xml:space="preserve">Case 330 is a Local unlinked case, 67 years old male Singapore Citizen  and has not been overseas. He is currently admitted at NCID . </v>
      </c>
      <c r="M65" t="str">
        <f t="shared" si="4"/>
        <v/>
      </c>
      <c r="N65" t="str">
        <f t="shared" si="5"/>
        <v/>
      </c>
    </row>
    <row r="66" spans="1:14" x14ac:dyDescent="0.3">
      <c r="A66">
        <v>331</v>
      </c>
      <c r="B66" s="24">
        <v>43909</v>
      </c>
      <c r="C66" t="s">
        <v>1071</v>
      </c>
      <c r="D66">
        <v>49</v>
      </c>
      <c r="E66" t="s">
        <v>930</v>
      </c>
      <c r="F66" t="s">
        <v>1072</v>
      </c>
      <c r="G66" t="s">
        <v>1063</v>
      </c>
      <c r="H66" t="s">
        <v>77</v>
      </c>
      <c r="J66" t="str">
        <f t="shared" si="1"/>
        <v>Female</v>
      </c>
      <c r="K66" t="str">
        <f t="shared" si="2"/>
        <v>Singaporean</v>
      </c>
      <c r="L66" t="str">
        <f t="shared" si="3"/>
        <v xml:space="preserve">Case 331 is a Imported case, 49 years old female Singapore Permanent Resident  and has been to UK . She is currently admitted at NCID . </v>
      </c>
      <c r="M66">
        <f t="shared" si="4"/>
        <v>331</v>
      </c>
      <c r="N66" t="str">
        <f t="shared" si="5"/>
        <v xml:space="preserve">UK </v>
      </c>
    </row>
    <row r="67" spans="1:14" x14ac:dyDescent="0.3">
      <c r="A67">
        <v>332</v>
      </c>
      <c r="B67" s="24">
        <v>43909</v>
      </c>
      <c r="C67" t="s">
        <v>1071</v>
      </c>
      <c r="D67">
        <v>36</v>
      </c>
      <c r="E67" t="s">
        <v>930</v>
      </c>
      <c r="F67" t="s">
        <v>1083</v>
      </c>
      <c r="G67" t="s">
        <v>1063</v>
      </c>
      <c r="H67" t="s">
        <v>77</v>
      </c>
      <c r="J67" t="str">
        <f t="shared" si="1"/>
        <v>Female</v>
      </c>
      <c r="K67" t="str">
        <f t="shared" si="2"/>
        <v>US</v>
      </c>
      <c r="L67" t="str">
        <f t="shared" si="3"/>
        <v xml:space="preserve">Case 332 is a Imported case, 36 years old female US (Singapore Long Term Pass) and has been to UK . She is currently admitted at NCID . </v>
      </c>
      <c r="M67">
        <f t="shared" si="4"/>
        <v>332</v>
      </c>
      <c r="N67" t="str">
        <f t="shared" si="5"/>
        <v xml:space="preserve">UK </v>
      </c>
    </row>
    <row r="68" spans="1:14" x14ac:dyDescent="0.3">
      <c r="A68">
        <v>333</v>
      </c>
      <c r="B68" s="24">
        <v>43909</v>
      </c>
      <c r="C68" t="s">
        <v>1071</v>
      </c>
      <c r="D68">
        <v>48</v>
      </c>
      <c r="E68" t="s">
        <v>932</v>
      </c>
      <c r="F68" t="s">
        <v>1084</v>
      </c>
      <c r="G68" t="s">
        <v>1085</v>
      </c>
      <c r="H68" t="s">
        <v>77</v>
      </c>
      <c r="J68" t="str">
        <f t="shared" si="1"/>
        <v>Male</v>
      </c>
      <c r="K68" t="str">
        <f t="shared" si="2"/>
        <v>Columbia</v>
      </c>
      <c r="L68" t="str">
        <f t="shared" si="3"/>
        <v xml:space="preserve">Case 333 is a Imported case, 48 years old male Columbia (Singapore Long Term Pass) and has been to US . He is currently admitted at NCID . </v>
      </c>
      <c r="M68">
        <f t="shared" si="4"/>
        <v>333</v>
      </c>
      <c r="N68" t="str">
        <f t="shared" si="5"/>
        <v xml:space="preserve">US </v>
      </c>
    </row>
    <row r="69" spans="1:14" x14ac:dyDescent="0.3">
      <c r="A69">
        <v>334</v>
      </c>
      <c r="B69" s="24">
        <v>43909</v>
      </c>
      <c r="C69" t="s">
        <v>1071</v>
      </c>
      <c r="D69">
        <v>32</v>
      </c>
      <c r="E69" t="s">
        <v>1073</v>
      </c>
      <c r="F69" t="s">
        <v>1060</v>
      </c>
      <c r="G69" t="s">
        <v>1085</v>
      </c>
      <c r="H69" t="s">
        <v>77</v>
      </c>
      <c r="J69" t="str">
        <f t="shared" si="1"/>
        <v>Female</v>
      </c>
      <c r="K69" t="str">
        <f t="shared" si="2"/>
        <v>Singaporean</v>
      </c>
      <c r="L69" t="str">
        <f t="shared" si="3"/>
        <v xml:space="preserve">Case 334 is a Imported case, 32 years old female Singapore Citizen  and has been to US . She is currently admitted at NCID . </v>
      </c>
      <c r="M69">
        <f t="shared" si="4"/>
        <v>334</v>
      </c>
      <c r="N69" t="str">
        <f t="shared" si="5"/>
        <v xml:space="preserve">US </v>
      </c>
    </row>
    <row r="70" spans="1:14" x14ac:dyDescent="0.3">
      <c r="A70">
        <v>335</v>
      </c>
      <c r="B70" s="24">
        <v>43909</v>
      </c>
      <c r="C70" t="s">
        <v>1071</v>
      </c>
      <c r="D70">
        <v>57</v>
      </c>
      <c r="E70" t="s">
        <v>1059</v>
      </c>
      <c r="F70" t="s">
        <v>1060</v>
      </c>
      <c r="H70" t="s">
        <v>1086</v>
      </c>
      <c r="I70" t="s">
        <v>965</v>
      </c>
      <c r="J70" t="str">
        <f t="shared" si="1"/>
        <v>Male</v>
      </c>
      <c r="K70" t="str">
        <f t="shared" si="2"/>
        <v>Singaporean</v>
      </c>
      <c r="L70" t="str">
        <f t="shared" si="3"/>
        <v>Case 335 is a Local linked  case, 57 years old male Singapore Citizen  and has not been overseas. He is currently admitted at NCID . Family member of Case 234</v>
      </c>
      <c r="M70" t="str">
        <f t="shared" si="4"/>
        <v/>
      </c>
      <c r="N70" t="str">
        <f t="shared" si="5"/>
        <v/>
      </c>
    </row>
    <row r="71" spans="1:14" x14ac:dyDescent="0.3">
      <c r="A71">
        <v>336</v>
      </c>
      <c r="B71" s="24">
        <v>43909</v>
      </c>
      <c r="C71" t="s">
        <v>1058</v>
      </c>
      <c r="D71">
        <v>60</v>
      </c>
      <c r="E71" t="s">
        <v>1059</v>
      </c>
      <c r="F71" t="s">
        <v>1060</v>
      </c>
      <c r="H71" t="s">
        <v>1061</v>
      </c>
      <c r="J71" t="str">
        <f t="shared" si="1"/>
        <v>Male</v>
      </c>
      <c r="K71" t="str">
        <f t="shared" si="2"/>
        <v>Singaporean</v>
      </c>
      <c r="L71" t="str">
        <f t="shared" si="3"/>
        <v xml:space="preserve">Case 336 is a Local unlinked case, 60 years old male Singapore Citizen  and has not been overseas. He is currently admitted at KTPH . </v>
      </c>
      <c r="M71" t="str">
        <f t="shared" si="4"/>
        <v/>
      </c>
      <c r="N71" t="str">
        <f t="shared" si="5"/>
        <v/>
      </c>
    </row>
    <row r="72" spans="1:14" x14ac:dyDescent="0.3">
      <c r="A72">
        <v>337</v>
      </c>
      <c r="B72" s="24">
        <v>43909</v>
      </c>
      <c r="C72" t="s">
        <v>343</v>
      </c>
      <c r="D72">
        <v>31</v>
      </c>
      <c r="E72" t="s">
        <v>932</v>
      </c>
      <c r="F72" t="s">
        <v>1087</v>
      </c>
      <c r="G72" t="s">
        <v>1088</v>
      </c>
      <c r="H72" t="s">
        <v>77</v>
      </c>
      <c r="J72" t="str">
        <f t="shared" si="1"/>
        <v>Male</v>
      </c>
      <c r="K72" t="str">
        <f t="shared" si="2"/>
        <v>Switzerland</v>
      </c>
      <c r="L72" t="str">
        <f t="shared" si="3"/>
        <v xml:space="preserve">Case 337 is a Imported case, 31 years old male Switzerland (Singapore Work Pass) and has been to France, Switzerland . He is currently admitted at NUH . </v>
      </c>
      <c r="M72">
        <f t="shared" si="4"/>
        <v>337</v>
      </c>
      <c r="N72" t="str">
        <f t="shared" si="5"/>
        <v xml:space="preserve">France, Switzerland </v>
      </c>
    </row>
    <row r="73" spans="1:14" x14ac:dyDescent="0.3">
      <c r="A73">
        <v>338</v>
      </c>
      <c r="B73" s="24">
        <v>43909</v>
      </c>
      <c r="C73" t="s">
        <v>1071</v>
      </c>
      <c r="D73">
        <v>57</v>
      </c>
      <c r="E73" t="s">
        <v>1059</v>
      </c>
      <c r="F73" t="s">
        <v>1060</v>
      </c>
      <c r="H73" t="s">
        <v>1061</v>
      </c>
      <c r="J73" t="str">
        <f t="shared" si="1"/>
        <v>Male</v>
      </c>
      <c r="K73" t="str">
        <f t="shared" si="2"/>
        <v>Singaporean</v>
      </c>
      <c r="L73" t="str">
        <f t="shared" si="3"/>
        <v xml:space="preserve">Case 338 is a Local unlinked case, 57 years old male Singapore Citizen  and has not been overseas. He is currently admitted at NCID . </v>
      </c>
      <c r="M73" t="str">
        <f t="shared" si="4"/>
        <v/>
      </c>
      <c r="N73" t="str">
        <f t="shared" si="5"/>
        <v/>
      </c>
    </row>
    <row r="74" spans="1:14" x14ac:dyDescent="0.3">
      <c r="A74">
        <v>339</v>
      </c>
      <c r="B74" s="24">
        <v>43909</v>
      </c>
      <c r="C74" t="s">
        <v>1071</v>
      </c>
      <c r="D74">
        <v>66</v>
      </c>
      <c r="E74" t="s">
        <v>1059</v>
      </c>
      <c r="F74" t="s">
        <v>1060</v>
      </c>
      <c r="G74" t="s">
        <v>706</v>
      </c>
      <c r="H74" t="s">
        <v>1069</v>
      </c>
      <c r="I74" t="s">
        <v>1089</v>
      </c>
      <c r="J74" t="str">
        <f t="shared" si="1"/>
        <v>Male</v>
      </c>
      <c r="K74" t="str">
        <f t="shared" si="2"/>
        <v>Singaporean</v>
      </c>
      <c r="L74" t="str">
        <f t="shared" si="3"/>
        <v>Case 339 is a Imported  case, 66 years old male Singapore Citizen  and has been to Philippines . He is currently admitted at NCID . Family member of Case 279</v>
      </c>
      <c r="M74">
        <f t="shared" si="4"/>
        <v>339</v>
      </c>
      <c r="N74" t="str">
        <f t="shared" si="5"/>
        <v xml:space="preserve">Philippines </v>
      </c>
    </row>
    <row r="75" spans="1:14" x14ac:dyDescent="0.3">
      <c r="A75">
        <v>340</v>
      </c>
      <c r="B75" s="24">
        <v>43909</v>
      </c>
      <c r="C75" t="s">
        <v>1071</v>
      </c>
      <c r="D75">
        <v>27</v>
      </c>
      <c r="E75" t="s">
        <v>1059</v>
      </c>
      <c r="F75" t="s">
        <v>1060</v>
      </c>
      <c r="G75" t="s">
        <v>706</v>
      </c>
      <c r="H75" t="s">
        <v>1069</v>
      </c>
      <c r="I75" t="s">
        <v>1090</v>
      </c>
      <c r="J75" t="str">
        <f t="shared" si="1"/>
        <v>Male</v>
      </c>
      <c r="K75" t="str">
        <f t="shared" si="2"/>
        <v>Singaporean</v>
      </c>
      <c r="L75" t="str">
        <f t="shared" si="3"/>
        <v>Case 340 is a Imported  case, 27 years old male Singapore Citizen  and has been to Philippines . He is currently admitted at NCID . Contact of Cases 222 and 307</v>
      </c>
      <c r="M75">
        <f t="shared" si="4"/>
        <v>340</v>
      </c>
      <c r="N75" t="str">
        <f t="shared" si="5"/>
        <v xml:space="preserve">Philippines </v>
      </c>
    </row>
    <row r="76" spans="1:14" x14ac:dyDescent="0.3">
      <c r="A76">
        <v>341</v>
      </c>
      <c r="B76" s="24">
        <v>43909</v>
      </c>
      <c r="C76" t="s">
        <v>1071</v>
      </c>
      <c r="D76">
        <v>31</v>
      </c>
      <c r="E76" t="s">
        <v>932</v>
      </c>
      <c r="F76" t="s">
        <v>1091</v>
      </c>
      <c r="G76" t="s">
        <v>1063</v>
      </c>
      <c r="H76" t="s">
        <v>77</v>
      </c>
      <c r="J76" t="str">
        <f t="shared" si="1"/>
        <v>Male</v>
      </c>
      <c r="K76" t="str">
        <f t="shared" si="2"/>
        <v>Germany</v>
      </c>
      <c r="L76" t="str">
        <f t="shared" si="3"/>
        <v xml:space="preserve">Case 341 is a Imported case, 31 years old male Germany (Singapore Work Pass) and has been to UK . He is currently admitted at NCID . </v>
      </c>
      <c r="M76">
        <f t="shared" si="4"/>
        <v>341</v>
      </c>
      <c r="N76" t="str">
        <f t="shared" si="5"/>
        <v xml:space="preserve">UK </v>
      </c>
    </row>
    <row r="77" spans="1:14" x14ac:dyDescent="0.3">
      <c r="A77">
        <v>342</v>
      </c>
      <c r="B77" s="24">
        <v>43909</v>
      </c>
      <c r="C77" t="s">
        <v>1071</v>
      </c>
      <c r="D77">
        <v>31</v>
      </c>
      <c r="E77" t="s">
        <v>1059</v>
      </c>
      <c r="F77" t="s">
        <v>1060</v>
      </c>
      <c r="G77" t="s">
        <v>794</v>
      </c>
      <c r="H77" t="s">
        <v>77</v>
      </c>
      <c r="J77" t="str">
        <f t="shared" si="1"/>
        <v>Male</v>
      </c>
      <c r="K77" t="str">
        <f t="shared" si="2"/>
        <v>Singaporean</v>
      </c>
      <c r="L77" t="str">
        <f t="shared" si="3"/>
        <v xml:space="preserve">Case 342 is a Imported case, 31 years old male Singapore Citizen  and has been to Thailand . He is currently admitted at NCID . </v>
      </c>
      <c r="M77">
        <f t="shared" si="4"/>
        <v>342</v>
      </c>
      <c r="N77" t="str">
        <f t="shared" si="5"/>
        <v xml:space="preserve">Thailand </v>
      </c>
    </row>
    <row r="78" spans="1:14" x14ac:dyDescent="0.3">
      <c r="A78">
        <v>343</v>
      </c>
      <c r="B78" s="24">
        <v>43909</v>
      </c>
      <c r="C78" t="s">
        <v>1071</v>
      </c>
      <c r="D78">
        <v>20</v>
      </c>
      <c r="E78" t="s">
        <v>930</v>
      </c>
      <c r="F78" t="s">
        <v>1072</v>
      </c>
      <c r="G78" t="s">
        <v>1063</v>
      </c>
      <c r="H78" t="s">
        <v>77</v>
      </c>
      <c r="J78" t="str">
        <f t="shared" si="1"/>
        <v>Female</v>
      </c>
      <c r="K78" t="str">
        <f t="shared" si="2"/>
        <v>Singaporean</v>
      </c>
      <c r="L78" t="str">
        <f t="shared" si="3"/>
        <v xml:space="preserve">Case 343 is a Imported case, 20 years old female Singapore Permanent Resident  and has been to UK . She is currently admitted at NCID . </v>
      </c>
      <c r="M78">
        <f t="shared" si="4"/>
        <v>343</v>
      </c>
      <c r="N78" t="str">
        <f t="shared" si="5"/>
        <v xml:space="preserve">UK </v>
      </c>
    </row>
    <row r="79" spans="1:14" x14ac:dyDescent="0.3">
      <c r="A79">
        <v>344</v>
      </c>
      <c r="B79" s="24">
        <v>43909</v>
      </c>
      <c r="C79" t="s">
        <v>1071</v>
      </c>
      <c r="D79">
        <v>21</v>
      </c>
      <c r="E79" t="s">
        <v>1073</v>
      </c>
      <c r="F79" t="s">
        <v>1060</v>
      </c>
      <c r="G79" t="s">
        <v>1063</v>
      </c>
      <c r="H79" t="s">
        <v>77</v>
      </c>
      <c r="J79" t="str">
        <f t="shared" si="1"/>
        <v>Female</v>
      </c>
      <c r="K79" t="str">
        <f t="shared" si="2"/>
        <v>Singaporean</v>
      </c>
      <c r="L79" t="str">
        <f t="shared" si="3"/>
        <v xml:space="preserve">Case 344 is a Imported case, 21 years old female Singapore Citizen  and has been to UK . She is currently admitted at NCID . </v>
      </c>
      <c r="M79">
        <f t="shared" si="4"/>
        <v>344</v>
      </c>
      <c r="N79" t="str">
        <f t="shared" si="5"/>
        <v xml:space="preserve">UK </v>
      </c>
    </row>
    <row r="80" spans="1:14" x14ac:dyDescent="0.3">
      <c r="A80">
        <v>345</v>
      </c>
      <c r="B80" s="24">
        <v>43909</v>
      </c>
      <c r="C80" t="s">
        <v>1071</v>
      </c>
      <c r="D80">
        <v>30</v>
      </c>
      <c r="E80" t="s">
        <v>932</v>
      </c>
      <c r="F80" t="s">
        <v>1092</v>
      </c>
      <c r="G80" t="s">
        <v>1063</v>
      </c>
      <c r="H80" t="s">
        <v>1086</v>
      </c>
      <c r="I80" t="s">
        <v>733</v>
      </c>
      <c r="J80" t="str">
        <f t="shared" si="1"/>
        <v>Male</v>
      </c>
      <c r="K80" t="str">
        <f t="shared" si="2"/>
        <v>German</v>
      </c>
      <c r="L80" t="str">
        <f t="shared" si="3"/>
        <v>Case 345 is a Local linked  case, 30 years old male German (Singapore Work Pass)  and has been to UK . He is currently admitted at NCID . boulder+ Gym</v>
      </c>
      <c r="M80">
        <f t="shared" si="4"/>
        <v>345</v>
      </c>
      <c r="N80" t="str">
        <f t="shared" si="5"/>
        <v xml:space="preserve">UK </v>
      </c>
    </row>
    <row r="81" spans="1:14" x14ac:dyDescent="0.3">
      <c r="A81">
        <v>346</v>
      </c>
      <c r="B81" s="24">
        <v>43909</v>
      </c>
      <c r="C81" t="s">
        <v>1058</v>
      </c>
      <c r="D81">
        <v>59</v>
      </c>
      <c r="E81" t="s">
        <v>1059</v>
      </c>
      <c r="F81" t="s">
        <v>1060</v>
      </c>
      <c r="G81" t="s">
        <v>798</v>
      </c>
      <c r="H81" t="s">
        <v>77</v>
      </c>
      <c r="J81" t="str">
        <f t="shared" ref="J81:J144" si="6">IF(TRIM(E81)="M","Male",IF(TRIM(E81)="F","Female",""))</f>
        <v>Male</v>
      </c>
      <c r="K81" t="str">
        <f t="shared" ref="K81:K91" si="7">IF(LEFT(F81,9)="Singapore","Singaporean",LEFT(F81,FIND("(",F81)-2))</f>
        <v>Singaporean</v>
      </c>
      <c r="L81" t="str">
        <f t="shared" ref="L81:L144" si="8">"Case "&amp;A81&amp;" is a "&amp;H81&amp;" case, "&amp;D81&amp;" years old "&amp;LOWER(J81)&amp;" "&amp;F81 &amp;IF(G81=""," and has not been overseas"," and has been to "&amp;G81)&amp;". "&amp;IF(TRIM(E81)="F","She",IF(TRIM(E81)="M","He"))&amp;" is currently admitted at "&amp;C81&amp;". "&amp;I81</f>
        <v xml:space="preserve">Case 346 is a Imported case, 59 years old male Singapore Citizen  and has been to India . He is currently admitted at KTPH . </v>
      </c>
      <c r="M81">
        <f t="shared" ref="M81:M144" si="9">IF(G81="","",A81)</f>
        <v>346</v>
      </c>
      <c r="N81" t="str">
        <f t="shared" ref="N81:N144" si="10">IF(G81="","",G81)</f>
        <v xml:space="preserve">India </v>
      </c>
    </row>
    <row r="82" spans="1:14" x14ac:dyDescent="0.3">
      <c r="A82">
        <v>347</v>
      </c>
      <c r="B82" s="24">
        <v>43909</v>
      </c>
      <c r="C82" t="s">
        <v>1058</v>
      </c>
      <c r="D82">
        <v>27</v>
      </c>
      <c r="E82" t="s">
        <v>1059</v>
      </c>
      <c r="F82" t="s">
        <v>1060</v>
      </c>
      <c r="G82" t="s">
        <v>1063</v>
      </c>
      <c r="H82" t="s">
        <v>77</v>
      </c>
      <c r="J82" t="str">
        <f t="shared" si="6"/>
        <v>Male</v>
      </c>
      <c r="K82" t="str">
        <f t="shared" si="7"/>
        <v>Singaporean</v>
      </c>
      <c r="L82" t="str">
        <f t="shared" si="8"/>
        <v xml:space="preserve">Case 347 is a Imported case, 27 years old male Singapore Citizen  and has been to UK . He is currently admitted at KTPH . </v>
      </c>
      <c r="M82">
        <f t="shared" si="9"/>
        <v>347</v>
      </c>
      <c r="N82" t="str">
        <f t="shared" si="10"/>
        <v xml:space="preserve">UK </v>
      </c>
    </row>
    <row r="83" spans="1:14" x14ac:dyDescent="0.3">
      <c r="A83">
        <v>348</v>
      </c>
      <c r="B83" s="24">
        <v>43909</v>
      </c>
      <c r="C83" t="s">
        <v>343</v>
      </c>
      <c r="D83">
        <v>51</v>
      </c>
      <c r="E83" t="s">
        <v>1073</v>
      </c>
      <c r="F83" t="s">
        <v>1060</v>
      </c>
      <c r="H83" t="s">
        <v>1086</v>
      </c>
      <c r="I83" t="s">
        <v>1135</v>
      </c>
      <c r="J83" t="str">
        <f t="shared" si="6"/>
        <v>Female</v>
      </c>
      <c r="K83" t="str">
        <f t="shared" si="7"/>
        <v>Singaporean</v>
      </c>
      <c r="L83" t="str">
        <f t="shared" si="8"/>
        <v>Case 348 is a Local linked  case, 51 years old female Singapore Citizen  and has not been overseas. She is currently admitted at NUH . Family member of Case 227</v>
      </c>
      <c r="M83" t="str">
        <f t="shared" si="9"/>
        <v/>
      </c>
      <c r="N83" t="str">
        <f t="shared" si="10"/>
        <v/>
      </c>
    </row>
    <row r="84" spans="1:14" x14ac:dyDescent="0.3">
      <c r="A84">
        <v>349</v>
      </c>
      <c r="B84" s="24">
        <v>43909</v>
      </c>
      <c r="C84" t="s">
        <v>135</v>
      </c>
      <c r="D84">
        <v>21</v>
      </c>
      <c r="E84" t="s">
        <v>1059</v>
      </c>
      <c r="F84" t="s">
        <v>1060</v>
      </c>
      <c r="G84" t="s">
        <v>1063</v>
      </c>
      <c r="H84" t="s">
        <v>77</v>
      </c>
      <c r="J84" t="str">
        <f t="shared" si="6"/>
        <v>Male</v>
      </c>
      <c r="K84" t="str">
        <f t="shared" si="7"/>
        <v>Singaporean</v>
      </c>
      <c r="L84" t="str">
        <f t="shared" si="8"/>
        <v xml:space="preserve">Case 349 is a Imported case, 21 years old male Singapore Citizen  and has been to UK . He is currently admitted at CGH. </v>
      </c>
      <c r="M84">
        <f t="shared" si="9"/>
        <v>349</v>
      </c>
      <c r="N84" t="str">
        <f t="shared" si="10"/>
        <v xml:space="preserve">UK </v>
      </c>
    </row>
    <row r="85" spans="1:14" x14ac:dyDescent="0.3">
      <c r="A85">
        <v>350</v>
      </c>
      <c r="B85" s="24">
        <v>43909</v>
      </c>
      <c r="C85" t="s">
        <v>1064</v>
      </c>
      <c r="D85">
        <v>61</v>
      </c>
      <c r="E85" t="s">
        <v>1059</v>
      </c>
      <c r="F85" t="s">
        <v>1060</v>
      </c>
      <c r="H85" t="s">
        <v>1061</v>
      </c>
      <c r="J85" t="str">
        <f t="shared" si="6"/>
        <v>Male</v>
      </c>
      <c r="K85" t="str">
        <f t="shared" si="7"/>
        <v>Singaporean</v>
      </c>
      <c r="L85" t="str">
        <f t="shared" si="8"/>
        <v xml:space="preserve">Case 350 is a Local unlinked case, 61 years old male Singapore Citizen  and has not been overseas. He is currently admitted at CGH . </v>
      </c>
      <c r="M85" t="str">
        <f t="shared" si="9"/>
        <v/>
      </c>
      <c r="N85" t="str">
        <f t="shared" si="10"/>
        <v/>
      </c>
    </row>
    <row r="86" spans="1:14" x14ac:dyDescent="0.3">
      <c r="A86">
        <v>351</v>
      </c>
      <c r="B86" s="24">
        <v>43909</v>
      </c>
      <c r="C86" t="s">
        <v>134</v>
      </c>
      <c r="D86">
        <v>51</v>
      </c>
      <c r="E86" t="s">
        <v>1059</v>
      </c>
      <c r="F86" t="s">
        <v>1060</v>
      </c>
      <c r="G86" t="s">
        <v>687</v>
      </c>
      <c r="H86" t="s">
        <v>77</v>
      </c>
      <c r="J86" t="str">
        <f t="shared" si="6"/>
        <v>Male</v>
      </c>
      <c r="K86" t="str">
        <f t="shared" si="7"/>
        <v>Singaporean</v>
      </c>
      <c r="L86" t="str">
        <f t="shared" si="8"/>
        <v xml:space="preserve">Case 351 is a Imported case, 51 years old male Singapore Citizen  and has been to Indonesia . He is currently admitted at SKH. </v>
      </c>
      <c r="M86">
        <f t="shared" si="9"/>
        <v>351</v>
      </c>
      <c r="N86" t="str">
        <f t="shared" si="10"/>
        <v xml:space="preserve">Indonesia </v>
      </c>
    </row>
    <row r="87" spans="1:14" x14ac:dyDescent="0.3">
      <c r="A87">
        <v>352</v>
      </c>
      <c r="B87" s="24">
        <v>43909</v>
      </c>
      <c r="C87" t="s">
        <v>132</v>
      </c>
      <c r="D87">
        <v>43</v>
      </c>
      <c r="E87" t="s">
        <v>1059</v>
      </c>
      <c r="F87" t="s">
        <v>1060</v>
      </c>
      <c r="G87" t="s">
        <v>1136</v>
      </c>
      <c r="H87" t="s">
        <v>77</v>
      </c>
      <c r="J87" t="str">
        <f t="shared" si="6"/>
        <v>Male</v>
      </c>
      <c r="K87" t="str">
        <f t="shared" si="7"/>
        <v>Singaporean</v>
      </c>
      <c r="L87" t="str">
        <f t="shared" si="8"/>
        <v xml:space="preserve">Case 352 is a Imported case, 43 years old male Singapore Citizen  and has been to Moscow, Russia, Copenhagen, Denmark. He is currently admitted at SGH. </v>
      </c>
      <c r="M87">
        <f t="shared" si="9"/>
        <v>352</v>
      </c>
      <c r="N87" t="str">
        <f t="shared" si="10"/>
        <v>Moscow, Russia, Copenhagen, Denmark</v>
      </c>
    </row>
    <row r="88" spans="1:14" x14ac:dyDescent="0.3">
      <c r="A88">
        <v>353</v>
      </c>
      <c r="B88" s="24">
        <v>43909</v>
      </c>
      <c r="C88" t="s">
        <v>133</v>
      </c>
      <c r="D88">
        <v>23</v>
      </c>
      <c r="E88" t="s">
        <v>1059</v>
      </c>
      <c r="F88" t="s">
        <v>1060</v>
      </c>
      <c r="H88" t="s">
        <v>1086</v>
      </c>
      <c r="I88" t="s">
        <v>1137</v>
      </c>
      <c r="J88" t="str">
        <f t="shared" si="6"/>
        <v>Male</v>
      </c>
      <c r="K88" t="str">
        <f t="shared" si="7"/>
        <v>Singaporean</v>
      </c>
      <c r="L88" t="str">
        <f t="shared" si="8"/>
        <v>Case 353 is a Local linked  case, 23 years old male Singapore Citizen  and has not been overseas. He is currently admitted at NCID. Contact of Case 177</v>
      </c>
      <c r="M88" t="str">
        <f t="shared" si="9"/>
        <v/>
      </c>
      <c r="N88" t="str">
        <f t="shared" si="10"/>
        <v/>
      </c>
    </row>
    <row r="89" spans="1:14" x14ac:dyDescent="0.3">
      <c r="A89">
        <v>354</v>
      </c>
      <c r="B89" s="24">
        <v>43909</v>
      </c>
      <c r="C89" t="s">
        <v>1138</v>
      </c>
      <c r="D89">
        <v>59</v>
      </c>
      <c r="E89" t="s">
        <v>1059</v>
      </c>
      <c r="F89" t="s">
        <v>1060</v>
      </c>
      <c r="G89" t="s">
        <v>1063</v>
      </c>
      <c r="H89" t="s">
        <v>1069</v>
      </c>
      <c r="I89" t="s">
        <v>1139</v>
      </c>
      <c r="J89" t="str">
        <f t="shared" si="6"/>
        <v>Male</v>
      </c>
      <c r="K89" t="str">
        <f t="shared" si="7"/>
        <v>Singaporean</v>
      </c>
      <c r="L89" t="str">
        <f t="shared" si="8"/>
        <v>Case 354 is a Imported  case, 59 years old male Singapore Citizen  and has been to UK . He is currently admitted at SGH . Contact of Case 265</v>
      </c>
      <c r="M89">
        <f t="shared" si="9"/>
        <v>354</v>
      </c>
      <c r="N89" t="str">
        <f t="shared" si="10"/>
        <v xml:space="preserve">UK </v>
      </c>
    </row>
    <row r="90" spans="1:14" x14ac:dyDescent="0.3">
      <c r="A90">
        <v>355</v>
      </c>
      <c r="B90" s="24">
        <v>43909</v>
      </c>
      <c r="C90" t="s">
        <v>1071</v>
      </c>
      <c r="D90">
        <v>38</v>
      </c>
      <c r="E90" t="s">
        <v>1059</v>
      </c>
      <c r="F90" t="s">
        <v>1140</v>
      </c>
      <c r="G90" t="s">
        <v>1063</v>
      </c>
      <c r="H90" t="s">
        <v>77</v>
      </c>
      <c r="J90" t="str">
        <f t="shared" si="6"/>
        <v>Male</v>
      </c>
      <c r="K90" t="str">
        <f t="shared" si="7"/>
        <v>Australian</v>
      </c>
      <c r="L90" t="str">
        <f t="shared" si="8"/>
        <v xml:space="preserve">Case 355 is a Imported case, 38 years old male Australian (Long Term Visit Pass holder) and has been to UK . He is currently admitted at NCID . </v>
      </c>
      <c r="M90">
        <f t="shared" si="9"/>
        <v>355</v>
      </c>
      <c r="N90" t="str">
        <f t="shared" si="10"/>
        <v xml:space="preserve">UK </v>
      </c>
    </row>
    <row r="91" spans="1:14" x14ac:dyDescent="0.3">
      <c r="A91">
        <v>356</v>
      </c>
      <c r="B91" s="24">
        <v>43909</v>
      </c>
      <c r="C91" t="s">
        <v>1071</v>
      </c>
      <c r="D91">
        <v>27</v>
      </c>
      <c r="E91" t="s">
        <v>1059</v>
      </c>
      <c r="F91" t="s">
        <v>1141</v>
      </c>
      <c r="G91" t="s">
        <v>798</v>
      </c>
      <c r="H91" t="s">
        <v>77</v>
      </c>
      <c r="J91" t="str">
        <f t="shared" si="6"/>
        <v>Male</v>
      </c>
      <c r="K91" t="str">
        <f t="shared" si="7"/>
        <v>Australian</v>
      </c>
      <c r="L91" t="str">
        <f t="shared" si="8"/>
        <v xml:space="preserve">Case 356 is a Imported case, 27 years old male Australian (Singapore Work Pass holder) and has been to India . He is currently admitted at NCID . </v>
      </c>
      <c r="M91">
        <f t="shared" si="9"/>
        <v>356</v>
      </c>
      <c r="N91" t="str">
        <f t="shared" si="10"/>
        <v xml:space="preserve">India </v>
      </c>
    </row>
    <row r="92" spans="1:14" x14ac:dyDescent="0.3">
      <c r="A92">
        <v>357</v>
      </c>
      <c r="B92" s="24">
        <v>43909</v>
      </c>
      <c r="C92" t="s">
        <v>1142</v>
      </c>
      <c r="D92">
        <v>41</v>
      </c>
      <c r="E92" t="s">
        <v>1059</v>
      </c>
      <c r="F92" t="s">
        <v>1093</v>
      </c>
      <c r="G92" t="s">
        <v>1143</v>
      </c>
      <c r="H92" t="s">
        <v>77</v>
      </c>
      <c r="J92" t="str">
        <f t="shared" si="6"/>
        <v>Male</v>
      </c>
      <c r="K92" t="str">
        <f>IF(LEFT(F92,9)="Singapore","Singaporean",IF(ISERR(FIND("(",F92)),F92,LEFT(F92,FIND("(",F92)-2)))</f>
        <v xml:space="preserve">German </v>
      </c>
      <c r="L92" t="str">
        <f t="shared" si="8"/>
        <v xml:space="preserve">Case 357 is a Imported case, 41 years old male German  and has been to Germany, US, France, Monaco. He is currently admitted at MEH. </v>
      </c>
      <c r="M92">
        <f t="shared" si="9"/>
        <v>357</v>
      </c>
      <c r="N92" t="str">
        <f t="shared" si="10"/>
        <v>Germany, US, France, Monaco</v>
      </c>
    </row>
    <row r="93" spans="1:14" x14ac:dyDescent="0.3">
      <c r="A93">
        <v>358</v>
      </c>
      <c r="B93" s="24">
        <v>43909</v>
      </c>
      <c r="C93" t="s">
        <v>1071</v>
      </c>
      <c r="D93">
        <v>39</v>
      </c>
      <c r="E93" t="s">
        <v>1073</v>
      </c>
      <c r="F93" t="s">
        <v>949</v>
      </c>
      <c r="H93" t="s">
        <v>1061</v>
      </c>
      <c r="J93" t="str">
        <f t="shared" si="6"/>
        <v>Female</v>
      </c>
      <c r="K93" t="str">
        <f t="shared" ref="K93:K156" si="11">IF(LEFT(F93,9)="Singapore","Singaporean",IF(ISERR(FIND("(",F93)),F93,LEFT(F93,FIND("(",F93)-2)))</f>
        <v>Singaporean</v>
      </c>
      <c r="L93" t="str">
        <f t="shared" si="8"/>
        <v xml:space="preserve">Case 358 is a Local unlinked case, 39 years old female Singapore Permanent Resident and has not been overseas. She is currently admitted at NCID . </v>
      </c>
      <c r="M93" t="str">
        <f t="shared" si="9"/>
        <v/>
      </c>
      <c r="N93" t="str">
        <f t="shared" si="10"/>
        <v/>
      </c>
    </row>
    <row r="94" spans="1:14" x14ac:dyDescent="0.3">
      <c r="A94">
        <v>359</v>
      </c>
      <c r="B94" s="24">
        <v>43909</v>
      </c>
      <c r="C94" t="s">
        <v>343</v>
      </c>
      <c r="D94">
        <v>45</v>
      </c>
      <c r="E94" t="s">
        <v>1073</v>
      </c>
      <c r="F94" t="s">
        <v>1060</v>
      </c>
      <c r="H94" t="s">
        <v>1086</v>
      </c>
      <c r="I94" t="s">
        <v>1144</v>
      </c>
      <c r="J94" t="str">
        <f t="shared" si="6"/>
        <v>Female</v>
      </c>
      <c r="K94" t="str">
        <f t="shared" si="11"/>
        <v>Singaporean</v>
      </c>
      <c r="L94" t="str">
        <f t="shared" si="8"/>
        <v>Case 359 is a Local linked  case, 45 years old female Singapore Citizen  and has not been overseas. She is currently admitted at NUH . Contact of Case 321</v>
      </c>
      <c r="M94" t="str">
        <f t="shared" si="9"/>
        <v/>
      </c>
      <c r="N94" t="str">
        <f t="shared" si="10"/>
        <v/>
      </c>
    </row>
    <row r="95" spans="1:14" x14ac:dyDescent="0.3">
      <c r="A95">
        <v>360</v>
      </c>
      <c r="B95" s="24">
        <v>43909</v>
      </c>
      <c r="C95" t="s">
        <v>1071</v>
      </c>
      <c r="D95">
        <v>26</v>
      </c>
      <c r="E95" t="s">
        <v>1059</v>
      </c>
      <c r="F95" t="s">
        <v>1060</v>
      </c>
      <c r="G95" t="s">
        <v>1063</v>
      </c>
      <c r="H95" t="s">
        <v>77</v>
      </c>
      <c r="J95" t="str">
        <f t="shared" si="6"/>
        <v>Male</v>
      </c>
      <c r="K95" t="str">
        <f t="shared" si="11"/>
        <v>Singaporean</v>
      </c>
      <c r="L95" t="str">
        <f t="shared" si="8"/>
        <v xml:space="preserve">Case 360 is a Imported case, 26 years old male Singapore Citizen  and has been to UK . He is currently admitted at NCID . </v>
      </c>
      <c r="M95">
        <f t="shared" si="9"/>
        <v>360</v>
      </c>
      <c r="N95" t="str">
        <f t="shared" si="10"/>
        <v xml:space="preserve">UK </v>
      </c>
    </row>
    <row r="96" spans="1:14" x14ac:dyDescent="0.3">
      <c r="A96">
        <v>361</v>
      </c>
      <c r="B96" s="24">
        <v>43909</v>
      </c>
      <c r="C96" t="s">
        <v>1071</v>
      </c>
      <c r="D96">
        <v>32</v>
      </c>
      <c r="E96" t="s">
        <v>1059</v>
      </c>
      <c r="F96" t="s">
        <v>1060</v>
      </c>
      <c r="G96" t="s">
        <v>794</v>
      </c>
      <c r="H96" t="s">
        <v>1086</v>
      </c>
      <c r="I96" t="s">
        <v>1145</v>
      </c>
      <c r="J96" t="str">
        <f t="shared" si="6"/>
        <v>Male</v>
      </c>
      <c r="K96" t="str">
        <f t="shared" si="11"/>
        <v>Singaporean</v>
      </c>
      <c r="L96" t="str">
        <f t="shared" si="8"/>
        <v>Case 361 is a Local linked  case, 32 years old male Singapore Citizen  and has been to Thailand . He is currently admitted at NCID . Contact of Case 318</v>
      </c>
      <c r="M96">
        <f t="shared" si="9"/>
        <v>361</v>
      </c>
      <c r="N96" t="str">
        <f t="shared" si="10"/>
        <v xml:space="preserve">Thailand </v>
      </c>
    </row>
    <row r="97" spans="1:14" x14ac:dyDescent="0.3">
      <c r="A97">
        <v>362</v>
      </c>
      <c r="B97" s="24">
        <v>43909</v>
      </c>
      <c r="C97" t="s">
        <v>1071</v>
      </c>
      <c r="D97">
        <v>45</v>
      </c>
      <c r="E97" t="s">
        <v>1073</v>
      </c>
      <c r="F97" t="s">
        <v>1146</v>
      </c>
      <c r="G97" t="s">
        <v>1147</v>
      </c>
      <c r="H97" t="s">
        <v>77</v>
      </c>
      <c r="J97" t="str">
        <f t="shared" si="6"/>
        <v>Female</v>
      </c>
      <c r="K97" t="str">
        <f t="shared" si="11"/>
        <v>Germany</v>
      </c>
      <c r="L97" t="str">
        <f t="shared" si="8"/>
        <v xml:space="preserve">Case 362 is a Imported case, 45 years old female Germany (Long Term Pass holder) and has been to Germany, Holland . She is currently admitted at NCID . </v>
      </c>
      <c r="M97">
        <f t="shared" si="9"/>
        <v>362</v>
      </c>
      <c r="N97" t="str">
        <f t="shared" si="10"/>
        <v xml:space="preserve">Germany, Holland </v>
      </c>
    </row>
    <row r="98" spans="1:14" x14ac:dyDescent="0.3">
      <c r="A98">
        <v>363</v>
      </c>
      <c r="B98" s="24">
        <v>43909</v>
      </c>
      <c r="C98" t="s">
        <v>1066</v>
      </c>
      <c r="D98">
        <v>49</v>
      </c>
      <c r="E98" t="s">
        <v>1059</v>
      </c>
      <c r="F98" t="s">
        <v>1060</v>
      </c>
      <c r="G98" t="s">
        <v>1063</v>
      </c>
      <c r="H98" t="s">
        <v>77</v>
      </c>
      <c r="J98" t="str">
        <f t="shared" si="6"/>
        <v>Male</v>
      </c>
      <c r="K98" t="str">
        <f t="shared" si="11"/>
        <v>Singaporean</v>
      </c>
      <c r="L98" t="str">
        <f t="shared" si="8"/>
        <v xml:space="preserve">Case 363 is a Imported case, 49 years old male Singapore Citizen  and has been to UK . He is currently admitted at SKH . </v>
      </c>
      <c r="M98">
        <f t="shared" si="9"/>
        <v>363</v>
      </c>
      <c r="N98" t="str">
        <f t="shared" si="10"/>
        <v xml:space="preserve">UK </v>
      </c>
    </row>
    <row r="99" spans="1:14" x14ac:dyDescent="0.3">
      <c r="A99">
        <v>364</v>
      </c>
      <c r="B99" s="24">
        <v>43910</v>
      </c>
      <c r="C99" t="s">
        <v>1071</v>
      </c>
      <c r="D99">
        <v>52</v>
      </c>
      <c r="E99" t="s">
        <v>1059</v>
      </c>
      <c r="F99" t="s">
        <v>1060</v>
      </c>
      <c r="H99" t="s">
        <v>1086</v>
      </c>
      <c r="I99" t="s">
        <v>1148</v>
      </c>
      <c r="J99" t="str">
        <f t="shared" si="6"/>
        <v>Male</v>
      </c>
      <c r="K99" t="str">
        <f t="shared" si="11"/>
        <v>Singaporean</v>
      </c>
      <c r="L99" t="str">
        <f t="shared" si="8"/>
        <v>Case 364 is a Local linked  case, 52 years old male Singapore Citizen  and has not been overseas. He is currently admitted at NCID . Contact of Case 225</v>
      </c>
      <c r="M99" t="str">
        <f t="shared" si="9"/>
        <v/>
      </c>
      <c r="N99" t="str">
        <f t="shared" si="10"/>
        <v/>
      </c>
    </row>
    <row r="100" spans="1:14" x14ac:dyDescent="0.3">
      <c r="A100">
        <v>365</v>
      </c>
      <c r="B100" s="24">
        <v>43910</v>
      </c>
      <c r="C100" t="s">
        <v>1071</v>
      </c>
      <c r="D100">
        <v>33</v>
      </c>
      <c r="E100" t="s">
        <v>1059</v>
      </c>
      <c r="F100" t="s">
        <v>1149</v>
      </c>
      <c r="G100" t="s">
        <v>1150</v>
      </c>
      <c r="H100" t="s">
        <v>77</v>
      </c>
      <c r="J100" t="str">
        <f t="shared" si="6"/>
        <v>Male</v>
      </c>
      <c r="K100" t="str">
        <f t="shared" si="11"/>
        <v>Netherlands</v>
      </c>
      <c r="L100" t="str">
        <f t="shared" si="8"/>
        <v xml:space="preserve">Case 365 is a Imported case, 33 years old male Netherlands (Singapore Work Pass holder) and has been to Austria, Netherlands, UK. He is currently admitted at NCID . </v>
      </c>
      <c r="M100">
        <f t="shared" si="9"/>
        <v>365</v>
      </c>
      <c r="N100" t="str">
        <f t="shared" si="10"/>
        <v>Austria, Netherlands, UK</v>
      </c>
    </row>
    <row r="101" spans="1:14" x14ac:dyDescent="0.3">
      <c r="A101">
        <v>366</v>
      </c>
      <c r="B101" s="24">
        <v>43910</v>
      </c>
      <c r="C101" t="s">
        <v>1071</v>
      </c>
      <c r="D101">
        <v>26</v>
      </c>
      <c r="E101" t="s">
        <v>1073</v>
      </c>
      <c r="F101" t="s">
        <v>1060</v>
      </c>
      <c r="G101" t="s">
        <v>958</v>
      </c>
      <c r="H101" t="s">
        <v>1069</v>
      </c>
      <c r="I101" t="s">
        <v>1151</v>
      </c>
      <c r="J101" t="str">
        <f t="shared" si="6"/>
        <v>Female</v>
      </c>
      <c r="K101" t="str">
        <f t="shared" si="11"/>
        <v>Singaporean</v>
      </c>
      <c r="L101" t="str">
        <f t="shared" si="8"/>
        <v>Case 366 is a Imported  case, 26 years old female Singapore Citizen  and has been to UK, Switzerland, Austria. She is currently admitted at NCID . Contact of Case 304</v>
      </c>
      <c r="M101">
        <f t="shared" si="9"/>
        <v>366</v>
      </c>
      <c r="N101" t="str">
        <f t="shared" si="10"/>
        <v>UK, Switzerland, Austria</v>
      </c>
    </row>
    <row r="102" spans="1:14" x14ac:dyDescent="0.3">
      <c r="A102">
        <v>367</v>
      </c>
      <c r="B102" s="24">
        <v>43910</v>
      </c>
      <c r="C102" t="s">
        <v>1071</v>
      </c>
      <c r="D102">
        <v>25</v>
      </c>
      <c r="E102" t="s">
        <v>1059</v>
      </c>
      <c r="F102" t="s">
        <v>1060</v>
      </c>
      <c r="G102" t="s">
        <v>360</v>
      </c>
      <c r="H102" t="s">
        <v>1152</v>
      </c>
      <c r="I102" t="s">
        <v>1153</v>
      </c>
      <c r="J102" t="str">
        <f t="shared" si="6"/>
        <v>Male</v>
      </c>
      <c r="K102" t="str">
        <f t="shared" si="11"/>
        <v>Singaporean</v>
      </c>
      <c r="L102" t="str">
        <f t="shared" si="8"/>
        <v>Case 367 is a Local linked case, 25 years old male Singapore Citizen  and has been to Malaysia . He is currently admitted at NCID . Family member of Case 338</v>
      </c>
      <c r="M102">
        <f t="shared" si="9"/>
        <v>367</v>
      </c>
      <c r="N102" t="str">
        <f t="shared" si="10"/>
        <v xml:space="preserve">Malaysia </v>
      </c>
    </row>
    <row r="103" spans="1:14" x14ac:dyDescent="0.3">
      <c r="A103">
        <v>368</v>
      </c>
      <c r="B103" s="24">
        <v>43910</v>
      </c>
      <c r="C103" t="s">
        <v>1071</v>
      </c>
      <c r="D103">
        <v>19</v>
      </c>
      <c r="E103" t="s">
        <v>1073</v>
      </c>
      <c r="F103" t="s">
        <v>1154</v>
      </c>
      <c r="H103" t="s">
        <v>1086</v>
      </c>
      <c r="I103" t="s">
        <v>1155</v>
      </c>
      <c r="J103" t="str">
        <f t="shared" si="6"/>
        <v>Female</v>
      </c>
      <c r="K103" t="str">
        <f t="shared" si="11"/>
        <v>Indonesian</v>
      </c>
      <c r="L103" t="str">
        <f t="shared" si="8"/>
        <v>Case 368 is a Local linked  case, 19 years old female Indonesian (Long Term Visit Pass holder) and has not been overseas. She is currently admitted at NCID . Contact of Cases 225 and 294</v>
      </c>
      <c r="M103" t="str">
        <f t="shared" si="9"/>
        <v/>
      </c>
      <c r="N103" t="str">
        <f t="shared" si="10"/>
        <v/>
      </c>
    </row>
    <row r="104" spans="1:14" x14ac:dyDescent="0.3">
      <c r="A104">
        <v>369</v>
      </c>
      <c r="B104" s="24">
        <v>43910</v>
      </c>
      <c r="C104" t="s">
        <v>1071</v>
      </c>
      <c r="D104">
        <v>34</v>
      </c>
      <c r="E104" t="s">
        <v>1059</v>
      </c>
      <c r="F104" t="s">
        <v>1060</v>
      </c>
      <c r="G104" t="s">
        <v>794</v>
      </c>
      <c r="H104" t="s">
        <v>77</v>
      </c>
      <c r="J104" t="str">
        <f t="shared" si="6"/>
        <v>Male</v>
      </c>
      <c r="K104" t="str">
        <f t="shared" si="11"/>
        <v>Singaporean</v>
      </c>
      <c r="L104" t="str">
        <f t="shared" si="8"/>
        <v xml:space="preserve">Case 369 is a Imported case, 34 years old male Singapore Citizen  and has been to Thailand . He is currently admitted at NCID . </v>
      </c>
      <c r="M104">
        <f t="shared" si="9"/>
        <v>369</v>
      </c>
      <c r="N104" t="str">
        <f t="shared" si="10"/>
        <v xml:space="preserve">Thailand </v>
      </c>
    </row>
    <row r="105" spans="1:14" x14ac:dyDescent="0.3">
      <c r="A105">
        <v>370</v>
      </c>
      <c r="B105" s="24">
        <v>43910</v>
      </c>
      <c r="C105" t="s">
        <v>1071</v>
      </c>
      <c r="D105">
        <v>73</v>
      </c>
      <c r="E105" t="s">
        <v>1059</v>
      </c>
      <c r="F105" t="s">
        <v>1156</v>
      </c>
      <c r="G105" t="s">
        <v>687</v>
      </c>
      <c r="H105" t="s">
        <v>77</v>
      </c>
      <c r="J105" t="str">
        <f t="shared" si="6"/>
        <v>Male</v>
      </c>
      <c r="K105" t="str">
        <f t="shared" si="11"/>
        <v>Malaysia</v>
      </c>
      <c r="L105" t="str">
        <f t="shared" si="8"/>
        <v xml:space="preserve">Case 370 is a Imported case, 73 years old male Malaysia (Singapore Work Pass holder)  and has been to Indonesia . He is currently admitted at NCID . </v>
      </c>
      <c r="M105">
        <f t="shared" si="9"/>
        <v>370</v>
      </c>
      <c r="N105" t="str">
        <f t="shared" si="10"/>
        <v xml:space="preserve">Indonesia </v>
      </c>
    </row>
    <row r="106" spans="1:14" x14ac:dyDescent="0.3">
      <c r="A106">
        <v>371</v>
      </c>
      <c r="B106" s="24">
        <v>43910</v>
      </c>
      <c r="C106" t="s">
        <v>1071</v>
      </c>
      <c r="D106">
        <v>22</v>
      </c>
      <c r="E106" t="s">
        <v>1059</v>
      </c>
      <c r="F106" t="s">
        <v>1060</v>
      </c>
      <c r="G106" t="s">
        <v>1063</v>
      </c>
      <c r="H106" t="s">
        <v>77</v>
      </c>
      <c r="J106" t="str">
        <f t="shared" si="6"/>
        <v>Male</v>
      </c>
      <c r="K106" t="str">
        <f t="shared" si="11"/>
        <v>Singaporean</v>
      </c>
      <c r="L106" t="str">
        <f t="shared" si="8"/>
        <v xml:space="preserve">Case 371 is a Imported case, 22 years old male Singapore Citizen  and has been to UK . He is currently admitted at NCID . </v>
      </c>
      <c r="M106">
        <f t="shared" si="9"/>
        <v>371</v>
      </c>
      <c r="N106" t="str">
        <f t="shared" si="10"/>
        <v xml:space="preserve">UK </v>
      </c>
    </row>
    <row r="107" spans="1:14" x14ac:dyDescent="0.3">
      <c r="A107">
        <v>372</v>
      </c>
      <c r="B107" s="24">
        <v>43910</v>
      </c>
      <c r="C107" t="s">
        <v>1071</v>
      </c>
      <c r="D107">
        <v>22</v>
      </c>
      <c r="E107" t="s">
        <v>1073</v>
      </c>
      <c r="F107" t="s">
        <v>1060</v>
      </c>
      <c r="G107" t="s">
        <v>1063</v>
      </c>
      <c r="H107" t="s">
        <v>77</v>
      </c>
      <c r="J107" t="str">
        <f t="shared" si="6"/>
        <v>Female</v>
      </c>
      <c r="K107" t="str">
        <f t="shared" si="11"/>
        <v>Singaporean</v>
      </c>
      <c r="L107" t="str">
        <f t="shared" si="8"/>
        <v xml:space="preserve">Case 372 is a Imported case, 22 years old female Singapore Citizen  and has been to UK . She is currently admitted at NCID . </v>
      </c>
      <c r="M107">
        <f t="shared" si="9"/>
        <v>372</v>
      </c>
      <c r="N107" t="str">
        <f t="shared" si="10"/>
        <v xml:space="preserve">UK </v>
      </c>
    </row>
    <row r="108" spans="1:14" x14ac:dyDescent="0.3">
      <c r="A108">
        <v>373</v>
      </c>
      <c r="B108" s="24">
        <v>43910</v>
      </c>
      <c r="C108" t="s">
        <v>1071</v>
      </c>
      <c r="D108">
        <v>51</v>
      </c>
      <c r="E108" t="s">
        <v>1059</v>
      </c>
      <c r="F108" t="s">
        <v>1060</v>
      </c>
      <c r="G108" t="s">
        <v>1063</v>
      </c>
      <c r="H108" t="s">
        <v>77</v>
      </c>
      <c r="J108" t="str">
        <f t="shared" si="6"/>
        <v>Male</v>
      </c>
      <c r="K108" t="str">
        <f t="shared" si="11"/>
        <v>Singaporean</v>
      </c>
      <c r="L108" t="str">
        <f t="shared" si="8"/>
        <v xml:space="preserve">Case 373 is a Imported case, 51 years old male Singapore Citizen  and has been to UK . He is currently admitted at NCID . </v>
      </c>
      <c r="M108">
        <f t="shared" si="9"/>
        <v>373</v>
      </c>
      <c r="N108" t="str">
        <f t="shared" si="10"/>
        <v xml:space="preserve">UK </v>
      </c>
    </row>
    <row r="109" spans="1:14" x14ac:dyDescent="0.3">
      <c r="A109">
        <v>374</v>
      </c>
      <c r="B109" s="24">
        <v>43910</v>
      </c>
      <c r="C109" t="s">
        <v>1071</v>
      </c>
      <c r="D109">
        <v>23</v>
      </c>
      <c r="E109" t="s">
        <v>1073</v>
      </c>
      <c r="F109" t="s">
        <v>1060</v>
      </c>
      <c r="G109" t="s">
        <v>1063</v>
      </c>
      <c r="H109" t="s">
        <v>77</v>
      </c>
      <c r="J109" t="str">
        <f t="shared" si="6"/>
        <v>Female</v>
      </c>
      <c r="K109" t="str">
        <f t="shared" si="11"/>
        <v>Singaporean</v>
      </c>
      <c r="L109" t="str">
        <f t="shared" si="8"/>
        <v xml:space="preserve">Case 374 is a Imported case, 23 years old female Singapore Citizen  and has been to UK . She is currently admitted at NCID . </v>
      </c>
      <c r="M109">
        <f t="shared" si="9"/>
        <v>374</v>
      </c>
      <c r="N109" t="str">
        <f t="shared" si="10"/>
        <v xml:space="preserve">UK </v>
      </c>
    </row>
    <row r="110" spans="1:14" x14ac:dyDescent="0.3">
      <c r="A110">
        <v>375</v>
      </c>
      <c r="B110" s="24">
        <v>43910</v>
      </c>
      <c r="C110" t="s">
        <v>1071</v>
      </c>
      <c r="D110">
        <v>25</v>
      </c>
      <c r="E110" t="s">
        <v>1073</v>
      </c>
      <c r="F110" t="s">
        <v>1060</v>
      </c>
      <c r="G110" t="s">
        <v>1085</v>
      </c>
      <c r="H110" t="s">
        <v>77</v>
      </c>
      <c r="J110" t="str">
        <f t="shared" si="6"/>
        <v>Female</v>
      </c>
      <c r="K110" t="str">
        <f t="shared" si="11"/>
        <v>Singaporean</v>
      </c>
      <c r="L110" t="str">
        <f t="shared" si="8"/>
        <v xml:space="preserve">Case 375 is a Imported case, 25 years old female Singapore Citizen  and has been to US . She is currently admitted at NCID . </v>
      </c>
      <c r="M110">
        <f t="shared" si="9"/>
        <v>375</v>
      </c>
      <c r="N110" t="str">
        <f t="shared" si="10"/>
        <v xml:space="preserve">US </v>
      </c>
    </row>
    <row r="111" spans="1:14" x14ac:dyDescent="0.3">
      <c r="A111">
        <v>376</v>
      </c>
      <c r="B111" s="24">
        <v>43910</v>
      </c>
      <c r="C111" t="s">
        <v>1071</v>
      </c>
      <c r="D111">
        <v>21</v>
      </c>
      <c r="E111" t="s">
        <v>1073</v>
      </c>
      <c r="F111" t="s">
        <v>1072</v>
      </c>
      <c r="G111" t="s">
        <v>1063</v>
      </c>
      <c r="H111" t="s">
        <v>77</v>
      </c>
      <c r="J111" t="str">
        <f t="shared" si="6"/>
        <v>Female</v>
      </c>
      <c r="K111" t="str">
        <f t="shared" si="11"/>
        <v>Singaporean</v>
      </c>
      <c r="L111" t="str">
        <f t="shared" si="8"/>
        <v xml:space="preserve">Case 376 is a Imported case, 21 years old female Singapore Permanent Resident  and has been to UK . She is currently admitted at NCID . </v>
      </c>
      <c r="M111">
        <f t="shared" si="9"/>
        <v>376</v>
      </c>
      <c r="N111" t="str">
        <f t="shared" si="10"/>
        <v xml:space="preserve">UK </v>
      </c>
    </row>
    <row r="112" spans="1:14" x14ac:dyDescent="0.3">
      <c r="A112">
        <v>377</v>
      </c>
      <c r="B112" s="24">
        <v>43910</v>
      </c>
      <c r="C112" t="s">
        <v>343</v>
      </c>
      <c r="D112">
        <v>59</v>
      </c>
      <c r="E112" t="s">
        <v>1059</v>
      </c>
      <c r="F112" t="s">
        <v>1060</v>
      </c>
      <c r="G112" t="s">
        <v>1063</v>
      </c>
      <c r="H112" t="s">
        <v>77</v>
      </c>
      <c r="J112" t="str">
        <f t="shared" si="6"/>
        <v>Male</v>
      </c>
      <c r="K112" t="str">
        <f t="shared" si="11"/>
        <v>Singaporean</v>
      </c>
      <c r="L112" t="str">
        <f t="shared" si="8"/>
        <v xml:space="preserve">Case 377 is a Imported case, 59 years old male Singapore Citizen  and has been to UK . He is currently admitted at NUH . </v>
      </c>
      <c r="M112">
        <f t="shared" si="9"/>
        <v>377</v>
      </c>
      <c r="N112" t="str">
        <f t="shared" si="10"/>
        <v xml:space="preserve">UK </v>
      </c>
    </row>
    <row r="113" spans="1:14" x14ac:dyDescent="0.3">
      <c r="A113">
        <v>378</v>
      </c>
      <c r="B113" s="24">
        <v>43910</v>
      </c>
      <c r="C113" t="s">
        <v>1071</v>
      </c>
      <c r="D113">
        <v>38</v>
      </c>
      <c r="E113" t="s">
        <v>1059</v>
      </c>
      <c r="F113" t="s">
        <v>1157</v>
      </c>
      <c r="G113" t="s">
        <v>1063</v>
      </c>
      <c r="H113" t="s">
        <v>77</v>
      </c>
      <c r="J113" t="str">
        <f t="shared" si="6"/>
        <v>Male</v>
      </c>
      <c r="K113" t="str">
        <f t="shared" si="11"/>
        <v>UK</v>
      </c>
      <c r="L113" t="str">
        <f t="shared" si="8"/>
        <v xml:space="preserve">Case 378 is a Imported case, 38 years old male UK (Long Term Visit Pass holder)  and has been to UK . He is currently admitted at NCID . </v>
      </c>
      <c r="M113">
        <f t="shared" si="9"/>
        <v>378</v>
      </c>
      <c r="N113" t="str">
        <f t="shared" si="10"/>
        <v xml:space="preserve">UK </v>
      </c>
    </row>
    <row r="114" spans="1:14" x14ac:dyDescent="0.3">
      <c r="A114">
        <v>379</v>
      </c>
      <c r="B114" s="24">
        <v>43910</v>
      </c>
      <c r="C114" t="s">
        <v>1071</v>
      </c>
      <c r="D114">
        <v>62</v>
      </c>
      <c r="E114" t="s">
        <v>1059</v>
      </c>
      <c r="F114" t="s">
        <v>1158</v>
      </c>
      <c r="G114" t="s">
        <v>687</v>
      </c>
      <c r="H114" t="s">
        <v>77</v>
      </c>
      <c r="J114" t="str">
        <f t="shared" si="6"/>
        <v>Male</v>
      </c>
      <c r="K114" t="str">
        <f t="shared" si="11"/>
        <v>Sweden</v>
      </c>
      <c r="L114" t="str">
        <f t="shared" si="8"/>
        <v xml:space="preserve">Case 379 is a Imported case, 62 years old male Sweden (Singapore Work Pass holder)  and has been to Indonesia . He is currently admitted at NCID . </v>
      </c>
      <c r="M114">
        <f t="shared" si="9"/>
        <v>379</v>
      </c>
      <c r="N114" t="str">
        <f t="shared" si="10"/>
        <v xml:space="preserve">Indonesia </v>
      </c>
    </row>
    <row r="115" spans="1:14" x14ac:dyDescent="0.3">
      <c r="A115">
        <v>380</v>
      </c>
      <c r="B115" s="24">
        <v>43910</v>
      </c>
      <c r="C115" t="s">
        <v>1138</v>
      </c>
      <c r="D115">
        <v>34</v>
      </c>
      <c r="E115" t="s">
        <v>1059</v>
      </c>
      <c r="F115" t="s">
        <v>1060</v>
      </c>
      <c r="G115" t="s">
        <v>680</v>
      </c>
      <c r="H115" t="s">
        <v>77</v>
      </c>
      <c r="J115" t="str">
        <f t="shared" si="6"/>
        <v>Male</v>
      </c>
      <c r="K115" t="str">
        <f t="shared" si="11"/>
        <v>Singaporean</v>
      </c>
      <c r="L115" t="str">
        <f t="shared" si="8"/>
        <v xml:space="preserve">Case 380 is a Imported case, 34 years old male Singapore Citizen  and has been to Switzerland . He is currently admitted at SGH . </v>
      </c>
      <c r="M115">
        <f t="shared" si="9"/>
        <v>380</v>
      </c>
      <c r="N115" t="str">
        <f t="shared" si="10"/>
        <v xml:space="preserve">Switzerland </v>
      </c>
    </row>
    <row r="116" spans="1:14" x14ac:dyDescent="0.3">
      <c r="A116">
        <v>381</v>
      </c>
      <c r="B116" s="24">
        <v>43910</v>
      </c>
      <c r="C116" t="s">
        <v>1138</v>
      </c>
      <c r="D116">
        <v>27</v>
      </c>
      <c r="E116" t="s">
        <v>1073</v>
      </c>
      <c r="F116" t="s">
        <v>1072</v>
      </c>
      <c r="G116" t="s">
        <v>711</v>
      </c>
      <c r="H116" t="s">
        <v>77</v>
      </c>
      <c r="J116" t="str">
        <f t="shared" si="6"/>
        <v>Female</v>
      </c>
      <c r="K116" t="str">
        <f t="shared" si="11"/>
        <v>Singaporean</v>
      </c>
      <c r="L116" t="str">
        <f t="shared" si="8"/>
        <v xml:space="preserve">Case 381 is a Imported case, 27 years old female Singapore Permanent Resident  and has been to Spain . She is currently admitted at SGH . </v>
      </c>
      <c r="M116">
        <f t="shared" si="9"/>
        <v>381</v>
      </c>
      <c r="N116" t="str">
        <f t="shared" si="10"/>
        <v xml:space="preserve">Spain </v>
      </c>
    </row>
    <row r="117" spans="1:14" x14ac:dyDescent="0.3">
      <c r="A117">
        <v>382</v>
      </c>
      <c r="B117" s="24">
        <v>43910</v>
      </c>
      <c r="C117" t="s">
        <v>1138</v>
      </c>
      <c r="D117">
        <v>55</v>
      </c>
      <c r="E117" t="s">
        <v>1073</v>
      </c>
      <c r="F117" t="s">
        <v>1060</v>
      </c>
      <c r="G117" t="s">
        <v>1063</v>
      </c>
      <c r="H117" t="s">
        <v>77</v>
      </c>
      <c r="J117" t="str">
        <f t="shared" si="6"/>
        <v>Female</v>
      </c>
      <c r="K117" t="str">
        <f t="shared" si="11"/>
        <v>Singaporean</v>
      </c>
      <c r="L117" t="str">
        <f t="shared" si="8"/>
        <v xml:space="preserve">Case 382 is a Imported case, 55 years old female Singapore Citizen  and has been to UK . She is currently admitted at SGH . </v>
      </c>
      <c r="M117">
        <f t="shared" si="9"/>
        <v>382</v>
      </c>
      <c r="N117" t="str">
        <f t="shared" si="10"/>
        <v xml:space="preserve">UK </v>
      </c>
    </row>
    <row r="118" spans="1:14" x14ac:dyDescent="0.3">
      <c r="A118">
        <v>383</v>
      </c>
      <c r="B118" s="24">
        <v>43910</v>
      </c>
      <c r="C118" t="s">
        <v>1071</v>
      </c>
      <c r="D118">
        <v>42</v>
      </c>
      <c r="E118" t="s">
        <v>1073</v>
      </c>
      <c r="F118" t="s">
        <v>1060</v>
      </c>
      <c r="G118" t="s">
        <v>1063</v>
      </c>
      <c r="H118" t="s">
        <v>77</v>
      </c>
      <c r="J118" t="str">
        <f t="shared" si="6"/>
        <v>Female</v>
      </c>
      <c r="K118" t="str">
        <f t="shared" si="11"/>
        <v>Singaporean</v>
      </c>
      <c r="L118" t="str">
        <f t="shared" si="8"/>
        <v xml:space="preserve">Case 383 is a Imported case, 42 years old female Singapore Citizen  and has been to UK . She is currently admitted at NCID . </v>
      </c>
      <c r="M118">
        <f t="shared" si="9"/>
        <v>383</v>
      </c>
      <c r="N118" t="str">
        <f t="shared" si="10"/>
        <v xml:space="preserve">UK </v>
      </c>
    </row>
    <row r="119" spans="1:14" x14ac:dyDescent="0.3">
      <c r="A119">
        <v>384</v>
      </c>
      <c r="B119" s="24">
        <v>43910</v>
      </c>
      <c r="C119" t="s">
        <v>1071</v>
      </c>
      <c r="D119">
        <v>65</v>
      </c>
      <c r="E119" t="s">
        <v>1059</v>
      </c>
      <c r="F119" t="s">
        <v>1060</v>
      </c>
      <c r="H119" t="s">
        <v>1061</v>
      </c>
      <c r="J119" t="str">
        <f t="shared" si="6"/>
        <v>Male</v>
      </c>
      <c r="K119" t="str">
        <f t="shared" si="11"/>
        <v>Singaporean</v>
      </c>
      <c r="L119" t="str">
        <f t="shared" si="8"/>
        <v xml:space="preserve">Case 384 is a Local unlinked case, 65 years old male Singapore Citizen  and has not been overseas. He is currently admitted at NCID . </v>
      </c>
      <c r="M119" t="str">
        <f t="shared" si="9"/>
        <v/>
      </c>
      <c r="N119" t="str">
        <f t="shared" si="10"/>
        <v/>
      </c>
    </row>
    <row r="120" spans="1:14" x14ac:dyDescent="0.3">
      <c r="A120">
        <v>385</v>
      </c>
      <c r="B120" s="24">
        <v>43910</v>
      </c>
      <c r="C120" t="s">
        <v>1064</v>
      </c>
      <c r="D120">
        <v>22</v>
      </c>
      <c r="E120" t="s">
        <v>1059</v>
      </c>
      <c r="F120" t="s">
        <v>1060</v>
      </c>
      <c r="G120" t="s">
        <v>1063</v>
      </c>
      <c r="H120" t="s">
        <v>77</v>
      </c>
      <c r="J120" t="str">
        <f t="shared" si="6"/>
        <v>Male</v>
      </c>
      <c r="K120" t="str">
        <f t="shared" si="11"/>
        <v>Singaporean</v>
      </c>
      <c r="L120" t="str">
        <f t="shared" si="8"/>
        <v xml:space="preserve">Case 385 is a Imported case, 22 years old male Singapore Citizen  and has been to UK . He is currently admitted at CGH . </v>
      </c>
      <c r="M120">
        <f t="shared" si="9"/>
        <v>385</v>
      </c>
      <c r="N120" t="str">
        <f t="shared" si="10"/>
        <v xml:space="preserve">UK </v>
      </c>
    </row>
    <row r="121" spans="1:14" x14ac:dyDescent="0.3">
      <c r="A121">
        <v>386</v>
      </c>
      <c r="B121" s="24">
        <v>43910</v>
      </c>
      <c r="C121" t="s">
        <v>1062</v>
      </c>
      <c r="D121">
        <v>64</v>
      </c>
      <c r="E121" t="s">
        <v>1073</v>
      </c>
      <c r="F121" t="s">
        <v>1060</v>
      </c>
      <c r="H121" t="s">
        <v>1061</v>
      </c>
      <c r="J121" t="str">
        <f t="shared" si="6"/>
        <v>Female</v>
      </c>
      <c r="K121" t="str">
        <f t="shared" si="11"/>
        <v>Singaporean</v>
      </c>
      <c r="L121" t="str">
        <f t="shared" si="8"/>
        <v xml:space="preserve">Case 386 is a Local unlinked case, 64 years old female Singapore Citizen  and has not been overseas. She is currently admitted at NTFGH . </v>
      </c>
      <c r="M121" t="str">
        <f t="shared" si="9"/>
        <v/>
      </c>
      <c r="N121" t="str">
        <f t="shared" si="10"/>
        <v/>
      </c>
    </row>
    <row r="122" spans="1:14" x14ac:dyDescent="0.3">
      <c r="A122">
        <v>387</v>
      </c>
      <c r="B122" s="24">
        <v>43910</v>
      </c>
      <c r="C122" t="s">
        <v>138</v>
      </c>
      <c r="D122">
        <v>30</v>
      </c>
      <c r="E122" t="s">
        <v>1073</v>
      </c>
      <c r="F122" t="s">
        <v>1159</v>
      </c>
      <c r="G122" t="s">
        <v>1088</v>
      </c>
      <c r="H122" t="s">
        <v>1069</v>
      </c>
      <c r="I122" t="s">
        <v>1196</v>
      </c>
      <c r="J122" t="str">
        <f t="shared" si="6"/>
        <v>Female</v>
      </c>
      <c r="K122" t="str">
        <f t="shared" si="11"/>
        <v>Switzerland</v>
      </c>
      <c r="L122" t="str">
        <f t="shared" si="8"/>
        <v>Case 387 is a Imported  case, 30 years old female Switzerland (Singapore Work Pass holder)  and has been to France, Switzerland . She is currently admitted at NUH. Contact of Case 337</v>
      </c>
      <c r="M122">
        <f t="shared" si="9"/>
        <v>387</v>
      </c>
      <c r="N122" t="str">
        <f t="shared" si="10"/>
        <v xml:space="preserve">France, Switzerland </v>
      </c>
    </row>
    <row r="123" spans="1:14" x14ac:dyDescent="0.3">
      <c r="A123">
        <v>388</v>
      </c>
      <c r="B123" s="24">
        <v>43910</v>
      </c>
      <c r="C123" t="s">
        <v>1066</v>
      </c>
      <c r="D123">
        <v>40</v>
      </c>
      <c r="E123" t="s">
        <v>1059</v>
      </c>
      <c r="F123" t="s">
        <v>1060</v>
      </c>
      <c r="H123" t="s">
        <v>1086</v>
      </c>
      <c r="I123" t="s">
        <v>1160</v>
      </c>
      <c r="J123" t="str">
        <f t="shared" si="6"/>
        <v>Male</v>
      </c>
      <c r="K123" t="str">
        <f t="shared" si="11"/>
        <v>Singaporean</v>
      </c>
      <c r="L123" t="str">
        <f t="shared" si="8"/>
        <v>Case 388 is a Local linked  case, 40 years old male Singapore Citizen  and has not been overseas. He is currently admitted at SKH . Family member of Case 351</v>
      </c>
      <c r="M123" t="str">
        <f t="shared" si="9"/>
        <v/>
      </c>
      <c r="N123" t="str">
        <f t="shared" si="10"/>
        <v/>
      </c>
    </row>
    <row r="124" spans="1:14" x14ac:dyDescent="0.3">
      <c r="A124">
        <v>389</v>
      </c>
      <c r="B124" s="24">
        <v>43910</v>
      </c>
      <c r="C124" t="s">
        <v>1161</v>
      </c>
      <c r="D124">
        <v>36</v>
      </c>
      <c r="E124" t="s">
        <v>1073</v>
      </c>
      <c r="F124" t="s">
        <v>1162</v>
      </c>
      <c r="G124" t="s">
        <v>798</v>
      </c>
      <c r="H124" t="s">
        <v>1069</v>
      </c>
      <c r="I124" t="s">
        <v>1163</v>
      </c>
      <c r="J124" t="str">
        <f t="shared" si="6"/>
        <v>Female</v>
      </c>
      <c r="K124" t="str">
        <f t="shared" si="11"/>
        <v>Russia</v>
      </c>
      <c r="L124" t="str">
        <f t="shared" si="8"/>
        <v>Case 389 is a Imported  case, 36 years old female Russia (Singapore Work Pass holder)  and has been to India . She is currently admitted at KKH . Family member of Case 298</v>
      </c>
      <c r="M124">
        <f t="shared" si="9"/>
        <v>389</v>
      </c>
      <c r="N124" t="str">
        <f t="shared" si="10"/>
        <v xml:space="preserve">India </v>
      </c>
    </row>
    <row r="125" spans="1:14" x14ac:dyDescent="0.3">
      <c r="A125">
        <v>390</v>
      </c>
      <c r="B125" s="24">
        <v>43910</v>
      </c>
      <c r="C125" t="s">
        <v>1161</v>
      </c>
      <c r="D125">
        <v>35</v>
      </c>
      <c r="E125" t="s">
        <v>1073</v>
      </c>
      <c r="F125" t="s">
        <v>1060</v>
      </c>
      <c r="G125" t="s">
        <v>1063</v>
      </c>
      <c r="H125" t="s">
        <v>77</v>
      </c>
      <c r="J125" t="str">
        <f t="shared" si="6"/>
        <v>Female</v>
      </c>
      <c r="K125" t="str">
        <f t="shared" si="11"/>
        <v>Singaporean</v>
      </c>
      <c r="L125" t="str">
        <f t="shared" si="8"/>
        <v xml:space="preserve">Case 390 is a Imported case, 35 years old female Singapore Citizen  and has been to UK . She is currently admitted at KKH . </v>
      </c>
      <c r="M125">
        <f t="shared" si="9"/>
        <v>390</v>
      </c>
      <c r="N125" t="str">
        <f t="shared" si="10"/>
        <v xml:space="preserve">UK </v>
      </c>
    </row>
    <row r="126" spans="1:14" x14ac:dyDescent="0.3">
      <c r="A126">
        <v>391</v>
      </c>
      <c r="B126" s="24">
        <v>43910</v>
      </c>
      <c r="C126" t="s">
        <v>343</v>
      </c>
      <c r="D126">
        <v>53</v>
      </c>
      <c r="E126" t="s">
        <v>1059</v>
      </c>
      <c r="F126" t="s">
        <v>844</v>
      </c>
      <c r="G126" t="s">
        <v>1164</v>
      </c>
      <c r="H126" t="s">
        <v>77</v>
      </c>
      <c r="J126" t="str">
        <f t="shared" si="6"/>
        <v>Male</v>
      </c>
      <c r="K126" t="str">
        <f t="shared" si="11"/>
        <v xml:space="preserve">Australia </v>
      </c>
      <c r="L126" t="str">
        <f t="shared" si="8"/>
        <v xml:space="preserve">Case 391 is a Imported case, 53 years old male Australia  and has been to Australia, US . He is currently admitted at NUH . </v>
      </c>
      <c r="M126">
        <f t="shared" si="9"/>
        <v>391</v>
      </c>
      <c r="N126" t="str">
        <f t="shared" si="10"/>
        <v xml:space="preserve">Australia, US </v>
      </c>
    </row>
    <row r="127" spans="1:14" x14ac:dyDescent="0.3">
      <c r="A127">
        <v>392</v>
      </c>
      <c r="B127" s="24">
        <v>43910</v>
      </c>
      <c r="C127" t="s">
        <v>1071</v>
      </c>
      <c r="D127">
        <v>54</v>
      </c>
      <c r="E127" t="s">
        <v>1059</v>
      </c>
      <c r="F127" t="s">
        <v>1072</v>
      </c>
      <c r="G127" t="s">
        <v>687</v>
      </c>
      <c r="H127" t="s">
        <v>77</v>
      </c>
      <c r="J127" t="str">
        <f t="shared" si="6"/>
        <v>Male</v>
      </c>
      <c r="K127" t="str">
        <f t="shared" si="11"/>
        <v>Singaporean</v>
      </c>
      <c r="L127" t="str">
        <f t="shared" si="8"/>
        <v xml:space="preserve">Case 392 is a Imported case, 54 years old male Singapore Permanent Resident  and has been to Indonesia . He is currently admitted at NCID . </v>
      </c>
      <c r="M127">
        <f t="shared" si="9"/>
        <v>392</v>
      </c>
      <c r="N127" t="str">
        <f t="shared" si="10"/>
        <v xml:space="preserve">Indonesia </v>
      </c>
    </row>
    <row r="128" spans="1:14" x14ac:dyDescent="0.3">
      <c r="A128">
        <v>393</v>
      </c>
      <c r="B128" s="24">
        <v>43910</v>
      </c>
      <c r="C128" t="s">
        <v>1071</v>
      </c>
      <c r="D128">
        <v>21</v>
      </c>
      <c r="E128" t="s">
        <v>1059</v>
      </c>
      <c r="F128" t="s">
        <v>1060</v>
      </c>
      <c r="G128" t="s">
        <v>1063</v>
      </c>
      <c r="H128" t="s">
        <v>77</v>
      </c>
      <c r="J128" t="str">
        <f t="shared" si="6"/>
        <v>Male</v>
      </c>
      <c r="K128" t="str">
        <f t="shared" si="11"/>
        <v>Singaporean</v>
      </c>
      <c r="L128" t="str">
        <f t="shared" si="8"/>
        <v xml:space="preserve">Case 393 is a Imported case, 21 years old male Singapore Citizen  and has been to UK . He is currently admitted at NCID . </v>
      </c>
      <c r="M128">
        <f t="shared" si="9"/>
        <v>393</v>
      </c>
      <c r="N128" t="str">
        <f t="shared" si="10"/>
        <v xml:space="preserve">UK </v>
      </c>
    </row>
    <row r="129" spans="1:14" x14ac:dyDescent="0.3">
      <c r="A129">
        <v>394</v>
      </c>
      <c r="B129" s="24">
        <v>43910</v>
      </c>
      <c r="C129" t="s">
        <v>1064</v>
      </c>
      <c r="D129">
        <v>66</v>
      </c>
      <c r="E129" t="s">
        <v>1073</v>
      </c>
      <c r="F129" t="s">
        <v>1165</v>
      </c>
      <c r="G129" t="s">
        <v>706</v>
      </c>
      <c r="H129" t="s">
        <v>77</v>
      </c>
      <c r="J129" t="str">
        <f t="shared" si="6"/>
        <v>Female</v>
      </c>
      <c r="K129" t="str">
        <f t="shared" si="11"/>
        <v>Philippines</v>
      </c>
      <c r="L129" t="str">
        <f t="shared" si="8"/>
        <v xml:space="preserve">Case 394 is a Imported case, 66 years old female Philippines (Long Term Pass holder)  and has been to Philippines . She is currently admitted at CGH . </v>
      </c>
      <c r="M129">
        <f t="shared" si="9"/>
        <v>394</v>
      </c>
      <c r="N129" t="str">
        <f t="shared" si="10"/>
        <v xml:space="preserve">Philippines </v>
      </c>
    </row>
    <row r="130" spans="1:14" x14ac:dyDescent="0.3">
      <c r="A130">
        <v>395</v>
      </c>
      <c r="B130" s="24">
        <v>43910</v>
      </c>
      <c r="C130" t="s">
        <v>1071</v>
      </c>
      <c r="D130">
        <v>54</v>
      </c>
      <c r="E130" t="s">
        <v>1059</v>
      </c>
      <c r="F130" t="s">
        <v>1060</v>
      </c>
      <c r="H130" t="s">
        <v>1061</v>
      </c>
      <c r="J130" t="str">
        <f t="shared" si="6"/>
        <v>Male</v>
      </c>
      <c r="K130" t="str">
        <f t="shared" si="11"/>
        <v>Singaporean</v>
      </c>
      <c r="L130" t="str">
        <f t="shared" si="8"/>
        <v xml:space="preserve">Case 395 is a Local unlinked case, 54 years old male Singapore Citizen  and has not been overseas. He is currently admitted at NCID . </v>
      </c>
      <c r="M130" t="str">
        <f t="shared" si="9"/>
        <v/>
      </c>
      <c r="N130" t="str">
        <f t="shared" si="10"/>
        <v/>
      </c>
    </row>
    <row r="131" spans="1:14" x14ac:dyDescent="0.3">
      <c r="A131">
        <v>396</v>
      </c>
      <c r="B131" s="24">
        <v>43910</v>
      </c>
      <c r="C131" t="s">
        <v>1066</v>
      </c>
      <c r="D131">
        <v>46</v>
      </c>
      <c r="E131" t="s">
        <v>1059</v>
      </c>
      <c r="F131" t="s">
        <v>1060</v>
      </c>
      <c r="H131" t="s">
        <v>1061</v>
      </c>
      <c r="J131" t="str">
        <f t="shared" si="6"/>
        <v>Male</v>
      </c>
      <c r="K131" t="str">
        <f t="shared" si="11"/>
        <v>Singaporean</v>
      </c>
      <c r="L131" t="str">
        <f t="shared" si="8"/>
        <v xml:space="preserve">Case 396 is a Local unlinked case, 46 years old male Singapore Citizen  and has not been overseas. He is currently admitted at SKH . </v>
      </c>
      <c r="M131" t="str">
        <f t="shared" si="9"/>
        <v/>
      </c>
      <c r="N131" t="str">
        <f t="shared" si="10"/>
        <v/>
      </c>
    </row>
    <row r="132" spans="1:14" x14ac:dyDescent="0.3">
      <c r="A132">
        <v>397</v>
      </c>
      <c r="B132" s="24">
        <v>43910</v>
      </c>
      <c r="C132" t="s">
        <v>1071</v>
      </c>
      <c r="D132">
        <v>43</v>
      </c>
      <c r="E132" t="s">
        <v>1059</v>
      </c>
      <c r="F132" t="s">
        <v>1166</v>
      </c>
      <c r="G132" t="s">
        <v>1167</v>
      </c>
      <c r="H132" t="s">
        <v>1069</v>
      </c>
      <c r="I132" t="s">
        <v>1168</v>
      </c>
      <c r="J132" t="str">
        <f t="shared" si="6"/>
        <v>Male</v>
      </c>
      <c r="K132" t="str">
        <f t="shared" si="11"/>
        <v>Ireland</v>
      </c>
      <c r="L132" t="str">
        <f t="shared" si="8"/>
        <v>Case 397 is a Imported  case, 43 years old male Ireland (Singapore Work Pass holder)  and has been to Ireland . He is currently admitted at NCID . Contact of Case 180</v>
      </c>
      <c r="M132">
        <f t="shared" si="9"/>
        <v>397</v>
      </c>
      <c r="N132" t="str">
        <f t="shared" si="10"/>
        <v xml:space="preserve">Ireland </v>
      </c>
    </row>
    <row r="133" spans="1:14" x14ac:dyDescent="0.3">
      <c r="A133">
        <v>398</v>
      </c>
      <c r="B133" s="24">
        <v>43910</v>
      </c>
      <c r="C133" t="s">
        <v>1169</v>
      </c>
      <c r="D133">
        <v>57</v>
      </c>
      <c r="E133" t="s">
        <v>1059</v>
      </c>
      <c r="F133" t="s">
        <v>1072</v>
      </c>
      <c r="H133" t="s">
        <v>1061</v>
      </c>
      <c r="J133" t="str">
        <f t="shared" si="6"/>
        <v>Male</v>
      </c>
      <c r="K133" t="str">
        <f t="shared" si="11"/>
        <v>Singaporean</v>
      </c>
      <c r="L133" t="str">
        <f t="shared" si="8"/>
        <v xml:space="preserve">Case 398 is a Local unlinked case, 57 years old male Singapore Permanent Resident  and has not been overseas. He is currently admitted at KTPH7 . </v>
      </c>
      <c r="M133" t="str">
        <f t="shared" si="9"/>
        <v/>
      </c>
      <c r="N133" t="str">
        <f t="shared" si="10"/>
        <v/>
      </c>
    </row>
    <row r="134" spans="1:14" x14ac:dyDescent="0.3">
      <c r="A134">
        <v>399</v>
      </c>
      <c r="B134" s="24">
        <v>43910</v>
      </c>
      <c r="C134" t="s">
        <v>1071</v>
      </c>
      <c r="D134">
        <v>23</v>
      </c>
      <c r="E134" t="s">
        <v>1073</v>
      </c>
      <c r="F134" t="s">
        <v>1060</v>
      </c>
      <c r="G134" t="s">
        <v>1063</v>
      </c>
      <c r="H134" t="s">
        <v>77</v>
      </c>
      <c r="J134" t="str">
        <f t="shared" si="6"/>
        <v>Female</v>
      </c>
      <c r="K134" t="str">
        <f t="shared" si="11"/>
        <v>Singaporean</v>
      </c>
      <c r="L134" t="str">
        <f t="shared" si="8"/>
        <v xml:space="preserve">Case 399 is a Imported case, 23 years old female Singapore Citizen  and has been to UK . She is currently admitted at NCID . </v>
      </c>
      <c r="M134">
        <f t="shared" si="9"/>
        <v>399</v>
      </c>
      <c r="N134" t="str">
        <f t="shared" si="10"/>
        <v xml:space="preserve">UK </v>
      </c>
    </row>
    <row r="135" spans="1:14" x14ac:dyDescent="0.3">
      <c r="A135">
        <v>400</v>
      </c>
      <c r="B135" s="24">
        <v>43910</v>
      </c>
      <c r="C135" t="s">
        <v>1071</v>
      </c>
      <c r="D135">
        <v>56</v>
      </c>
      <c r="E135" t="s">
        <v>1059</v>
      </c>
      <c r="F135" t="s">
        <v>1060</v>
      </c>
      <c r="G135" t="s">
        <v>1063</v>
      </c>
      <c r="H135" t="s">
        <v>77</v>
      </c>
      <c r="J135" t="str">
        <f t="shared" si="6"/>
        <v>Male</v>
      </c>
      <c r="K135" t="str">
        <f t="shared" si="11"/>
        <v>Singaporean</v>
      </c>
      <c r="L135" t="str">
        <f t="shared" si="8"/>
        <v xml:space="preserve">Case 400 is a Imported case, 56 years old male Singapore Citizen  and has been to UK . He is currently admitted at NCID . </v>
      </c>
      <c r="M135">
        <f t="shared" si="9"/>
        <v>400</v>
      </c>
      <c r="N135" t="str">
        <f t="shared" si="10"/>
        <v xml:space="preserve">UK </v>
      </c>
    </row>
    <row r="136" spans="1:14" x14ac:dyDescent="0.3">
      <c r="A136">
        <v>401</v>
      </c>
      <c r="B136" s="24">
        <v>43910</v>
      </c>
      <c r="C136" t="s">
        <v>1071</v>
      </c>
      <c r="D136">
        <v>20</v>
      </c>
      <c r="E136" t="s">
        <v>1059</v>
      </c>
      <c r="F136" t="s">
        <v>1060</v>
      </c>
      <c r="G136" t="s">
        <v>1063</v>
      </c>
      <c r="H136" t="s">
        <v>77</v>
      </c>
      <c r="J136" t="str">
        <f t="shared" si="6"/>
        <v>Male</v>
      </c>
      <c r="K136" t="str">
        <f t="shared" si="11"/>
        <v>Singaporean</v>
      </c>
      <c r="L136" t="str">
        <f t="shared" si="8"/>
        <v xml:space="preserve">Case 401 is a Imported case, 20 years old male Singapore Citizen  and has been to UK . He is currently admitted at NCID . </v>
      </c>
      <c r="M136">
        <f t="shared" si="9"/>
        <v>401</v>
      </c>
      <c r="N136" t="str">
        <f t="shared" si="10"/>
        <v xml:space="preserve">UK </v>
      </c>
    </row>
    <row r="137" spans="1:14" x14ac:dyDescent="0.3">
      <c r="A137">
        <v>402</v>
      </c>
      <c r="B137" s="24">
        <v>43910</v>
      </c>
      <c r="C137" t="s">
        <v>1170</v>
      </c>
      <c r="D137">
        <v>22</v>
      </c>
      <c r="E137" t="s">
        <v>1073</v>
      </c>
      <c r="F137" t="s">
        <v>1171</v>
      </c>
      <c r="H137" t="s">
        <v>77</v>
      </c>
      <c r="J137" t="str">
        <f t="shared" si="6"/>
        <v>Female</v>
      </c>
      <c r="K137" t="str">
        <f t="shared" si="11"/>
        <v xml:space="preserve">Indonesia Indonesia </v>
      </c>
      <c r="L137" t="str">
        <f t="shared" si="8"/>
        <v xml:space="preserve">Case 402 is a Imported case, 22 years old female Indonesia Indonesia  and has not been overseas. She is currently admitted at MENH. </v>
      </c>
      <c r="M137" t="str">
        <f t="shared" si="9"/>
        <v/>
      </c>
      <c r="N137" t="str">
        <f t="shared" si="10"/>
        <v/>
      </c>
    </row>
    <row r="138" spans="1:14" x14ac:dyDescent="0.3">
      <c r="A138">
        <v>403</v>
      </c>
      <c r="B138" s="24">
        <v>43910</v>
      </c>
      <c r="C138" t="s">
        <v>1172</v>
      </c>
      <c r="D138">
        <v>77</v>
      </c>
      <c r="E138" t="s">
        <v>1059</v>
      </c>
      <c r="F138" t="s">
        <v>1173</v>
      </c>
      <c r="G138" t="s">
        <v>687</v>
      </c>
      <c r="H138" t="s">
        <v>77</v>
      </c>
      <c r="J138" t="str">
        <f t="shared" si="6"/>
        <v>Male</v>
      </c>
      <c r="K138" t="str">
        <f t="shared" si="11"/>
        <v>Indonesia</v>
      </c>
      <c r="L138" t="str">
        <f t="shared" si="8"/>
        <v xml:space="preserve">Case 403 is a Imported case, 77 years old male Indonesia (Long Term Pass holder)  and has been to Indonesia . He is currently admitted at MEH . </v>
      </c>
      <c r="M138">
        <f t="shared" si="9"/>
        <v>403</v>
      </c>
      <c r="N138" t="str">
        <f t="shared" si="10"/>
        <v xml:space="preserve">Indonesia </v>
      </c>
    </row>
    <row r="139" spans="1:14" x14ac:dyDescent="0.3">
      <c r="A139">
        <v>404</v>
      </c>
      <c r="B139" s="24">
        <v>43910</v>
      </c>
      <c r="C139" t="s">
        <v>1071</v>
      </c>
      <c r="D139">
        <v>28</v>
      </c>
      <c r="E139" t="s">
        <v>1059</v>
      </c>
      <c r="F139" t="s">
        <v>1174</v>
      </c>
      <c r="G139" t="s">
        <v>1175</v>
      </c>
      <c r="H139" t="s">
        <v>77</v>
      </c>
      <c r="J139" t="str">
        <f t="shared" si="6"/>
        <v>Male</v>
      </c>
      <c r="K139" t="str">
        <f t="shared" si="11"/>
        <v>Australia</v>
      </c>
      <c r="L139" t="str">
        <f t="shared" si="8"/>
        <v xml:space="preserve">Case 404 is a Imported case, 28 years old male Australia (Long Term Pass holder)  and has been to Malaysia, Philippines . He is currently admitted at NCID . </v>
      </c>
      <c r="M139">
        <f t="shared" si="9"/>
        <v>404</v>
      </c>
      <c r="N139" t="str">
        <f t="shared" si="10"/>
        <v xml:space="preserve">Malaysia, Philippines </v>
      </c>
    </row>
    <row r="140" spans="1:14" x14ac:dyDescent="0.3">
      <c r="A140">
        <v>405</v>
      </c>
      <c r="B140" s="24">
        <v>43910</v>
      </c>
      <c r="C140" t="s">
        <v>1071</v>
      </c>
      <c r="D140">
        <v>25</v>
      </c>
      <c r="E140" t="s">
        <v>1059</v>
      </c>
      <c r="F140" t="s">
        <v>1060</v>
      </c>
      <c r="G140" t="s">
        <v>1063</v>
      </c>
      <c r="H140" t="s">
        <v>77</v>
      </c>
      <c r="J140" t="str">
        <f t="shared" si="6"/>
        <v>Male</v>
      </c>
      <c r="K140" t="str">
        <f t="shared" si="11"/>
        <v>Singaporean</v>
      </c>
      <c r="L140" t="str">
        <f t="shared" si="8"/>
        <v xml:space="preserve">Case 405 is a Imported case, 25 years old male Singapore Citizen  and has been to UK . He is currently admitted at NCID . </v>
      </c>
      <c r="M140">
        <f t="shared" si="9"/>
        <v>405</v>
      </c>
      <c r="N140" t="str">
        <f t="shared" si="10"/>
        <v xml:space="preserve">UK </v>
      </c>
    </row>
    <row r="141" spans="1:14" x14ac:dyDescent="0.3">
      <c r="A141">
        <v>406</v>
      </c>
      <c r="B141" s="24">
        <v>43910</v>
      </c>
      <c r="C141" t="s">
        <v>1058</v>
      </c>
      <c r="D141">
        <v>61</v>
      </c>
      <c r="E141" t="s">
        <v>1073</v>
      </c>
      <c r="F141" t="s">
        <v>1060</v>
      </c>
      <c r="G141" t="s">
        <v>1176</v>
      </c>
      <c r="H141" t="s">
        <v>1177</v>
      </c>
      <c r="J141" t="str">
        <f t="shared" si="6"/>
        <v>Female</v>
      </c>
      <c r="K141" t="str">
        <f t="shared" si="11"/>
        <v>Singaporean</v>
      </c>
      <c r="L141" t="str">
        <f t="shared" si="8"/>
        <v xml:space="preserve">Case 406 is a unlinked case, 61 years old female Singapore Citizen  and has been to Local . She is currently admitted at KTPH . </v>
      </c>
      <c r="M141">
        <f t="shared" si="9"/>
        <v>406</v>
      </c>
      <c r="N141" t="str">
        <f t="shared" si="10"/>
        <v xml:space="preserve">Local </v>
      </c>
    </row>
    <row r="142" spans="1:14" x14ac:dyDescent="0.3">
      <c r="A142">
        <v>407</v>
      </c>
      <c r="B142" s="24">
        <v>43910</v>
      </c>
      <c r="C142" t="s">
        <v>1071</v>
      </c>
      <c r="D142">
        <v>25</v>
      </c>
      <c r="E142" t="s">
        <v>1059</v>
      </c>
      <c r="F142" t="s">
        <v>711</v>
      </c>
      <c r="G142" t="s">
        <v>1178</v>
      </c>
      <c r="H142" t="s">
        <v>77</v>
      </c>
      <c r="J142" t="str">
        <f t="shared" si="6"/>
        <v>Male</v>
      </c>
      <c r="K142" t="str">
        <f t="shared" si="11"/>
        <v xml:space="preserve">Spain </v>
      </c>
      <c r="L142" t="str">
        <f t="shared" si="8"/>
        <v xml:space="preserve">Case 407 is a Imported case, 25 years old male Spain  and has been to Pending . He is currently admitted at NCID . </v>
      </c>
      <c r="M142">
        <f t="shared" si="9"/>
        <v>407</v>
      </c>
      <c r="N142" t="str">
        <f t="shared" si="10"/>
        <v xml:space="preserve">Pending </v>
      </c>
    </row>
    <row r="143" spans="1:14" x14ac:dyDescent="0.3">
      <c r="A143">
        <v>408</v>
      </c>
      <c r="B143" s="24">
        <v>43910</v>
      </c>
      <c r="C143" t="s">
        <v>343</v>
      </c>
      <c r="D143">
        <v>27</v>
      </c>
      <c r="E143" t="s">
        <v>1059</v>
      </c>
      <c r="F143" t="s">
        <v>1060</v>
      </c>
      <c r="G143" t="s">
        <v>1085</v>
      </c>
      <c r="H143" t="s">
        <v>77</v>
      </c>
      <c r="J143" t="str">
        <f t="shared" si="6"/>
        <v>Male</v>
      </c>
      <c r="K143" t="str">
        <f t="shared" si="11"/>
        <v>Singaporean</v>
      </c>
      <c r="L143" t="str">
        <f t="shared" si="8"/>
        <v xml:space="preserve">Case 408 is a Imported case, 27 years old male Singapore Citizen  and has been to US . He is currently admitted at NUH . </v>
      </c>
      <c r="M143">
        <f t="shared" si="9"/>
        <v>408</v>
      </c>
      <c r="N143" t="str">
        <f t="shared" si="10"/>
        <v xml:space="preserve">US </v>
      </c>
    </row>
    <row r="144" spans="1:14" x14ac:dyDescent="0.3">
      <c r="A144">
        <v>409</v>
      </c>
      <c r="B144" s="24">
        <v>43910</v>
      </c>
      <c r="C144" t="s">
        <v>343</v>
      </c>
      <c r="D144">
        <v>23</v>
      </c>
      <c r="E144" t="s">
        <v>1073</v>
      </c>
      <c r="F144" t="s">
        <v>1179</v>
      </c>
      <c r="G144" t="s">
        <v>1085</v>
      </c>
      <c r="H144" t="s">
        <v>77</v>
      </c>
      <c r="J144" t="str">
        <f t="shared" si="6"/>
        <v>Female</v>
      </c>
      <c r="K144" t="str">
        <f t="shared" si="11"/>
        <v xml:space="preserve">Australia </v>
      </c>
      <c r="L144" t="str">
        <f t="shared" si="8"/>
        <v xml:space="preserve">Case 409 is a Imported case, 23 years old female Australia  (Singapore Work Pass holder)  and has been to US . She is currently admitted at NUH . </v>
      </c>
      <c r="M144">
        <f t="shared" si="9"/>
        <v>409</v>
      </c>
      <c r="N144" t="str">
        <f t="shared" si="10"/>
        <v xml:space="preserve">US </v>
      </c>
    </row>
    <row r="145" spans="1:14" x14ac:dyDescent="0.3">
      <c r="A145">
        <v>410</v>
      </c>
      <c r="B145" s="24">
        <v>43911</v>
      </c>
      <c r="C145" t="s">
        <v>1071</v>
      </c>
      <c r="D145">
        <v>20</v>
      </c>
      <c r="E145" t="s">
        <v>1073</v>
      </c>
      <c r="F145" t="s">
        <v>1060</v>
      </c>
      <c r="G145" t="s">
        <v>1063</v>
      </c>
      <c r="H145" t="s">
        <v>77</v>
      </c>
      <c r="J145" t="str">
        <f t="shared" ref="J145:J189" si="12">IF(TRIM(E145)="M","Male",IF(TRIM(E145)="F","Female",""))</f>
        <v>Female</v>
      </c>
      <c r="K145" t="str">
        <f t="shared" si="11"/>
        <v>Singaporean</v>
      </c>
      <c r="L145" t="str">
        <f t="shared" ref="L145:L189" si="13">"Case "&amp;A145&amp;" is a "&amp;H145&amp;" case, "&amp;D145&amp;" years old "&amp;LOWER(J145)&amp;" "&amp;F145 &amp;IF(G145=""," and has not been overseas"," and has been to "&amp;G145)&amp;". "&amp;IF(TRIM(E145)="F","She",IF(TRIM(E145)="M","He"))&amp;" is currently admitted at "&amp;C145&amp;". "&amp;I145</f>
        <v xml:space="preserve">Case 410 is a Imported case, 20 years old female Singapore Citizen  and has been to UK . She is currently admitted at NCID . </v>
      </c>
      <c r="M145">
        <f t="shared" ref="M145:M189" si="14">IF(G145="","",A145)</f>
        <v>410</v>
      </c>
      <c r="N145" t="str">
        <f t="shared" ref="N145:N189" si="15">IF(G145="","",G145)</f>
        <v xml:space="preserve">UK </v>
      </c>
    </row>
    <row r="146" spans="1:14" x14ac:dyDescent="0.3">
      <c r="A146">
        <v>411</v>
      </c>
      <c r="B146" s="24">
        <v>43911</v>
      </c>
      <c r="C146" t="s">
        <v>1071</v>
      </c>
      <c r="D146">
        <v>30</v>
      </c>
      <c r="E146" t="s">
        <v>1059</v>
      </c>
      <c r="F146" t="s">
        <v>1060</v>
      </c>
      <c r="G146" t="s">
        <v>1063</v>
      </c>
      <c r="H146" t="s">
        <v>77</v>
      </c>
      <c r="J146" t="str">
        <f t="shared" si="12"/>
        <v>Male</v>
      </c>
      <c r="K146" t="str">
        <f t="shared" si="11"/>
        <v>Singaporean</v>
      </c>
      <c r="L146" t="str">
        <f t="shared" si="13"/>
        <v xml:space="preserve">Case 411 is a Imported case, 30 years old male Singapore Citizen  and has been to UK . He is currently admitted at NCID . </v>
      </c>
      <c r="M146">
        <f t="shared" si="14"/>
        <v>411</v>
      </c>
      <c r="N146" t="str">
        <f t="shared" si="15"/>
        <v xml:space="preserve">UK </v>
      </c>
    </row>
    <row r="147" spans="1:14" x14ac:dyDescent="0.3">
      <c r="A147">
        <v>412</v>
      </c>
      <c r="B147" s="24">
        <v>43911</v>
      </c>
      <c r="C147" t="s">
        <v>1071</v>
      </c>
      <c r="D147">
        <v>19</v>
      </c>
      <c r="E147" t="s">
        <v>1073</v>
      </c>
      <c r="F147" t="s">
        <v>1060</v>
      </c>
      <c r="G147" t="s">
        <v>1063</v>
      </c>
      <c r="H147" t="s">
        <v>77</v>
      </c>
      <c r="J147" t="str">
        <f t="shared" si="12"/>
        <v>Female</v>
      </c>
      <c r="K147" t="str">
        <f t="shared" si="11"/>
        <v>Singaporean</v>
      </c>
      <c r="L147" t="str">
        <f t="shared" si="13"/>
        <v xml:space="preserve">Case 412 is a Imported case, 19 years old female Singapore Citizen  and has been to UK . She is currently admitted at NCID . </v>
      </c>
      <c r="M147">
        <f t="shared" si="14"/>
        <v>412</v>
      </c>
      <c r="N147" t="str">
        <f t="shared" si="15"/>
        <v xml:space="preserve">UK </v>
      </c>
    </row>
    <row r="148" spans="1:14" x14ac:dyDescent="0.3">
      <c r="A148">
        <v>413</v>
      </c>
      <c r="B148" s="24">
        <v>43911</v>
      </c>
      <c r="C148" t="s">
        <v>1071</v>
      </c>
      <c r="D148">
        <v>29</v>
      </c>
      <c r="E148" t="s">
        <v>1059</v>
      </c>
      <c r="F148" t="s">
        <v>1060</v>
      </c>
      <c r="G148" t="s">
        <v>680</v>
      </c>
      <c r="H148" t="s">
        <v>77</v>
      </c>
      <c r="J148" t="str">
        <f t="shared" si="12"/>
        <v>Male</v>
      </c>
      <c r="K148" t="str">
        <f t="shared" si="11"/>
        <v>Singaporean</v>
      </c>
      <c r="L148" t="str">
        <f t="shared" si="13"/>
        <v xml:space="preserve">Case 413 is a Imported case, 29 years old male Singapore Citizen  and has been to Switzerland . He is currently admitted at NCID . </v>
      </c>
      <c r="M148">
        <f t="shared" si="14"/>
        <v>413</v>
      </c>
      <c r="N148" t="str">
        <f t="shared" si="15"/>
        <v xml:space="preserve">Switzerland </v>
      </c>
    </row>
    <row r="149" spans="1:14" x14ac:dyDescent="0.3">
      <c r="A149">
        <v>414</v>
      </c>
      <c r="B149" s="24">
        <v>43911</v>
      </c>
      <c r="C149" t="s">
        <v>1071</v>
      </c>
      <c r="D149">
        <v>37</v>
      </c>
      <c r="E149" t="s">
        <v>1059</v>
      </c>
      <c r="F149" t="s">
        <v>1174</v>
      </c>
      <c r="G149" t="s">
        <v>1085</v>
      </c>
      <c r="H149" t="s">
        <v>77</v>
      </c>
      <c r="J149" t="str">
        <f t="shared" si="12"/>
        <v>Male</v>
      </c>
      <c r="K149" t="str">
        <f t="shared" si="11"/>
        <v>Australia</v>
      </c>
      <c r="L149" t="str">
        <f t="shared" si="13"/>
        <v xml:space="preserve">Case 414 is a Imported case, 37 years old male Australia (Long Term Pass holder)  and has been to US . He is currently admitted at NCID . </v>
      </c>
      <c r="M149">
        <f t="shared" si="14"/>
        <v>414</v>
      </c>
      <c r="N149" t="str">
        <f t="shared" si="15"/>
        <v xml:space="preserve">US </v>
      </c>
    </row>
    <row r="150" spans="1:14" x14ac:dyDescent="0.3">
      <c r="A150">
        <v>415</v>
      </c>
      <c r="B150" s="24">
        <v>43911</v>
      </c>
      <c r="C150" t="s">
        <v>1071</v>
      </c>
      <c r="D150">
        <v>64</v>
      </c>
      <c r="E150" t="s">
        <v>1073</v>
      </c>
      <c r="F150" t="s">
        <v>687</v>
      </c>
      <c r="G150" t="s">
        <v>687</v>
      </c>
      <c r="H150" t="s">
        <v>1069</v>
      </c>
      <c r="I150" t="s">
        <v>1180</v>
      </c>
      <c r="J150" t="str">
        <f t="shared" si="12"/>
        <v>Female</v>
      </c>
      <c r="K150" t="str">
        <f t="shared" si="11"/>
        <v xml:space="preserve">Indonesia </v>
      </c>
      <c r="L150" t="str">
        <f t="shared" si="13"/>
        <v>Case 415 is a Imported  case, 64 years old female Indonesia  and has been to Indonesia . She is currently admitted at NCID . Family member of Case 212</v>
      </c>
      <c r="M150">
        <f t="shared" si="14"/>
        <v>415</v>
      </c>
      <c r="N150" t="str">
        <f t="shared" si="15"/>
        <v xml:space="preserve">Indonesia </v>
      </c>
    </row>
    <row r="151" spans="1:14" x14ac:dyDescent="0.3">
      <c r="A151">
        <v>416</v>
      </c>
      <c r="B151" s="24">
        <v>43911</v>
      </c>
      <c r="C151" t="s">
        <v>1071</v>
      </c>
      <c r="D151">
        <v>21</v>
      </c>
      <c r="E151" t="s">
        <v>1059</v>
      </c>
      <c r="F151" t="s">
        <v>1060</v>
      </c>
      <c r="G151" t="s">
        <v>1063</v>
      </c>
      <c r="H151" t="s">
        <v>77</v>
      </c>
      <c r="J151" t="str">
        <f t="shared" si="12"/>
        <v>Male</v>
      </c>
      <c r="K151" t="str">
        <f t="shared" si="11"/>
        <v>Singaporean</v>
      </c>
      <c r="L151" t="str">
        <f t="shared" si="13"/>
        <v xml:space="preserve">Case 416 is a Imported case, 21 years old male Singapore Citizen  and has been to UK . He is currently admitted at NCID . </v>
      </c>
      <c r="M151">
        <f t="shared" si="14"/>
        <v>416</v>
      </c>
      <c r="N151" t="str">
        <f t="shared" si="15"/>
        <v xml:space="preserve">UK </v>
      </c>
    </row>
    <row r="152" spans="1:14" x14ac:dyDescent="0.3">
      <c r="A152">
        <v>417</v>
      </c>
      <c r="B152" s="24">
        <v>43911</v>
      </c>
      <c r="C152" t="s">
        <v>1071</v>
      </c>
      <c r="D152">
        <v>18</v>
      </c>
      <c r="E152" t="s">
        <v>1073</v>
      </c>
      <c r="F152" t="s">
        <v>1181</v>
      </c>
      <c r="G152" t="s">
        <v>1063</v>
      </c>
      <c r="H152" t="s">
        <v>77</v>
      </c>
      <c r="J152" t="str">
        <f t="shared" si="12"/>
        <v>Female</v>
      </c>
      <c r="K152" t="str">
        <f t="shared" si="11"/>
        <v>France</v>
      </c>
      <c r="L152" t="str">
        <f t="shared" si="13"/>
        <v xml:space="preserve">Case 417 is a Imported case, 18 years old female France (Long Term Pass holder)  and has been to UK . She is currently admitted at NCID . </v>
      </c>
      <c r="M152">
        <f t="shared" si="14"/>
        <v>417</v>
      </c>
      <c r="N152" t="str">
        <f t="shared" si="15"/>
        <v xml:space="preserve">UK </v>
      </c>
    </row>
    <row r="153" spans="1:14" x14ac:dyDescent="0.3">
      <c r="A153">
        <v>418</v>
      </c>
      <c r="B153" s="24">
        <v>43911</v>
      </c>
      <c r="C153" t="s">
        <v>1071</v>
      </c>
      <c r="D153">
        <v>44</v>
      </c>
      <c r="E153" t="s">
        <v>1059</v>
      </c>
      <c r="F153" t="s">
        <v>1072</v>
      </c>
      <c r="G153" t="s">
        <v>1085</v>
      </c>
      <c r="H153" t="s">
        <v>1069</v>
      </c>
      <c r="J153" t="str">
        <f t="shared" si="12"/>
        <v>Male</v>
      </c>
      <c r="K153" t="str">
        <f t="shared" si="11"/>
        <v>Singaporean</v>
      </c>
      <c r="L153" t="str">
        <f t="shared" si="13"/>
        <v xml:space="preserve">Case 418 is a Imported  case, 44 years old male Singapore Permanent Resident  and has been to US . He is currently admitted at NCID . </v>
      </c>
      <c r="M153">
        <f t="shared" si="14"/>
        <v>418</v>
      </c>
      <c r="N153" t="str">
        <f t="shared" si="15"/>
        <v xml:space="preserve">US </v>
      </c>
    </row>
    <row r="154" spans="1:14" x14ac:dyDescent="0.3">
      <c r="A154">
        <v>419</v>
      </c>
      <c r="B154" s="24">
        <v>43911</v>
      </c>
      <c r="C154" t="s">
        <v>1071</v>
      </c>
      <c r="D154">
        <v>45</v>
      </c>
      <c r="E154" t="s">
        <v>1059</v>
      </c>
      <c r="F154" t="s">
        <v>875</v>
      </c>
      <c r="G154" t="s">
        <v>1178</v>
      </c>
      <c r="H154" t="s">
        <v>77</v>
      </c>
      <c r="J154" t="str">
        <f t="shared" si="12"/>
        <v>Male</v>
      </c>
      <c r="K154" t="str">
        <f t="shared" si="11"/>
        <v xml:space="preserve">Netherlands </v>
      </c>
      <c r="L154" t="str">
        <f t="shared" si="13"/>
        <v xml:space="preserve">Case 419 is a Imported case, 45 years old male Netherlands  and has been to Pending . He is currently admitted at NCID . </v>
      </c>
      <c r="M154">
        <f t="shared" si="14"/>
        <v>419</v>
      </c>
      <c r="N154" t="str">
        <f t="shared" si="15"/>
        <v xml:space="preserve">Pending </v>
      </c>
    </row>
    <row r="155" spans="1:14" x14ac:dyDescent="0.3">
      <c r="A155">
        <v>420</v>
      </c>
      <c r="B155" s="24">
        <v>43911</v>
      </c>
      <c r="C155" t="s">
        <v>1071</v>
      </c>
      <c r="D155">
        <v>21</v>
      </c>
      <c r="E155" t="s">
        <v>1073</v>
      </c>
      <c r="F155" t="s">
        <v>1060</v>
      </c>
      <c r="G155" t="s">
        <v>1063</v>
      </c>
      <c r="H155" t="s">
        <v>77</v>
      </c>
      <c r="J155" t="str">
        <f t="shared" si="12"/>
        <v>Female</v>
      </c>
      <c r="K155" t="str">
        <f t="shared" si="11"/>
        <v>Singaporean</v>
      </c>
      <c r="L155" t="str">
        <f t="shared" si="13"/>
        <v xml:space="preserve">Case 420 is a Imported case, 21 years old female Singapore Citizen  and has been to UK . She is currently admitted at NCID . </v>
      </c>
      <c r="M155">
        <f t="shared" si="14"/>
        <v>420</v>
      </c>
      <c r="N155" t="str">
        <f t="shared" si="15"/>
        <v xml:space="preserve">UK </v>
      </c>
    </row>
    <row r="156" spans="1:14" x14ac:dyDescent="0.3">
      <c r="A156">
        <v>421</v>
      </c>
      <c r="B156" s="24">
        <v>43911</v>
      </c>
      <c r="C156" t="s">
        <v>1071</v>
      </c>
      <c r="D156">
        <v>23</v>
      </c>
      <c r="E156" t="s">
        <v>1059</v>
      </c>
      <c r="F156" t="s">
        <v>1060</v>
      </c>
      <c r="G156" t="s">
        <v>1063</v>
      </c>
      <c r="H156" t="s">
        <v>77</v>
      </c>
      <c r="J156" t="str">
        <f t="shared" si="12"/>
        <v>Male</v>
      </c>
      <c r="K156" t="str">
        <f t="shared" si="11"/>
        <v>Singaporean</v>
      </c>
      <c r="L156" t="str">
        <f t="shared" si="13"/>
        <v xml:space="preserve">Case 421 is a Imported case, 23 years old male Singapore Citizen  and has been to UK . He is currently admitted at NCID . </v>
      </c>
      <c r="M156">
        <f t="shared" si="14"/>
        <v>421</v>
      </c>
      <c r="N156" t="str">
        <f t="shared" si="15"/>
        <v xml:space="preserve">UK </v>
      </c>
    </row>
    <row r="157" spans="1:14" x14ac:dyDescent="0.3">
      <c r="A157">
        <v>422</v>
      </c>
      <c r="B157" s="24">
        <v>43911</v>
      </c>
      <c r="C157" t="s">
        <v>1071</v>
      </c>
      <c r="D157">
        <v>56</v>
      </c>
      <c r="E157" t="s">
        <v>1073</v>
      </c>
      <c r="F157" t="s">
        <v>1060</v>
      </c>
      <c r="G157" t="s">
        <v>1085</v>
      </c>
      <c r="H157" t="s">
        <v>77</v>
      </c>
      <c r="J157" t="str">
        <f t="shared" si="12"/>
        <v>Female</v>
      </c>
      <c r="K157" t="str">
        <f t="shared" ref="K157:K189" si="16">IF(LEFT(F157,9)="Singapore","Singaporean",IF(ISERR(FIND("(",F157)),F157,LEFT(F157,FIND("(",F157)-2)))</f>
        <v>Singaporean</v>
      </c>
      <c r="L157" t="str">
        <f t="shared" si="13"/>
        <v xml:space="preserve">Case 422 is a Imported case, 56 years old female Singapore Citizen  and has been to US . She is currently admitted at NCID . </v>
      </c>
      <c r="M157">
        <f t="shared" si="14"/>
        <v>422</v>
      </c>
      <c r="N157" t="str">
        <f t="shared" si="15"/>
        <v xml:space="preserve">US </v>
      </c>
    </row>
    <row r="158" spans="1:14" x14ac:dyDescent="0.3">
      <c r="A158">
        <v>423</v>
      </c>
      <c r="B158" s="24">
        <v>43911</v>
      </c>
      <c r="C158" t="s">
        <v>1071</v>
      </c>
      <c r="D158">
        <v>24</v>
      </c>
      <c r="E158" t="s">
        <v>1059</v>
      </c>
      <c r="F158" t="s">
        <v>1060</v>
      </c>
      <c r="G158" t="s">
        <v>1167</v>
      </c>
      <c r="H158" t="s">
        <v>77</v>
      </c>
      <c r="J158" t="str">
        <f t="shared" si="12"/>
        <v>Male</v>
      </c>
      <c r="K158" t="str">
        <f t="shared" si="16"/>
        <v>Singaporean</v>
      </c>
      <c r="L158" t="str">
        <f t="shared" si="13"/>
        <v xml:space="preserve">Case 423 is a Imported case, 24 years old male Singapore Citizen  and has been to Ireland . He is currently admitted at NCID . </v>
      </c>
      <c r="M158">
        <f t="shared" si="14"/>
        <v>423</v>
      </c>
      <c r="N158" t="str">
        <f t="shared" si="15"/>
        <v xml:space="preserve">Ireland </v>
      </c>
    </row>
    <row r="159" spans="1:14" x14ac:dyDescent="0.3">
      <c r="A159">
        <v>424</v>
      </c>
      <c r="B159" s="24">
        <v>43911</v>
      </c>
      <c r="C159" t="s">
        <v>1064</v>
      </c>
      <c r="D159">
        <v>24</v>
      </c>
      <c r="E159" t="s">
        <v>1059</v>
      </c>
      <c r="F159" t="s">
        <v>1060</v>
      </c>
      <c r="G159" t="s">
        <v>1085</v>
      </c>
      <c r="H159" t="s">
        <v>1069</v>
      </c>
      <c r="I159" t="s">
        <v>1182</v>
      </c>
      <c r="J159" t="str">
        <f t="shared" si="12"/>
        <v>Male</v>
      </c>
      <c r="K159" t="str">
        <f t="shared" si="16"/>
        <v>Singaporean</v>
      </c>
      <c r="L159" t="str">
        <f t="shared" si="13"/>
        <v>Case 424 is a Imported  case, 24 years old male Singapore Citizen  and has been to US . He is currently admitted at CGH . Contact of Case 425</v>
      </c>
      <c r="M159">
        <f t="shared" si="14"/>
        <v>424</v>
      </c>
      <c r="N159" t="str">
        <f t="shared" si="15"/>
        <v xml:space="preserve">US </v>
      </c>
    </row>
    <row r="160" spans="1:14" x14ac:dyDescent="0.3">
      <c r="A160">
        <v>425</v>
      </c>
      <c r="B160" s="24">
        <v>43911</v>
      </c>
      <c r="C160" t="s">
        <v>1064</v>
      </c>
      <c r="D160">
        <v>21</v>
      </c>
      <c r="E160" t="s">
        <v>1073</v>
      </c>
      <c r="F160" t="s">
        <v>1060</v>
      </c>
      <c r="G160" t="s">
        <v>1085</v>
      </c>
      <c r="H160" t="s">
        <v>1069</v>
      </c>
      <c r="I160" t="s">
        <v>1183</v>
      </c>
      <c r="J160" t="str">
        <f t="shared" si="12"/>
        <v>Female</v>
      </c>
      <c r="K160" t="str">
        <f t="shared" si="16"/>
        <v>Singaporean</v>
      </c>
      <c r="L160" t="str">
        <f t="shared" si="13"/>
        <v>Case 425 is a Imported  case, 21 years old female Singapore Citizen  and has been to US . She is currently admitted at CGH . Contact of Case 424</v>
      </c>
      <c r="M160">
        <f t="shared" si="14"/>
        <v>425</v>
      </c>
      <c r="N160" t="str">
        <f t="shared" si="15"/>
        <v xml:space="preserve">US </v>
      </c>
    </row>
    <row r="161" spans="1:14" x14ac:dyDescent="0.3">
      <c r="A161">
        <v>426</v>
      </c>
      <c r="B161" s="24">
        <v>43911</v>
      </c>
      <c r="C161" t="s">
        <v>1071</v>
      </c>
      <c r="D161">
        <v>55</v>
      </c>
      <c r="E161" t="s">
        <v>1073</v>
      </c>
      <c r="F161" t="s">
        <v>1060</v>
      </c>
      <c r="H161" t="s">
        <v>936</v>
      </c>
      <c r="J161" t="str">
        <f t="shared" si="12"/>
        <v>Female</v>
      </c>
      <c r="K161" t="str">
        <f t="shared" si="16"/>
        <v>Singaporean</v>
      </c>
      <c r="L161" t="str">
        <f t="shared" si="13"/>
        <v xml:space="preserve">Case 426 is a Local Unlinked case, 55 years old female Singapore Citizen  and has not been overseas. She is currently admitted at NCID . </v>
      </c>
      <c r="M161" t="str">
        <f t="shared" si="14"/>
        <v/>
      </c>
      <c r="N161" t="str">
        <f t="shared" si="15"/>
        <v/>
      </c>
    </row>
    <row r="162" spans="1:14" x14ac:dyDescent="0.3">
      <c r="A162">
        <v>427</v>
      </c>
      <c r="B162" s="24">
        <v>43911</v>
      </c>
      <c r="C162" t="s">
        <v>1071</v>
      </c>
      <c r="D162">
        <v>39</v>
      </c>
      <c r="E162" t="s">
        <v>1059</v>
      </c>
      <c r="F162" t="s">
        <v>1060</v>
      </c>
      <c r="G162" t="s">
        <v>1085</v>
      </c>
      <c r="H162" t="s">
        <v>77</v>
      </c>
      <c r="J162" t="str">
        <f t="shared" si="12"/>
        <v>Male</v>
      </c>
      <c r="K162" t="str">
        <f t="shared" si="16"/>
        <v>Singaporean</v>
      </c>
      <c r="L162" t="str">
        <f t="shared" si="13"/>
        <v xml:space="preserve">Case 427 is a Imported case, 39 years old male Singapore Citizen  and has been to US . He is currently admitted at NCID . </v>
      </c>
      <c r="M162">
        <f t="shared" si="14"/>
        <v>427</v>
      </c>
      <c r="N162" t="str">
        <f t="shared" si="15"/>
        <v xml:space="preserve">US </v>
      </c>
    </row>
    <row r="163" spans="1:14" x14ac:dyDescent="0.3">
      <c r="A163">
        <v>428</v>
      </c>
      <c r="B163" s="24">
        <v>43911</v>
      </c>
      <c r="C163" t="s">
        <v>1071</v>
      </c>
      <c r="D163">
        <v>22</v>
      </c>
      <c r="E163" t="s">
        <v>1059</v>
      </c>
      <c r="F163" t="s">
        <v>1060</v>
      </c>
      <c r="G163" t="s">
        <v>1063</v>
      </c>
      <c r="H163" t="s">
        <v>77</v>
      </c>
      <c r="J163" t="str">
        <f t="shared" si="12"/>
        <v>Male</v>
      </c>
      <c r="K163" t="str">
        <f t="shared" si="16"/>
        <v>Singaporean</v>
      </c>
      <c r="L163" t="str">
        <f t="shared" si="13"/>
        <v xml:space="preserve">Case 428 is a Imported case, 22 years old male Singapore Citizen  and has been to UK . He is currently admitted at NCID . </v>
      </c>
      <c r="M163">
        <f t="shared" si="14"/>
        <v>428</v>
      </c>
      <c r="N163" t="str">
        <f t="shared" si="15"/>
        <v xml:space="preserve">UK </v>
      </c>
    </row>
    <row r="164" spans="1:14" x14ac:dyDescent="0.3">
      <c r="A164">
        <v>429</v>
      </c>
      <c r="B164" s="24">
        <v>43911</v>
      </c>
      <c r="C164" t="s">
        <v>1071</v>
      </c>
      <c r="D164">
        <v>31</v>
      </c>
      <c r="E164" t="s">
        <v>1073</v>
      </c>
      <c r="F164" t="s">
        <v>1060</v>
      </c>
      <c r="G164" t="s">
        <v>1184</v>
      </c>
      <c r="H164" t="s">
        <v>77</v>
      </c>
      <c r="J164" t="str">
        <f t="shared" si="12"/>
        <v>Female</v>
      </c>
      <c r="K164" t="str">
        <f t="shared" si="16"/>
        <v>Singaporean</v>
      </c>
      <c r="L164" t="str">
        <f t="shared" si="13"/>
        <v xml:space="preserve">Case 429 is a Imported case, 31 years old female Singapore Citizen  and has been to Germany, UK . She is currently admitted at NCID . </v>
      </c>
      <c r="M164">
        <f t="shared" si="14"/>
        <v>429</v>
      </c>
      <c r="N164" t="str">
        <f t="shared" si="15"/>
        <v xml:space="preserve">Germany, UK </v>
      </c>
    </row>
    <row r="165" spans="1:14" x14ac:dyDescent="0.3">
      <c r="A165">
        <v>430</v>
      </c>
      <c r="B165" s="24">
        <v>43911</v>
      </c>
      <c r="C165" t="s">
        <v>1071</v>
      </c>
      <c r="D165">
        <v>59</v>
      </c>
      <c r="E165" t="s">
        <v>1073</v>
      </c>
      <c r="F165" t="s">
        <v>1060</v>
      </c>
      <c r="H165" t="s">
        <v>1086</v>
      </c>
      <c r="I165" t="s">
        <v>1185</v>
      </c>
      <c r="J165" t="str">
        <f t="shared" si="12"/>
        <v>Female</v>
      </c>
      <c r="K165" t="str">
        <f t="shared" si="16"/>
        <v>Singaporean</v>
      </c>
      <c r="L165" t="str">
        <f t="shared" si="13"/>
        <v>Case 430 is a Local linked  case, 59 years old female Singapore Citizen  and has not been overseas. She is currently admitted at NCID . Family member of Case 350</v>
      </c>
      <c r="M165" t="str">
        <f t="shared" si="14"/>
        <v/>
      </c>
      <c r="N165" t="str">
        <f t="shared" si="15"/>
        <v/>
      </c>
    </row>
    <row r="166" spans="1:14" x14ac:dyDescent="0.3">
      <c r="A166">
        <v>431</v>
      </c>
      <c r="B166" s="24">
        <v>43911</v>
      </c>
      <c r="C166" t="s">
        <v>1071</v>
      </c>
      <c r="D166">
        <v>58</v>
      </c>
      <c r="E166" t="s">
        <v>1059</v>
      </c>
      <c r="F166" t="s">
        <v>1060</v>
      </c>
      <c r="G166" t="s">
        <v>1063</v>
      </c>
      <c r="H166" t="s">
        <v>77</v>
      </c>
      <c r="J166" t="str">
        <f t="shared" si="12"/>
        <v>Male</v>
      </c>
      <c r="K166" t="str">
        <f t="shared" si="16"/>
        <v>Singaporean</v>
      </c>
      <c r="L166" t="str">
        <f t="shared" si="13"/>
        <v xml:space="preserve">Case 431 is a Imported case, 58 years old male Singapore Citizen  and has been to UK . He is currently admitted at NCID . </v>
      </c>
      <c r="M166">
        <f t="shared" si="14"/>
        <v>431</v>
      </c>
      <c r="N166" t="str">
        <f t="shared" si="15"/>
        <v xml:space="preserve">UK </v>
      </c>
    </row>
    <row r="167" spans="1:14" x14ac:dyDescent="0.3">
      <c r="A167">
        <v>432</v>
      </c>
      <c r="B167" s="24">
        <v>43911</v>
      </c>
      <c r="C167" t="s">
        <v>1071</v>
      </c>
      <c r="D167">
        <v>53</v>
      </c>
      <c r="E167" t="s">
        <v>1073</v>
      </c>
      <c r="F167" t="s">
        <v>1186</v>
      </c>
      <c r="G167" t="s">
        <v>687</v>
      </c>
      <c r="H167" t="s">
        <v>1069</v>
      </c>
      <c r="J167" t="str">
        <f t="shared" si="12"/>
        <v>Female</v>
      </c>
      <c r="K167" t="str">
        <f t="shared" si="16"/>
        <v>UK</v>
      </c>
      <c r="L167" t="str">
        <f t="shared" si="13"/>
        <v xml:space="preserve">Case 432 is a Imported  case, 53 years old female UK (Long Term Pass holder)  and has been to Indonesia . She is currently admitted at NCID . </v>
      </c>
      <c r="M167">
        <f t="shared" si="14"/>
        <v>432</v>
      </c>
      <c r="N167" t="str">
        <f t="shared" si="15"/>
        <v xml:space="preserve">Indonesia </v>
      </c>
    </row>
    <row r="168" spans="1:14" x14ac:dyDescent="0.3">
      <c r="A168">
        <v>433</v>
      </c>
      <c r="B168" s="24">
        <v>43911</v>
      </c>
      <c r="C168" t="s">
        <v>1058</v>
      </c>
      <c r="D168">
        <v>24</v>
      </c>
      <c r="E168" t="s">
        <v>1059</v>
      </c>
      <c r="F168" t="s">
        <v>1060</v>
      </c>
      <c r="G168" t="s">
        <v>809</v>
      </c>
      <c r="H168" t="s">
        <v>77</v>
      </c>
      <c r="J168" t="str">
        <f t="shared" si="12"/>
        <v>Male</v>
      </c>
      <c r="K168" t="str">
        <f t="shared" si="16"/>
        <v>Singaporean</v>
      </c>
      <c r="L168" t="str">
        <f t="shared" si="13"/>
        <v xml:space="preserve">Case 433 is a Imported case, 24 years old male Singapore Citizen  and has been to Canada . He is currently admitted at KTPH . </v>
      </c>
      <c r="M168">
        <f t="shared" si="14"/>
        <v>433</v>
      </c>
      <c r="N168" t="str">
        <f t="shared" si="15"/>
        <v xml:space="preserve">Canada </v>
      </c>
    </row>
    <row r="169" spans="1:14" x14ac:dyDescent="0.3">
      <c r="A169">
        <v>434</v>
      </c>
      <c r="B169" s="24">
        <v>43911</v>
      </c>
      <c r="C169" t="s">
        <v>1071</v>
      </c>
      <c r="D169">
        <v>36</v>
      </c>
      <c r="E169" t="s">
        <v>1059</v>
      </c>
      <c r="F169" t="s">
        <v>1060</v>
      </c>
      <c r="G169" t="s">
        <v>360</v>
      </c>
      <c r="H169" t="s">
        <v>1061</v>
      </c>
      <c r="J169" t="str">
        <f t="shared" si="12"/>
        <v>Male</v>
      </c>
      <c r="K169" t="str">
        <f t="shared" si="16"/>
        <v>Singaporean</v>
      </c>
      <c r="L169" t="str">
        <f t="shared" si="13"/>
        <v xml:space="preserve">Case 434 is a Local unlinked case, 36 years old male Singapore Citizen  and has been to Malaysia . He is currently admitted at NCID . </v>
      </c>
      <c r="M169">
        <f t="shared" si="14"/>
        <v>434</v>
      </c>
      <c r="N169" t="str">
        <f t="shared" si="15"/>
        <v xml:space="preserve">Malaysia </v>
      </c>
    </row>
    <row r="170" spans="1:14" x14ac:dyDescent="0.3">
      <c r="A170">
        <v>435</v>
      </c>
      <c r="B170" s="24">
        <v>43911</v>
      </c>
      <c r="C170" t="s">
        <v>1071</v>
      </c>
      <c r="D170">
        <v>30</v>
      </c>
      <c r="E170" t="s">
        <v>1073</v>
      </c>
      <c r="F170" t="s">
        <v>1060</v>
      </c>
      <c r="G170" t="s">
        <v>360</v>
      </c>
      <c r="H170" t="s">
        <v>77</v>
      </c>
      <c r="J170" t="str">
        <f t="shared" si="12"/>
        <v>Female</v>
      </c>
      <c r="K170" t="str">
        <f t="shared" si="16"/>
        <v>Singaporean</v>
      </c>
      <c r="L170" t="str">
        <f t="shared" si="13"/>
        <v xml:space="preserve">Case 435 is a Imported case, 30 years old female Singapore Citizen  and has been to Malaysia . She is currently admitted at NCID . </v>
      </c>
      <c r="M170">
        <f t="shared" si="14"/>
        <v>435</v>
      </c>
      <c r="N170" t="str">
        <f t="shared" si="15"/>
        <v xml:space="preserve">Malaysia </v>
      </c>
    </row>
    <row r="171" spans="1:14" x14ac:dyDescent="0.3">
      <c r="A171">
        <v>436</v>
      </c>
      <c r="B171" s="24">
        <v>43911</v>
      </c>
      <c r="C171" t="s">
        <v>1071</v>
      </c>
      <c r="D171">
        <v>46</v>
      </c>
      <c r="E171" t="s">
        <v>1059</v>
      </c>
      <c r="F171" t="s">
        <v>1060</v>
      </c>
      <c r="G171" t="s">
        <v>706</v>
      </c>
      <c r="H171" t="s">
        <v>77</v>
      </c>
      <c r="J171" t="str">
        <f t="shared" si="12"/>
        <v>Male</v>
      </c>
      <c r="K171" t="str">
        <f t="shared" si="16"/>
        <v>Singaporean</v>
      </c>
      <c r="L171" t="str">
        <f t="shared" si="13"/>
        <v xml:space="preserve">Case 436 is a Imported case, 46 years old male Singapore Citizen  and has been to Philippines . He is currently admitted at NCID . </v>
      </c>
      <c r="M171">
        <f t="shared" si="14"/>
        <v>436</v>
      </c>
      <c r="N171" t="str">
        <f t="shared" si="15"/>
        <v xml:space="preserve">Philippines </v>
      </c>
    </row>
    <row r="172" spans="1:14" x14ac:dyDescent="0.3">
      <c r="A172">
        <v>437</v>
      </c>
      <c r="B172" s="24">
        <v>43911</v>
      </c>
      <c r="C172" t="s">
        <v>1138</v>
      </c>
      <c r="D172">
        <v>33</v>
      </c>
      <c r="E172" t="s">
        <v>1059</v>
      </c>
      <c r="F172" t="s">
        <v>1187</v>
      </c>
      <c r="G172" t="s">
        <v>1188</v>
      </c>
      <c r="H172" t="s">
        <v>77</v>
      </c>
      <c r="J172" t="str">
        <f t="shared" si="12"/>
        <v>Male</v>
      </c>
      <c r="K172" t="str">
        <f t="shared" si="16"/>
        <v>UK</v>
      </c>
      <c r="L172" t="str">
        <f t="shared" si="13"/>
        <v xml:space="preserve">Case 437 is a Imported case, 33 years old male UK (Singapore Work Pass holder)  and has been to Demark, Switzerland, France . He is currently admitted at SGH . </v>
      </c>
      <c r="M172">
        <f t="shared" si="14"/>
        <v>437</v>
      </c>
      <c r="N172" t="str">
        <f t="shared" si="15"/>
        <v xml:space="preserve">Demark, Switzerland, France </v>
      </c>
    </row>
    <row r="173" spans="1:14" x14ac:dyDescent="0.3">
      <c r="A173">
        <v>438</v>
      </c>
      <c r="B173" s="24">
        <v>43911</v>
      </c>
      <c r="C173" t="s">
        <v>1138</v>
      </c>
      <c r="D173">
        <v>55</v>
      </c>
      <c r="E173" t="s">
        <v>1073</v>
      </c>
      <c r="F173" t="s">
        <v>1085</v>
      </c>
      <c r="G173" t="s">
        <v>1085</v>
      </c>
      <c r="H173" t="s">
        <v>77</v>
      </c>
      <c r="J173" t="str">
        <f t="shared" si="12"/>
        <v>Female</v>
      </c>
      <c r="K173" t="str">
        <f t="shared" si="16"/>
        <v xml:space="preserve">US </v>
      </c>
      <c r="L173" t="str">
        <f t="shared" si="13"/>
        <v xml:space="preserve">Case 438 is a Imported case, 55 years old female US  and has been to US . She is currently admitted at SGH . </v>
      </c>
      <c r="M173">
        <f t="shared" si="14"/>
        <v>438</v>
      </c>
      <c r="N173" t="str">
        <f t="shared" si="15"/>
        <v xml:space="preserve">US </v>
      </c>
    </row>
    <row r="174" spans="1:14" x14ac:dyDescent="0.3">
      <c r="A174">
        <v>439</v>
      </c>
      <c r="B174" s="24">
        <v>43911</v>
      </c>
      <c r="C174" t="s">
        <v>1071</v>
      </c>
      <c r="D174">
        <v>55</v>
      </c>
      <c r="E174" t="s">
        <v>1073</v>
      </c>
      <c r="F174" t="s">
        <v>1189</v>
      </c>
      <c r="G174" t="s">
        <v>1049</v>
      </c>
      <c r="H174" t="s">
        <v>77</v>
      </c>
      <c r="J174" t="str">
        <f t="shared" si="12"/>
        <v>Female</v>
      </c>
      <c r="K174" t="str">
        <f t="shared" si="16"/>
        <v>Denmark</v>
      </c>
      <c r="L174" t="str">
        <f t="shared" si="13"/>
        <v xml:space="preserve">Case 439 is a Imported case, 55 years old female Denmark (Long Term Pass holder)  and has been to Denmark . She is currently admitted at NCID . </v>
      </c>
      <c r="M174">
        <f t="shared" si="14"/>
        <v>439</v>
      </c>
      <c r="N174" t="str">
        <f t="shared" si="15"/>
        <v xml:space="preserve">Denmark </v>
      </c>
    </row>
    <row r="175" spans="1:14" x14ac:dyDescent="0.3">
      <c r="A175">
        <v>440</v>
      </c>
      <c r="B175" s="24">
        <v>43911</v>
      </c>
      <c r="C175" t="s">
        <v>1071</v>
      </c>
      <c r="D175">
        <v>55</v>
      </c>
      <c r="E175" t="s">
        <v>1059</v>
      </c>
      <c r="F175" t="s">
        <v>1060</v>
      </c>
      <c r="G175" t="s">
        <v>1063</v>
      </c>
      <c r="H175" t="s">
        <v>77</v>
      </c>
      <c r="J175" t="str">
        <f t="shared" si="12"/>
        <v>Male</v>
      </c>
      <c r="K175" t="str">
        <f t="shared" si="16"/>
        <v>Singaporean</v>
      </c>
      <c r="L175" t="str">
        <f t="shared" si="13"/>
        <v xml:space="preserve">Case 440 is a Imported case, 55 years old male Singapore Citizen  and has been to UK . He is currently admitted at NCID . </v>
      </c>
      <c r="M175">
        <f t="shared" si="14"/>
        <v>440</v>
      </c>
      <c r="N175" t="str">
        <f t="shared" si="15"/>
        <v xml:space="preserve">UK </v>
      </c>
    </row>
    <row r="176" spans="1:14" x14ac:dyDescent="0.3">
      <c r="A176">
        <v>441</v>
      </c>
      <c r="B176" s="24">
        <v>43911</v>
      </c>
      <c r="C176" t="s">
        <v>1071</v>
      </c>
      <c r="D176">
        <v>57</v>
      </c>
      <c r="E176" t="s">
        <v>1073</v>
      </c>
      <c r="F176" t="s">
        <v>1060</v>
      </c>
      <c r="G176" t="s">
        <v>1190</v>
      </c>
      <c r="H176" t="s">
        <v>1069</v>
      </c>
      <c r="I176" t="s">
        <v>1191</v>
      </c>
      <c r="J176" t="str">
        <f t="shared" si="12"/>
        <v>Female</v>
      </c>
      <c r="K176" t="str">
        <f t="shared" si="16"/>
        <v>Singaporean</v>
      </c>
      <c r="L176" t="str">
        <f t="shared" si="13"/>
        <v>Case 441 is a Imported  case, 57 years old female Singapore Citizen  and has been to US, Mexico . She is currently admitted at NCID . Family member of Case 308; Contact of Case 277</v>
      </c>
      <c r="M176">
        <f t="shared" si="14"/>
        <v>441</v>
      </c>
      <c r="N176" t="str">
        <f t="shared" si="15"/>
        <v xml:space="preserve">US, Mexico </v>
      </c>
    </row>
    <row r="177" spans="1:16" x14ac:dyDescent="0.3">
      <c r="A177">
        <v>442</v>
      </c>
      <c r="B177" s="24">
        <v>43911</v>
      </c>
      <c r="C177" t="s">
        <v>1071</v>
      </c>
      <c r="D177">
        <v>48</v>
      </c>
      <c r="E177" t="s">
        <v>1073</v>
      </c>
      <c r="F177" t="s">
        <v>1060</v>
      </c>
      <c r="H177" t="s">
        <v>1086</v>
      </c>
      <c r="I177" t="s">
        <v>1192</v>
      </c>
      <c r="J177" t="str">
        <f t="shared" si="12"/>
        <v>Female</v>
      </c>
      <c r="K177" t="str">
        <f t="shared" si="16"/>
        <v>Singaporean</v>
      </c>
      <c r="L177" t="str">
        <f t="shared" si="13"/>
        <v>Case 442 is a Local linked  case, 48 years old female Singapore Citizen  and has not been overseas. She is currently admitted at NCID . Family member of Case 398</v>
      </c>
      <c r="M177" t="str">
        <f t="shared" si="14"/>
        <v/>
      </c>
      <c r="N177" t="str">
        <f t="shared" si="15"/>
        <v/>
      </c>
    </row>
    <row r="178" spans="1:16" x14ac:dyDescent="0.3">
      <c r="A178">
        <v>443</v>
      </c>
      <c r="B178" s="24">
        <v>43911</v>
      </c>
      <c r="C178" t="s">
        <v>343</v>
      </c>
      <c r="D178">
        <v>29</v>
      </c>
      <c r="E178" t="s">
        <v>1059</v>
      </c>
      <c r="F178" t="s">
        <v>1060</v>
      </c>
      <c r="H178" t="s">
        <v>1086</v>
      </c>
      <c r="I178" t="s">
        <v>733</v>
      </c>
      <c r="J178" t="str">
        <f t="shared" si="12"/>
        <v>Male</v>
      </c>
      <c r="K178" t="str">
        <f t="shared" si="16"/>
        <v>Singaporean</v>
      </c>
      <c r="L178" t="str">
        <f t="shared" si="13"/>
        <v>Case 443 is a Local linked  case, 29 years old male Singapore Citizen  and has not been overseas. He is currently admitted at NUH . boulder+ Gym</v>
      </c>
      <c r="M178" t="str">
        <f t="shared" si="14"/>
        <v/>
      </c>
      <c r="N178" t="str">
        <f t="shared" si="15"/>
        <v/>
      </c>
    </row>
    <row r="179" spans="1:16" x14ac:dyDescent="0.3">
      <c r="A179">
        <v>444</v>
      </c>
      <c r="B179" s="24">
        <v>43911</v>
      </c>
      <c r="C179" t="s">
        <v>1071</v>
      </c>
      <c r="D179">
        <v>44</v>
      </c>
      <c r="E179" t="s">
        <v>1059</v>
      </c>
      <c r="F179" t="s">
        <v>1060</v>
      </c>
      <c r="H179" t="s">
        <v>77</v>
      </c>
      <c r="J179" t="str">
        <f t="shared" si="12"/>
        <v>Male</v>
      </c>
      <c r="K179" t="str">
        <f t="shared" si="16"/>
        <v>Singaporean</v>
      </c>
      <c r="L179" t="str">
        <f t="shared" si="13"/>
        <v xml:space="preserve">Case 444 is a Imported case, 44 years old male Singapore Citizen  and has not been overseas. He is currently admitted at NCID . </v>
      </c>
      <c r="M179" t="str">
        <f t="shared" si="14"/>
        <v/>
      </c>
      <c r="N179" t="str">
        <f t="shared" si="15"/>
        <v/>
      </c>
    </row>
    <row r="180" spans="1:16" x14ac:dyDescent="0.3">
      <c r="A180">
        <v>445</v>
      </c>
      <c r="B180" s="24">
        <v>43911</v>
      </c>
      <c r="C180" t="s">
        <v>1071</v>
      </c>
      <c r="D180">
        <v>21</v>
      </c>
      <c r="E180" t="s">
        <v>1059</v>
      </c>
      <c r="F180" t="s">
        <v>1060</v>
      </c>
      <c r="G180" t="s">
        <v>1063</v>
      </c>
      <c r="H180" t="s">
        <v>77</v>
      </c>
      <c r="J180" t="str">
        <f t="shared" si="12"/>
        <v>Male</v>
      </c>
      <c r="K180" t="str">
        <f t="shared" si="16"/>
        <v>Singaporean</v>
      </c>
      <c r="L180" t="str">
        <f t="shared" si="13"/>
        <v xml:space="preserve">Case 445 is a Imported case, 21 years old male Singapore Citizen  and has been to UK . He is currently admitted at NCID . </v>
      </c>
      <c r="M180">
        <f t="shared" si="14"/>
        <v>445</v>
      </c>
      <c r="N180" t="str">
        <f t="shared" si="15"/>
        <v xml:space="preserve">UK </v>
      </c>
    </row>
    <row r="181" spans="1:16" x14ac:dyDescent="0.3">
      <c r="A181">
        <v>446</v>
      </c>
      <c r="B181" s="24">
        <v>43911</v>
      </c>
      <c r="C181" t="s">
        <v>1071</v>
      </c>
      <c r="D181">
        <v>26</v>
      </c>
      <c r="E181" t="s">
        <v>1073</v>
      </c>
      <c r="F181" t="s">
        <v>1173</v>
      </c>
      <c r="G181" t="s">
        <v>1063</v>
      </c>
      <c r="H181" t="s">
        <v>1069</v>
      </c>
      <c r="I181" t="s">
        <v>1193</v>
      </c>
      <c r="J181" t="str">
        <f t="shared" si="12"/>
        <v>Female</v>
      </c>
      <c r="K181" t="str">
        <f t="shared" si="16"/>
        <v>Indonesia</v>
      </c>
      <c r="L181" t="str">
        <f t="shared" si="13"/>
        <v>Case 446 is a Imported  case, 26 years old female Indonesia (Long Term Pass holder)  and has been to UK . She is currently admitted at NCID . Contact of Case 378</v>
      </c>
      <c r="M181">
        <f t="shared" si="14"/>
        <v>446</v>
      </c>
      <c r="N181" t="str">
        <f t="shared" si="15"/>
        <v xml:space="preserve">UK </v>
      </c>
      <c r="O181">
        <f t="shared" ref="O181:O243" si="17">IF(I181="","",A181)</f>
        <v>446</v>
      </c>
      <c r="P181" t="str">
        <f t="shared" ref="P181:P243" si="18">IF(I181="","",I181)</f>
        <v>Contact of Case 378</v>
      </c>
    </row>
    <row r="182" spans="1:16" x14ac:dyDescent="0.3">
      <c r="A182">
        <v>447</v>
      </c>
      <c r="B182" s="24">
        <v>43911</v>
      </c>
      <c r="C182" t="s">
        <v>1071</v>
      </c>
      <c r="D182">
        <v>32</v>
      </c>
      <c r="E182" t="s">
        <v>1073</v>
      </c>
      <c r="F182" t="s">
        <v>1060</v>
      </c>
      <c r="G182" t="s">
        <v>1063</v>
      </c>
      <c r="H182" t="s">
        <v>77</v>
      </c>
      <c r="J182" t="str">
        <f t="shared" si="12"/>
        <v>Female</v>
      </c>
      <c r="K182" t="str">
        <f t="shared" si="16"/>
        <v>Singaporean</v>
      </c>
      <c r="L182" t="str">
        <f t="shared" si="13"/>
        <v xml:space="preserve">Case 447 is a Imported case, 32 years old female Singapore Citizen  and has been to UK . She is currently admitted at NCID . </v>
      </c>
      <c r="M182">
        <f t="shared" si="14"/>
        <v>447</v>
      </c>
      <c r="N182" t="str">
        <f t="shared" si="15"/>
        <v xml:space="preserve">UK </v>
      </c>
      <c r="O182" t="str">
        <f t="shared" si="17"/>
        <v/>
      </c>
      <c r="P182" t="str">
        <f t="shared" si="18"/>
        <v/>
      </c>
    </row>
    <row r="183" spans="1:16" x14ac:dyDescent="0.3">
      <c r="A183">
        <v>448</v>
      </c>
      <c r="B183" s="24">
        <v>43911</v>
      </c>
      <c r="C183" t="s">
        <v>1071</v>
      </c>
      <c r="D183">
        <v>21</v>
      </c>
      <c r="E183" t="s">
        <v>1059</v>
      </c>
      <c r="F183" t="s">
        <v>1060</v>
      </c>
      <c r="G183" t="s">
        <v>1063</v>
      </c>
      <c r="H183" t="s">
        <v>77</v>
      </c>
      <c r="J183" t="str">
        <f t="shared" si="12"/>
        <v>Male</v>
      </c>
      <c r="K183" t="str">
        <f t="shared" si="16"/>
        <v>Singaporean</v>
      </c>
      <c r="L183" t="str">
        <f t="shared" si="13"/>
        <v xml:space="preserve">Case 448 is a Imported case, 21 years old male Singapore Citizen  and has been to UK . He is currently admitted at NCID . </v>
      </c>
      <c r="M183">
        <f t="shared" si="14"/>
        <v>448</v>
      </c>
      <c r="N183" t="str">
        <f t="shared" si="15"/>
        <v xml:space="preserve">UK </v>
      </c>
      <c r="O183" t="str">
        <f t="shared" si="17"/>
        <v/>
      </c>
      <c r="P183" t="str">
        <f t="shared" si="18"/>
        <v/>
      </c>
    </row>
    <row r="184" spans="1:16" x14ac:dyDescent="0.3">
      <c r="A184">
        <v>449</v>
      </c>
      <c r="B184" s="24">
        <v>43911</v>
      </c>
      <c r="C184" t="s">
        <v>1071</v>
      </c>
      <c r="D184">
        <v>21</v>
      </c>
      <c r="E184" t="s">
        <v>1059</v>
      </c>
      <c r="F184" t="s">
        <v>1060</v>
      </c>
      <c r="G184" t="s">
        <v>1063</v>
      </c>
      <c r="H184" t="s">
        <v>77</v>
      </c>
      <c r="J184" t="str">
        <f t="shared" si="12"/>
        <v>Male</v>
      </c>
      <c r="K184" t="str">
        <f t="shared" si="16"/>
        <v>Singaporean</v>
      </c>
      <c r="L184" t="str">
        <f t="shared" si="13"/>
        <v xml:space="preserve">Case 449 is a Imported case, 21 years old male Singapore Citizen  and has been to UK . He is currently admitted at NCID . </v>
      </c>
      <c r="M184">
        <f t="shared" si="14"/>
        <v>449</v>
      </c>
      <c r="N184" t="str">
        <f t="shared" si="15"/>
        <v xml:space="preserve">UK </v>
      </c>
      <c r="O184" t="str">
        <f t="shared" si="17"/>
        <v/>
      </c>
      <c r="P184" t="str">
        <f t="shared" si="18"/>
        <v/>
      </c>
    </row>
    <row r="185" spans="1:16" x14ac:dyDescent="0.3">
      <c r="A185">
        <v>450</v>
      </c>
      <c r="B185" s="24">
        <v>43911</v>
      </c>
      <c r="C185" t="s">
        <v>1071</v>
      </c>
      <c r="D185">
        <v>44</v>
      </c>
      <c r="E185" t="s">
        <v>1059</v>
      </c>
      <c r="F185" t="s">
        <v>1060</v>
      </c>
      <c r="H185" t="s">
        <v>1061</v>
      </c>
      <c r="J185" t="str">
        <f t="shared" si="12"/>
        <v>Male</v>
      </c>
      <c r="K185" t="str">
        <f t="shared" si="16"/>
        <v>Singaporean</v>
      </c>
      <c r="L185" t="str">
        <f t="shared" si="13"/>
        <v xml:space="preserve">Case 450 is a Local unlinked case, 44 years old male Singapore Citizen  and has not been overseas. He is currently admitted at NCID . </v>
      </c>
      <c r="M185" t="str">
        <f t="shared" si="14"/>
        <v/>
      </c>
      <c r="N185" t="str">
        <f t="shared" si="15"/>
        <v/>
      </c>
      <c r="O185" t="str">
        <f t="shared" si="17"/>
        <v/>
      </c>
      <c r="P185" t="str">
        <f t="shared" si="18"/>
        <v/>
      </c>
    </row>
    <row r="186" spans="1:16" x14ac:dyDescent="0.3">
      <c r="A186">
        <v>451</v>
      </c>
      <c r="B186" s="24">
        <v>43912</v>
      </c>
      <c r="C186" t="s">
        <v>1071</v>
      </c>
      <c r="D186">
        <v>62</v>
      </c>
      <c r="E186" t="s">
        <v>1059</v>
      </c>
      <c r="F186" t="s">
        <v>1060</v>
      </c>
      <c r="H186" t="s">
        <v>1086</v>
      </c>
      <c r="I186" t="s">
        <v>1194</v>
      </c>
      <c r="J186" t="str">
        <f t="shared" si="12"/>
        <v>Male</v>
      </c>
      <c r="K186" t="str">
        <f t="shared" si="16"/>
        <v>Singaporean</v>
      </c>
      <c r="L186" t="str">
        <f t="shared" si="13"/>
        <v>Case 451 is a Local linked  case, 62 years old male Singapore Citizen  and has not been overseas. He is currently admitted at NCID . Contact of Case 404</v>
      </c>
      <c r="M186" t="str">
        <f t="shared" si="14"/>
        <v/>
      </c>
      <c r="N186" t="str">
        <f t="shared" si="15"/>
        <v/>
      </c>
      <c r="O186">
        <f t="shared" si="17"/>
        <v>451</v>
      </c>
      <c r="P186" t="str">
        <f t="shared" si="18"/>
        <v>Contact of Case 404</v>
      </c>
    </row>
    <row r="187" spans="1:16" x14ac:dyDescent="0.3">
      <c r="A187">
        <v>452</v>
      </c>
      <c r="B187" s="24">
        <v>43912</v>
      </c>
      <c r="C187" t="s">
        <v>1071</v>
      </c>
      <c r="D187">
        <v>22</v>
      </c>
      <c r="E187" t="s">
        <v>1073</v>
      </c>
      <c r="F187" t="s">
        <v>1072</v>
      </c>
      <c r="G187" t="s">
        <v>1063</v>
      </c>
      <c r="H187" t="s">
        <v>77</v>
      </c>
      <c r="J187" t="str">
        <f t="shared" si="12"/>
        <v>Female</v>
      </c>
      <c r="K187" t="str">
        <f t="shared" si="16"/>
        <v>Singaporean</v>
      </c>
      <c r="L187" t="str">
        <f t="shared" si="13"/>
        <v xml:space="preserve">Case 452 is a Imported case, 22 years old female Singapore Permanent Resident  and has been to UK . She is currently admitted at NCID . </v>
      </c>
      <c r="M187">
        <f t="shared" si="14"/>
        <v>452</v>
      </c>
      <c r="N187" t="str">
        <f t="shared" si="15"/>
        <v xml:space="preserve">UK </v>
      </c>
      <c r="O187" t="str">
        <f t="shared" si="17"/>
        <v/>
      </c>
      <c r="P187" t="str">
        <f t="shared" si="18"/>
        <v/>
      </c>
    </row>
    <row r="188" spans="1:16" x14ac:dyDescent="0.3">
      <c r="A188">
        <v>453</v>
      </c>
      <c r="B188" s="24">
        <v>43912</v>
      </c>
      <c r="C188" t="s">
        <v>1071</v>
      </c>
      <c r="D188">
        <v>41</v>
      </c>
      <c r="E188" t="s">
        <v>1059</v>
      </c>
      <c r="F188" t="s">
        <v>1195</v>
      </c>
      <c r="G188" t="s">
        <v>1063</v>
      </c>
      <c r="H188" t="s">
        <v>77</v>
      </c>
      <c r="J188" t="str">
        <f t="shared" si="12"/>
        <v>Male</v>
      </c>
      <c r="K188" t="str">
        <f t="shared" si="16"/>
        <v>India</v>
      </c>
      <c r="L188" t="str">
        <f t="shared" si="13"/>
        <v xml:space="preserve">Case 453 is a Imported case, 41 years old male India (Long Term Pass holder)  and has been to UK . He is currently admitted at NCID . </v>
      </c>
      <c r="M188">
        <f t="shared" si="14"/>
        <v>453</v>
      </c>
      <c r="N188" t="str">
        <f t="shared" si="15"/>
        <v xml:space="preserve">UK </v>
      </c>
      <c r="O188" t="str">
        <f t="shared" si="17"/>
        <v/>
      </c>
      <c r="P188" t="str">
        <f t="shared" si="18"/>
        <v/>
      </c>
    </row>
    <row r="189" spans="1:16" x14ac:dyDescent="0.3">
      <c r="A189">
        <v>454</v>
      </c>
      <c r="B189" s="24">
        <v>43912</v>
      </c>
      <c r="C189" t="s">
        <v>1071</v>
      </c>
      <c r="D189">
        <v>47</v>
      </c>
      <c r="E189" t="s">
        <v>1073</v>
      </c>
      <c r="F189" t="s">
        <v>1060</v>
      </c>
      <c r="G189" t="s">
        <v>1085</v>
      </c>
      <c r="H189" t="s">
        <v>77</v>
      </c>
      <c r="J189" t="str">
        <f t="shared" si="12"/>
        <v>Female</v>
      </c>
      <c r="K189" t="str">
        <f t="shared" si="16"/>
        <v>Singaporean</v>
      </c>
      <c r="L189" t="str">
        <f t="shared" si="13"/>
        <v xml:space="preserve">Case 454 is a Imported case, 47 years old female Singapore Citizen  and has been to US . She is currently admitted at NCID . </v>
      </c>
      <c r="M189">
        <f t="shared" si="14"/>
        <v>454</v>
      </c>
      <c r="N189" t="str">
        <f t="shared" si="15"/>
        <v xml:space="preserve">US </v>
      </c>
      <c r="O189" t="str">
        <f t="shared" si="17"/>
        <v/>
      </c>
      <c r="P189" t="str">
        <f t="shared" si="18"/>
        <v/>
      </c>
    </row>
    <row r="190" spans="1:16" x14ac:dyDescent="0.3">
      <c r="A190">
        <v>455</v>
      </c>
      <c r="B190" s="24">
        <v>43912</v>
      </c>
      <c r="C190" t="s">
        <v>1071</v>
      </c>
      <c r="D190">
        <v>29</v>
      </c>
      <c r="E190" t="s">
        <v>1059</v>
      </c>
      <c r="F190" t="s">
        <v>1060</v>
      </c>
      <c r="G190" t="s">
        <v>1063</v>
      </c>
      <c r="H190" t="s">
        <v>77</v>
      </c>
      <c r="J190" t="str">
        <f t="shared" ref="J190:J244" si="19">IF(TRIM(E190)="M","Male",IF(TRIM(E190)="F","Female",""))</f>
        <v>Male</v>
      </c>
      <c r="K190" t="str">
        <f t="shared" ref="K190:K244" si="20">IF(LEFT(F190,9)="Singapore","Singaporean",IF(ISERR(FIND("(",F190)),F190,LEFT(F190,FIND("(",F190)-2)))</f>
        <v>Singaporean</v>
      </c>
      <c r="L190" t="str">
        <f t="shared" ref="L190:L244" si="21">"Case "&amp;A190&amp;" is a "&amp;H190&amp;" case, "&amp;D190&amp;" years old "&amp;LOWER(J190)&amp;" "&amp;F190 &amp;IF(G190=""," and has not been overseas"," and has been to "&amp;G190)&amp;". "&amp;IF(TRIM(E190)="F","She",IF(TRIM(E190)="M","He"))&amp;" is currently admitted at "&amp;C190&amp;". "&amp;I190</f>
        <v xml:space="preserve">Case 455 is a Imported case, 29 years old male Singapore Citizen  and has been to UK . He is currently admitted at NCID . </v>
      </c>
      <c r="M190">
        <f t="shared" ref="M190:M244" si="22">IF(G190="","",A190)</f>
        <v>455</v>
      </c>
      <c r="N190" t="str">
        <f t="shared" ref="N190:P244" si="23">IF(G190="","",G190)</f>
        <v xml:space="preserve">UK </v>
      </c>
      <c r="O190" t="str">
        <f t="shared" si="17"/>
        <v/>
      </c>
      <c r="P190" t="str">
        <f t="shared" si="18"/>
        <v/>
      </c>
    </row>
    <row r="191" spans="1:16" x14ac:dyDescent="0.3">
      <c r="A191">
        <v>456</v>
      </c>
      <c r="B191" s="24">
        <v>43912</v>
      </c>
      <c r="C191" t="s">
        <v>1064</v>
      </c>
      <c r="D191">
        <v>24</v>
      </c>
      <c r="E191" t="s">
        <v>1059</v>
      </c>
      <c r="F191" t="s">
        <v>1060</v>
      </c>
      <c r="G191" t="s">
        <v>1063</v>
      </c>
      <c r="H191" t="s">
        <v>77</v>
      </c>
      <c r="J191" t="str">
        <f t="shared" si="19"/>
        <v>Male</v>
      </c>
      <c r="K191" t="str">
        <f t="shared" si="20"/>
        <v>Singaporean</v>
      </c>
      <c r="L191" t="str">
        <f t="shared" si="21"/>
        <v xml:space="preserve">Case 456 is a Imported case, 24 years old male Singapore Citizen  and has been to UK . He is currently admitted at CGH . </v>
      </c>
      <c r="M191">
        <f t="shared" si="22"/>
        <v>456</v>
      </c>
      <c r="N191" t="str">
        <f t="shared" si="23"/>
        <v xml:space="preserve">UK </v>
      </c>
      <c r="O191" t="str">
        <f t="shared" si="17"/>
        <v/>
      </c>
      <c r="P191" t="str">
        <f t="shared" si="18"/>
        <v/>
      </c>
    </row>
    <row r="192" spans="1:16" x14ac:dyDescent="0.3">
      <c r="A192">
        <v>457</v>
      </c>
      <c r="B192" s="24">
        <v>43912</v>
      </c>
      <c r="C192" t="s">
        <v>1064</v>
      </c>
      <c r="D192">
        <v>40</v>
      </c>
      <c r="E192" t="s">
        <v>1059</v>
      </c>
      <c r="F192" t="s">
        <v>1207</v>
      </c>
      <c r="H192" t="s">
        <v>1061</v>
      </c>
      <c r="J192" t="str">
        <f t="shared" si="19"/>
        <v>Male</v>
      </c>
      <c r="K192" t="str">
        <f t="shared" si="20"/>
        <v>Myanmar</v>
      </c>
      <c r="L192" t="str">
        <f t="shared" si="21"/>
        <v xml:space="preserve">Case 457 is a Local unlinked case, 40 years old male Myanmar (Singapore Work Pass holder)  and has not been overseas. He is currently admitted at CGH . </v>
      </c>
      <c r="M192" t="str">
        <f t="shared" si="22"/>
        <v/>
      </c>
      <c r="N192" t="str">
        <f t="shared" si="23"/>
        <v/>
      </c>
      <c r="O192" t="str">
        <f t="shared" si="17"/>
        <v/>
      </c>
      <c r="P192" t="str">
        <f t="shared" si="18"/>
        <v/>
      </c>
    </row>
    <row r="193" spans="1:16" x14ac:dyDescent="0.3">
      <c r="A193">
        <v>458</v>
      </c>
      <c r="B193" s="24">
        <v>43912</v>
      </c>
      <c r="C193" t="s">
        <v>1071</v>
      </c>
      <c r="D193">
        <v>20</v>
      </c>
      <c r="E193" t="s">
        <v>1073</v>
      </c>
      <c r="F193" t="s">
        <v>1060</v>
      </c>
      <c r="G193" t="s">
        <v>1063</v>
      </c>
      <c r="H193" t="s">
        <v>77</v>
      </c>
      <c r="J193" t="str">
        <f t="shared" si="19"/>
        <v>Female</v>
      </c>
      <c r="K193" t="str">
        <f t="shared" si="20"/>
        <v>Singaporean</v>
      </c>
      <c r="L193" t="str">
        <f t="shared" si="21"/>
        <v xml:space="preserve">Case 458 is a Imported case, 20 years old female Singapore Citizen  and has been to UK . She is currently admitted at NCID . </v>
      </c>
      <c r="M193">
        <f t="shared" si="22"/>
        <v>458</v>
      </c>
      <c r="N193" t="str">
        <f t="shared" si="23"/>
        <v xml:space="preserve">UK </v>
      </c>
      <c r="O193" t="str">
        <f t="shared" si="17"/>
        <v/>
      </c>
      <c r="P193" t="str">
        <f t="shared" si="18"/>
        <v/>
      </c>
    </row>
    <row r="194" spans="1:16" x14ac:dyDescent="0.3">
      <c r="A194">
        <v>459</v>
      </c>
      <c r="B194" s="24">
        <v>43912</v>
      </c>
      <c r="C194" t="s">
        <v>1074</v>
      </c>
      <c r="D194">
        <v>67</v>
      </c>
      <c r="E194" t="s">
        <v>1059</v>
      </c>
      <c r="F194" t="s">
        <v>1060</v>
      </c>
      <c r="H194" t="s">
        <v>1061</v>
      </c>
      <c r="J194" t="str">
        <f t="shared" si="19"/>
        <v>Male</v>
      </c>
      <c r="K194" t="str">
        <f t="shared" si="20"/>
        <v>Singaporean</v>
      </c>
      <c r="L194" t="str">
        <f t="shared" si="21"/>
        <v xml:space="preserve">Case 459 is a Local unlinked case, 67 years old male Singapore Citizen  and has not been overseas. He is currently admitted at AH . </v>
      </c>
      <c r="M194" t="str">
        <f t="shared" si="22"/>
        <v/>
      </c>
      <c r="N194" t="str">
        <f t="shared" si="23"/>
        <v/>
      </c>
      <c r="O194" t="str">
        <f t="shared" si="17"/>
        <v/>
      </c>
      <c r="P194" t="str">
        <f t="shared" si="18"/>
        <v/>
      </c>
    </row>
    <row r="195" spans="1:16" x14ac:dyDescent="0.3">
      <c r="A195">
        <v>460</v>
      </c>
      <c r="B195" s="24">
        <v>43912</v>
      </c>
      <c r="C195" t="s">
        <v>343</v>
      </c>
      <c r="D195">
        <v>23</v>
      </c>
      <c r="E195" t="s">
        <v>1073</v>
      </c>
      <c r="F195" t="s">
        <v>1208</v>
      </c>
      <c r="G195" t="s">
        <v>1063</v>
      </c>
      <c r="H195" t="s">
        <v>77</v>
      </c>
      <c r="J195" t="str">
        <f t="shared" si="19"/>
        <v>Female</v>
      </c>
      <c r="K195" t="str">
        <f t="shared" si="20"/>
        <v xml:space="preserve">New Zealand </v>
      </c>
      <c r="L195" t="str">
        <f t="shared" si="21"/>
        <v xml:space="preserve">Case 460 is a Imported case, 23 years old female New Zealand  and has been to UK . She is currently admitted at NUH . </v>
      </c>
      <c r="M195">
        <f t="shared" si="22"/>
        <v>460</v>
      </c>
      <c r="N195" t="str">
        <f t="shared" si="23"/>
        <v xml:space="preserve">UK </v>
      </c>
      <c r="O195" t="str">
        <f t="shared" si="17"/>
        <v/>
      </c>
      <c r="P195" t="str">
        <f t="shared" si="18"/>
        <v/>
      </c>
    </row>
    <row r="196" spans="1:16" x14ac:dyDescent="0.3">
      <c r="A196">
        <v>461</v>
      </c>
      <c r="B196" s="24">
        <v>43912</v>
      </c>
      <c r="C196" t="s">
        <v>343</v>
      </c>
      <c r="D196">
        <v>49</v>
      </c>
      <c r="E196" t="s">
        <v>1073</v>
      </c>
      <c r="F196" t="s">
        <v>1060</v>
      </c>
      <c r="G196" t="s">
        <v>360</v>
      </c>
      <c r="H196" t="s">
        <v>77</v>
      </c>
      <c r="J196" t="str">
        <f t="shared" si="19"/>
        <v>Female</v>
      </c>
      <c r="K196" t="str">
        <f t="shared" si="20"/>
        <v>Singaporean</v>
      </c>
      <c r="L196" t="str">
        <f t="shared" si="21"/>
        <v xml:space="preserve">Case 461 is a Imported case, 49 years old female Singapore Citizen  and has been to Malaysia . She is currently admitted at NUH . </v>
      </c>
      <c r="M196">
        <f t="shared" si="22"/>
        <v>461</v>
      </c>
      <c r="N196" t="str">
        <f t="shared" si="23"/>
        <v xml:space="preserve">Malaysia </v>
      </c>
      <c r="O196" t="str">
        <f t="shared" si="17"/>
        <v/>
      </c>
      <c r="P196" t="str">
        <f t="shared" si="18"/>
        <v/>
      </c>
    </row>
    <row r="197" spans="1:16" x14ac:dyDescent="0.3">
      <c r="A197">
        <v>462</v>
      </c>
      <c r="B197" s="24">
        <v>43912</v>
      </c>
      <c r="C197" t="s">
        <v>1064</v>
      </c>
      <c r="D197">
        <v>20</v>
      </c>
      <c r="E197" t="s">
        <v>1073</v>
      </c>
      <c r="F197" t="s">
        <v>1060</v>
      </c>
      <c r="G197" t="s">
        <v>1063</v>
      </c>
      <c r="H197" t="s">
        <v>77</v>
      </c>
      <c r="J197" t="str">
        <f t="shared" si="19"/>
        <v>Female</v>
      </c>
      <c r="K197" t="str">
        <f t="shared" si="20"/>
        <v>Singaporean</v>
      </c>
      <c r="L197" t="str">
        <f t="shared" si="21"/>
        <v xml:space="preserve">Case 462 is a Imported case, 20 years old female Singapore Citizen  and has been to UK . She is currently admitted at CGH . </v>
      </c>
      <c r="M197">
        <f t="shared" si="22"/>
        <v>462</v>
      </c>
      <c r="N197" t="str">
        <f t="shared" si="23"/>
        <v xml:space="preserve">UK </v>
      </c>
      <c r="O197" t="str">
        <f t="shared" si="17"/>
        <v/>
      </c>
      <c r="P197" t="str">
        <f t="shared" si="18"/>
        <v/>
      </c>
    </row>
    <row r="198" spans="1:16" x14ac:dyDescent="0.3">
      <c r="A198">
        <v>463</v>
      </c>
      <c r="B198" s="24">
        <v>43912</v>
      </c>
      <c r="C198" t="s">
        <v>1062</v>
      </c>
      <c r="D198">
        <v>64</v>
      </c>
      <c r="E198" t="s">
        <v>1059</v>
      </c>
      <c r="F198" t="s">
        <v>1060</v>
      </c>
      <c r="G198" t="s">
        <v>1209</v>
      </c>
      <c r="H198" t="s">
        <v>77</v>
      </c>
      <c r="J198" t="str">
        <f t="shared" si="19"/>
        <v>Male</v>
      </c>
      <c r="K198" t="str">
        <f t="shared" si="20"/>
        <v>Singaporean</v>
      </c>
      <c r="L198" t="str">
        <f t="shared" si="21"/>
        <v xml:space="preserve">Case 463 is a Imported case, 64 years old male Singapore Citizen  and has been to Malaysia, Indonesia . He is currently admitted at NTFGH . </v>
      </c>
      <c r="M198">
        <f t="shared" si="22"/>
        <v>463</v>
      </c>
      <c r="N198" t="str">
        <f t="shared" si="23"/>
        <v xml:space="preserve">Malaysia, Indonesia </v>
      </c>
      <c r="O198" t="str">
        <f t="shared" si="17"/>
        <v/>
      </c>
      <c r="P198" t="str">
        <f t="shared" si="18"/>
        <v/>
      </c>
    </row>
    <row r="199" spans="1:16" x14ac:dyDescent="0.3">
      <c r="A199">
        <v>464</v>
      </c>
      <c r="B199" s="24">
        <v>43912</v>
      </c>
      <c r="C199" t="s">
        <v>1062</v>
      </c>
      <c r="D199">
        <v>23</v>
      </c>
      <c r="E199" t="s">
        <v>1059</v>
      </c>
      <c r="F199" t="s">
        <v>1060</v>
      </c>
      <c r="G199" t="s">
        <v>1063</v>
      </c>
      <c r="H199" t="s">
        <v>77</v>
      </c>
      <c r="J199" t="str">
        <f t="shared" si="19"/>
        <v>Male</v>
      </c>
      <c r="K199" t="str">
        <f t="shared" si="20"/>
        <v>Singaporean</v>
      </c>
      <c r="L199" t="str">
        <f t="shared" si="21"/>
        <v xml:space="preserve">Case 464 is a Imported case, 23 years old male Singapore Citizen  and has been to UK . He is currently admitted at NTFGH . </v>
      </c>
      <c r="M199">
        <f t="shared" si="22"/>
        <v>464</v>
      </c>
      <c r="N199" t="str">
        <f t="shared" si="23"/>
        <v xml:space="preserve">UK </v>
      </c>
      <c r="O199" t="str">
        <f t="shared" si="17"/>
        <v/>
      </c>
      <c r="P199" t="str">
        <f t="shared" si="18"/>
        <v/>
      </c>
    </row>
    <row r="200" spans="1:16" x14ac:dyDescent="0.3">
      <c r="A200">
        <v>465</v>
      </c>
      <c r="B200" s="24">
        <v>43912</v>
      </c>
      <c r="C200" t="s">
        <v>1071</v>
      </c>
      <c r="D200">
        <v>41</v>
      </c>
      <c r="E200" t="s">
        <v>1059</v>
      </c>
      <c r="F200" t="s">
        <v>1060</v>
      </c>
      <c r="G200" t="s">
        <v>1063</v>
      </c>
      <c r="H200" t="s">
        <v>77</v>
      </c>
      <c r="J200" t="str">
        <f t="shared" si="19"/>
        <v>Male</v>
      </c>
      <c r="K200" t="str">
        <f t="shared" si="20"/>
        <v>Singaporean</v>
      </c>
      <c r="L200" t="str">
        <f t="shared" si="21"/>
        <v xml:space="preserve">Case 465 is a Imported case, 41 years old male Singapore Citizen  and has been to UK . He is currently admitted at NCID . </v>
      </c>
      <c r="M200">
        <f t="shared" si="22"/>
        <v>465</v>
      </c>
      <c r="N200" t="str">
        <f t="shared" si="23"/>
        <v xml:space="preserve">UK </v>
      </c>
      <c r="O200" t="str">
        <f t="shared" si="17"/>
        <v/>
      </c>
      <c r="P200" t="str">
        <f t="shared" si="18"/>
        <v/>
      </c>
    </row>
    <row r="201" spans="1:16" x14ac:dyDescent="0.3">
      <c r="A201">
        <v>466</v>
      </c>
      <c r="B201" s="24">
        <v>43912</v>
      </c>
      <c r="C201" t="s">
        <v>1071</v>
      </c>
      <c r="D201">
        <v>55</v>
      </c>
      <c r="E201" t="s">
        <v>1059</v>
      </c>
      <c r="F201" t="s">
        <v>1072</v>
      </c>
      <c r="G201" t="s">
        <v>687</v>
      </c>
      <c r="H201" t="s">
        <v>77</v>
      </c>
      <c r="J201" t="str">
        <f t="shared" si="19"/>
        <v>Male</v>
      </c>
      <c r="K201" t="str">
        <f t="shared" si="20"/>
        <v>Singaporean</v>
      </c>
      <c r="L201" t="str">
        <f t="shared" si="21"/>
        <v xml:space="preserve">Case 466 is a Imported case, 55 years old male Singapore Permanent Resident  and has been to Indonesia . He is currently admitted at NCID . </v>
      </c>
      <c r="M201">
        <f t="shared" si="22"/>
        <v>466</v>
      </c>
      <c r="N201" t="str">
        <f t="shared" si="23"/>
        <v xml:space="preserve">Indonesia </v>
      </c>
      <c r="O201" t="str">
        <f t="shared" si="17"/>
        <v/>
      </c>
      <c r="P201" t="str">
        <f t="shared" si="18"/>
        <v/>
      </c>
    </row>
    <row r="202" spans="1:16" x14ac:dyDescent="0.3">
      <c r="A202">
        <v>467</v>
      </c>
      <c r="B202" s="24">
        <v>43912</v>
      </c>
      <c r="C202" t="s">
        <v>1071</v>
      </c>
      <c r="D202">
        <v>20</v>
      </c>
      <c r="E202" t="s">
        <v>1073</v>
      </c>
      <c r="F202" t="s">
        <v>1060</v>
      </c>
      <c r="G202" t="s">
        <v>1063</v>
      </c>
      <c r="H202" t="s">
        <v>77</v>
      </c>
      <c r="J202" t="str">
        <f t="shared" si="19"/>
        <v>Female</v>
      </c>
      <c r="K202" t="str">
        <f t="shared" si="20"/>
        <v>Singaporean</v>
      </c>
      <c r="L202" t="str">
        <f t="shared" si="21"/>
        <v xml:space="preserve">Case 467 is a Imported case, 20 years old female Singapore Citizen  and has been to UK . She is currently admitted at NCID . </v>
      </c>
      <c r="M202">
        <f t="shared" si="22"/>
        <v>467</v>
      </c>
      <c r="N202" t="str">
        <f t="shared" si="23"/>
        <v xml:space="preserve">UK </v>
      </c>
      <c r="O202" t="str">
        <f t="shared" si="17"/>
        <v/>
      </c>
      <c r="P202" t="str">
        <f t="shared" si="18"/>
        <v/>
      </c>
    </row>
    <row r="203" spans="1:16" x14ac:dyDescent="0.3">
      <c r="A203">
        <v>468</v>
      </c>
      <c r="B203" s="24">
        <v>43912</v>
      </c>
      <c r="C203" t="s">
        <v>1071</v>
      </c>
      <c r="D203">
        <v>28</v>
      </c>
      <c r="E203" t="s">
        <v>1059</v>
      </c>
      <c r="F203" t="s">
        <v>1072</v>
      </c>
      <c r="G203" t="s">
        <v>1063</v>
      </c>
      <c r="H203" t="s">
        <v>77</v>
      </c>
      <c r="J203" t="str">
        <f t="shared" si="19"/>
        <v>Male</v>
      </c>
      <c r="K203" t="str">
        <f t="shared" si="20"/>
        <v>Singaporean</v>
      </c>
      <c r="L203" t="str">
        <f t="shared" si="21"/>
        <v xml:space="preserve">Case 468 is a Imported case, 28 years old male Singapore Permanent Resident  and has been to UK . He is currently admitted at NCID . </v>
      </c>
      <c r="M203">
        <f t="shared" si="22"/>
        <v>468</v>
      </c>
      <c r="N203" t="str">
        <f t="shared" si="23"/>
        <v xml:space="preserve">UK </v>
      </c>
      <c r="O203" t="str">
        <f t="shared" si="17"/>
        <v/>
      </c>
      <c r="P203" t="str">
        <f t="shared" si="18"/>
        <v/>
      </c>
    </row>
    <row r="204" spans="1:16" x14ac:dyDescent="0.3">
      <c r="A204">
        <v>469</v>
      </c>
      <c r="B204" s="24">
        <v>43912</v>
      </c>
      <c r="C204" t="s">
        <v>1071</v>
      </c>
      <c r="D204">
        <v>43</v>
      </c>
      <c r="E204" t="s">
        <v>1059</v>
      </c>
      <c r="F204" t="s">
        <v>1060</v>
      </c>
      <c r="G204" t="s">
        <v>1210</v>
      </c>
      <c r="H204" t="s">
        <v>77</v>
      </c>
      <c r="J204" t="str">
        <f t="shared" si="19"/>
        <v>Male</v>
      </c>
      <c r="K204" t="str">
        <f t="shared" si="20"/>
        <v>Singaporean</v>
      </c>
      <c r="L204" t="str">
        <f t="shared" si="21"/>
        <v xml:space="preserve">Case 469 is a Imported case, 43 years old male Singapore Citizen  and has been to Spain, Malaysia . He is currently admitted at NCID . </v>
      </c>
      <c r="M204">
        <f t="shared" si="22"/>
        <v>469</v>
      </c>
      <c r="N204" t="str">
        <f t="shared" si="23"/>
        <v xml:space="preserve">Spain, Malaysia </v>
      </c>
      <c r="O204" t="str">
        <f t="shared" si="17"/>
        <v/>
      </c>
      <c r="P204" t="str">
        <f t="shared" si="18"/>
        <v/>
      </c>
    </row>
    <row r="205" spans="1:16" x14ac:dyDescent="0.3">
      <c r="A205">
        <v>470</v>
      </c>
      <c r="B205" s="24">
        <v>43912</v>
      </c>
      <c r="C205" t="s">
        <v>1071</v>
      </c>
      <c r="D205">
        <v>24</v>
      </c>
      <c r="E205" t="s">
        <v>1073</v>
      </c>
      <c r="F205" t="s">
        <v>1072</v>
      </c>
      <c r="G205" t="s">
        <v>687</v>
      </c>
      <c r="H205" t="s">
        <v>77</v>
      </c>
      <c r="J205" t="str">
        <f t="shared" si="19"/>
        <v>Female</v>
      </c>
      <c r="K205" t="str">
        <f t="shared" si="20"/>
        <v>Singaporean</v>
      </c>
      <c r="L205" t="str">
        <f t="shared" si="21"/>
        <v xml:space="preserve">Case 470 is a Imported case, 24 years old female Singapore Permanent Resident  and has been to Indonesia . She is currently admitted at NCID . </v>
      </c>
      <c r="M205">
        <f t="shared" si="22"/>
        <v>470</v>
      </c>
      <c r="N205" t="str">
        <f t="shared" si="23"/>
        <v xml:space="preserve">Indonesia </v>
      </c>
      <c r="O205" t="str">
        <f t="shared" si="17"/>
        <v/>
      </c>
      <c r="P205" t="str">
        <f t="shared" si="18"/>
        <v/>
      </c>
    </row>
    <row r="206" spans="1:16" x14ac:dyDescent="0.3">
      <c r="A206">
        <v>471</v>
      </c>
      <c r="B206" s="24">
        <v>43912</v>
      </c>
      <c r="C206" t="s">
        <v>1071</v>
      </c>
      <c r="D206">
        <v>22</v>
      </c>
      <c r="E206" t="s">
        <v>1059</v>
      </c>
      <c r="F206" t="s">
        <v>1060</v>
      </c>
      <c r="G206" t="s">
        <v>1063</v>
      </c>
      <c r="H206" t="s">
        <v>77</v>
      </c>
      <c r="J206" t="str">
        <f t="shared" si="19"/>
        <v>Male</v>
      </c>
      <c r="K206" t="str">
        <f t="shared" si="20"/>
        <v>Singaporean</v>
      </c>
      <c r="L206" t="str">
        <f t="shared" si="21"/>
        <v xml:space="preserve">Case 471 is a Imported case, 22 years old male Singapore Citizen  and has been to UK . He is currently admitted at NCID . </v>
      </c>
      <c r="M206">
        <f t="shared" si="22"/>
        <v>471</v>
      </c>
      <c r="N206" t="str">
        <f t="shared" si="23"/>
        <v xml:space="preserve">UK </v>
      </c>
      <c r="O206" t="str">
        <f t="shared" si="17"/>
        <v/>
      </c>
      <c r="P206" t="str">
        <f t="shared" si="18"/>
        <v/>
      </c>
    </row>
    <row r="207" spans="1:16" x14ac:dyDescent="0.3">
      <c r="A207">
        <v>472</v>
      </c>
      <c r="B207" s="24">
        <v>43912</v>
      </c>
      <c r="C207" t="s">
        <v>1071</v>
      </c>
      <c r="D207">
        <v>19</v>
      </c>
      <c r="E207" t="s">
        <v>1073</v>
      </c>
      <c r="F207" t="s">
        <v>1060</v>
      </c>
      <c r="G207" t="s">
        <v>1063</v>
      </c>
      <c r="H207" t="s">
        <v>77</v>
      </c>
      <c r="J207" t="str">
        <f t="shared" si="19"/>
        <v>Female</v>
      </c>
      <c r="K207" t="str">
        <f t="shared" si="20"/>
        <v>Singaporean</v>
      </c>
      <c r="L207" t="str">
        <f t="shared" si="21"/>
        <v xml:space="preserve">Case 472 is a Imported case, 19 years old female Singapore Citizen  and has been to UK . She is currently admitted at NCID . </v>
      </c>
      <c r="M207">
        <f t="shared" si="22"/>
        <v>472</v>
      </c>
      <c r="N207" t="str">
        <f t="shared" si="23"/>
        <v xml:space="preserve">UK </v>
      </c>
      <c r="O207" t="str">
        <f t="shared" si="17"/>
        <v/>
      </c>
      <c r="P207" t="str">
        <f t="shared" si="18"/>
        <v/>
      </c>
    </row>
    <row r="208" spans="1:16" x14ac:dyDescent="0.3">
      <c r="A208">
        <v>473</v>
      </c>
      <c r="B208" s="24">
        <v>43912</v>
      </c>
      <c r="C208" t="s">
        <v>1071</v>
      </c>
      <c r="D208">
        <v>25</v>
      </c>
      <c r="E208" t="s">
        <v>1059</v>
      </c>
      <c r="F208" t="s">
        <v>1060</v>
      </c>
      <c r="G208" t="s">
        <v>1063</v>
      </c>
      <c r="H208" t="s">
        <v>77</v>
      </c>
      <c r="J208" t="str">
        <f t="shared" si="19"/>
        <v>Male</v>
      </c>
      <c r="K208" t="str">
        <f t="shared" si="20"/>
        <v>Singaporean</v>
      </c>
      <c r="L208" t="str">
        <f t="shared" si="21"/>
        <v xml:space="preserve">Case 473 is a Imported case, 25 years old male Singapore Citizen  and has been to UK . He is currently admitted at NCID . </v>
      </c>
      <c r="M208">
        <f t="shared" si="22"/>
        <v>473</v>
      </c>
      <c r="N208" t="str">
        <f t="shared" si="23"/>
        <v xml:space="preserve">UK </v>
      </c>
      <c r="O208" t="str">
        <f t="shared" si="17"/>
        <v/>
      </c>
      <c r="P208" t="str">
        <f t="shared" si="18"/>
        <v/>
      </c>
    </row>
    <row r="209" spans="1:16" x14ac:dyDescent="0.3">
      <c r="A209">
        <v>474</v>
      </c>
      <c r="B209" s="24">
        <v>43912</v>
      </c>
      <c r="C209" t="s">
        <v>1071</v>
      </c>
      <c r="D209">
        <v>22</v>
      </c>
      <c r="E209" t="s">
        <v>1073</v>
      </c>
      <c r="F209" t="s">
        <v>1060</v>
      </c>
      <c r="G209" t="s">
        <v>1063</v>
      </c>
      <c r="H209" t="s">
        <v>77</v>
      </c>
      <c r="J209" t="str">
        <f t="shared" si="19"/>
        <v>Female</v>
      </c>
      <c r="K209" t="str">
        <f t="shared" si="20"/>
        <v>Singaporean</v>
      </c>
      <c r="L209" t="str">
        <f t="shared" si="21"/>
        <v xml:space="preserve">Case 474 is a Imported case, 22 years old female Singapore Citizen  and has been to UK . She is currently admitted at NCID . </v>
      </c>
      <c r="M209">
        <f t="shared" si="22"/>
        <v>474</v>
      </c>
      <c r="N209" t="str">
        <f t="shared" si="23"/>
        <v xml:space="preserve">UK </v>
      </c>
      <c r="O209" t="str">
        <f t="shared" si="17"/>
        <v/>
      </c>
      <c r="P209" t="str">
        <f t="shared" si="18"/>
        <v/>
      </c>
    </row>
    <row r="210" spans="1:16" x14ac:dyDescent="0.3">
      <c r="A210">
        <v>475</v>
      </c>
      <c r="B210" s="24">
        <v>43912</v>
      </c>
      <c r="C210" t="s">
        <v>1071</v>
      </c>
      <c r="D210">
        <v>22</v>
      </c>
      <c r="E210" t="s">
        <v>1073</v>
      </c>
      <c r="F210" t="s">
        <v>1060</v>
      </c>
      <c r="G210" t="s">
        <v>1167</v>
      </c>
      <c r="H210" t="s">
        <v>1069</v>
      </c>
      <c r="I210" t="s">
        <v>1211</v>
      </c>
      <c r="J210" t="str">
        <f t="shared" si="19"/>
        <v>Female</v>
      </c>
      <c r="K210" t="str">
        <f t="shared" si="20"/>
        <v>Singaporean</v>
      </c>
      <c r="L210" t="str">
        <f t="shared" si="21"/>
        <v>Case 475 is a Imported  case, 22 years old female Singapore Citizen  and has been to Ireland . She is currently admitted at NCID . Contact of Case 423</v>
      </c>
      <c r="M210">
        <f t="shared" si="22"/>
        <v>475</v>
      </c>
      <c r="N210" t="str">
        <f t="shared" si="23"/>
        <v xml:space="preserve">Ireland </v>
      </c>
      <c r="O210">
        <f t="shared" si="17"/>
        <v>475</v>
      </c>
      <c r="P210" t="str">
        <f t="shared" si="18"/>
        <v>Contact of Case 423</v>
      </c>
    </row>
    <row r="211" spans="1:16" x14ac:dyDescent="0.3">
      <c r="A211">
        <v>476</v>
      </c>
      <c r="B211" s="24">
        <v>43912</v>
      </c>
      <c r="C211" t="s">
        <v>1071</v>
      </c>
      <c r="D211">
        <v>68</v>
      </c>
      <c r="E211" t="s">
        <v>1059</v>
      </c>
      <c r="F211" t="s">
        <v>1212</v>
      </c>
      <c r="G211" t="s">
        <v>687</v>
      </c>
      <c r="H211" t="s">
        <v>1069</v>
      </c>
      <c r="J211" t="str">
        <f t="shared" si="19"/>
        <v>Male</v>
      </c>
      <c r="K211" t="str">
        <f t="shared" si="20"/>
        <v>Indonesia</v>
      </c>
      <c r="L211" t="str">
        <f t="shared" si="21"/>
        <v xml:space="preserve">Case 476 is a Imported  case, 68 years old male Indonesia (Singapore Work Pass holder)  and has been to Indonesia . He is currently admitted at NCID . </v>
      </c>
      <c r="M211">
        <f t="shared" si="22"/>
        <v>476</v>
      </c>
      <c r="N211" t="str">
        <f t="shared" si="23"/>
        <v xml:space="preserve">Indonesia </v>
      </c>
      <c r="O211" t="str">
        <f t="shared" si="17"/>
        <v/>
      </c>
      <c r="P211" t="str">
        <f t="shared" si="18"/>
        <v/>
      </c>
    </row>
    <row r="212" spans="1:16" x14ac:dyDescent="0.3">
      <c r="A212">
        <v>477</v>
      </c>
      <c r="B212" s="24">
        <v>43912</v>
      </c>
      <c r="C212" t="s">
        <v>1071</v>
      </c>
      <c r="D212">
        <v>44</v>
      </c>
      <c r="E212" t="s">
        <v>1059</v>
      </c>
      <c r="F212" t="s">
        <v>1166</v>
      </c>
      <c r="H212" t="s">
        <v>1061</v>
      </c>
      <c r="J212" t="str">
        <f t="shared" si="19"/>
        <v>Male</v>
      </c>
      <c r="K212" t="str">
        <f t="shared" si="20"/>
        <v>Ireland</v>
      </c>
      <c r="L212" t="str">
        <f t="shared" si="21"/>
        <v xml:space="preserve">Case 477 is a Local unlinked case, 44 years old male Ireland (Singapore Work Pass holder)  and has not been overseas. He is currently admitted at NCID . </v>
      </c>
      <c r="M212" t="str">
        <f t="shared" si="22"/>
        <v/>
      </c>
      <c r="N212" t="str">
        <f t="shared" si="23"/>
        <v/>
      </c>
      <c r="O212" t="str">
        <f t="shared" si="17"/>
        <v/>
      </c>
      <c r="P212" t="str">
        <f t="shared" si="18"/>
        <v/>
      </c>
    </row>
    <row r="213" spans="1:16" x14ac:dyDescent="0.3">
      <c r="A213">
        <v>478</v>
      </c>
      <c r="B213" s="24">
        <v>43912</v>
      </c>
      <c r="C213" t="s">
        <v>1071</v>
      </c>
      <c r="D213">
        <v>80</v>
      </c>
      <c r="E213" t="s">
        <v>1059</v>
      </c>
      <c r="F213" t="s">
        <v>1060</v>
      </c>
      <c r="H213" t="s">
        <v>1061</v>
      </c>
      <c r="J213" t="str">
        <f t="shared" si="19"/>
        <v>Male</v>
      </c>
      <c r="K213" t="str">
        <f t="shared" si="20"/>
        <v>Singaporean</v>
      </c>
      <c r="L213" t="str">
        <f t="shared" si="21"/>
        <v xml:space="preserve">Case 478 is a Local unlinked case, 80 years old male Singapore Citizen  and has not been overseas. He is currently admitted at NCID . </v>
      </c>
      <c r="M213" t="str">
        <f t="shared" si="22"/>
        <v/>
      </c>
      <c r="N213" t="str">
        <f t="shared" si="23"/>
        <v/>
      </c>
      <c r="O213" t="str">
        <f t="shared" si="17"/>
        <v/>
      </c>
      <c r="P213" t="str">
        <f t="shared" si="18"/>
        <v/>
      </c>
    </row>
    <row r="214" spans="1:16" x14ac:dyDescent="0.3">
      <c r="A214">
        <v>479</v>
      </c>
      <c r="B214" s="24">
        <v>43912</v>
      </c>
      <c r="C214" t="s">
        <v>343</v>
      </c>
      <c r="D214">
        <v>35</v>
      </c>
      <c r="E214" t="s">
        <v>1073</v>
      </c>
      <c r="F214" t="s">
        <v>1212</v>
      </c>
      <c r="H214" t="s">
        <v>1061</v>
      </c>
      <c r="J214" t="str">
        <f t="shared" si="19"/>
        <v>Female</v>
      </c>
      <c r="K214" t="str">
        <f t="shared" si="20"/>
        <v>Indonesia</v>
      </c>
      <c r="L214" t="str">
        <f t="shared" si="21"/>
        <v xml:space="preserve">Case 479 is a Local unlinked case, 35 years old female Indonesia (Singapore Work Pass holder)  and has not been overseas. She is currently admitted at NUH . </v>
      </c>
      <c r="M214" t="str">
        <f t="shared" si="22"/>
        <v/>
      </c>
      <c r="N214" t="str">
        <f t="shared" si="23"/>
        <v/>
      </c>
      <c r="O214" t="str">
        <f t="shared" si="17"/>
        <v/>
      </c>
      <c r="P214" t="str">
        <f t="shared" si="18"/>
        <v/>
      </c>
    </row>
    <row r="215" spans="1:16" x14ac:dyDescent="0.3">
      <c r="A215">
        <v>480</v>
      </c>
      <c r="B215" s="24">
        <v>43912</v>
      </c>
      <c r="C215" t="s">
        <v>1058</v>
      </c>
      <c r="D215">
        <v>52</v>
      </c>
      <c r="E215" t="s">
        <v>1073</v>
      </c>
      <c r="F215" t="s">
        <v>1060</v>
      </c>
      <c r="H215" t="s">
        <v>1061</v>
      </c>
      <c r="J215" t="str">
        <f t="shared" si="19"/>
        <v>Female</v>
      </c>
      <c r="K215" t="str">
        <f t="shared" si="20"/>
        <v>Singaporean</v>
      </c>
      <c r="L215" t="str">
        <f t="shared" si="21"/>
        <v xml:space="preserve">Case 480 is a Local unlinked case, 52 years old female Singapore Citizen  and has not been overseas. She is currently admitted at KTPH . </v>
      </c>
      <c r="M215" t="str">
        <f t="shared" si="22"/>
        <v/>
      </c>
      <c r="N215" t="str">
        <f t="shared" si="23"/>
        <v/>
      </c>
      <c r="O215" t="str">
        <f t="shared" si="17"/>
        <v/>
      </c>
      <c r="P215" t="str">
        <f t="shared" si="18"/>
        <v/>
      </c>
    </row>
    <row r="216" spans="1:16" x14ac:dyDescent="0.3">
      <c r="A216">
        <v>481</v>
      </c>
      <c r="B216" s="24">
        <v>43912</v>
      </c>
      <c r="C216" t="s">
        <v>1071</v>
      </c>
      <c r="D216">
        <v>37</v>
      </c>
      <c r="E216" t="s">
        <v>1073</v>
      </c>
      <c r="F216" t="s">
        <v>1072</v>
      </c>
      <c r="G216" t="s">
        <v>1063</v>
      </c>
      <c r="H216" t="s">
        <v>1069</v>
      </c>
      <c r="I216" t="s">
        <v>1213</v>
      </c>
      <c r="J216" t="str">
        <f t="shared" si="19"/>
        <v>Female</v>
      </c>
      <c r="K216" t="str">
        <f t="shared" si="20"/>
        <v>Singaporean</v>
      </c>
      <c r="L216" t="str">
        <f t="shared" si="21"/>
        <v>Case 481 is a Imported  case, 37 years old female Singapore Permanent Resident  and has been to UK . She is currently admitted at NCID . Family member of Case 440</v>
      </c>
      <c r="M216">
        <f t="shared" si="22"/>
        <v>481</v>
      </c>
      <c r="N216" t="str">
        <f t="shared" si="23"/>
        <v xml:space="preserve">UK </v>
      </c>
      <c r="O216">
        <f t="shared" si="17"/>
        <v>481</v>
      </c>
      <c r="P216" t="str">
        <f t="shared" si="18"/>
        <v>Family member of Case 440</v>
      </c>
    </row>
    <row r="217" spans="1:16" x14ac:dyDescent="0.3">
      <c r="A217">
        <v>482</v>
      </c>
      <c r="B217" s="24">
        <v>43912</v>
      </c>
      <c r="C217" t="s">
        <v>1071</v>
      </c>
      <c r="D217">
        <v>35</v>
      </c>
      <c r="E217" t="s">
        <v>1059</v>
      </c>
      <c r="F217" t="s">
        <v>1060</v>
      </c>
      <c r="G217" t="s">
        <v>1085</v>
      </c>
      <c r="H217" t="s">
        <v>77</v>
      </c>
      <c r="J217" t="str">
        <f t="shared" si="19"/>
        <v>Male</v>
      </c>
      <c r="K217" t="str">
        <f t="shared" si="20"/>
        <v>Singaporean</v>
      </c>
      <c r="L217" t="str">
        <f t="shared" si="21"/>
        <v xml:space="preserve">Case 482 is a Imported case, 35 years old male Singapore Citizen  and has been to US . He is currently admitted at NCID . </v>
      </c>
      <c r="M217">
        <f t="shared" si="22"/>
        <v>482</v>
      </c>
      <c r="N217" t="str">
        <f t="shared" si="23"/>
        <v xml:space="preserve">US </v>
      </c>
      <c r="O217" t="str">
        <f t="shared" si="17"/>
        <v/>
      </c>
      <c r="P217" t="str">
        <f t="shared" si="18"/>
        <v/>
      </c>
    </row>
    <row r="218" spans="1:16" x14ac:dyDescent="0.3">
      <c r="A218">
        <v>483</v>
      </c>
      <c r="B218" s="24">
        <v>43912</v>
      </c>
      <c r="C218" t="s">
        <v>1071</v>
      </c>
      <c r="D218">
        <v>28</v>
      </c>
      <c r="E218" t="s">
        <v>1073</v>
      </c>
      <c r="F218" t="s">
        <v>1060</v>
      </c>
      <c r="G218" t="s">
        <v>1085</v>
      </c>
      <c r="H218" t="s">
        <v>77</v>
      </c>
      <c r="J218" t="str">
        <f t="shared" si="19"/>
        <v>Female</v>
      </c>
      <c r="K218" t="str">
        <f t="shared" si="20"/>
        <v>Singaporean</v>
      </c>
      <c r="L218" t="str">
        <f t="shared" si="21"/>
        <v xml:space="preserve">Case 483 is a Imported case, 28 years old female Singapore Citizen  and has been to US . She is currently admitted at NCID . </v>
      </c>
      <c r="M218">
        <f t="shared" si="22"/>
        <v>483</v>
      </c>
      <c r="N218" t="str">
        <f t="shared" si="23"/>
        <v xml:space="preserve">US </v>
      </c>
      <c r="O218" t="str">
        <f t="shared" si="17"/>
        <v/>
      </c>
      <c r="P218" t="str">
        <f t="shared" si="18"/>
        <v/>
      </c>
    </row>
    <row r="219" spans="1:16" x14ac:dyDescent="0.3">
      <c r="A219">
        <v>484</v>
      </c>
      <c r="B219" s="24">
        <v>43912</v>
      </c>
      <c r="C219" t="s">
        <v>1071</v>
      </c>
      <c r="D219">
        <v>21</v>
      </c>
      <c r="E219" t="s">
        <v>1059</v>
      </c>
      <c r="F219" t="s">
        <v>1060</v>
      </c>
      <c r="G219" t="s">
        <v>1063</v>
      </c>
      <c r="H219" t="s">
        <v>77</v>
      </c>
      <c r="J219" t="str">
        <f t="shared" si="19"/>
        <v>Male</v>
      </c>
      <c r="K219" t="str">
        <f t="shared" si="20"/>
        <v>Singaporean</v>
      </c>
      <c r="L219" t="str">
        <f t="shared" si="21"/>
        <v xml:space="preserve">Case 484 is a Imported case, 21 years old male Singapore Citizen  and has been to UK . He is currently admitted at NCID . </v>
      </c>
      <c r="M219">
        <f t="shared" si="22"/>
        <v>484</v>
      </c>
      <c r="N219" t="str">
        <f t="shared" si="23"/>
        <v xml:space="preserve">UK </v>
      </c>
      <c r="O219" t="str">
        <f t="shared" si="17"/>
        <v/>
      </c>
      <c r="P219" t="str">
        <f t="shared" si="18"/>
        <v/>
      </c>
    </row>
    <row r="220" spans="1:16" x14ac:dyDescent="0.3">
      <c r="A220">
        <v>485</v>
      </c>
      <c r="B220" s="24">
        <v>43912</v>
      </c>
      <c r="C220" t="s">
        <v>1071</v>
      </c>
      <c r="D220">
        <v>20</v>
      </c>
      <c r="E220" t="s">
        <v>1059</v>
      </c>
      <c r="F220" t="s">
        <v>1060</v>
      </c>
      <c r="G220" t="s">
        <v>1063</v>
      </c>
      <c r="H220" t="s">
        <v>77</v>
      </c>
      <c r="J220" t="str">
        <f t="shared" si="19"/>
        <v>Male</v>
      </c>
      <c r="K220" t="str">
        <f t="shared" si="20"/>
        <v>Singaporean</v>
      </c>
      <c r="L220" t="str">
        <f t="shared" si="21"/>
        <v xml:space="preserve">Case 485 is a Imported case, 20 years old male Singapore Citizen  and has been to UK . He is currently admitted at NCID . </v>
      </c>
      <c r="M220">
        <f t="shared" si="22"/>
        <v>485</v>
      </c>
      <c r="N220" t="str">
        <f t="shared" si="23"/>
        <v xml:space="preserve">UK </v>
      </c>
      <c r="O220" t="str">
        <f t="shared" si="17"/>
        <v/>
      </c>
      <c r="P220" t="str">
        <f t="shared" si="18"/>
        <v/>
      </c>
    </row>
    <row r="221" spans="1:16" x14ac:dyDescent="0.3">
      <c r="A221">
        <v>486</v>
      </c>
      <c r="B221" s="24">
        <v>43912</v>
      </c>
      <c r="C221" t="s">
        <v>1071</v>
      </c>
      <c r="D221">
        <v>22</v>
      </c>
      <c r="E221" t="s">
        <v>1059</v>
      </c>
      <c r="F221" t="s">
        <v>1060</v>
      </c>
      <c r="G221" t="s">
        <v>1063</v>
      </c>
      <c r="H221" t="s">
        <v>77</v>
      </c>
      <c r="J221" t="str">
        <f t="shared" si="19"/>
        <v>Male</v>
      </c>
      <c r="K221" t="str">
        <f t="shared" si="20"/>
        <v>Singaporean</v>
      </c>
      <c r="L221" t="str">
        <f t="shared" si="21"/>
        <v xml:space="preserve">Case 486 is a Imported case, 22 years old male Singapore Citizen  and has been to UK . He is currently admitted at NCID . </v>
      </c>
      <c r="M221">
        <f t="shared" si="22"/>
        <v>486</v>
      </c>
      <c r="N221" t="str">
        <f t="shared" si="23"/>
        <v xml:space="preserve">UK </v>
      </c>
      <c r="O221" t="str">
        <f t="shared" si="17"/>
        <v/>
      </c>
      <c r="P221" t="str">
        <f t="shared" si="18"/>
        <v/>
      </c>
    </row>
    <row r="222" spans="1:16" x14ac:dyDescent="0.3">
      <c r="A222">
        <v>487</v>
      </c>
      <c r="B222" s="24">
        <v>43912</v>
      </c>
      <c r="C222" t="s">
        <v>1071</v>
      </c>
      <c r="D222">
        <v>72</v>
      </c>
      <c r="E222" t="s">
        <v>1059</v>
      </c>
      <c r="F222" t="s">
        <v>1060</v>
      </c>
      <c r="G222" t="s">
        <v>687</v>
      </c>
      <c r="H222" t="s">
        <v>77</v>
      </c>
      <c r="J222" t="str">
        <f t="shared" si="19"/>
        <v>Male</v>
      </c>
      <c r="K222" t="str">
        <f t="shared" si="20"/>
        <v>Singaporean</v>
      </c>
      <c r="L222" t="str">
        <f t="shared" si="21"/>
        <v xml:space="preserve">Case 487 is a Imported case, 72 years old male Singapore Citizen  and has been to Indonesia . He is currently admitted at NCID . </v>
      </c>
      <c r="M222">
        <f t="shared" si="22"/>
        <v>487</v>
      </c>
      <c r="N222" t="str">
        <f t="shared" si="23"/>
        <v xml:space="preserve">Indonesia </v>
      </c>
      <c r="O222" t="str">
        <f t="shared" si="17"/>
        <v/>
      </c>
      <c r="P222" t="str">
        <f t="shared" si="18"/>
        <v/>
      </c>
    </row>
    <row r="223" spans="1:16" x14ac:dyDescent="0.3">
      <c r="A223">
        <v>488</v>
      </c>
      <c r="B223" s="24">
        <v>43912</v>
      </c>
      <c r="C223" t="s">
        <v>1066</v>
      </c>
      <c r="D223">
        <v>36</v>
      </c>
      <c r="E223" t="s">
        <v>1059</v>
      </c>
      <c r="F223" t="s">
        <v>1060</v>
      </c>
      <c r="G223" t="s">
        <v>1063</v>
      </c>
      <c r="H223" t="s">
        <v>77</v>
      </c>
      <c r="J223" t="str">
        <f t="shared" si="19"/>
        <v>Male</v>
      </c>
      <c r="K223" t="str">
        <f t="shared" si="20"/>
        <v>Singaporean</v>
      </c>
      <c r="L223" t="str">
        <f t="shared" si="21"/>
        <v xml:space="preserve">Case 488 is a Imported case, 36 years old male Singapore Citizen  and has been to UK . He is currently admitted at SKH . </v>
      </c>
      <c r="M223">
        <f t="shared" si="22"/>
        <v>488</v>
      </c>
      <c r="N223" t="str">
        <f t="shared" si="23"/>
        <v xml:space="preserve">UK </v>
      </c>
      <c r="O223" t="str">
        <f t="shared" si="17"/>
        <v/>
      </c>
      <c r="P223" t="str">
        <f t="shared" si="18"/>
        <v/>
      </c>
    </row>
    <row r="224" spans="1:16" x14ac:dyDescent="0.3">
      <c r="A224">
        <v>489</v>
      </c>
      <c r="B224" s="24">
        <v>43912</v>
      </c>
      <c r="C224" t="s">
        <v>1071</v>
      </c>
      <c r="D224">
        <v>25</v>
      </c>
      <c r="E224" t="s">
        <v>1059</v>
      </c>
      <c r="F224" t="s">
        <v>1060</v>
      </c>
      <c r="G224" t="s">
        <v>1063</v>
      </c>
      <c r="H224" t="s">
        <v>77</v>
      </c>
      <c r="J224" t="str">
        <f t="shared" si="19"/>
        <v>Male</v>
      </c>
      <c r="K224" t="str">
        <f t="shared" si="20"/>
        <v>Singaporean</v>
      </c>
      <c r="L224" t="str">
        <f t="shared" si="21"/>
        <v xml:space="preserve">Case 489 is a Imported case, 25 years old male Singapore Citizen  and has been to UK . He is currently admitted at NCID . </v>
      </c>
      <c r="M224">
        <f t="shared" si="22"/>
        <v>489</v>
      </c>
      <c r="N224" t="str">
        <f t="shared" si="23"/>
        <v xml:space="preserve">UK </v>
      </c>
      <c r="O224" t="str">
        <f t="shared" si="17"/>
        <v/>
      </c>
      <c r="P224" t="str">
        <f t="shared" si="18"/>
        <v/>
      </c>
    </row>
    <row r="225" spans="1:16" x14ac:dyDescent="0.3">
      <c r="A225">
        <v>490</v>
      </c>
      <c r="B225" s="24">
        <v>43912</v>
      </c>
      <c r="C225" t="s">
        <v>1074</v>
      </c>
      <c r="D225">
        <v>36</v>
      </c>
      <c r="E225" t="s">
        <v>1059</v>
      </c>
      <c r="F225" t="s">
        <v>1060</v>
      </c>
      <c r="G225" t="s">
        <v>1214</v>
      </c>
      <c r="H225" t="s">
        <v>77</v>
      </c>
      <c r="J225" t="str">
        <f t="shared" si="19"/>
        <v>Male</v>
      </c>
      <c r="K225" t="str">
        <f t="shared" si="20"/>
        <v>Singaporean</v>
      </c>
      <c r="L225" t="str">
        <f t="shared" si="21"/>
        <v xml:space="preserve">Case 490 is a Imported case, 36 years old male Singapore Citizen  and has been to France, UK . He is currently admitted at AH . </v>
      </c>
      <c r="M225">
        <f t="shared" si="22"/>
        <v>490</v>
      </c>
      <c r="N225" t="str">
        <f t="shared" si="23"/>
        <v xml:space="preserve">France, UK </v>
      </c>
      <c r="O225" t="str">
        <f t="shared" si="17"/>
        <v/>
      </c>
      <c r="P225" t="str">
        <f t="shared" si="18"/>
        <v/>
      </c>
    </row>
    <row r="226" spans="1:16" x14ac:dyDescent="0.3">
      <c r="A226">
        <v>491</v>
      </c>
      <c r="B226" s="24">
        <v>43912</v>
      </c>
      <c r="C226" t="s">
        <v>1071</v>
      </c>
      <c r="D226">
        <v>22</v>
      </c>
      <c r="E226" t="s">
        <v>1059</v>
      </c>
      <c r="F226" t="s">
        <v>1060</v>
      </c>
      <c r="G226" t="s">
        <v>1063</v>
      </c>
      <c r="H226" t="s">
        <v>1069</v>
      </c>
      <c r="I226" t="s">
        <v>1215</v>
      </c>
      <c r="J226" t="str">
        <f t="shared" si="19"/>
        <v>Male</v>
      </c>
      <c r="K226" t="str">
        <f t="shared" si="20"/>
        <v>Singaporean</v>
      </c>
      <c r="L226" t="str">
        <f t="shared" si="21"/>
        <v>Case 491 is a Imported  case, 22 years old male Singapore Citizen  and has been to UK . He is currently admitted at NCID . Contact of Case 269</v>
      </c>
      <c r="M226">
        <f t="shared" si="22"/>
        <v>491</v>
      </c>
      <c r="N226" t="str">
        <f t="shared" si="23"/>
        <v xml:space="preserve">UK </v>
      </c>
      <c r="O226">
        <f t="shared" si="17"/>
        <v>491</v>
      </c>
      <c r="P226" t="str">
        <f t="shared" si="18"/>
        <v>Contact of Case 269</v>
      </c>
    </row>
    <row r="227" spans="1:16" x14ac:dyDescent="0.3">
      <c r="A227">
        <v>492</v>
      </c>
      <c r="B227" s="24">
        <v>43912</v>
      </c>
      <c r="C227" t="s">
        <v>1071</v>
      </c>
      <c r="D227">
        <v>24</v>
      </c>
      <c r="E227" t="s">
        <v>1073</v>
      </c>
      <c r="F227" t="s">
        <v>1195</v>
      </c>
      <c r="G227" t="s">
        <v>1063</v>
      </c>
      <c r="H227" t="s">
        <v>77</v>
      </c>
      <c r="J227" t="str">
        <f t="shared" si="19"/>
        <v>Female</v>
      </c>
      <c r="K227" t="str">
        <f t="shared" si="20"/>
        <v>India</v>
      </c>
      <c r="L227" t="str">
        <f t="shared" si="21"/>
        <v xml:space="preserve">Case 492 is a Imported case, 24 years old female India (Long Term Pass holder)  and has been to UK . She is currently admitted at NCID . </v>
      </c>
      <c r="M227">
        <f t="shared" si="22"/>
        <v>492</v>
      </c>
      <c r="N227" t="str">
        <f t="shared" si="23"/>
        <v xml:space="preserve">UK </v>
      </c>
      <c r="O227" t="str">
        <f t="shared" si="17"/>
        <v/>
      </c>
      <c r="P227" t="str">
        <f t="shared" si="18"/>
        <v/>
      </c>
    </row>
    <row r="228" spans="1:16" x14ac:dyDescent="0.3">
      <c r="A228">
        <v>493</v>
      </c>
      <c r="B228" s="24">
        <v>43912</v>
      </c>
      <c r="C228" t="s">
        <v>1071</v>
      </c>
      <c r="D228">
        <v>23</v>
      </c>
      <c r="E228" t="s">
        <v>1073</v>
      </c>
      <c r="F228" t="s">
        <v>1060</v>
      </c>
      <c r="G228" t="s">
        <v>1063</v>
      </c>
      <c r="H228" t="s">
        <v>77</v>
      </c>
      <c r="J228" t="str">
        <f t="shared" si="19"/>
        <v>Female</v>
      </c>
      <c r="K228" t="str">
        <f t="shared" si="20"/>
        <v>Singaporean</v>
      </c>
      <c r="L228" t="str">
        <f t="shared" si="21"/>
        <v xml:space="preserve">Case 493 is a Imported case, 23 years old female Singapore Citizen  and has been to UK . She is currently admitted at NCID . </v>
      </c>
      <c r="M228">
        <f t="shared" si="22"/>
        <v>493</v>
      </c>
      <c r="N228" t="str">
        <f t="shared" si="23"/>
        <v xml:space="preserve">UK </v>
      </c>
      <c r="O228" t="str">
        <f t="shared" si="17"/>
        <v/>
      </c>
      <c r="P228" t="str">
        <f t="shared" si="18"/>
        <v/>
      </c>
    </row>
    <row r="229" spans="1:16" x14ac:dyDescent="0.3">
      <c r="A229">
        <v>494</v>
      </c>
      <c r="B229" s="24">
        <v>43912</v>
      </c>
      <c r="C229" t="s">
        <v>1071</v>
      </c>
      <c r="D229">
        <v>24</v>
      </c>
      <c r="E229" t="s">
        <v>1059</v>
      </c>
      <c r="F229" t="s">
        <v>1060</v>
      </c>
      <c r="G229" t="s">
        <v>1050</v>
      </c>
      <c r="H229" t="s">
        <v>77</v>
      </c>
      <c r="J229" t="str">
        <f t="shared" si="19"/>
        <v>Male</v>
      </c>
      <c r="K229" t="str">
        <f t="shared" si="20"/>
        <v>Singaporean</v>
      </c>
      <c r="L229" t="str">
        <f t="shared" si="21"/>
        <v xml:space="preserve">Case 494 is a Imported case, 24 years old male Singapore Citizen  and has been to Sweden . He is currently admitted at NCID . </v>
      </c>
      <c r="M229">
        <f t="shared" si="22"/>
        <v>494</v>
      </c>
      <c r="N229" t="str">
        <f t="shared" si="23"/>
        <v xml:space="preserve">Sweden </v>
      </c>
      <c r="O229" t="str">
        <f t="shared" si="17"/>
        <v/>
      </c>
      <c r="P229" t="str">
        <f t="shared" si="18"/>
        <v/>
      </c>
    </row>
    <row r="230" spans="1:16" x14ac:dyDescent="0.3">
      <c r="A230">
        <v>495</v>
      </c>
      <c r="B230" s="24">
        <v>43912</v>
      </c>
      <c r="C230" t="s">
        <v>1071</v>
      </c>
      <c r="D230">
        <v>29</v>
      </c>
      <c r="E230" t="s">
        <v>1073</v>
      </c>
      <c r="F230" t="s">
        <v>1060</v>
      </c>
      <c r="G230" t="s">
        <v>1063</v>
      </c>
      <c r="H230" t="s">
        <v>1069</v>
      </c>
      <c r="I230" t="s">
        <v>1216</v>
      </c>
      <c r="J230" t="str">
        <f t="shared" si="19"/>
        <v>Female</v>
      </c>
      <c r="K230" t="str">
        <f t="shared" si="20"/>
        <v>Singaporean</v>
      </c>
      <c r="L230" t="str">
        <f t="shared" si="21"/>
        <v>Case 495 is a Imported  case, 29 years old female Singapore Citizen  and has been to UK . She is currently admitted at NCID . Family member of Case 468</v>
      </c>
      <c r="M230">
        <f t="shared" si="22"/>
        <v>495</v>
      </c>
      <c r="N230" t="str">
        <f t="shared" si="23"/>
        <v xml:space="preserve">UK </v>
      </c>
      <c r="O230">
        <f t="shared" si="17"/>
        <v>495</v>
      </c>
      <c r="P230" t="str">
        <f t="shared" si="18"/>
        <v>Family member of Case 468</v>
      </c>
    </row>
    <row r="231" spans="1:16" x14ac:dyDescent="0.3">
      <c r="A231">
        <v>496</v>
      </c>
      <c r="B231" s="24">
        <v>43912</v>
      </c>
      <c r="C231" t="s">
        <v>1071</v>
      </c>
      <c r="D231">
        <v>21</v>
      </c>
      <c r="E231" t="s">
        <v>1073</v>
      </c>
      <c r="F231" t="s">
        <v>1060</v>
      </c>
      <c r="G231" t="s">
        <v>1063</v>
      </c>
      <c r="H231" t="s">
        <v>77</v>
      </c>
      <c r="J231" t="str">
        <f t="shared" si="19"/>
        <v>Female</v>
      </c>
      <c r="K231" t="str">
        <f t="shared" si="20"/>
        <v>Singaporean</v>
      </c>
      <c r="L231" t="str">
        <f t="shared" si="21"/>
        <v xml:space="preserve">Case 496 is a Imported case, 21 years old female Singapore Citizen  and has been to UK . She is currently admitted at NCID . </v>
      </c>
      <c r="M231">
        <f t="shared" si="22"/>
        <v>496</v>
      </c>
      <c r="N231" t="str">
        <f t="shared" si="23"/>
        <v xml:space="preserve">UK </v>
      </c>
      <c r="O231" t="str">
        <f t="shared" si="17"/>
        <v/>
      </c>
      <c r="P231" t="str">
        <f t="shared" si="18"/>
        <v/>
      </c>
    </row>
    <row r="232" spans="1:16" x14ac:dyDescent="0.3">
      <c r="A232">
        <v>497</v>
      </c>
      <c r="B232" s="24">
        <v>43912</v>
      </c>
      <c r="C232" t="s">
        <v>1071</v>
      </c>
      <c r="D232">
        <v>63</v>
      </c>
      <c r="E232" t="s">
        <v>1073</v>
      </c>
      <c r="F232" t="s">
        <v>1060</v>
      </c>
      <c r="G232" t="s">
        <v>1063</v>
      </c>
      <c r="H232" t="s">
        <v>77</v>
      </c>
      <c r="J232" t="str">
        <f t="shared" si="19"/>
        <v>Female</v>
      </c>
      <c r="K232" t="str">
        <f t="shared" si="20"/>
        <v>Singaporean</v>
      </c>
      <c r="L232" t="str">
        <f t="shared" si="21"/>
        <v xml:space="preserve">Case 497 is a Imported case, 63 years old female Singapore Citizen  and has been to UK . She is currently admitted at NCID . </v>
      </c>
      <c r="M232">
        <f t="shared" si="22"/>
        <v>497</v>
      </c>
      <c r="N232" t="str">
        <f t="shared" si="23"/>
        <v xml:space="preserve">UK </v>
      </c>
      <c r="O232" t="str">
        <f t="shared" si="17"/>
        <v/>
      </c>
      <c r="P232" t="str">
        <f t="shared" si="18"/>
        <v/>
      </c>
    </row>
    <row r="233" spans="1:16" x14ac:dyDescent="0.3">
      <c r="A233">
        <v>498</v>
      </c>
      <c r="B233" s="24">
        <v>43912</v>
      </c>
      <c r="C233" t="s">
        <v>1071</v>
      </c>
      <c r="D233">
        <v>22</v>
      </c>
      <c r="E233" t="s">
        <v>1073</v>
      </c>
      <c r="F233" t="s">
        <v>1060</v>
      </c>
      <c r="G233" t="s">
        <v>1063</v>
      </c>
      <c r="H233" t="s">
        <v>77</v>
      </c>
      <c r="J233" t="str">
        <f t="shared" si="19"/>
        <v>Female</v>
      </c>
      <c r="K233" t="str">
        <f t="shared" si="20"/>
        <v>Singaporean</v>
      </c>
      <c r="L233" t="str">
        <f t="shared" si="21"/>
        <v xml:space="preserve">Case 498 is a Imported case, 22 years old female Singapore Citizen  and has been to UK . She is currently admitted at NCID . </v>
      </c>
      <c r="M233">
        <f t="shared" si="22"/>
        <v>498</v>
      </c>
      <c r="N233" t="str">
        <f t="shared" si="23"/>
        <v xml:space="preserve">UK </v>
      </c>
      <c r="O233" t="str">
        <f t="shared" si="17"/>
        <v/>
      </c>
      <c r="P233" t="str">
        <f t="shared" si="18"/>
        <v/>
      </c>
    </row>
    <row r="234" spans="1:16" x14ac:dyDescent="0.3">
      <c r="A234">
        <v>499</v>
      </c>
      <c r="B234" s="24">
        <v>43912</v>
      </c>
      <c r="C234" t="s">
        <v>1071</v>
      </c>
      <c r="D234">
        <v>27</v>
      </c>
      <c r="E234" t="s">
        <v>1073</v>
      </c>
      <c r="F234" t="s">
        <v>1060</v>
      </c>
      <c r="G234" t="s">
        <v>1085</v>
      </c>
      <c r="H234" t="s">
        <v>77</v>
      </c>
      <c r="J234" t="str">
        <f t="shared" si="19"/>
        <v>Female</v>
      </c>
      <c r="K234" t="str">
        <f t="shared" si="20"/>
        <v>Singaporean</v>
      </c>
      <c r="L234" t="str">
        <f t="shared" si="21"/>
        <v xml:space="preserve">Case 499 is a Imported case, 27 years old female Singapore Citizen  and has been to US . She is currently admitted at NCID . </v>
      </c>
      <c r="M234">
        <f t="shared" si="22"/>
        <v>499</v>
      </c>
      <c r="N234" t="str">
        <f t="shared" si="23"/>
        <v xml:space="preserve">US </v>
      </c>
      <c r="O234" t="str">
        <f t="shared" si="17"/>
        <v/>
      </c>
      <c r="P234" t="str">
        <f t="shared" si="18"/>
        <v/>
      </c>
    </row>
    <row r="235" spans="1:16" x14ac:dyDescent="0.3">
      <c r="A235">
        <v>500</v>
      </c>
      <c r="B235" s="24">
        <v>43912</v>
      </c>
      <c r="C235" t="s">
        <v>1071</v>
      </c>
      <c r="D235">
        <v>24</v>
      </c>
      <c r="E235" t="s">
        <v>1059</v>
      </c>
      <c r="F235" t="s">
        <v>1060</v>
      </c>
      <c r="G235" t="s">
        <v>1217</v>
      </c>
      <c r="H235" t="s">
        <v>77</v>
      </c>
      <c r="J235" t="str">
        <f t="shared" si="19"/>
        <v>Male</v>
      </c>
      <c r="K235" t="str">
        <f t="shared" si="20"/>
        <v>Singaporean</v>
      </c>
      <c r="L235" t="str">
        <f t="shared" si="21"/>
        <v xml:space="preserve">Case 500 is a Imported case, 24 years old male Singapore Citizen  and has been to Switzerland, Iceland . He is currently admitted at NCID . </v>
      </c>
      <c r="M235">
        <f t="shared" si="22"/>
        <v>500</v>
      </c>
      <c r="N235" t="str">
        <f t="shared" si="23"/>
        <v xml:space="preserve">Switzerland, Iceland </v>
      </c>
      <c r="O235" t="str">
        <f t="shared" si="17"/>
        <v/>
      </c>
      <c r="P235" t="str">
        <f t="shared" si="18"/>
        <v/>
      </c>
    </row>
    <row r="236" spans="1:16" x14ac:dyDescent="0.3">
      <c r="A236">
        <v>501</v>
      </c>
      <c r="B236" s="24">
        <v>43912</v>
      </c>
      <c r="C236" t="s">
        <v>1071</v>
      </c>
      <c r="D236">
        <v>65</v>
      </c>
      <c r="E236" t="s">
        <v>1059</v>
      </c>
      <c r="F236" t="s">
        <v>1060</v>
      </c>
      <c r="G236" t="s">
        <v>1063</v>
      </c>
      <c r="H236" t="s">
        <v>77</v>
      </c>
      <c r="J236" t="str">
        <f t="shared" si="19"/>
        <v>Male</v>
      </c>
      <c r="K236" t="str">
        <f t="shared" si="20"/>
        <v>Singaporean</v>
      </c>
      <c r="L236" t="str">
        <f t="shared" si="21"/>
        <v xml:space="preserve">Case 501 is a Imported case, 65 years old male Singapore Citizen  and has been to UK . He is currently admitted at NCID . </v>
      </c>
      <c r="M236">
        <f t="shared" si="22"/>
        <v>501</v>
      </c>
      <c r="N236" t="str">
        <f t="shared" si="23"/>
        <v xml:space="preserve">UK </v>
      </c>
      <c r="O236" t="str">
        <f t="shared" si="17"/>
        <v/>
      </c>
      <c r="P236" t="str">
        <f t="shared" si="18"/>
        <v/>
      </c>
    </row>
    <row r="237" spans="1:16" x14ac:dyDescent="0.3">
      <c r="A237">
        <v>502</v>
      </c>
      <c r="B237" s="24">
        <v>43912</v>
      </c>
      <c r="C237" t="s">
        <v>1071</v>
      </c>
      <c r="D237">
        <v>74</v>
      </c>
      <c r="E237" t="s">
        <v>1073</v>
      </c>
      <c r="F237" t="s">
        <v>1195</v>
      </c>
      <c r="G237" t="s">
        <v>1063</v>
      </c>
      <c r="H237" t="s">
        <v>77</v>
      </c>
      <c r="J237" t="str">
        <f t="shared" si="19"/>
        <v>Female</v>
      </c>
      <c r="K237" t="str">
        <f t="shared" si="20"/>
        <v>India</v>
      </c>
      <c r="L237" t="str">
        <f t="shared" si="21"/>
        <v xml:space="preserve">Case 502 is a Imported case, 74 years old female India (Long Term Pass holder)  and has been to UK . She is currently admitted at NCID . </v>
      </c>
      <c r="M237">
        <f t="shared" si="22"/>
        <v>502</v>
      </c>
      <c r="N237" t="str">
        <f t="shared" si="23"/>
        <v xml:space="preserve">UK </v>
      </c>
      <c r="O237" t="str">
        <f t="shared" si="17"/>
        <v/>
      </c>
      <c r="P237" t="str">
        <f t="shared" si="18"/>
        <v/>
      </c>
    </row>
    <row r="238" spans="1:16" x14ac:dyDescent="0.3">
      <c r="A238">
        <v>503</v>
      </c>
      <c r="B238" s="24">
        <v>43912</v>
      </c>
      <c r="C238" t="s">
        <v>1071</v>
      </c>
      <c r="D238">
        <v>26</v>
      </c>
      <c r="E238" t="s">
        <v>1059</v>
      </c>
      <c r="F238" t="s">
        <v>1060</v>
      </c>
      <c r="G238" t="s">
        <v>1063</v>
      </c>
      <c r="H238" t="s">
        <v>77</v>
      </c>
      <c r="J238" t="str">
        <f t="shared" si="19"/>
        <v>Male</v>
      </c>
      <c r="K238" t="str">
        <f t="shared" si="20"/>
        <v>Singaporean</v>
      </c>
      <c r="L238" t="str">
        <f t="shared" si="21"/>
        <v xml:space="preserve">Case 503 is a Imported case, 26 years old male Singapore Citizen  and has been to UK . He is currently admitted at NCID . </v>
      </c>
      <c r="M238">
        <f t="shared" si="22"/>
        <v>503</v>
      </c>
      <c r="N238" t="str">
        <f t="shared" si="23"/>
        <v xml:space="preserve">UK </v>
      </c>
      <c r="O238" t="str">
        <f t="shared" si="17"/>
        <v/>
      </c>
      <c r="P238" t="str">
        <f t="shared" si="18"/>
        <v/>
      </c>
    </row>
    <row r="239" spans="1:16" x14ac:dyDescent="0.3">
      <c r="A239">
        <v>504</v>
      </c>
      <c r="B239" s="24">
        <v>43913</v>
      </c>
      <c r="C239" t="s">
        <v>1071</v>
      </c>
      <c r="D239">
        <v>32</v>
      </c>
      <c r="E239" t="s">
        <v>1073</v>
      </c>
      <c r="F239" t="s">
        <v>1060</v>
      </c>
      <c r="G239" t="s">
        <v>1218</v>
      </c>
      <c r="H239" t="s">
        <v>77</v>
      </c>
      <c r="J239" t="str">
        <f t="shared" si="19"/>
        <v>Female</v>
      </c>
      <c r="K239" t="str">
        <f t="shared" si="20"/>
        <v>Singaporean</v>
      </c>
      <c r="L239" t="str">
        <f t="shared" si="21"/>
        <v xml:space="preserve">Case 504 is a Imported case, 32 years old female Singapore Citizen  and has been to Netherlands, UK . She is currently admitted at NCID . </v>
      </c>
      <c r="M239">
        <f t="shared" si="22"/>
        <v>504</v>
      </c>
      <c r="N239" t="str">
        <f t="shared" si="23"/>
        <v xml:space="preserve">Netherlands, UK </v>
      </c>
      <c r="O239" t="str">
        <f t="shared" si="17"/>
        <v/>
      </c>
      <c r="P239" t="str">
        <f t="shared" si="18"/>
        <v/>
      </c>
    </row>
    <row r="240" spans="1:16" x14ac:dyDescent="0.3">
      <c r="A240">
        <v>505</v>
      </c>
      <c r="B240" s="24">
        <v>43913</v>
      </c>
      <c r="C240" t="s">
        <v>1071</v>
      </c>
      <c r="D240">
        <v>24</v>
      </c>
      <c r="E240" t="s">
        <v>1059</v>
      </c>
      <c r="F240" t="s">
        <v>1060</v>
      </c>
      <c r="G240" t="s">
        <v>1063</v>
      </c>
      <c r="H240" t="s">
        <v>77</v>
      </c>
      <c r="J240" t="str">
        <f t="shared" si="19"/>
        <v>Male</v>
      </c>
      <c r="K240" t="str">
        <f t="shared" si="20"/>
        <v>Singaporean</v>
      </c>
      <c r="L240" t="str">
        <f t="shared" si="21"/>
        <v xml:space="preserve">Case 505 is a Imported case, 24 years old male Singapore Citizen  and has been to UK . He is currently admitted at NCID . </v>
      </c>
      <c r="M240">
        <f t="shared" si="22"/>
        <v>505</v>
      </c>
      <c r="N240" t="str">
        <f t="shared" si="23"/>
        <v xml:space="preserve">UK </v>
      </c>
      <c r="O240" t="str">
        <f t="shared" si="17"/>
        <v/>
      </c>
      <c r="P240" t="str">
        <f t="shared" si="18"/>
        <v/>
      </c>
    </row>
    <row r="241" spans="1:16" x14ac:dyDescent="0.3">
      <c r="A241">
        <v>506</v>
      </c>
      <c r="B241" s="24">
        <v>43913</v>
      </c>
      <c r="C241" t="s">
        <v>1071</v>
      </c>
      <c r="D241">
        <v>49</v>
      </c>
      <c r="E241" t="s">
        <v>1059</v>
      </c>
      <c r="F241" t="s">
        <v>1219</v>
      </c>
      <c r="G241" t="s">
        <v>1214</v>
      </c>
      <c r="H241" t="s">
        <v>77</v>
      </c>
      <c r="J241" t="str">
        <f t="shared" si="19"/>
        <v>Male</v>
      </c>
      <c r="K241" t="str">
        <f t="shared" si="20"/>
        <v>Australia</v>
      </c>
      <c r="L241" t="str">
        <f t="shared" si="21"/>
        <v xml:space="preserve">Case 506 is a Imported case, 49 years old male Australia (Singapore Work Pass holder)  and has been to France, UK . He is currently admitted at NCID . </v>
      </c>
      <c r="M241">
        <f t="shared" si="22"/>
        <v>506</v>
      </c>
      <c r="N241" t="str">
        <f t="shared" si="23"/>
        <v xml:space="preserve">France, UK </v>
      </c>
      <c r="O241" t="str">
        <f t="shared" si="17"/>
        <v/>
      </c>
      <c r="P241" t="str">
        <f t="shared" si="18"/>
        <v/>
      </c>
    </row>
    <row r="242" spans="1:16" x14ac:dyDescent="0.3">
      <c r="A242">
        <v>507</v>
      </c>
      <c r="B242" s="24">
        <v>43913</v>
      </c>
      <c r="C242" t="s">
        <v>1071</v>
      </c>
      <c r="D242">
        <v>29</v>
      </c>
      <c r="E242" t="s">
        <v>1073</v>
      </c>
      <c r="F242" t="s">
        <v>1060</v>
      </c>
      <c r="G242" t="s">
        <v>1063</v>
      </c>
      <c r="H242" t="s">
        <v>77</v>
      </c>
      <c r="J242" t="str">
        <f t="shared" si="19"/>
        <v>Female</v>
      </c>
      <c r="K242" t="str">
        <f t="shared" si="20"/>
        <v>Singaporean</v>
      </c>
      <c r="L242" t="str">
        <f t="shared" si="21"/>
        <v xml:space="preserve">Case 507 is a Imported case, 29 years old female Singapore Citizen  and has been to UK . She is currently admitted at NCID . </v>
      </c>
      <c r="M242">
        <f t="shared" si="22"/>
        <v>507</v>
      </c>
      <c r="N242" t="str">
        <f t="shared" si="23"/>
        <v xml:space="preserve">UK </v>
      </c>
      <c r="O242" t="str">
        <f t="shared" si="17"/>
        <v/>
      </c>
      <c r="P242" t="str">
        <f t="shared" si="18"/>
        <v/>
      </c>
    </row>
    <row r="243" spans="1:16" x14ac:dyDescent="0.3">
      <c r="A243">
        <v>508</v>
      </c>
      <c r="B243" s="24">
        <v>43913</v>
      </c>
      <c r="C243" t="s">
        <v>1071</v>
      </c>
      <c r="D243">
        <v>23</v>
      </c>
      <c r="E243" t="s">
        <v>1059</v>
      </c>
      <c r="F243" t="s">
        <v>1060</v>
      </c>
      <c r="G243" t="s">
        <v>1063</v>
      </c>
      <c r="H243" t="s">
        <v>77</v>
      </c>
      <c r="J243" t="str">
        <f t="shared" si="19"/>
        <v>Male</v>
      </c>
      <c r="K243" t="str">
        <f t="shared" si="20"/>
        <v>Singaporean</v>
      </c>
      <c r="L243" t="str">
        <f t="shared" si="21"/>
        <v xml:space="preserve">Case 508 is a Imported case, 23 years old male Singapore Citizen  and has been to UK . He is currently admitted at NCID . </v>
      </c>
      <c r="M243">
        <f t="shared" si="22"/>
        <v>508</v>
      </c>
      <c r="N243" t="str">
        <f t="shared" si="23"/>
        <v xml:space="preserve">UK </v>
      </c>
      <c r="O243" t="str">
        <f t="shared" si="17"/>
        <v/>
      </c>
      <c r="P243" t="str">
        <f t="shared" si="18"/>
        <v/>
      </c>
    </row>
    <row r="244" spans="1:16" x14ac:dyDescent="0.3">
      <c r="A244">
        <v>509</v>
      </c>
      <c r="B244" s="24">
        <v>43913</v>
      </c>
      <c r="C244" t="s">
        <v>1071</v>
      </c>
      <c r="D244">
        <v>53</v>
      </c>
      <c r="E244" t="s">
        <v>1059</v>
      </c>
      <c r="F244" t="s">
        <v>1060</v>
      </c>
      <c r="G244" t="s">
        <v>687</v>
      </c>
      <c r="H244" t="s">
        <v>1069</v>
      </c>
      <c r="I244" t="s">
        <v>946</v>
      </c>
      <c r="J244" t="str">
        <f t="shared" si="19"/>
        <v>Male</v>
      </c>
      <c r="K244" t="str">
        <f t="shared" si="20"/>
        <v>Singaporean</v>
      </c>
      <c r="L244" t="str">
        <f t="shared" si="21"/>
        <v>Case 509 is a Imported  case, 53 years old male Singapore Citizen  and has been to Indonesia . He is currently admitted at NCID . Contact of Case 212</v>
      </c>
      <c r="M244">
        <f t="shared" si="22"/>
        <v>509</v>
      </c>
      <c r="N244" t="str">
        <f t="shared" si="23"/>
        <v xml:space="preserve">Indonesia </v>
      </c>
      <c r="O244">
        <f>IF(I244="","",A244)</f>
        <v>509</v>
      </c>
      <c r="P244" t="str">
        <f t="shared" si="23"/>
        <v>Contact of Case 212</v>
      </c>
    </row>
  </sheetData>
  <hyperlinks>
    <hyperlink ref="C2" location="_ftn1" display="_ftn1" xr:uid="{033E711A-2C7D-42C2-BB49-E3BA03CE4C1F}"/>
    <hyperlink ref="C8" location="_ftn4" display="_ftn4" xr:uid="{59A6881D-B189-4FB9-9A49-AE88592D2C5E}"/>
    <hyperlink ref="C12" location="_ftn5" display="_ftn5" xr:uid="{00DFA81A-087B-487F-BC40-743BD2F65151}"/>
  </hyperlink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A23B13-1047-4F37-B28B-A0F23A27BF16}">
  <sheetPr codeName="Sheet6"/>
  <dimension ref="A1:B130"/>
  <sheetViews>
    <sheetView topLeftCell="A127" workbookViewId="0">
      <selection activeCell="B130" sqref="A130:B130"/>
    </sheetView>
  </sheetViews>
  <sheetFormatPr defaultRowHeight="14.4" x14ac:dyDescent="0.3"/>
  <cols>
    <col min="1" max="1" width="4.88671875" bestFit="1" customWidth="1"/>
    <col min="2" max="2" width="53.5546875" bestFit="1" customWidth="1"/>
  </cols>
  <sheetData>
    <row r="1" spans="1:2" x14ac:dyDescent="0.3">
      <c r="A1" s="1" t="s">
        <v>0</v>
      </c>
      <c r="B1" s="1" t="s">
        <v>18</v>
      </c>
    </row>
    <row r="2" spans="1:2" x14ac:dyDescent="0.3">
      <c r="A2" s="1">
        <v>8</v>
      </c>
      <c r="B2" s="1" t="s">
        <v>17</v>
      </c>
    </row>
    <row r="3" spans="1:2" x14ac:dyDescent="0.3">
      <c r="A3" s="1">
        <v>9</v>
      </c>
      <c r="B3" s="1" t="s">
        <v>17</v>
      </c>
    </row>
    <row r="4" spans="1:2" x14ac:dyDescent="0.3">
      <c r="A4" s="1">
        <v>19</v>
      </c>
      <c r="B4" s="1" t="s">
        <v>19</v>
      </c>
    </row>
    <row r="5" spans="1:2" x14ac:dyDescent="0.3">
      <c r="A5" s="1">
        <v>20</v>
      </c>
      <c r="B5" s="1" t="s">
        <v>19</v>
      </c>
    </row>
    <row r="6" spans="1:2" x14ac:dyDescent="0.3">
      <c r="A6" s="1">
        <v>21</v>
      </c>
      <c r="B6" s="1" t="s">
        <v>19</v>
      </c>
    </row>
    <row r="7" spans="1:2" x14ac:dyDescent="0.3">
      <c r="A7" s="22">
        <v>24</v>
      </c>
      <c r="B7" s="1" t="s">
        <v>19</v>
      </c>
    </row>
    <row r="8" spans="1:2" x14ac:dyDescent="0.3">
      <c r="A8" s="1">
        <v>25</v>
      </c>
      <c r="B8" s="1" t="s">
        <v>19</v>
      </c>
    </row>
    <row r="9" spans="1:2" x14ac:dyDescent="0.3">
      <c r="A9" s="1">
        <v>27</v>
      </c>
      <c r="B9" s="1" t="s">
        <v>19</v>
      </c>
    </row>
    <row r="10" spans="1:2" x14ac:dyDescent="0.3">
      <c r="A10" s="1">
        <v>28</v>
      </c>
      <c r="B10" s="1" t="s">
        <v>19</v>
      </c>
    </row>
    <row r="11" spans="1:2" x14ac:dyDescent="0.3">
      <c r="A11" s="1">
        <v>30</v>
      </c>
      <c r="B11" s="1" t="s">
        <v>20</v>
      </c>
    </row>
    <row r="12" spans="1:2" x14ac:dyDescent="0.3">
      <c r="A12" s="1">
        <v>31</v>
      </c>
      <c r="B12" s="1" t="s">
        <v>17</v>
      </c>
    </row>
    <row r="13" spans="1:2" x14ac:dyDescent="0.3">
      <c r="A13" s="1">
        <v>33</v>
      </c>
      <c r="B13" s="1" t="s">
        <v>17</v>
      </c>
    </row>
    <row r="14" spans="1:2" x14ac:dyDescent="0.3">
      <c r="A14" s="1">
        <v>34</v>
      </c>
      <c r="B14" s="1" t="s">
        <v>19</v>
      </c>
    </row>
    <row r="15" spans="1:2" x14ac:dyDescent="0.3">
      <c r="A15" s="1">
        <v>36</v>
      </c>
      <c r="B15" s="1" t="s">
        <v>20</v>
      </c>
    </row>
    <row r="16" spans="1:2" x14ac:dyDescent="0.3">
      <c r="A16" s="1">
        <v>38</v>
      </c>
      <c r="B16" s="1" t="s">
        <v>17</v>
      </c>
    </row>
    <row r="17" spans="1:2" x14ac:dyDescent="0.3">
      <c r="A17" s="1">
        <v>39</v>
      </c>
      <c r="B17" s="1" t="s">
        <v>20</v>
      </c>
    </row>
    <row r="18" spans="1:2" x14ac:dyDescent="0.3">
      <c r="A18" s="1">
        <v>40</v>
      </c>
      <c r="B18" s="1" t="s">
        <v>19</v>
      </c>
    </row>
    <row r="19" spans="1:2" x14ac:dyDescent="0.3">
      <c r="A19" s="1">
        <v>42</v>
      </c>
      <c r="B19" s="1" t="s">
        <v>28</v>
      </c>
    </row>
    <row r="20" spans="1:2" x14ac:dyDescent="0.3">
      <c r="A20" s="1">
        <v>47</v>
      </c>
      <c r="B20" s="1" t="s">
        <v>28</v>
      </c>
    </row>
    <row r="21" spans="1:2" x14ac:dyDescent="0.3">
      <c r="A21" s="6">
        <v>48</v>
      </c>
      <c r="B21" s="1" t="s">
        <v>82</v>
      </c>
    </row>
    <row r="22" spans="1:2" x14ac:dyDescent="0.3">
      <c r="A22" s="6">
        <v>49</v>
      </c>
      <c r="B22" s="1" t="s">
        <v>82</v>
      </c>
    </row>
    <row r="23" spans="1:2" x14ac:dyDescent="0.3">
      <c r="A23" s="6">
        <v>51</v>
      </c>
      <c r="B23" s="1" t="s">
        <v>82</v>
      </c>
    </row>
    <row r="24" spans="1:2" x14ac:dyDescent="0.3">
      <c r="A24" s="6">
        <v>52</v>
      </c>
      <c r="B24" s="1" t="s">
        <v>28</v>
      </c>
    </row>
    <row r="25" spans="1:2" x14ac:dyDescent="0.3">
      <c r="A25" s="6">
        <v>53</v>
      </c>
      <c r="B25" s="1" t="s">
        <v>82</v>
      </c>
    </row>
    <row r="26" spans="1:2" x14ac:dyDescent="0.3">
      <c r="A26" s="6">
        <v>54</v>
      </c>
      <c r="B26" s="1" t="s">
        <v>82</v>
      </c>
    </row>
    <row r="27" spans="1:2" x14ac:dyDescent="0.3">
      <c r="A27" s="6">
        <v>56</v>
      </c>
      <c r="B27" s="1" t="s">
        <v>28</v>
      </c>
    </row>
    <row r="28" spans="1:2" x14ac:dyDescent="0.3">
      <c r="A28" s="6">
        <v>57</v>
      </c>
      <c r="B28" s="1" t="s">
        <v>82</v>
      </c>
    </row>
    <row r="29" spans="1:2" x14ac:dyDescent="0.3">
      <c r="A29" s="6">
        <v>58</v>
      </c>
      <c r="B29" s="1" t="s">
        <v>82</v>
      </c>
    </row>
    <row r="30" spans="1:2" x14ac:dyDescent="0.3">
      <c r="A30" s="6">
        <v>60</v>
      </c>
      <c r="B30" s="1" t="s">
        <v>82</v>
      </c>
    </row>
    <row r="31" spans="1:2" x14ac:dyDescent="0.3">
      <c r="A31" s="6">
        <v>61</v>
      </c>
      <c r="B31" s="1" t="s">
        <v>82</v>
      </c>
    </row>
    <row r="32" spans="1:2" x14ac:dyDescent="0.3">
      <c r="A32" s="6">
        <v>62</v>
      </c>
      <c r="B32" s="1" t="s">
        <v>82</v>
      </c>
    </row>
    <row r="33" spans="1:2" x14ac:dyDescent="0.3">
      <c r="A33" s="6">
        <v>63</v>
      </c>
      <c r="B33" s="1" t="s">
        <v>82</v>
      </c>
    </row>
    <row r="34" spans="1:2" x14ac:dyDescent="0.3">
      <c r="A34" s="6">
        <v>66</v>
      </c>
      <c r="B34" s="1" t="s">
        <v>82</v>
      </c>
    </row>
    <row r="35" spans="1:2" x14ac:dyDescent="0.3">
      <c r="A35" s="6">
        <v>67</v>
      </c>
      <c r="B35" s="1" t="s">
        <v>82</v>
      </c>
    </row>
    <row r="36" spans="1:2" x14ac:dyDescent="0.3">
      <c r="A36" s="6">
        <v>68</v>
      </c>
      <c r="B36" s="1" t="s">
        <v>82</v>
      </c>
    </row>
    <row r="37" spans="1:2" x14ac:dyDescent="0.3">
      <c r="A37" s="6">
        <v>69</v>
      </c>
      <c r="B37" s="1" t="s">
        <v>28</v>
      </c>
    </row>
    <row r="38" spans="1:2" x14ac:dyDescent="0.3">
      <c r="A38" s="6">
        <v>70</v>
      </c>
      <c r="B38" s="1" t="s">
        <v>82</v>
      </c>
    </row>
    <row r="39" spans="1:2" x14ac:dyDescent="0.3">
      <c r="A39" s="6">
        <v>71</v>
      </c>
      <c r="B39" s="1" t="s">
        <v>82</v>
      </c>
    </row>
    <row r="40" spans="1:2" x14ac:dyDescent="0.3">
      <c r="A40" s="6">
        <v>73</v>
      </c>
      <c r="B40" s="1" t="s">
        <v>82</v>
      </c>
    </row>
    <row r="41" spans="1:2" x14ac:dyDescent="0.3">
      <c r="A41" s="6">
        <v>74</v>
      </c>
      <c r="B41" s="1" t="s">
        <v>82</v>
      </c>
    </row>
    <row r="42" spans="1:2" x14ac:dyDescent="0.3">
      <c r="A42" s="6">
        <v>78</v>
      </c>
      <c r="B42" s="1" t="s">
        <v>82</v>
      </c>
    </row>
    <row r="43" spans="1:2" x14ac:dyDescent="0.3">
      <c r="A43" s="6">
        <v>80</v>
      </c>
      <c r="B43" s="1" t="s">
        <v>82</v>
      </c>
    </row>
    <row r="44" spans="1:2" x14ac:dyDescent="0.3">
      <c r="A44" s="6">
        <v>81</v>
      </c>
      <c r="B44" s="1" t="s">
        <v>82</v>
      </c>
    </row>
    <row r="45" spans="1:2" x14ac:dyDescent="0.3">
      <c r="A45" s="6">
        <v>83</v>
      </c>
      <c r="B45" s="1" t="s">
        <v>17</v>
      </c>
    </row>
    <row r="46" spans="1:2" x14ac:dyDescent="0.3">
      <c r="A46" s="6">
        <v>84</v>
      </c>
      <c r="B46" s="1" t="s">
        <v>82</v>
      </c>
    </row>
    <row r="47" spans="1:2" x14ac:dyDescent="0.3">
      <c r="A47" s="6">
        <v>88</v>
      </c>
      <c r="B47" s="1" t="s">
        <v>82</v>
      </c>
    </row>
    <row r="48" spans="1:2" x14ac:dyDescent="0.3">
      <c r="A48" s="6">
        <v>90</v>
      </c>
      <c r="B48" s="1" t="s">
        <v>17</v>
      </c>
    </row>
    <row r="49" spans="1:2" x14ac:dyDescent="0.3">
      <c r="A49" s="6">
        <v>91</v>
      </c>
      <c r="B49" s="1" t="s">
        <v>17</v>
      </c>
    </row>
    <row r="50" spans="1:2" x14ac:dyDescent="0.3">
      <c r="A50" s="6">
        <v>93</v>
      </c>
      <c r="B50" s="1" t="s">
        <v>291</v>
      </c>
    </row>
    <row r="51" spans="1:2" x14ac:dyDescent="0.3">
      <c r="A51" s="6">
        <v>94</v>
      </c>
      <c r="B51" s="1" t="s">
        <v>346</v>
      </c>
    </row>
    <row r="52" spans="1:2" x14ac:dyDescent="0.3">
      <c r="A52" s="6">
        <v>95</v>
      </c>
      <c r="B52" s="1" t="s">
        <v>291</v>
      </c>
    </row>
    <row r="53" spans="1:2" x14ac:dyDescent="0.3">
      <c r="A53" s="6">
        <v>96</v>
      </c>
      <c r="B53" s="1" t="s">
        <v>346</v>
      </c>
    </row>
    <row r="54" spans="1:2" x14ac:dyDescent="0.3">
      <c r="A54" s="6">
        <v>97</v>
      </c>
      <c r="B54" s="1" t="s">
        <v>291</v>
      </c>
    </row>
    <row r="55" spans="1:2" x14ac:dyDescent="0.3">
      <c r="A55" s="6">
        <v>98</v>
      </c>
      <c r="B55" s="1" t="s">
        <v>291</v>
      </c>
    </row>
    <row r="56" spans="1:2" x14ac:dyDescent="0.3">
      <c r="A56" s="6">
        <v>99</v>
      </c>
      <c r="B56" s="1" t="s">
        <v>291</v>
      </c>
    </row>
    <row r="57" spans="1:2" x14ac:dyDescent="0.3">
      <c r="A57" s="6">
        <v>100</v>
      </c>
      <c r="B57" s="1" t="s">
        <v>291</v>
      </c>
    </row>
    <row r="58" spans="1:2" x14ac:dyDescent="0.3">
      <c r="A58" s="6">
        <v>101</v>
      </c>
      <c r="B58" s="1" t="s">
        <v>291</v>
      </c>
    </row>
    <row r="59" spans="1:2" x14ac:dyDescent="0.3">
      <c r="A59" s="6">
        <v>102</v>
      </c>
      <c r="B59" s="1" t="s">
        <v>291</v>
      </c>
    </row>
    <row r="60" spans="1:2" x14ac:dyDescent="0.3">
      <c r="A60" s="6">
        <v>103</v>
      </c>
      <c r="B60" s="1" t="s">
        <v>291</v>
      </c>
    </row>
    <row r="61" spans="1:2" x14ac:dyDescent="0.3">
      <c r="A61" s="6">
        <v>104</v>
      </c>
      <c r="B61" s="1" t="s">
        <v>291</v>
      </c>
    </row>
    <row r="62" spans="1:2" x14ac:dyDescent="0.3">
      <c r="A62" s="6">
        <v>105</v>
      </c>
      <c r="B62" s="1" t="s">
        <v>291</v>
      </c>
    </row>
    <row r="63" spans="1:2" x14ac:dyDescent="0.3">
      <c r="A63" s="6">
        <v>107</v>
      </c>
      <c r="B63" s="1" t="s">
        <v>346</v>
      </c>
    </row>
    <row r="64" spans="1:2" x14ac:dyDescent="0.3">
      <c r="A64" s="6">
        <v>108</v>
      </c>
      <c r="B64" s="1" t="s">
        <v>291</v>
      </c>
    </row>
    <row r="65" spans="1:2" x14ac:dyDescent="0.3">
      <c r="A65" s="6">
        <v>110</v>
      </c>
      <c r="B65" s="1" t="s">
        <v>291</v>
      </c>
    </row>
    <row r="66" spans="1:2" x14ac:dyDescent="0.3">
      <c r="A66" s="6">
        <v>112</v>
      </c>
      <c r="B66" s="1" t="s">
        <v>346</v>
      </c>
    </row>
    <row r="67" spans="1:2" x14ac:dyDescent="0.3">
      <c r="A67" s="6">
        <v>114</v>
      </c>
      <c r="B67" s="1" t="s">
        <v>346</v>
      </c>
    </row>
    <row r="68" spans="1:2" x14ac:dyDescent="0.3">
      <c r="A68" s="6">
        <v>115</v>
      </c>
      <c r="B68" s="1" t="s">
        <v>346</v>
      </c>
    </row>
    <row r="69" spans="1:2" x14ac:dyDescent="0.3">
      <c r="A69" s="6">
        <v>116</v>
      </c>
      <c r="B69" s="1" t="s">
        <v>346</v>
      </c>
    </row>
    <row r="70" spans="1:2" x14ac:dyDescent="0.3">
      <c r="A70" s="6">
        <v>117</v>
      </c>
      <c r="B70" s="1" t="s">
        <v>346</v>
      </c>
    </row>
    <row r="71" spans="1:2" x14ac:dyDescent="0.3">
      <c r="A71" s="6">
        <v>118</v>
      </c>
      <c r="B71" s="1" t="s">
        <v>346</v>
      </c>
    </row>
    <row r="72" spans="1:2" x14ac:dyDescent="0.3">
      <c r="A72" s="6">
        <v>120</v>
      </c>
      <c r="B72" s="1" t="s">
        <v>346</v>
      </c>
    </row>
    <row r="73" spans="1:2" x14ac:dyDescent="0.3">
      <c r="A73" s="6">
        <v>121</v>
      </c>
      <c r="B73" s="1" t="s">
        <v>346</v>
      </c>
    </row>
    <row r="74" spans="1:2" x14ac:dyDescent="0.3">
      <c r="A74" s="6">
        <v>122</v>
      </c>
      <c r="B74" s="1" t="s">
        <v>346</v>
      </c>
    </row>
    <row r="75" spans="1:2" x14ac:dyDescent="0.3">
      <c r="A75" s="6">
        <v>125</v>
      </c>
      <c r="B75" s="1" t="s">
        <v>346</v>
      </c>
    </row>
    <row r="76" spans="1:2" x14ac:dyDescent="0.3">
      <c r="A76" s="6">
        <v>127</v>
      </c>
      <c r="B76" s="1" t="s">
        <v>346</v>
      </c>
    </row>
    <row r="77" spans="1:2" x14ac:dyDescent="0.3">
      <c r="A77" s="6">
        <v>128</v>
      </c>
      <c r="B77" s="1" t="s">
        <v>346</v>
      </c>
    </row>
    <row r="78" spans="1:2" x14ac:dyDescent="0.3">
      <c r="A78" s="6">
        <v>129</v>
      </c>
      <c r="B78" s="1" t="s">
        <v>346</v>
      </c>
    </row>
    <row r="79" spans="1:2" x14ac:dyDescent="0.3">
      <c r="A79" s="6">
        <v>130</v>
      </c>
      <c r="B79" s="1" t="s">
        <v>346</v>
      </c>
    </row>
    <row r="80" spans="1:2" x14ac:dyDescent="0.3">
      <c r="A80" s="6">
        <v>131</v>
      </c>
      <c r="B80" s="1" t="s">
        <v>346</v>
      </c>
    </row>
    <row r="81" spans="1:2" x14ac:dyDescent="0.3">
      <c r="A81" s="6">
        <v>133</v>
      </c>
      <c r="B81" s="1" t="s">
        <v>346</v>
      </c>
    </row>
    <row r="82" spans="1:2" x14ac:dyDescent="0.3">
      <c r="A82" s="6">
        <v>134</v>
      </c>
      <c r="B82" s="1" t="s">
        <v>346</v>
      </c>
    </row>
    <row r="83" spans="1:2" x14ac:dyDescent="0.3">
      <c r="A83" s="6">
        <v>137</v>
      </c>
      <c r="B83" s="1" t="s">
        <v>346</v>
      </c>
    </row>
    <row r="84" spans="1:2" x14ac:dyDescent="0.3">
      <c r="A84" s="6">
        <v>138</v>
      </c>
      <c r="B84" s="1" t="s">
        <v>17</v>
      </c>
    </row>
    <row r="85" spans="1:2" x14ac:dyDescent="0.3">
      <c r="A85" s="6">
        <v>139</v>
      </c>
      <c r="B85" s="1" t="s">
        <v>346</v>
      </c>
    </row>
    <row r="86" spans="1:2" x14ac:dyDescent="0.3">
      <c r="A86" s="6">
        <v>140</v>
      </c>
      <c r="B86" s="1" t="s">
        <v>346</v>
      </c>
    </row>
    <row r="87" spans="1:2" x14ac:dyDescent="0.3">
      <c r="A87" s="1">
        <v>142</v>
      </c>
      <c r="B87" s="1" t="s">
        <v>733</v>
      </c>
    </row>
    <row r="88" spans="1:2" x14ac:dyDescent="0.3">
      <c r="A88" s="6">
        <v>142</v>
      </c>
      <c r="B88" s="1" t="s">
        <v>346</v>
      </c>
    </row>
    <row r="89" spans="1:2" x14ac:dyDescent="0.3">
      <c r="A89" s="6">
        <v>144</v>
      </c>
      <c r="B89" s="1" t="s">
        <v>346</v>
      </c>
    </row>
    <row r="90" spans="1:2" x14ac:dyDescent="0.3">
      <c r="A90" s="6">
        <v>145</v>
      </c>
      <c r="B90" s="1" t="s">
        <v>346</v>
      </c>
    </row>
    <row r="91" spans="1:2" x14ac:dyDescent="0.3">
      <c r="A91" s="6">
        <v>146</v>
      </c>
      <c r="B91" s="1" t="s">
        <v>346</v>
      </c>
    </row>
    <row r="92" spans="1:2" x14ac:dyDescent="0.3">
      <c r="A92" s="6">
        <v>148</v>
      </c>
      <c r="B92" s="1" t="s">
        <v>346</v>
      </c>
    </row>
    <row r="93" spans="1:2" x14ac:dyDescent="0.3">
      <c r="A93" s="6">
        <v>149</v>
      </c>
      <c r="B93" s="1" t="s">
        <v>346</v>
      </c>
    </row>
    <row r="94" spans="1:2" x14ac:dyDescent="0.3">
      <c r="A94" s="6">
        <v>150</v>
      </c>
      <c r="B94" s="1" t="s">
        <v>346</v>
      </c>
    </row>
    <row r="95" spans="1:2" x14ac:dyDescent="0.3">
      <c r="A95" s="6">
        <v>151</v>
      </c>
      <c r="B95" s="1" t="s">
        <v>17</v>
      </c>
    </row>
    <row r="96" spans="1:2" x14ac:dyDescent="0.3">
      <c r="A96" s="6">
        <v>155</v>
      </c>
      <c r="B96" s="1" t="s">
        <v>346</v>
      </c>
    </row>
    <row r="97" spans="1:2" x14ac:dyDescent="0.3">
      <c r="A97" s="6">
        <v>156</v>
      </c>
      <c r="B97" s="1" t="s">
        <v>346</v>
      </c>
    </row>
    <row r="98" spans="1:2" x14ac:dyDescent="0.3">
      <c r="A98" s="6">
        <v>157</v>
      </c>
      <c r="B98" s="1" t="s">
        <v>346</v>
      </c>
    </row>
    <row r="99" spans="1:2" x14ac:dyDescent="0.3">
      <c r="A99" s="6">
        <v>158</v>
      </c>
      <c r="B99" s="1" t="s">
        <v>346</v>
      </c>
    </row>
    <row r="100" spans="1:2" x14ac:dyDescent="0.3">
      <c r="A100" s="6">
        <v>159</v>
      </c>
      <c r="B100" s="1" t="s">
        <v>346</v>
      </c>
    </row>
    <row r="101" spans="1:2" x14ac:dyDescent="0.3">
      <c r="A101" s="6">
        <v>160</v>
      </c>
      <c r="B101" s="1" t="s">
        <v>346</v>
      </c>
    </row>
    <row r="102" spans="1:2" x14ac:dyDescent="0.3">
      <c r="A102" s="6">
        <v>161</v>
      </c>
      <c r="B102" s="1" t="s">
        <v>346</v>
      </c>
    </row>
    <row r="103" spans="1:2" x14ac:dyDescent="0.3">
      <c r="A103" s="6">
        <v>162</v>
      </c>
      <c r="B103" s="1" t="s">
        <v>733</v>
      </c>
    </row>
    <row r="104" spans="1:2" x14ac:dyDescent="0.3">
      <c r="A104" s="6">
        <v>163</v>
      </c>
      <c r="B104" s="1" t="s">
        <v>733</v>
      </c>
    </row>
    <row r="105" spans="1:2" x14ac:dyDescent="0.3">
      <c r="A105" s="6">
        <v>164</v>
      </c>
      <c r="B105" s="1" t="s">
        <v>346</v>
      </c>
    </row>
    <row r="106" spans="1:2" x14ac:dyDescent="0.3">
      <c r="A106" s="6">
        <v>166</v>
      </c>
      <c r="B106" s="1" t="s">
        <v>346</v>
      </c>
    </row>
    <row r="107" spans="1:2" x14ac:dyDescent="0.3">
      <c r="A107" s="6">
        <v>174</v>
      </c>
      <c r="B107" s="1" t="s">
        <v>346</v>
      </c>
    </row>
    <row r="108" spans="1:2" x14ac:dyDescent="0.3">
      <c r="A108" s="6">
        <v>179</v>
      </c>
      <c r="B108" s="1" t="s">
        <v>346</v>
      </c>
    </row>
    <row r="109" spans="1:2" x14ac:dyDescent="0.3">
      <c r="A109" s="6">
        <v>183</v>
      </c>
      <c r="B109" s="1" t="s">
        <v>724</v>
      </c>
    </row>
    <row r="110" spans="1:2" x14ac:dyDescent="0.3">
      <c r="A110" s="6">
        <v>185</v>
      </c>
      <c r="B110" s="1" t="s">
        <v>346</v>
      </c>
    </row>
    <row r="111" spans="1:2" x14ac:dyDescent="0.3">
      <c r="A111" s="6">
        <v>186</v>
      </c>
      <c r="B111" s="1" t="s">
        <v>346</v>
      </c>
    </row>
    <row r="112" spans="1:2" x14ac:dyDescent="0.3">
      <c r="A112" s="6">
        <v>187</v>
      </c>
      <c r="B112" s="1" t="s">
        <v>724</v>
      </c>
    </row>
    <row r="113" spans="1:2" x14ac:dyDescent="0.3">
      <c r="A113" s="6">
        <v>196</v>
      </c>
      <c r="B113" s="1" t="s">
        <v>346</v>
      </c>
    </row>
    <row r="114" spans="1:2" x14ac:dyDescent="0.3">
      <c r="A114" s="6">
        <v>197</v>
      </c>
      <c r="B114" s="1" t="s">
        <v>724</v>
      </c>
    </row>
    <row r="115" spans="1:2" x14ac:dyDescent="0.3">
      <c r="A115" s="6">
        <v>199</v>
      </c>
      <c r="B115" s="1" t="s">
        <v>724</v>
      </c>
    </row>
    <row r="116" spans="1:2" x14ac:dyDescent="0.3">
      <c r="A116" s="6">
        <v>201</v>
      </c>
      <c r="B116" s="1" t="s">
        <v>346</v>
      </c>
    </row>
    <row r="117" spans="1:2" x14ac:dyDescent="0.3">
      <c r="A117" s="6">
        <v>202</v>
      </c>
      <c r="B117" s="1" t="s">
        <v>724</v>
      </c>
    </row>
    <row r="118" spans="1:2" x14ac:dyDescent="0.3">
      <c r="A118" s="6">
        <v>218</v>
      </c>
      <c r="B118" s="1" t="s">
        <v>346</v>
      </c>
    </row>
    <row r="119" spans="1:2" x14ac:dyDescent="0.3">
      <c r="A119" s="6">
        <v>224</v>
      </c>
      <c r="B119" s="1" t="s">
        <v>346</v>
      </c>
    </row>
    <row r="120" spans="1:2" x14ac:dyDescent="0.3">
      <c r="A120" s="1">
        <v>144</v>
      </c>
      <c r="B120" s="1" t="s">
        <v>845</v>
      </c>
    </row>
    <row r="121" spans="1:2" x14ac:dyDescent="0.3">
      <c r="A121" s="1">
        <v>208</v>
      </c>
      <c r="B121" s="1" t="s">
        <v>845</v>
      </c>
    </row>
    <row r="122" spans="1:2" x14ac:dyDescent="0.3">
      <c r="A122" s="1">
        <v>214</v>
      </c>
      <c r="B122" s="1" t="s">
        <v>845</v>
      </c>
    </row>
    <row r="123" spans="1:2" x14ac:dyDescent="0.3">
      <c r="A123" s="1">
        <v>235</v>
      </c>
      <c r="B123" s="1" t="s">
        <v>845</v>
      </c>
    </row>
    <row r="124" spans="1:2" x14ac:dyDescent="0.3">
      <c r="A124" s="1">
        <v>305</v>
      </c>
      <c r="B124" s="1" t="s">
        <v>733</v>
      </c>
    </row>
    <row r="125" spans="1:2" x14ac:dyDescent="0.3">
      <c r="A125" s="1">
        <v>283</v>
      </c>
      <c r="B125" s="1" t="s">
        <v>887</v>
      </c>
    </row>
    <row r="126" spans="1:2" x14ac:dyDescent="0.3">
      <c r="A126" s="1">
        <v>183</v>
      </c>
      <c r="B126" s="1" t="s">
        <v>888</v>
      </c>
    </row>
    <row r="127" spans="1:2" x14ac:dyDescent="0.3">
      <c r="A127" s="1">
        <v>252</v>
      </c>
      <c r="B127" s="1" t="s">
        <v>888</v>
      </c>
    </row>
    <row r="128" spans="1:2" x14ac:dyDescent="0.3">
      <c r="A128" s="1">
        <v>310</v>
      </c>
      <c r="B128" s="1" t="s">
        <v>888</v>
      </c>
    </row>
    <row r="129" spans="1:2" x14ac:dyDescent="0.3">
      <c r="A129" s="6">
        <v>345</v>
      </c>
      <c r="B129" s="1" t="s">
        <v>733</v>
      </c>
    </row>
    <row r="130" spans="1:2" x14ac:dyDescent="0.3">
      <c r="A130" s="6">
        <v>443</v>
      </c>
      <c r="B130" s="1" t="s">
        <v>733</v>
      </c>
    </row>
  </sheetData>
  <sortState ref="A2:B113">
    <sortCondition ref="A2:A113"/>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76675-ADA1-4F26-A8D6-198E5A80E0B0}">
  <sheetPr codeName="Sheet5"/>
  <dimension ref="A1:L161"/>
  <sheetViews>
    <sheetView topLeftCell="A131" workbookViewId="0">
      <selection activeCell="A150" sqref="A150"/>
    </sheetView>
  </sheetViews>
  <sheetFormatPr defaultRowHeight="14.4" x14ac:dyDescent="0.3"/>
  <cols>
    <col min="2" max="2" width="64.88671875" customWidth="1"/>
    <col min="9" max="9" width="16" bestFit="1" customWidth="1"/>
  </cols>
  <sheetData>
    <row r="1" spans="1:12" x14ac:dyDescent="0.3">
      <c r="A1" t="s">
        <v>460</v>
      </c>
      <c r="B1" t="s">
        <v>461</v>
      </c>
      <c r="C1" t="s">
        <v>462</v>
      </c>
      <c r="D1" t="s">
        <v>463</v>
      </c>
      <c r="E1" t="s">
        <v>464</v>
      </c>
      <c r="F1" t="s">
        <v>465</v>
      </c>
      <c r="G1" t="s">
        <v>466</v>
      </c>
      <c r="H1" t="s">
        <v>467</v>
      </c>
      <c r="I1" t="s">
        <v>468</v>
      </c>
      <c r="J1" t="s">
        <v>469</v>
      </c>
      <c r="K1" t="s">
        <v>470</v>
      </c>
      <c r="L1" t="s">
        <v>471</v>
      </c>
    </row>
    <row r="2" spans="1:12" x14ac:dyDescent="0.3">
      <c r="A2">
        <v>1</v>
      </c>
      <c r="B2" t="s">
        <v>472</v>
      </c>
      <c r="C2">
        <v>66</v>
      </c>
      <c r="D2" t="s">
        <v>93</v>
      </c>
      <c r="E2" t="s">
        <v>473</v>
      </c>
      <c r="F2" t="s">
        <v>474</v>
      </c>
      <c r="G2">
        <v>3</v>
      </c>
      <c r="H2">
        <v>26</v>
      </c>
      <c r="I2" t="s">
        <v>475</v>
      </c>
      <c r="J2" t="s">
        <v>476</v>
      </c>
      <c r="K2" t="s">
        <v>477</v>
      </c>
      <c r="L2" t="b">
        <v>1</v>
      </c>
    </row>
    <row r="3" spans="1:12" x14ac:dyDescent="0.3">
      <c r="A3">
        <v>2</v>
      </c>
      <c r="B3" t="s">
        <v>478</v>
      </c>
      <c r="C3">
        <v>53</v>
      </c>
      <c r="D3" t="s">
        <v>94</v>
      </c>
      <c r="E3" t="s">
        <v>473</v>
      </c>
      <c r="F3" t="s">
        <v>474</v>
      </c>
      <c r="G3">
        <v>3</v>
      </c>
      <c r="H3">
        <v>14</v>
      </c>
      <c r="I3" t="s">
        <v>475</v>
      </c>
      <c r="J3" t="s">
        <v>479</v>
      </c>
      <c r="K3" t="s">
        <v>480</v>
      </c>
      <c r="L3" t="b">
        <v>1</v>
      </c>
    </row>
    <row r="4" spans="1:12" x14ac:dyDescent="0.3">
      <c r="A4">
        <v>3</v>
      </c>
      <c r="B4" t="s">
        <v>481</v>
      </c>
      <c r="C4">
        <v>37</v>
      </c>
      <c r="D4" t="s">
        <v>93</v>
      </c>
      <c r="E4" t="s">
        <v>473</v>
      </c>
      <c r="F4" t="s">
        <v>474</v>
      </c>
      <c r="G4">
        <v>1</v>
      </c>
      <c r="H4">
        <v>27</v>
      </c>
      <c r="I4" t="s">
        <v>476</v>
      </c>
      <c r="J4" t="s">
        <v>479</v>
      </c>
      <c r="K4" t="s">
        <v>482</v>
      </c>
      <c r="L4" t="b">
        <v>1</v>
      </c>
    </row>
    <row r="5" spans="1:12" x14ac:dyDescent="0.3">
      <c r="A5">
        <v>4</v>
      </c>
      <c r="B5" t="s">
        <v>483</v>
      </c>
      <c r="C5">
        <v>36</v>
      </c>
      <c r="D5" t="s">
        <v>93</v>
      </c>
      <c r="E5" t="s">
        <v>473</v>
      </c>
      <c r="F5" t="s">
        <v>474</v>
      </c>
      <c r="G5">
        <v>3</v>
      </c>
      <c r="H5">
        <v>17</v>
      </c>
      <c r="I5" t="s">
        <v>476</v>
      </c>
      <c r="J5" t="s">
        <v>484</v>
      </c>
      <c r="K5" t="s">
        <v>485</v>
      </c>
      <c r="L5" t="b">
        <v>1</v>
      </c>
    </row>
    <row r="6" spans="1:12" x14ac:dyDescent="0.3">
      <c r="A6">
        <v>5</v>
      </c>
      <c r="B6" t="s">
        <v>486</v>
      </c>
      <c r="C6">
        <v>56</v>
      </c>
      <c r="D6" t="s">
        <v>94</v>
      </c>
      <c r="E6" t="s">
        <v>473</v>
      </c>
      <c r="F6" t="s">
        <v>474</v>
      </c>
      <c r="G6">
        <v>4</v>
      </c>
      <c r="H6">
        <v>21</v>
      </c>
      <c r="I6" t="s">
        <v>479</v>
      </c>
      <c r="J6" t="s">
        <v>487</v>
      </c>
      <c r="K6" t="s">
        <v>488</v>
      </c>
      <c r="L6" t="b">
        <v>1</v>
      </c>
    </row>
    <row r="7" spans="1:12" x14ac:dyDescent="0.3">
      <c r="A7">
        <v>6</v>
      </c>
      <c r="B7" t="s">
        <v>489</v>
      </c>
      <c r="C7">
        <v>56</v>
      </c>
      <c r="D7" t="s">
        <v>93</v>
      </c>
      <c r="E7" t="s">
        <v>473</v>
      </c>
      <c r="F7" t="s">
        <v>474</v>
      </c>
      <c r="G7">
        <v>3</v>
      </c>
      <c r="H7">
        <v>23</v>
      </c>
      <c r="I7" t="s">
        <v>484</v>
      </c>
      <c r="J7" t="s">
        <v>487</v>
      </c>
      <c r="K7" t="s">
        <v>490</v>
      </c>
      <c r="L7" t="b">
        <v>1</v>
      </c>
    </row>
    <row r="8" spans="1:12" x14ac:dyDescent="0.3">
      <c r="A8">
        <v>7</v>
      </c>
      <c r="B8" t="s">
        <v>491</v>
      </c>
      <c r="C8">
        <v>35</v>
      </c>
      <c r="D8" t="s">
        <v>93</v>
      </c>
      <c r="E8" t="s">
        <v>473</v>
      </c>
      <c r="F8" t="s">
        <v>474</v>
      </c>
      <c r="G8">
        <v>4</v>
      </c>
      <c r="H8">
        <v>7</v>
      </c>
      <c r="I8" t="s">
        <v>479</v>
      </c>
      <c r="J8" t="s">
        <v>487</v>
      </c>
      <c r="K8" t="s">
        <v>492</v>
      </c>
      <c r="L8" t="b">
        <v>1</v>
      </c>
    </row>
    <row r="9" spans="1:12" x14ac:dyDescent="0.3">
      <c r="A9">
        <v>8</v>
      </c>
      <c r="B9" t="s">
        <v>486</v>
      </c>
      <c r="C9">
        <v>56</v>
      </c>
      <c r="D9" t="s">
        <v>94</v>
      </c>
      <c r="E9" t="s">
        <v>473</v>
      </c>
      <c r="F9" t="s">
        <v>474</v>
      </c>
      <c r="G9">
        <v>5</v>
      </c>
      <c r="H9">
        <v>20</v>
      </c>
      <c r="I9" t="s">
        <v>479</v>
      </c>
      <c r="J9" t="s">
        <v>493</v>
      </c>
      <c r="K9" t="s">
        <v>488</v>
      </c>
      <c r="L9" t="b">
        <v>1</v>
      </c>
    </row>
    <row r="10" spans="1:12" x14ac:dyDescent="0.3">
      <c r="A10">
        <v>9</v>
      </c>
      <c r="B10" t="s">
        <v>489</v>
      </c>
      <c r="C10">
        <v>56</v>
      </c>
      <c r="D10" t="s">
        <v>93</v>
      </c>
      <c r="E10" t="s">
        <v>473</v>
      </c>
      <c r="F10" t="s">
        <v>474</v>
      </c>
      <c r="G10">
        <v>6</v>
      </c>
      <c r="H10">
        <v>25</v>
      </c>
      <c r="I10" t="s">
        <v>479</v>
      </c>
      <c r="J10" t="s">
        <v>494</v>
      </c>
      <c r="K10" t="s">
        <v>495</v>
      </c>
      <c r="L10" t="b">
        <v>1</v>
      </c>
    </row>
    <row r="11" spans="1:12" x14ac:dyDescent="0.3">
      <c r="A11">
        <v>10</v>
      </c>
      <c r="B11" t="s">
        <v>489</v>
      </c>
      <c r="C11">
        <v>56</v>
      </c>
      <c r="D11" t="s">
        <v>93</v>
      </c>
      <c r="E11" t="s">
        <v>473</v>
      </c>
      <c r="F11" t="s">
        <v>474</v>
      </c>
      <c r="G11">
        <v>9</v>
      </c>
      <c r="H11">
        <v>10</v>
      </c>
      <c r="I11" t="s">
        <v>475</v>
      </c>
      <c r="J11" t="s">
        <v>494</v>
      </c>
      <c r="K11" t="s">
        <v>496</v>
      </c>
      <c r="L11" t="b">
        <v>1</v>
      </c>
    </row>
    <row r="12" spans="1:12" x14ac:dyDescent="0.3">
      <c r="A12">
        <v>11</v>
      </c>
      <c r="B12" t="s">
        <v>497</v>
      </c>
      <c r="C12">
        <v>31</v>
      </c>
      <c r="D12" t="s">
        <v>94</v>
      </c>
      <c r="E12" t="s">
        <v>473</v>
      </c>
      <c r="F12" t="s">
        <v>474</v>
      </c>
      <c r="G12">
        <v>3</v>
      </c>
      <c r="H12">
        <v>11</v>
      </c>
      <c r="I12" t="s">
        <v>487</v>
      </c>
      <c r="J12" t="s">
        <v>494</v>
      </c>
      <c r="K12" t="s">
        <v>498</v>
      </c>
      <c r="L12" t="b">
        <v>1</v>
      </c>
    </row>
    <row r="13" spans="1:12" x14ac:dyDescent="0.3">
      <c r="A13">
        <v>12</v>
      </c>
      <c r="B13" t="s">
        <v>499</v>
      </c>
      <c r="C13">
        <v>37</v>
      </c>
      <c r="D13" t="s">
        <v>94</v>
      </c>
      <c r="E13" t="s">
        <v>473</v>
      </c>
      <c r="F13" t="s">
        <v>474</v>
      </c>
      <c r="G13">
        <v>4</v>
      </c>
      <c r="H13">
        <v>13</v>
      </c>
      <c r="I13" t="s">
        <v>500</v>
      </c>
      <c r="J13" t="s">
        <v>494</v>
      </c>
      <c r="K13" t="s">
        <v>485</v>
      </c>
      <c r="L13" t="b">
        <v>1</v>
      </c>
    </row>
    <row r="14" spans="1:12" x14ac:dyDescent="0.3">
      <c r="A14">
        <v>13</v>
      </c>
      <c r="B14" t="s">
        <v>501</v>
      </c>
      <c r="C14">
        <v>73</v>
      </c>
      <c r="D14" t="s">
        <v>94</v>
      </c>
      <c r="E14" t="s">
        <v>473</v>
      </c>
      <c r="F14" t="s">
        <v>474</v>
      </c>
      <c r="G14">
        <v>3</v>
      </c>
      <c r="H14">
        <v>9</v>
      </c>
      <c r="I14" t="s">
        <v>493</v>
      </c>
      <c r="J14" t="s">
        <v>502</v>
      </c>
      <c r="K14" t="s">
        <v>496</v>
      </c>
      <c r="L14" t="b">
        <v>1</v>
      </c>
    </row>
    <row r="15" spans="1:12" x14ac:dyDescent="0.3">
      <c r="A15">
        <v>14</v>
      </c>
      <c r="B15" t="s">
        <v>656</v>
      </c>
      <c r="C15">
        <v>31</v>
      </c>
      <c r="D15" t="s">
        <v>93</v>
      </c>
      <c r="E15" t="s">
        <v>503</v>
      </c>
      <c r="F15" t="s">
        <v>474</v>
      </c>
      <c r="G15">
        <v>3</v>
      </c>
      <c r="H15">
        <v>17</v>
      </c>
      <c r="I15" t="s">
        <v>493</v>
      </c>
      <c r="J15" t="s">
        <v>502</v>
      </c>
      <c r="K15" t="s">
        <v>504</v>
      </c>
      <c r="L15" t="b">
        <v>1</v>
      </c>
    </row>
    <row r="16" spans="1:12" x14ac:dyDescent="0.3">
      <c r="A16">
        <v>15</v>
      </c>
      <c r="B16" t="s">
        <v>505</v>
      </c>
      <c r="C16">
        <v>47</v>
      </c>
      <c r="D16" t="s">
        <v>94</v>
      </c>
      <c r="E16" t="s">
        <v>503</v>
      </c>
      <c r="F16" t="s">
        <v>474</v>
      </c>
      <c r="G16">
        <v>1</v>
      </c>
      <c r="H16">
        <v>16</v>
      </c>
      <c r="I16" t="s">
        <v>502</v>
      </c>
      <c r="J16" t="s">
        <v>502</v>
      </c>
      <c r="K16" t="s">
        <v>506</v>
      </c>
      <c r="L16" t="b">
        <v>1</v>
      </c>
    </row>
    <row r="17" spans="1:12" x14ac:dyDescent="0.3">
      <c r="A17">
        <v>16</v>
      </c>
      <c r="B17" t="s">
        <v>507</v>
      </c>
      <c r="C17">
        <v>38</v>
      </c>
      <c r="D17" t="s">
        <v>93</v>
      </c>
      <c r="E17" t="s">
        <v>473</v>
      </c>
      <c r="F17" t="s">
        <v>474</v>
      </c>
      <c r="G17">
        <v>8</v>
      </c>
      <c r="H17">
        <v>20</v>
      </c>
      <c r="I17" t="s">
        <v>476</v>
      </c>
      <c r="J17" t="s">
        <v>502</v>
      </c>
      <c r="K17" t="s">
        <v>490</v>
      </c>
      <c r="L17" t="b">
        <v>1</v>
      </c>
    </row>
    <row r="18" spans="1:12" x14ac:dyDescent="0.3">
      <c r="A18">
        <v>17</v>
      </c>
      <c r="B18" t="s">
        <v>505</v>
      </c>
      <c r="C18">
        <v>47</v>
      </c>
      <c r="D18" t="s">
        <v>94</v>
      </c>
      <c r="E18" t="s">
        <v>503</v>
      </c>
      <c r="F18" t="s">
        <v>474</v>
      </c>
      <c r="G18">
        <v>1</v>
      </c>
      <c r="H18">
        <v>10</v>
      </c>
      <c r="I18" t="s">
        <v>502</v>
      </c>
      <c r="J18" t="s">
        <v>508</v>
      </c>
      <c r="K18" t="s">
        <v>509</v>
      </c>
      <c r="L18" t="b">
        <v>1</v>
      </c>
    </row>
    <row r="19" spans="1:12" x14ac:dyDescent="0.3">
      <c r="A19">
        <v>18</v>
      </c>
      <c r="B19" t="s">
        <v>510</v>
      </c>
      <c r="C19">
        <v>31</v>
      </c>
      <c r="D19" t="s">
        <v>94</v>
      </c>
      <c r="E19" t="s">
        <v>473</v>
      </c>
      <c r="F19" t="s">
        <v>474</v>
      </c>
      <c r="G19">
        <v>3</v>
      </c>
      <c r="H19">
        <v>25</v>
      </c>
      <c r="I19" t="s">
        <v>502</v>
      </c>
      <c r="J19" t="s">
        <v>511</v>
      </c>
      <c r="K19" t="s">
        <v>512</v>
      </c>
      <c r="L19" t="b">
        <v>1</v>
      </c>
    </row>
    <row r="20" spans="1:12" x14ac:dyDescent="0.3">
      <c r="A20">
        <v>19</v>
      </c>
      <c r="B20" t="s">
        <v>513</v>
      </c>
      <c r="C20">
        <v>28</v>
      </c>
      <c r="D20" t="s">
        <v>94</v>
      </c>
      <c r="E20" t="s">
        <v>503</v>
      </c>
      <c r="F20" t="s">
        <v>474</v>
      </c>
      <c r="G20">
        <v>6</v>
      </c>
      <c r="H20">
        <v>18</v>
      </c>
      <c r="I20" t="s">
        <v>494</v>
      </c>
      <c r="J20" t="s">
        <v>514</v>
      </c>
      <c r="K20" t="s">
        <v>515</v>
      </c>
      <c r="L20" t="b">
        <v>1</v>
      </c>
    </row>
    <row r="21" spans="1:12" x14ac:dyDescent="0.3">
      <c r="A21">
        <v>20</v>
      </c>
      <c r="B21" t="s">
        <v>516</v>
      </c>
      <c r="C21">
        <v>48</v>
      </c>
      <c r="D21" t="s">
        <v>94</v>
      </c>
      <c r="E21" t="s">
        <v>503</v>
      </c>
      <c r="F21" t="s">
        <v>474</v>
      </c>
      <c r="G21">
        <v>10</v>
      </c>
      <c r="H21">
        <v>25</v>
      </c>
      <c r="I21" t="s">
        <v>484</v>
      </c>
      <c r="J21" t="s">
        <v>492</v>
      </c>
      <c r="K21" t="s">
        <v>517</v>
      </c>
      <c r="L21" t="b">
        <v>1</v>
      </c>
    </row>
    <row r="22" spans="1:12" x14ac:dyDescent="0.3">
      <c r="A22">
        <v>21</v>
      </c>
      <c r="B22" t="s">
        <v>518</v>
      </c>
      <c r="C22">
        <v>44</v>
      </c>
      <c r="D22" t="s">
        <v>94</v>
      </c>
      <c r="E22" t="s">
        <v>519</v>
      </c>
      <c r="F22" t="s">
        <v>474</v>
      </c>
      <c r="G22">
        <v>2</v>
      </c>
      <c r="H22">
        <v>13</v>
      </c>
      <c r="I22" t="s">
        <v>520</v>
      </c>
      <c r="J22" t="s">
        <v>492</v>
      </c>
      <c r="K22" t="s">
        <v>488</v>
      </c>
      <c r="L22" t="b">
        <v>1</v>
      </c>
    </row>
    <row r="23" spans="1:12" x14ac:dyDescent="0.3">
      <c r="A23">
        <v>22</v>
      </c>
      <c r="B23" t="s">
        <v>521</v>
      </c>
      <c r="C23">
        <v>41</v>
      </c>
      <c r="D23" t="s">
        <v>93</v>
      </c>
      <c r="E23" t="s">
        <v>503</v>
      </c>
      <c r="F23" t="s">
        <v>474</v>
      </c>
      <c r="G23" t="s">
        <v>522</v>
      </c>
      <c r="H23">
        <v>6</v>
      </c>
      <c r="I23" t="s">
        <v>522</v>
      </c>
      <c r="J23" t="s">
        <v>514</v>
      </c>
      <c r="K23" t="s">
        <v>496</v>
      </c>
      <c r="L23" t="b">
        <v>0</v>
      </c>
    </row>
    <row r="24" spans="1:12" x14ac:dyDescent="0.3">
      <c r="A24">
        <v>23</v>
      </c>
      <c r="B24" t="s">
        <v>523</v>
      </c>
      <c r="C24">
        <v>17</v>
      </c>
      <c r="D24" t="s">
        <v>93</v>
      </c>
      <c r="E24" t="s">
        <v>503</v>
      </c>
      <c r="F24" t="s">
        <v>474</v>
      </c>
      <c r="G24" t="s">
        <v>522</v>
      </c>
      <c r="H24">
        <v>18</v>
      </c>
      <c r="I24" t="s">
        <v>522</v>
      </c>
      <c r="J24" t="s">
        <v>514</v>
      </c>
      <c r="K24" t="s">
        <v>482</v>
      </c>
      <c r="L24" t="b">
        <v>0</v>
      </c>
    </row>
    <row r="25" spans="1:12" x14ac:dyDescent="0.3">
      <c r="A25">
        <v>24</v>
      </c>
      <c r="B25" t="s">
        <v>524</v>
      </c>
      <c r="C25">
        <v>32</v>
      </c>
      <c r="D25" t="s">
        <v>94</v>
      </c>
      <c r="E25" t="s">
        <v>503</v>
      </c>
      <c r="F25" t="s">
        <v>474</v>
      </c>
      <c r="G25">
        <v>5</v>
      </c>
      <c r="H25">
        <v>11</v>
      </c>
      <c r="I25" t="s">
        <v>502</v>
      </c>
      <c r="J25" t="s">
        <v>514</v>
      </c>
      <c r="K25" t="s">
        <v>525</v>
      </c>
      <c r="L25" t="b">
        <v>1</v>
      </c>
    </row>
    <row r="26" spans="1:12" x14ac:dyDescent="0.3">
      <c r="A26">
        <v>25</v>
      </c>
      <c r="B26" t="s">
        <v>526</v>
      </c>
      <c r="C26">
        <v>40</v>
      </c>
      <c r="D26" t="s">
        <v>93</v>
      </c>
      <c r="E26" t="s">
        <v>503</v>
      </c>
      <c r="F26" t="s">
        <v>474</v>
      </c>
      <c r="G26">
        <v>12</v>
      </c>
      <c r="H26">
        <v>7</v>
      </c>
      <c r="I26" t="s">
        <v>479</v>
      </c>
      <c r="J26" t="s">
        <v>492</v>
      </c>
      <c r="K26" t="s">
        <v>485</v>
      </c>
      <c r="L26" t="b">
        <v>1</v>
      </c>
    </row>
    <row r="27" spans="1:12" x14ac:dyDescent="0.3">
      <c r="A27">
        <v>26</v>
      </c>
      <c r="B27" t="s">
        <v>527</v>
      </c>
      <c r="C27">
        <v>42</v>
      </c>
      <c r="D27" t="s">
        <v>94</v>
      </c>
      <c r="E27" t="s">
        <v>473</v>
      </c>
      <c r="F27" t="s">
        <v>474</v>
      </c>
      <c r="G27">
        <v>8</v>
      </c>
      <c r="H27">
        <v>4</v>
      </c>
      <c r="I27" t="s">
        <v>493</v>
      </c>
      <c r="J27" t="s">
        <v>492</v>
      </c>
      <c r="K27" t="s">
        <v>496</v>
      </c>
      <c r="L27" t="b">
        <v>1</v>
      </c>
    </row>
    <row r="28" spans="1:12" x14ac:dyDescent="0.3">
      <c r="A28">
        <v>27</v>
      </c>
      <c r="B28" t="s">
        <v>528</v>
      </c>
      <c r="C28">
        <v>45</v>
      </c>
      <c r="D28" t="s">
        <v>93</v>
      </c>
      <c r="E28" t="s">
        <v>503</v>
      </c>
      <c r="F28" t="s">
        <v>474</v>
      </c>
      <c r="G28">
        <v>5</v>
      </c>
      <c r="H28">
        <v>15</v>
      </c>
      <c r="I28" t="s">
        <v>511</v>
      </c>
      <c r="J28" t="s">
        <v>529</v>
      </c>
      <c r="K28" t="s">
        <v>482</v>
      </c>
      <c r="L28" t="b">
        <v>1</v>
      </c>
    </row>
    <row r="29" spans="1:12" x14ac:dyDescent="0.3">
      <c r="A29">
        <v>28</v>
      </c>
      <c r="B29" t="s">
        <v>530</v>
      </c>
      <c r="C29">
        <v>1</v>
      </c>
      <c r="D29" t="s">
        <v>93</v>
      </c>
      <c r="E29" t="s">
        <v>503</v>
      </c>
      <c r="F29" t="s">
        <v>474</v>
      </c>
      <c r="G29" t="s">
        <v>522</v>
      </c>
      <c r="H29">
        <v>16</v>
      </c>
      <c r="I29" t="s">
        <v>522</v>
      </c>
      <c r="J29" t="s">
        <v>529</v>
      </c>
      <c r="K29" t="s">
        <v>515</v>
      </c>
      <c r="L29" t="b">
        <v>1</v>
      </c>
    </row>
    <row r="30" spans="1:12" x14ac:dyDescent="0.3">
      <c r="A30">
        <v>29</v>
      </c>
      <c r="B30" t="s">
        <v>521</v>
      </c>
      <c r="C30">
        <v>41</v>
      </c>
      <c r="D30" t="s">
        <v>93</v>
      </c>
      <c r="E30" t="s">
        <v>503</v>
      </c>
      <c r="F30" t="s">
        <v>474</v>
      </c>
      <c r="G30">
        <v>9</v>
      </c>
      <c r="H30">
        <v>6</v>
      </c>
      <c r="I30" t="s">
        <v>493</v>
      </c>
      <c r="J30" t="s">
        <v>529</v>
      </c>
      <c r="K30" t="s">
        <v>485</v>
      </c>
      <c r="L30" t="b">
        <v>1</v>
      </c>
    </row>
    <row r="31" spans="1:12" x14ac:dyDescent="0.3">
      <c r="A31">
        <v>30</v>
      </c>
      <c r="B31" t="s">
        <v>531</v>
      </c>
      <c r="C31">
        <v>27</v>
      </c>
      <c r="D31" t="s">
        <v>93</v>
      </c>
      <c r="E31" t="s">
        <v>503</v>
      </c>
      <c r="F31" t="s">
        <v>474</v>
      </c>
      <c r="G31">
        <v>17</v>
      </c>
      <c r="H31">
        <v>7</v>
      </c>
      <c r="I31" t="s">
        <v>475</v>
      </c>
      <c r="J31" t="s">
        <v>532</v>
      </c>
      <c r="K31" t="s">
        <v>533</v>
      </c>
      <c r="L31" t="b">
        <v>1</v>
      </c>
    </row>
    <row r="32" spans="1:12" x14ac:dyDescent="0.3">
      <c r="A32">
        <v>31</v>
      </c>
      <c r="B32" t="s">
        <v>534</v>
      </c>
      <c r="C32">
        <v>53</v>
      </c>
      <c r="D32" t="s">
        <v>93</v>
      </c>
      <c r="E32" t="s">
        <v>503</v>
      </c>
      <c r="F32" t="s">
        <v>474</v>
      </c>
      <c r="G32">
        <v>15</v>
      </c>
      <c r="H32">
        <v>10</v>
      </c>
      <c r="I32" t="s">
        <v>476</v>
      </c>
      <c r="J32" t="s">
        <v>532</v>
      </c>
      <c r="K32" t="s">
        <v>504</v>
      </c>
      <c r="L32" t="b">
        <v>1</v>
      </c>
    </row>
    <row r="33" spans="1:12" x14ac:dyDescent="0.3">
      <c r="A33">
        <v>32</v>
      </c>
      <c r="B33" t="s">
        <v>535</v>
      </c>
      <c r="C33">
        <v>42</v>
      </c>
      <c r="D33" t="s">
        <v>94</v>
      </c>
      <c r="E33" t="s">
        <v>503</v>
      </c>
      <c r="F33" t="s">
        <v>474</v>
      </c>
      <c r="G33">
        <v>5</v>
      </c>
      <c r="H33">
        <v>12</v>
      </c>
      <c r="I33" t="s">
        <v>520</v>
      </c>
      <c r="J33" t="s">
        <v>532</v>
      </c>
      <c r="K33" t="s">
        <v>477</v>
      </c>
      <c r="L33" t="b">
        <v>1</v>
      </c>
    </row>
    <row r="34" spans="1:12" x14ac:dyDescent="0.3">
      <c r="A34">
        <v>33</v>
      </c>
      <c r="B34" t="s">
        <v>536</v>
      </c>
      <c r="C34">
        <v>39</v>
      </c>
      <c r="D34" t="s">
        <v>94</v>
      </c>
      <c r="E34" t="s">
        <v>503</v>
      </c>
      <c r="F34" t="s">
        <v>474</v>
      </c>
      <c r="G34">
        <v>8</v>
      </c>
      <c r="H34">
        <v>12</v>
      </c>
      <c r="I34" t="s">
        <v>502</v>
      </c>
      <c r="J34" t="s">
        <v>532</v>
      </c>
      <c r="K34" t="s">
        <v>477</v>
      </c>
      <c r="L34" t="b">
        <v>1</v>
      </c>
    </row>
    <row r="35" spans="1:12" x14ac:dyDescent="0.3">
      <c r="A35">
        <v>34</v>
      </c>
      <c r="B35" t="s">
        <v>537</v>
      </c>
      <c r="C35">
        <v>40</v>
      </c>
      <c r="D35" t="s">
        <v>94</v>
      </c>
      <c r="E35" t="s">
        <v>503</v>
      </c>
      <c r="F35" t="s">
        <v>474</v>
      </c>
      <c r="G35">
        <v>12</v>
      </c>
      <c r="H35">
        <v>4</v>
      </c>
      <c r="I35" t="s">
        <v>487</v>
      </c>
      <c r="J35" t="s">
        <v>480</v>
      </c>
      <c r="K35" t="s">
        <v>485</v>
      </c>
      <c r="L35" t="b">
        <v>1</v>
      </c>
    </row>
    <row r="36" spans="1:12" x14ac:dyDescent="0.3">
      <c r="A36">
        <v>35</v>
      </c>
      <c r="B36" t="s">
        <v>538</v>
      </c>
      <c r="C36">
        <v>64</v>
      </c>
      <c r="D36" t="s">
        <v>93</v>
      </c>
      <c r="E36" t="s">
        <v>503</v>
      </c>
      <c r="F36" t="s">
        <v>539</v>
      </c>
      <c r="G36">
        <v>9</v>
      </c>
      <c r="H36" t="s">
        <v>522</v>
      </c>
      <c r="I36" t="s">
        <v>502</v>
      </c>
      <c r="J36" t="s">
        <v>480</v>
      </c>
      <c r="K36" t="s">
        <v>522</v>
      </c>
      <c r="L36" t="b">
        <v>1</v>
      </c>
    </row>
    <row r="37" spans="1:12" x14ac:dyDescent="0.3">
      <c r="A37">
        <v>36</v>
      </c>
      <c r="B37" t="s">
        <v>540</v>
      </c>
      <c r="C37">
        <v>38</v>
      </c>
      <c r="D37" t="s">
        <v>94</v>
      </c>
      <c r="E37" t="s">
        <v>503</v>
      </c>
      <c r="F37" t="s">
        <v>474</v>
      </c>
      <c r="G37">
        <v>15</v>
      </c>
      <c r="H37">
        <v>3</v>
      </c>
      <c r="I37" t="s">
        <v>479</v>
      </c>
      <c r="J37" t="s">
        <v>480</v>
      </c>
      <c r="K37" t="s">
        <v>509</v>
      </c>
      <c r="L37" t="b">
        <v>1</v>
      </c>
    </row>
    <row r="38" spans="1:12" x14ac:dyDescent="0.3">
      <c r="A38">
        <v>37</v>
      </c>
      <c r="B38" t="s">
        <v>541</v>
      </c>
      <c r="C38">
        <v>53</v>
      </c>
      <c r="D38" t="s">
        <v>93</v>
      </c>
      <c r="E38" t="s">
        <v>503</v>
      </c>
      <c r="F38" t="s">
        <v>474</v>
      </c>
      <c r="G38">
        <v>9</v>
      </c>
      <c r="H38">
        <v>23</v>
      </c>
      <c r="I38" t="s">
        <v>502</v>
      </c>
      <c r="J38" t="s">
        <v>480</v>
      </c>
      <c r="K38" t="s">
        <v>542</v>
      </c>
      <c r="L38" t="b">
        <v>1</v>
      </c>
    </row>
    <row r="39" spans="1:12" x14ac:dyDescent="0.3">
      <c r="A39">
        <v>38</v>
      </c>
      <c r="B39" t="s">
        <v>543</v>
      </c>
      <c r="C39">
        <v>52</v>
      </c>
      <c r="D39" t="s">
        <v>94</v>
      </c>
      <c r="E39" t="s">
        <v>503</v>
      </c>
      <c r="F39" t="s">
        <v>474</v>
      </c>
      <c r="G39">
        <v>5</v>
      </c>
      <c r="H39">
        <v>10</v>
      </c>
      <c r="I39" t="s">
        <v>514</v>
      </c>
      <c r="J39" t="s">
        <v>544</v>
      </c>
      <c r="K39" t="s">
        <v>488</v>
      </c>
      <c r="L39" t="b">
        <v>1</v>
      </c>
    </row>
    <row r="40" spans="1:12" x14ac:dyDescent="0.3">
      <c r="A40">
        <v>39</v>
      </c>
      <c r="B40" t="s">
        <v>545</v>
      </c>
      <c r="C40">
        <v>51</v>
      </c>
      <c r="D40" t="s">
        <v>93</v>
      </c>
      <c r="E40" t="s">
        <v>503</v>
      </c>
      <c r="F40" t="s">
        <v>474</v>
      </c>
      <c r="G40">
        <v>10</v>
      </c>
      <c r="H40">
        <v>8</v>
      </c>
      <c r="I40" t="s">
        <v>494</v>
      </c>
      <c r="J40" t="s">
        <v>544</v>
      </c>
      <c r="K40" t="s">
        <v>506</v>
      </c>
      <c r="L40" t="b">
        <v>1</v>
      </c>
    </row>
    <row r="41" spans="1:12" x14ac:dyDescent="0.3">
      <c r="A41">
        <v>40</v>
      </c>
      <c r="B41" t="s">
        <v>546</v>
      </c>
      <c r="C41">
        <v>36</v>
      </c>
      <c r="D41" t="s">
        <v>93</v>
      </c>
      <c r="E41" t="s">
        <v>503</v>
      </c>
      <c r="F41" t="s">
        <v>474</v>
      </c>
      <c r="G41">
        <v>9</v>
      </c>
      <c r="H41">
        <v>4</v>
      </c>
      <c r="I41" t="s">
        <v>502</v>
      </c>
      <c r="J41" t="s">
        <v>544</v>
      </c>
      <c r="K41" t="s">
        <v>485</v>
      </c>
      <c r="L41" t="b">
        <v>1</v>
      </c>
    </row>
    <row r="42" spans="1:12" x14ac:dyDescent="0.3">
      <c r="A42">
        <v>41</v>
      </c>
      <c r="B42" t="s">
        <v>547</v>
      </c>
      <c r="C42">
        <v>71</v>
      </c>
      <c r="D42" t="s">
        <v>93</v>
      </c>
      <c r="E42" t="s">
        <v>503</v>
      </c>
      <c r="F42" t="s">
        <v>539</v>
      </c>
      <c r="G42">
        <v>8</v>
      </c>
      <c r="H42" t="s">
        <v>522</v>
      </c>
      <c r="I42" t="s">
        <v>511</v>
      </c>
      <c r="J42" t="s">
        <v>544</v>
      </c>
      <c r="K42" t="s">
        <v>522</v>
      </c>
      <c r="L42" t="b">
        <v>1</v>
      </c>
    </row>
    <row r="43" spans="1:12" x14ac:dyDescent="0.3">
      <c r="A43">
        <v>42</v>
      </c>
      <c r="B43" t="s">
        <v>657</v>
      </c>
      <c r="C43">
        <v>39</v>
      </c>
      <c r="D43" t="s">
        <v>93</v>
      </c>
      <c r="E43" t="s">
        <v>548</v>
      </c>
      <c r="F43" t="s">
        <v>539</v>
      </c>
      <c r="G43">
        <v>8</v>
      </c>
      <c r="H43" t="s">
        <v>522</v>
      </c>
      <c r="I43" t="s">
        <v>511</v>
      </c>
      <c r="J43" t="s">
        <v>544</v>
      </c>
      <c r="K43" t="s">
        <v>522</v>
      </c>
      <c r="L43" t="b">
        <v>1</v>
      </c>
    </row>
    <row r="44" spans="1:12" x14ac:dyDescent="0.3">
      <c r="A44">
        <v>43</v>
      </c>
      <c r="B44" t="s">
        <v>549</v>
      </c>
      <c r="C44">
        <v>54</v>
      </c>
      <c r="D44" t="s">
        <v>93</v>
      </c>
      <c r="E44" t="s">
        <v>503</v>
      </c>
      <c r="F44" t="s">
        <v>474</v>
      </c>
      <c r="G44">
        <v>9</v>
      </c>
      <c r="H44">
        <v>27</v>
      </c>
      <c r="I44" t="s">
        <v>502</v>
      </c>
      <c r="J44" t="s">
        <v>544</v>
      </c>
      <c r="K44" t="s">
        <v>550</v>
      </c>
      <c r="L44" t="b">
        <v>1</v>
      </c>
    </row>
    <row r="45" spans="1:12" x14ac:dyDescent="0.3">
      <c r="A45">
        <v>44</v>
      </c>
      <c r="B45" t="s">
        <v>551</v>
      </c>
      <c r="C45">
        <v>37</v>
      </c>
      <c r="D45" t="s">
        <v>93</v>
      </c>
      <c r="E45" t="s">
        <v>503</v>
      </c>
      <c r="F45" t="s">
        <v>474</v>
      </c>
      <c r="G45">
        <v>10</v>
      </c>
      <c r="H45">
        <v>9</v>
      </c>
      <c r="I45" t="s">
        <v>508</v>
      </c>
      <c r="J45" t="s">
        <v>496</v>
      </c>
      <c r="K45" t="s">
        <v>477</v>
      </c>
      <c r="L45" t="b">
        <v>1</v>
      </c>
    </row>
    <row r="46" spans="1:12" x14ac:dyDescent="0.3">
      <c r="A46">
        <v>45</v>
      </c>
      <c r="B46" t="s">
        <v>552</v>
      </c>
      <c r="C46">
        <v>2</v>
      </c>
      <c r="D46" t="s">
        <v>94</v>
      </c>
      <c r="E46" t="s">
        <v>503</v>
      </c>
      <c r="F46" t="s">
        <v>474</v>
      </c>
      <c r="G46" t="s">
        <v>522</v>
      </c>
      <c r="H46">
        <v>4</v>
      </c>
      <c r="I46" t="s">
        <v>522</v>
      </c>
      <c r="J46" t="s">
        <v>498</v>
      </c>
      <c r="K46" t="s">
        <v>533</v>
      </c>
      <c r="L46" t="b">
        <v>0</v>
      </c>
    </row>
    <row r="47" spans="1:12" x14ac:dyDescent="0.3">
      <c r="A47">
        <v>46</v>
      </c>
      <c r="B47" t="s">
        <v>553</v>
      </c>
      <c r="C47">
        <v>35</v>
      </c>
      <c r="D47" t="s">
        <v>93</v>
      </c>
      <c r="E47" t="s">
        <v>503</v>
      </c>
      <c r="F47" t="s">
        <v>474</v>
      </c>
      <c r="G47">
        <v>5</v>
      </c>
      <c r="H47">
        <v>14</v>
      </c>
      <c r="I47" t="s">
        <v>529</v>
      </c>
      <c r="J47" t="s">
        <v>498</v>
      </c>
      <c r="K47" t="s">
        <v>554</v>
      </c>
      <c r="L47" t="b">
        <v>1</v>
      </c>
    </row>
    <row r="48" spans="1:12" x14ac:dyDescent="0.3">
      <c r="A48">
        <v>47</v>
      </c>
      <c r="B48" t="s">
        <v>658</v>
      </c>
      <c r="C48">
        <v>39</v>
      </c>
      <c r="D48" t="s">
        <v>93</v>
      </c>
      <c r="E48" t="s">
        <v>548</v>
      </c>
      <c r="F48" t="s">
        <v>474</v>
      </c>
      <c r="G48">
        <v>4</v>
      </c>
      <c r="H48">
        <v>26</v>
      </c>
      <c r="I48" t="s">
        <v>532</v>
      </c>
      <c r="J48" t="s">
        <v>498</v>
      </c>
      <c r="K48" t="s">
        <v>550</v>
      </c>
      <c r="L48" t="b">
        <v>1</v>
      </c>
    </row>
    <row r="49" spans="1:12" x14ac:dyDescent="0.3">
      <c r="A49">
        <v>48</v>
      </c>
      <c r="B49" t="s">
        <v>555</v>
      </c>
      <c r="C49">
        <v>34</v>
      </c>
      <c r="D49" t="s">
        <v>93</v>
      </c>
      <c r="E49" t="s">
        <v>503</v>
      </c>
      <c r="F49" t="s">
        <v>474</v>
      </c>
      <c r="G49">
        <v>11</v>
      </c>
      <c r="H49">
        <v>5</v>
      </c>
      <c r="I49" t="s">
        <v>511</v>
      </c>
      <c r="J49" t="s">
        <v>509</v>
      </c>
      <c r="K49" t="s">
        <v>504</v>
      </c>
      <c r="L49" t="b">
        <v>1</v>
      </c>
    </row>
    <row r="50" spans="1:12" x14ac:dyDescent="0.3">
      <c r="A50">
        <v>49</v>
      </c>
      <c r="B50" t="s">
        <v>556</v>
      </c>
      <c r="C50">
        <v>46</v>
      </c>
      <c r="D50" t="s">
        <v>93</v>
      </c>
      <c r="E50" t="s">
        <v>503</v>
      </c>
      <c r="F50" t="s">
        <v>474</v>
      </c>
      <c r="G50">
        <v>9</v>
      </c>
      <c r="H50">
        <v>14</v>
      </c>
      <c r="I50" t="s">
        <v>514</v>
      </c>
      <c r="J50" t="s">
        <v>509</v>
      </c>
      <c r="K50" t="s">
        <v>557</v>
      </c>
      <c r="L50" t="b">
        <v>1</v>
      </c>
    </row>
    <row r="51" spans="1:12" x14ac:dyDescent="0.3">
      <c r="A51">
        <v>50</v>
      </c>
      <c r="B51" t="s">
        <v>558</v>
      </c>
      <c r="C51">
        <v>62</v>
      </c>
      <c r="D51" t="s">
        <v>93</v>
      </c>
      <c r="E51" t="s">
        <v>503</v>
      </c>
      <c r="F51" t="s">
        <v>474</v>
      </c>
      <c r="G51">
        <v>5</v>
      </c>
      <c r="H51">
        <v>9</v>
      </c>
      <c r="I51" t="s">
        <v>480</v>
      </c>
      <c r="J51" t="s">
        <v>485</v>
      </c>
      <c r="K51" t="s">
        <v>482</v>
      </c>
      <c r="L51" t="b">
        <v>1</v>
      </c>
    </row>
    <row r="52" spans="1:12" x14ac:dyDescent="0.3">
      <c r="A52">
        <v>51</v>
      </c>
      <c r="B52" t="s">
        <v>559</v>
      </c>
      <c r="C52">
        <v>48</v>
      </c>
      <c r="D52" t="s">
        <v>93</v>
      </c>
      <c r="E52" t="s">
        <v>503</v>
      </c>
      <c r="F52" t="s">
        <v>474</v>
      </c>
      <c r="G52">
        <v>9</v>
      </c>
      <c r="H52">
        <v>8</v>
      </c>
      <c r="I52" t="s">
        <v>492</v>
      </c>
      <c r="J52" t="s">
        <v>485</v>
      </c>
      <c r="K52" t="s">
        <v>482</v>
      </c>
      <c r="L52" t="b">
        <v>1</v>
      </c>
    </row>
    <row r="53" spans="1:12" x14ac:dyDescent="0.3">
      <c r="A53">
        <v>52</v>
      </c>
      <c r="B53" t="s">
        <v>560</v>
      </c>
      <c r="C53">
        <v>37</v>
      </c>
      <c r="D53" t="s">
        <v>93</v>
      </c>
      <c r="E53" t="s">
        <v>548</v>
      </c>
      <c r="F53" t="s">
        <v>474</v>
      </c>
      <c r="G53">
        <v>6</v>
      </c>
      <c r="H53">
        <v>15</v>
      </c>
      <c r="I53" t="s">
        <v>480</v>
      </c>
      <c r="J53" t="s">
        <v>485</v>
      </c>
      <c r="K53" t="s">
        <v>561</v>
      </c>
      <c r="L53" t="b">
        <v>1</v>
      </c>
    </row>
    <row r="54" spans="1:12" x14ac:dyDescent="0.3">
      <c r="A54">
        <v>53</v>
      </c>
      <c r="B54" t="s">
        <v>549</v>
      </c>
      <c r="C54">
        <v>54</v>
      </c>
      <c r="D54" t="s">
        <v>93</v>
      </c>
      <c r="E54" t="s">
        <v>503</v>
      </c>
      <c r="F54" t="s">
        <v>539</v>
      </c>
      <c r="G54">
        <v>6</v>
      </c>
      <c r="H54" t="s">
        <v>522</v>
      </c>
      <c r="I54" t="s">
        <v>480</v>
      </c>
      <c r="J54" t="s">
        <v>485</v>
      </c>
      <c r="K54" t="s">
        <v>522</v>
      </c>
      <c r="L54" t="b">
        <v>1</v>
      </c>
    </row>
    <row r="55" spans="1:12" x14ac:dyDescent="0.3">
      <c r="A55">
        <v>54</v>
      </c>
      <c r="B55" t="s">
        <v>562</v>
      </c>
      <c r="C55">
        <v>55</v>
      </c>
      <c r="D55" t="s">
        <v>94</v>
      </c>
      <c r="E55" t="s">
        <v>503</v>
      </c>
      <c r="F55" t="s">
        <v>474</v>
      </c>
      <c r="G55">
        <v>3</v>
      </c>
      <c r="H55">
        <v>17</v>
      </c>
      <c r="I55" t="s">
        <v>498</v>
      </c>
      <c r="J55" t="s">
        <v>563</v>
      </c>
      <c r="K55" t="s">
        <v>564</v>
      </c>
      <c r="L55" t="b">
        <v>1</v>
      </c>
    </row>
    <row r="56" spans="1:12" x14ac:dyDescent="0.3">
      <c r="A56">
        <v>55</v>
      </c>
      <c r="B56" t="s">
        <v>565</v>
      </c>
      <c r="C56">
        <v>30</v>
      </c>
      <c r="D56" t="s">
        <v>93</v>
      </c>
      <c r="E56" t="s">
        <v>503</v>
      </c>
      <c r="F56" t="s">
        <v>474</v>
      </c>
      <c r="G56">
        <v>14</v>
      </c>
      <c r="H56">
        <v>6</v>
      </c>
      <c r="I56" t="s">
        <v>502</v>
      </c>
      <c r="J56" t="s">
        <v>563</v>
      </c>
      <c r="K56" t="s">
        <v>477</v>
      </c>
      <c r="L56" t="b">
        <v>1</v>
      </c>
    </row>
    <row r="57" spans="1:12" x14ac:dyDescent="0.3">
      <c r="A57">
        <v>56</v>
      </c>
      <c r="B57" t="s">
        <v>566</v>
      </c>
      <c r="C57">
        <v>30</v>
      </c>
      <c r="D57" t="s">
        <v>93</v>
      </c>
      <c r="E57" t="s">
        <v>548</v>
      </c>
      <c r="F57" t="s">
        <v>474</v>
      </c>
      <c r="G57">
        <v>1</v>
      </c>
      <c r="H57">
        <v>13</v>
      </c>
      <c r="I57" t="s">
        <v>485</v>
      </c>
      <c r="J57" t="s">
        <v>563</v>
      </c>
      <c r="K57" t="s">
        <v>557</v>
      </c>
      <c r="L57" t="b">
        <v>1</v>
      </c>
    </row>
    <row r="58" spans="1:12" x14ac:dyDescent="0.3">
      <c r="A58">
        <v>57</v>
      </c>
      <c r="B58" t="s">
        <v>567</v>
      </c>
      <c r="C58">
        <v>26</v>
      </c>
      <c r="D58" t="s">
        <v>93</v>
      </c>
      <c r="E58" t="s">
        <v>503</v>
      </c>
      <c r="F58" t="s">
        <v>474</v>
      </c>
      <c r="G58">
        <v>2</v>
      </c>
      <c r="H58">
        <v>8</v>
      </c>
      <c r="I58" t="s">
        <v>509</v>
      </c>
      <c r="J58" t="s">
        <v>563</v>
      </c>
      <c r="K58" t="s">
        <v>482</v>
      </c>
      <c r="L58" t="b">
        <v>1</v>
      </c>
    </row>
    <row r="59" spans="1:12" x14ac:dyDescent="0.3">
      <c r="A59">
        <v>58</v>
      </c>
      <c r="B59" t="s">
        <v>568</v>
      </c>
      <c r="C59">
        <v>55</v>
      </c>
      <c r="D59" t="s">
        <v>93</v>
      </c>
      <c r="E59" t="s">
        <v>503</v>
      </c>
      <c r="F59" t="s">
        <v>474</v>
      </c>
      <c r="G59">
        <v>3</v>
      </c>
      <c r="H59">
        <v>12</v>
      </c>
      <c r="I59" t="s">
        <v>498</v>
      </c>
      <c r="J59" t="s">
        <v>563</v>
      </c>
      <c r="K59" t="s">
        <v>569</v>
      </c>
      <c r="L59" t="b">
        <v>1</v>
      </c>
    </row>
    <row r="60" spans="1:12" x14ac:dyDescent="0.3">
      <c r="A60">
        <v>59</v>
      </c>
      <c r="B60" t="s">
        <v>570</v>
      </c>
      <c r="C60">
        <v>61</v>
      </c>
      <c r="D60" t="s">
        <v>93</v>
      </c>
      <c r="E60" t="s">
        <v>503</v>
      </c>
      <c r="F60" t="s">
        <v>474</v>
      </c>
      <c r="G60">
        <v>7</v>
      </c>
      <c r="H60">
        <v>12</v>
      </c>
      <c r="I60" t="s">
        <v>480</v>
      </c>
      <c r="J60" t="s">
        <v>563</v>
      </c>
      <c r="K60" t="s">
        <v>557</v>
      </c>
      <c r="L60" t="b">
        <v>1</v>
      </c>
    </row>
    <row r="61" spans="1:12" x14ac:dyDescent="0.3">
      <c r="A61">
        <v>60</v>
      </c>
      <c r="B61" t="s">
        <v>571</v>
      </c>
      <c r="C61">
        <v>51</v>
      </c>
      <c r="D61" t="s">
        <v>94</v>
      </c>
      <c r="E61" t="s">
        <v>503</v>
      </c>
      <c r="F61" t="s">
        <v>474</v>
      </c>
      <c r="G61">
        <v>6</v>
      </c>
      <c r="H61">
        <v>16</v>
      </c>
      <c r="I61" t="s">
        <v>544</v>
      </c>
      <c r="J61" t="s">
        <v>563</v>
      </c>
      <c r="K61" t="s">
        <v>564</v>
      </c>
      <c r="L61" t="b">
        <v>1</v>
      </c>
    </row>
    <row r="62" spans="1:12" x14ac:dyDescent="0.3">
      <c r="A62">
        <v>61</v>
      </c>
      <c r="B62" t="s">
        <v>572</v>
      </c>
      <c r="C62">
        <v>57</v>
      </c>
      <c r="D62" t="s">
        <v>93</v>
      </c>
      <c r="E62" t="s">
        <v>503</v>
      </c>
      <c r="F62" t="s">
        <v>474</v>
      </c>
      <c r="G62">
        <v>8</v>
      </c>
      <c r="H62">
        <v>19</v>
      </c>
      <c r="I62" t="s">
        <v>532</v>
      </c>
      <c r="J62" t="s">
        <v>563</v>
      </c>
      <c r="K62" t="s">
        <v>573</v>
      </c>
      <c r="L62" t="b">
        <v>1</v>
      </c>
    </row>
    <row r="63" spans="1:12" x14ac:dyDescent="0.3">
      <c r="A63">
        <v>62</v>
      </c>
      <c r="B63" t="s">
        <v>574</v>
      </c>
      <c r="C63">
        <v>44</v>
      </c>
      <c r="D63" t="s">
        <v>94</v>
      </c>
      <c r="E63" t="s">
        <v>503</v>
      </c>
      <c r="F63" t="s">
        <v>474</v>
      </c>
      <c r="G63">
        <v>5</v>
      </c>
      <c r="H63">
        <v>11</v>
      </c>
      <c r="I63" t="s">
        <v>496</v>
      </c>
      <c r="J63" t="s">
        <v>563</v>
      </c>
      <c r="K63" t="s">
        <v>569</v>
      </c>
      <c r="L63" t="b">
        <v>1</v>
      </c>
    </row>
    <row r="64" spans="1:12" x14ac:dyDescent="0.3">
      <c r="A64">
        <v>63</v>
      </c>
      <c r="B64" t="s">
        <v>575</v>
      </c>
      <c r="C64">
        <v>54</v>
      </c>
      <c r="D64" t="s">
        <v>94</v>
      </c>
      <c r="E64" t="s">
        <v>503</v>
      </c>
      <c r="F64" t="s">
        <v>474</v>
      </c>
      <c r="G64">
        <v>4</v>
      </c>
      <c r="H64">
        <v>7</v>
      </c>
      <c r="I64" t="s">
        <v>498</v>
      </c>
      <c r="J64" t="s">
        <v>533</v>
      </c>
      <c r="K64" t="s">
        <v>482</v>
      </c>
      <c r="L64" t="b">
        <v>1</v>
      </c>
    </row>
    <row r="65" spans="1:12" x14ac:dyDescent="0.3">
      <c r="A65">
        <v>64</v>
      </c>
      <c r="B65" t="s">
        <v>576</v>
      </c>
      <c r="C65">
        <v>50</v>
      </c>
      <c r="D65" t="s">
        <v>93</v>
      </c>
      <c r="E65" t="s">
        <v>503</v>
      </c>
      <c r="F65" t="s">
        <v>474</v>
      </c>
      <c r="G65">
        <v>11</v>
      </c>
      <c r="H65">
        <v>9</v>
      </c>
      <c r="I65" t="s">
        <v>514</v>
      </c>
      <c r="J65" t="s">
        <v>533</v>
      </c>
      <c r="K65" t="s">
        <v>495</v>
      </c>
      <c r="L65" t="b">
        <v>1</v>
      </c>
    </row>
    <row r="66" spans="1:12" x14ac:dyDescent="0.3">
      <c r="A66">
        <v>65</v>
      </c>
      <c r="B66" t="s">
        <v>577</v>
      </c>
      <c r="C66">
        <v>61</v>
      </c>
      <c r="D66" t="s">
        <v>94</v>
      </c>
      <c r="E66" t="s">
        <v>503</v>
      </c>
      <c r="F66" t="s">
        <v>474</v>
      </c>
      <c r="G66">
        <v>2</v>
      </c>
      <c r="H66">
        <v>3</v>
      </c>
      <c r="I66" t="s">
        <v>485</v>
      </c>
      <c r="J66" t="s">
        <v>533</v>
      </c>
      <c r="K66" t="s">
        <v>504</v>
      </c>
      <c r="L66" t="b">
        <v>1</v>
      </c>
    </row>
    <row r="67" spans="1:12" x14ac:dyDescent="0.3">
      <c r="A67">
        <v>66</v>
      </c>
      <c r="B67" t="s">
        <v>578</v>
      </c>
      <c r="C67">
        <v>28</v>
      </c>
      <c r="D67" t="s">
        <v>93</v>
      </c>
      <c r="E67" t="s">
        <v>503</v>
      </c>
      <c r="F67" t="s">
        <v>474</v>
      </c>
      <c r="G67">
        <v>16</v>
      </c>
      <c r="H67">
        <v>6</v>
      </c>
      <c r="I67" t="s">
        <v>494</v>
      </c>
      <c r="J67" t="s">
        <v>533</v>
      </c>
      <c r="K67" t="s">
        <v>490</v>
      </c>
      <c r="L67" t="b">
        <v>1</v>
      </c>
    </row>
    <row r="68" spans="1:12" x14ac:dyDescent="0.3">
      <c r="A68">
        <v>67</v>
      </c>
      <c r="B68" t="s">
        <v>579</v>
      </c>
      <c r="C68">
        <v>56</v>
      </c>
      <c r="D68" t="s">
        <v>94</v>
      </c>
      <c r="E68" t="s">
        <v>503</v>
      </c>
      <c r="F68" t="s">
        <v>474</v>
      </c>
      <c r="G68">
        <v>5</v>
      </c>
      <c r="H68">
        <v>17</v>
      </c>
      <c r="I68" t="s">
        <v>496</v>
      </c>
      <c r="J68" t="s">
        <v>533</v>
      </c>
      <c r="K68" t="s">
        <v>542</v>
      </c>
      <c r="L68" t="b">
        <v>1</v>
      </c>
    </row>
    <row r="69" spans="1:12" x14ac:dyDescent="0.3">
      <c r="A69">
        <v>68</v>
      </c>
      <c r="B69" t="s">
        <v>580</v>
      </c>
      <c r="C69">
        <v>79</v>
      </c>
      <c r="D69" t="s">
        <v>94</v>
      </c>
      <c r="E69" t="s">
        <v>503</v>
      </c>
      <c r="F69" t="s">
        <v>474</v>
      </c>
      <c r="G69">
        <v>16</v>
      </c>
      <c r="H69">
        <v>14</v>
      </c>
      <c r="I69" t="s">
        <v>502</v>
      </c>
      <c r="J69" t="s">
        <v>533</v>
      </c>
      <c r="K69" t="s">
        <v>517</v>
      </c>
      <c r="L69" t="b">
        <v>1</v>
      </c>
    </row>
    <row r="70" spans="1:12" x14ac:dyDescent="0.3">
      <c r="A70">
        <v>69</v>
      </c>
      <c r="B70" t="s">
        <v>659</v>
      </c>
      <c r="C70">
        <v>26</v>
      </c>
      <c r="D70" t="s">
        <v>93</v>
      </c>
      <c r="E70" t="s">
        <v>548</v>
      </c>
      <c r="F70" t="s">
        <v>474</v>
      </c>
      <c r="G70">
        <v>1</v>
      </c>
      <c r="H70">
        <v>16</v>
      </c>
      <c r="I70" t="s">
        <v>533</v>
      </c>
      <c r="J70" t="s">
        <v>525</v>
      </c>
      <c r="K70" t="s">
        <v>542</v>
      </c>
      <c r="L70" t="b">
        <v>1</v>
      </c>
    </row>
    <row r="71" spans="1:12" x14ac:dyDescent="0.3">
      <c r="A71">
        <v>70</v>
      </c>
      <c r="B71" t="s">
        <v>581</v>
      </c>
      <c r="C71">
        <v>27</v>
      </c>
      <c r="D71" t="s">
        <v>94</v>
      </c>
      <c r="E71" t="s">
        <v>503</v>
      </c>
      <c r="F71" t="s">
        <v>474</v>
      </c>
      <c r="G71">
        <v>12</v>
      </c>
      <c r="H71">
        <v>6</v>
      </c>
      <c r="I71" t="s">
        <v>514</v>
      </c>
      <c r="J71" t="s">
        <v>525</v>
      </c>
      <c r="K71" t="s">
        <v>482</v>
      </c>
      <c r="L71" t="b">
        <v>1</v>
      </c>
    </row>
    <row r="72" spans="1:12" x14ac:dyDescent="0.3">
      <c r="A72">
        <v>71</v>
      </c>
      <c r="B72" t="s">
        <v>582</v>
      </c>
      <c r="C72">
        <v>25</v>
      </c>
      <c r="D72" t="s">
        <v>93</v>
      </c>
      <c r="E72" t="s">
        <v>503</v>
      </c>
      <c r="F72" t="s">
        <v>474</v>
      </c>
      <c r="G72">
        <v>14</v>
      </c>
      <c r="H72">
        <v>19</v>
      </c>
      <c r="I72" t="s">
        <v>511</v>
      </c>
      <c r="J72" t="s">
        <v>525</v>
      </c>
      <c r="K72" t="s">
        <v>583</v>
      </c>
      <c r="L72" t="b">
        <v>1</v>
      </c>
    </row>
    <row r="73" spans="1:12" x14ac:dyDescent="0.3">
      <c r="A73">
        <v>72</v>
      </c>
      <c r="B73" t="s">
        <v>660</v>
      </c>
      <c r="C73">
        <v>40</v>
      </c>
      <c r="D73" t="s">
        <v>93</v>
      </c>
      <c r="E73" t="s">
        <v>473</v>
      </c>
      <c r="F73" t="s">
        <v>474</v>
      </c>
      <c r="G73">
        <v>5</v>
      </c>
      <c r="H73">
        <v>12</v>
      </c>
      <c r="I73" t="s">
        <v>498</v>
      </c>
      <c r="J73" t="s">
        <v>525</v>
      </c>
      <c r="K73" t="s">
        <v>512</v>
      </c>
      <c r="L73" t="b">
        <v>1</v>
      </c>
    </row>
    <row r="74" spans="1:12" x14ac:dyDescent="0.3">
      <c r="A74">
        <v>73</v>
      </c>
      <c r="B74" t="s">
        <v>584</v>
      </c>
      <c r="C74">
        <v>43</v>
      </c>
      <c r="D74" t="s">
        <v>93</v>
      </c>
      <c r="E74" t="s">
        <v>503</v>
      </c>
      <c r="F74" t="s">
        <v>474</v>
      </c>
      <c r="G74">
        <v>7</v>
      </c>
      <c r="H74">
        <v>10</v>
      </c>
      <c r="I74" t="s">
        <v>496</v>
      </c>
      <c r="J74" t="s">
        <v>525</v>
      </c>
      <c r="K74" t="s">
        <v>557</v>
      </c>
      <c r="L74" t="b">
        <v>1</v>
      </c>
    </row>
    <row r="75" spans="1:12" x14ac:dyDescent="0.3">
      <c r="A75">
        <v>74</v>
      </c>
      <c r="B75" t="s">
        <v>585</v>
      </c>
      <c r="C75">
        <v>29</v>
      </c>
      <c r="D75" t="s">
        <v>93</v>
      </c>
      <c r="E75" t="s">
        <v>503</v>
      </c>
      <c r="F75" t="s">
        <v>474</v>
      </c>
      <c r="G75">
        <v>4</v>
      </c>
      <c r="H75">
        <v>20</v>
      </c>
      <c r="I75" t="s">
        <v>485</v>
      </c>
      <c r="J75" t="s">
        <v>525</v>
      </c>
      <c r="K75" t="s">
        <v>550</v>
      </c>
      <c r="L75" t="b">
        <v>1</v>
      </c>
    </row>
    <row r="76" spans="1:12" x14ac:dyDescent="0.3">
      <c r="A76">
        <v>75</v>
      </c>
      <c r="B76" t="s">
        <v>586</v>
      </c>
      <c r="C76">
        <v>71</v>
      </c>
      <c r="D76" t="s">
        <v>94</v>
      </c>
      <c r="E76" t="s">
        <v>503</v>
      </c>
      <c r="F76" t="s">
        <v>474</v>
      </c>
      <c r="G76" t="s">
        <v>522</v>
      </c>
      <c r="H76">
        <v>13</v>
      </c>
      <c r="I76" t="s">
        <v>522</v>
      </c>
      <c r="J76" t="s">
        <v>506</v>
      </c>
      <c r="K76" t="s">
        <v>517</v>
      </c>
      <c r="L76" t="b">
        <v>1</v>
      </c>
    </row>
    <row r="77" spans="1:12" x14ac:dyDescent="0.3">
      <c r="A77">
        <v>76</v>
      </c>
      <c r="B77" t="s">
        <v>587</v>
      </c>
      <c r="C77">
        <v>1</v>
      </c>
      <c r="D77" t="s">
        <v>93</v>
      </c>
      <c r="E77" t="s">
        <v>503</v>
      </c>
      <c r="F77" t="s">
        <v>474</v>
      </c>
      <c r="G77" t="s">
        <v>522</v>
      </c>
      <c r="H77">
        <v>1</v>
      </c>
      <c r="I77" t="s">
        <v>522</v>
      </c>
      <c r="J77" t="s">
        <v>506</v>
      </c>
      <c r="K77" t="s">
        <v>488</v>
      </c>
      <c r="L77" t="b">
        <v>0</v>
      </c>
    </row>
    <row r="78" spans="1:12" x14ac:dyDescent="0.3">
      <c r="A78">
        <v>77</v>
      </c>
      <c r="B78" t="s">
        <v>588</v>
      </c>
      <c r="C78">
        <v>35</v>
      </c>
      <c r="D78" t="s">
        <v>93</v>
      </c>
      <c r="E78" t="s">
        <v>503</v>
      </c>
      <c r="F78" t="s">
        <v>474</v>
      </c>
      <c r="G78">
        <v>7</v>
      </c>
      <c r="H78">
        <v>8</v>
      </c>
      <c r="I78" t="s">
        <v>498</v>
      </c>
      <c r="J78" t="s">
        <v>504</v>
      </c>
      <c r="K78" t="s">
        <v>569</v>
      </c>
      <c r="L78" t="b">
        <v>1</v>
      </c>
    </row>
    <row r="79" spans="1:12" x14ac:dyDescent="0.3">
      <c r="A79">
        <v>78</v>
      </c>
      <c r="B79" t="s">
        <v>589</v>
      </c>
      <c r="C79">
        <v>57</v>
      </c>
      <c r="D79" t="s">
        <v>94</v>
      </c>
      <c r="E79" t="s">
        <v>503</v>
      </c>
      <c r="F79" t="s">
        <v>474</v>
      </c>
      <c r="G79">
        <v>8</v>
      </c>
      <c r="H79">
        <v>9</v>
      </c>
      <c r="I79" t="s">
        <v>496</v>
      </c>
      <c r="J79" t="s">
        <v>504</v>
      </c>
      <c r="K79" t="s">
        <v>512</v>
      </c>
      <c r="L79" t="b">
        <v>1</v>
      </c>
    </row>
    <row r="80" spans="1:12" x14ac:dyDescent="0.3">
      <c r="A80">
        <v>79</v>
      </c>
      <c r="B80" t="s">
        <v>590</v>
      </c>
      <c r="C80">
        <v>35</v>
      </c>
      <c r="D80" t="s">
        <v>94</v>
      </c>
      <c r="E80" t="s">
        <v>591</v>
      </c>
      <c r="F80" t="s">
        <v>474</v>
      </c>
      <c r="G80">
        <v>5</v>
      </c>
      <c r="H80">
        <v>10</v>
      </c>
      <c r="I80" t="s">
        <v>485</v>
      </c>
      <c r="J80" t="s">
        <v>504</v>
      </c>
      <c r="K80" t="s">
        <v>561</v>
      </c>
      <c r="L80" t="b">
        <v>1</v>
      </c>
    </row>
    <row r="81" spans="1:12" x14ac:dyDescent="0.3">
      <c r="A81">
        <v>80</v>
      </c>
      <c r="B81" t="s">
        <v>592</v>
      </c>
      <c r="C81">
        <v>38</v>
      </c>
      <c r="D81" t="s">
        <v>94</v>
      </c>
      <c r="E81" t="s">
        <v>503</v>
      </c>
      <c r="F81" t="s">
        <v>474</v>
      </c>
      <c r="G81">
        <v>14</v>
      </c>
      <c r="H81">
        <v>9</v>
      </c>
      <c r="I81" t="s">
        <v>492</v>
      </c>
      <c r="J81" t="s">
        <v>488</v>
      </c>
      <c r="K81" t="s">
        <v>512</v>
      </c>
      <c r="L81" t="b">
        <v>1</v>
      </c>
    </row>
    <row r="82" spans="1:12" x14ac:dyDescent="0.3">
      <c r="A82">
        <v>81</v>
      </c>
      <c r="B82" t="s">
        <v>576</v>
      </c>
      <c r="C82">
        <v>50</v>
      </c>
      <c r="D82" t="s">
        <v>93</v>
      </c>
      <c r="E82" t="s">
        <v>503</v>
      </c>
      <c r="F82" t="s">
        <v>474</v>
      </c>
      <c r="G82">
        <v>2</v>
      </c>
      <c r="H82">
        <v>7</v>
      </c>
      <c r="I82" t="s">
        <v>506</v>
      </c>
      <c r="J82" t="s">
        <v>488</v>
      </c>
      <c r="K82" t="s">
        <v>569</v>
      </c>
      <c r="L82" t="b">
        <v>1</v>
      </c>
    </row>
    <row r="83" spans="1:12" x14ac:dyDescent="0.3">
      <c r="A83">
        <v>82</v>
      </c>
      <c r="B83" t="s">
        <v>589</v>
      </c>
      <c r="C83">
        <v>57</v>
      </c>
      <c r="D83" t="s">
        <v>94</v>
      </c>
      <c r="E83" t="s">
        <v>503</v>
      </c>
      <c r="F83" t="s">
        <v>539</v>
      </c>
      <c r="G83">
        <v>10</v>
      </c>
      <c r="H83" t="s">
        <v>522</v>
      </c>
      <c r="I83" t="s">
        <v>496</v>
      </c>
      <c r="J83" t="s">
        <v>488</v>
      </c>
      <c r="K83" t="s">
        <v>522</v>
      </c>
      <c r="L83" t="b">
        <v>1</v>
      </c>
    </row>
    <row r="84" spans="1:12" x14ac:dyDescent="0.3">
      <c r="A84">
        <v>83</v>
      </c>
      <c r="B84" t="s">
        <v>549</v>
      </c>
      <c r="C84">
        <v>54</v>
      </c>
      <c r="D84" t="s">
        <v>93</v>
      </c>
      <c r="E84" t="s">
        <v>503</v>
      </c>
      <c r="F84" t="s">
        <v>474</v>
      </c>
      <c r="G84">
        <v>22</v>
      </c>
      <c r="H84">
        <v>2</v>
      </c>
      <c r="I84" t="s">
        <v>493</v>
      </c>
      <c r="J84" t="s">
        <v>477</v>
      </c>
      <c r="K84" t="s">
        <v>482</v>
      </c>
      <c r="L84" t="b">
        <v>1</v>
      </c>
    </row>
    <row r="85" spans="1:12" x14ac:dyDescent="0.3">
      <c r="A85">
        <v>84</v>
      </c>
      <c r="B85" t="s">
        <v>593</v>
      </c>
      <c r="C85">
        <v>35</v>
      </c>
      <c r="D85" t="s">
        <v>94</v>
      </c>
      <c r="E85" t="s">
        <v>503</v>
      </c>
      <c r="F85" t="s">
        <v>474</v>
      </c>
      <c r="G85">
        <v>15</v>
      </c>
      <c r="H85">
        <v>2</v>
      </c>
      <c r="I85" t="s">
        <v>492</v>
      </c>
      <c r="J85" t="s">
        <v>477</v>
      </c>
      <c r="K85" t="s">
        <v>482</v>
      </c>
      <c r="L85" t="b">
        <v>1</v>
      </c>
    </row>
    <row r="86" spans="1:12" x14ac:dyDescent="0.3">
      <c r="A86">
        <v>85</v>
      </c>
      <c r="B86" t="s">
        <v>661</v>
      </c>
      <c r="C86">
        <v>36</v>
      </c>
      <c r="D86" t="s">
        <v>93</v>
      </c>
      <c r="E86" t="s">
        <v>473</v>
      </c>
      <c r="F86" t="s">
        <v>474</v>
      </c>
      <c r="G86">
        <v>6</v>
      </c>
      <c r="H86">
        <v>16</v>
      </c>
      <c r="I86" t="s">
        <v>533</v>
      </c>
      <c r="J86" t="s">
        <v>490</v>
      </c>
      <c r="K86" t="s">
        <v>550</v>
      </c>
      <c r="L86" t="b">
        <v>1</v>
      </c>
    </row>
    <row r="87" spans="1:12" x14ac:dyDescent="0.3">
      <c r="A87">
        <v>86</v>
      </c>
      <c r="B87" t="s">
        <v>594</v>
      </c>
      <c r="C87">
        <v>24</v>
      </c>
      <c r="D87" t="s">
        <v>93</v>
      </c>
      <c r="E87" t="s">
        <v>503</v>
      </c>
      <c r="F87" t="s">
        <v>474</v>
      </c>
      <c r="G87">
        <v>7</v>
      </c>
      <c r="H87">
        <v>15</v>
      </c>
      <c r="I87" t="s">
        <v>533</v>
      </c>
      <c r="J87" t="s">
        <v>490</v>
      </c>
      <c r="K87" t="s">
        <v>550</v>
      </c>
      <c r="L87" t="b">
        <v>1</v>
      </c>
    </row>
    <row r="88" spans="1:12" x14ac:dyDescent="0.3">
      <c r="A88">
        <v>87</v>
      </c>
      <c r="B88" t="s">
        <v>595</v>
      </c>
      <c r="C88">
        <v>32</v>
      </c>
      <c r="D88" t="s">
        <v>93</v>
      </c>
      <c r="E88" t="s">
        <v>503</v>
      </c>
      <c r="F88" t="s">
        <v>474</v>
      </c>
      <c r="G88" t="s">
        <v>522</v>
      </c>
      <c r="H88">
        <v>2</v>
      </c>
      <c r="I88" t="s">
        <v>522</v>
      </c>
      <c r="J88" t="s">
        <v>482</v>
      </c>
      <c r="K88" t="s">
        <v>554</v>
      </c>
      <c r="L88" t="b">
        <v>0</v>
      </c>
    </row>
    <row r="89" spans="1:12" x14ac:dyDescent="0.3">
      <c r="A89">
        <v>88</v>
      </c>
      <c r="B89" t="s">
        <v>596</v>
      </c>
      <c r="C89">
        <v>30</v>
      </c>
      <c r="D89" t="s">
        <v>94</v>
      </c>
      <c r="E89" t="s">
        <v>503</v>
      </c>
      <c r="F89" t="s">
        <v>474</v>
      </c>
      <c r="G89">
        <v>6</v>
      </c>
      <c r="H89">
        <v>9</v>
      </c>
      <c r="I89" t="s">
        <v>506</v>
      </c>
      <c r="J89" t="s">
        <v>482</v>
      </c>
      <c r="K89" t="s">
        <v>542</v>
      </c>
      <c r="L89" t="b">
        <v>1</v>
      </c>
    </row>
    <row r="90" spans="1:12" x14ac:dyDescent="0.3">
      <c r="A90">
        <v>89</v>
      </c>
      <c r="B90" t="s">
        <v>597</v>
      </c>
      <c r="C90">
        <v>41</v>
      </c>
      <c r="D90" t="s">
        <v>93</v>
      </c>
      <c r="E90" t="s">
        <v>503</v>
      </c>
      <c r="F90" t="s">
        <v>474</v>
      </c>
      <c r="G90">
        <v>19</v>
      </c>
      <c r="H90">
        <v>6</v>
      </c>
      <c r="I90" t="s">
        <v>514</v>
      </c>
      <c r="J90" t="s">
        <v>515</v>
      </c>
      <c r="K90" t="s">
        <v>561</v>
      </c>
      <c r="L90" t="b">
        <v>1</v>
      </c>
    </row>
    <row r="91" spans="1:12" x14ac:dyDescent="0.3">
      <c r="A91">
        <v>90</v>
      </c>
      <c r="B91" t="s">
        <v>598</v>
      </c>
      <c r="C91">
        <v>75</v>
      </c>
      <c r="D91" t="s">
        <v>94</v>
      </c>
      <c r="E91" t="s">
        <v>503</v>
      </c>
      <c r="F91" t="s">
        <v>539</v>
      </c>
      <c r="G91">
        <v>15</v>
      </c>
      <c r="H91" t="s">
        <v>522</v>
      </c>
      <c r="I91" t="s">
        <v>496</v>
      </c>
      <c r="J91" t="s">
        <v>495</v>
      </c>
      <c r="K91" t="s">
        <v>522</v>
      </c>
      <c r="L91" t="b">
        <v>1</v>
      </c>
    </row>
    <row r="92" spans="1:12" x14ac:dyDescent="0.3">
      <c r="A92">
        <v>91</v>
      </c>
      <c r="B92" t="s">
        <v>599</v>
      </c>
      <c r="C92">
        <v>58</v>
      </c>
      <c r="D92" t="s">
        <v>94</v>
      </c>
      <c r="E92" t="s">
        <v>503</v>
      </c>
      <c r="F92" t="s">
        <v>474</v>
      </c>
      <c r="G92">
        <v>31</v>
      </c>
      <c r="H92">
        <v>2</v>
      </c>
      <c r="I92" t="s">
        <v>476</v>
      </c>
      <c r="J92" t="s">
        <v>515</v>
      </c>
      <c r="K92" t="s">
        <v>569</v>
      </c>
      <c r="L92" t="b">
        <v>1</v>
      </c>
    </row>
    <row r="93" spans="1:12" x14ac:dyDescent="0.3">
      <c r="A93">
        <v>92</v>
      </c>
      <c r="B93" t="s">
        <v>600</v>
      </c>
      <c r="C93">
        <v>47</v>
      </c>
      <c r="D93" t="s">
        <v>93</v>
      </c>
      <c r="E93" t="s">
        <v>503</v>
      </c>
      <c r="F93" t="s">
        <v>539</v>
      </c>
      <c r="G93">
        <v>9</v>
      </c>
      <c r="H93" t="s">
        <v>522</v>
      </c>
      <c r="I93" t="s">
        <v>504</v>
      </c>
      <c r="J93" t="s">
        <v>557</v>
      </c>
      <c r="K93" t="s">
        <v>522</v>
      </c>
      <c r="L93" t="b">
        <v>1</v>
      </c>
    </row>
    <row r="94" spans="1:12" x14ac:dyDescent="0.3">
      <c r="A94">
        <v>93</v>
      </c>
      <c r="B94" t="s">
        <v>600</v>
      </c>
      <c r="C94">
        <v>38</v>
      </c>
      <c r="D94" t="s">
        <v>93</v>
      </c>
      <c r="E94" t="s">
        <v>503</v>
      </c>
      <c r="F94" t="s">
        <v>474</v>
      </c>
      <c r="G94">
        <v>9</v>
      </c>
      <c r="H94">
        <v>10</v>
      </c>
      <c r="I94" t="s">
        <v>504</v>
      </c>
      <c r="J94" t="s">
        <v>557</v>
      </c>
      <c r="K94" t="s">
        <v>550</v>
      </c>
      <c r="L94" t="b">
        <v>1</v>
      </c>
    </row>
    <row r="95" spans="1:12" x14ac:dyDescent="0.3">
      <c r="A95">
        <v>94</v>
      </c>
      <c r="B95" t="s">
        <v>601</v>
      </c>
      <c r="C95">
        <v>64</v>
      </c>
      <c r="D95" t="s">
        <v>94</v>
      </c>
      <c r="E95" t="s">
        <v>503</v>
      </c>
      <c r="F95" t="s">
        <v>539</v>
      </c>
      <c r="G95">
        <v>16</v>
      </c>
      <c r="H95" t="s">
        <v>522</v>
      </c>
      <c r="I95" t="s">
        <v>509</v>
      </c>
      <c r="J95" t="s">
        <v>557</v>
      </c>
      <c r="K95" t="s">
        <v>522</v>
      </c>
      <c r="L95" t="b">
        <v>1</v>
      </c>
    </row>
    <row r="96" spans="1:12" x14ac:dyDescent="0.3">
      <c r="A96">
        <v>95</v>
      </c>
      <c r="B96" t="s">
        <v>602</v>
      </c>
      <c r="C96">
        <v>44</v>
      </c>
      <c r="D96" t="s">
        <v>93</v>
      </c>
      <c r="E96" t="s">
        <v>503</v>
      </c>
      <c r="F96" t="s">
        <v>539</v>
      </c>
      <c r="G96">
        <v>5</v>
      </c>
      <c r="H96" t="s">
        <v>522</v>
      </c>
      <c r="I96" t="s">
        <v>515</v>
      </c>
      <c r="J96" t="s">
        <v>512</v>
      </c>
      <c r="K96" t="s">
        <v>522</v>
      </c>
      <c r="L96" t="b">
        <v>1</v>
      </c>
    </row>
    <row r="97" spans="1:12" x14ac:dyDescent="0.3">
      <c r="A97">
        <v>96</v>
      </c>
      <c r="B97" t="s">
        <v>603</v>
      </c>
      <c r="C97">
        <v>12</v>
      </c>
      <c r="D97" t="s">
        <v>93</v>
      </c>
      <c r="E97" t="s">
        <v>503</v>
      </c>
      <c r="F97" t="s">
        <v>474</v>
      </c>
      <c r="G97">
        <v>7</v>
      </c>
      <c r="H97">
        <v>8</v>
      </c>
      <c r="I97" t="s">
        <v>482</v>
      </c>
      <c r="J97" t="s">
        <v>512</v>
      </c>
      <c r="K97" t="s">
        <v>550</v>
      </c>
      <c r="L97" t="b">
        <v>1</v>
      </c>
    </row>
    <row r="98" spans="1:12" x14ac:dyDescent="0.3">
      <c r="A98">
        <v>97</v>
      </c>
      <c r="B98" t="s">
        <v>604</v>
      </c>
      <c r="C98">
        <v>44</v>
      </c>
      <c r="D98" t="s">
        <v>94</v>
      </c>
      <c r="E98" t="s">
        <v>503</v>
      </c>
      <c r="F98" t="s">
        <v>539</v>
      </c>
      <c r="G98">
        <v>8</v>
      </c>
      <c r="H98" t="s">
        <v>522</v>
      </c>
      <c r="I98" t="s">
        <v>490</v>
      </c>
      <c r="J98" t="s">
        <v>512</v>
      </c>
      <c r="K98" t="s">
        <v>522</v>
      </c>
      <c r="L98" t="b">
        <v>1</v>
      </c>
    </row>
    <row r="99" spans="1:12" x14ac:dyDescent="0.3">
      <c r="A99">
        <v>98</v>
      </c>
      <c r="B99" t="s">
        <v>605</v>
      </c>
      <c r="C99">
        <v>24</v>
      </c>
      <c r="D99" t="s">
        <v>93</v>
      </c>
      <c r="E99" t="s">
        <v>503</v>
      </c>
      <c r="F99" t="s">
        <v>474</v>
      </c>
      <c r="G99">
        <v>1</v>
      </c>
      <c r="H99">
        <v>6</v>
      </c>
      <c r="I99" t="s">
        <v>512</v>
      </c>
      <c r="J99" t="s">
        <v>561</v>
      </c>
      <c r="K99" t="s">
        <v>583</v>
      </c>
      <c r="L99" t="b">
        <v>1</v>
      </c>
    </row>
    <row r="100" spans="1:12" x14ac:dyDescent="0.3">
      <c r="A100">
        <v>99</v>
      </c>
      <c r="B100" t="s">
        <v>531</v>
      </c>
      <c r="C100">
        <v>27</v>
      </c>
      <c r="D100" t="s">
        <v>93</v>
      </c>
      <c r="E100" t="s">
        <v>503</v>
      </c>
      <c r="F100" t="s">
        <v>539</v>
      </c>
      <c r="G100">
        <v>8</v>
      </c>
      <c r="H100" t="s">
        <v>522</v>
      </c>
      <c r="I100" t="s">
        <v>482</v>
      </c>
      <c r="J100" t="s">
        <v>561</v>
      </c>
      <c r="K100" t="s">
        <v>522</v>
      </c>
      <c r="L100" t="b">
        <v>1</v>
      </c>
    </row>
    <row r="101" spans="1:12" x14ac:dyDescent="0.3">
      <c r="A101">
        <v>100</v>
      </c>
      <c r="B101" t="s">
        <v>606</v>
      </c>
      <c r="C101">
        <v>20</v>
      </c>
      <c r="D101" t="s">
        <v>93</v>
      </c>
      <c r="E101" t="s">
        <v>591</v>
      </c>
      <c r="F101" t="s">
        <v>539</v>
      </c>
      <c r="G101">
        <v>2</v>
      </c>
      <c r="H101" t="s">
        <v>522</v>
      </c>
      <c r="I101" t="s">
        <v>512</v>
      </c>
      <c r="J101" t="s">
        <v>561</v>
      </c>
      <c r="K101" t="s">
        <v>522</v>
      </c>
      <c r="L101" t="b">
        <v>1</v>
      </c>
    </row>
    <row r="102" spans="1:12" x14ac:dyDescent="0.3">
      <c r="A102">
        <v>101</v>
      </c>
      <c r="B102" t="s">
        <v>570</v>
      </c>
      <c r="C102">
        <v>61</v>
      </c>
      <c r="D102" t="s">
        <v>93</v>
      </c>
      <c r="E102" t="s">
        <v>503</v>
      </c>
      <c r="F102" t="s">
        <v>539</v>
      </c>
      <c r="G102">
        <v>4</v>
      </c>
      <c r="H102" t="s">
        <v>522</v>
      </c>
      <c r="I102" t="s">
        <v>569</v>
      </c>
      <c r="J102" t="s">
        <v>517</v>
      </c>
      <c r="K102" t="s">
        <v>522</v>
      </c>
      <c r="L102" t="b">
        <v>1</v>
      </c>
    </row>
    <row r="103" spans="1:12" x14ac:dyDescent="0.3">
      <c r="A103">
        <v>102</v>
      </c>
      <c r="B103" t="s">
        <v>607</v>
      </c>
      <c r="C103">
        <v>41</v>
      </c>
      <c r="D103" t="s">
        <v>94</v>
      </c>
      <c r="E103" t="s">
        <v>608</v>
      </c>
      <c r="F103" t="s">
        <v>539</v>
      </c>
      <c r="G103">
        <v>4</v>
      </c>
      <c r="H103" t="s">
        <v>522</v>
      </c>
      <c r="I103" t="s">
        <v>569</v>
      </c>
      <c r="J103" t="s">
        <v>517</v>
      </c>
      <c r="K103" t="s">
        <v>522</v>
      </c>
      <c r="L103" t="b">
        <v>1</v>
      </c>
    </row>
    <row r="104" spans="1:12" x14ac:dyDescent="0.3">
      <c r="A104">
        <v>103</v>
      </c>
      <c r="B104" t="s">
        <v>609</v>
      </c>
      <c r="C104">
        <v>37</v>
      </c>
      <c r="D104" t="s">
        <v>94</v>
      </c>
      <c r="E104" t="s">
        <v>503</v>
      </c>
      <c r="F104" t="s">
        <v>539</v>
      </c>
      <c r="G104">
        <v>10</v>
      </c>
      <c r="H104" t="s">
        <v>522</v>
      </c>
      <c r="I104" t="s">
        <v>490</v>
      </c>
      <c r="J104" t="s">
        <v>564</v>
      </c>
      <c r="K104" t="s">
        <v>522</v>
      </c>
      <c r="L104" t="b">
        <v>1</v>
      </c>
    </row>
    <row r="105" spans="1:12" x14ac:dyDescent="0.3">
      <c r="A105">
        <v>104</v>
      </c>
      <c r="B105" t="s">
        <v>610</v>
      </c>
      <c r="C105">
        <v>25</v>
      </c>
      <c r="D105" t="s">
        <v>94</v>
      </c>
      <c r="E105" t="s">
        <v>611</v>
      </c>
      <c r="F105" t="s">
        <v>539</v>
      </c>
      <c r="G105">
        <v>7</v>
      </c>
      <c r="H105" t="s">
        <v>522</v>
      </c>
      <c r="I105" t="s">
        <v>495</v>
      </c>
      <c r="J105" t="s">
        <v>564</v>
      </c>
      <c r="K105" t="s">
        <v>522</v>
      </c>
      <c r="L105" t="b">
        <v>1</v>
      </c>
    </row>
    <row r="106" spans="1:12" x14ac:dyDescent="0.3">
      <c r="A106">
        <v>105</v>
      </c>
      <c r="B106" t="s">
        <v>612</v>
      </c>
      <c r="C106">
        <v>49</v>
      </c>
      <c r="D106" t="s">
        <v>93</v>
      </c>
      <c r="E106" t="s">
        <v>503</v>
      </c>
      <c r="F106" t="s">
        <v>539</v>
      </c>
      <c r="G106">
        <v>4</v>
      </c>
      <c r="H106" t="s">
        <v>522</v>
      </c>
      <c r="I106" t="s">
        <v>557</v>
      </c>
      <c r="J106" t="s">
        <v>564</v>
      </c>
      <c r="K106" t="s">
        <v>522</v>
      </c>
      <c r="L106" t="b">
        <v>1</v>
      </c>
    </row>
    <row r="107" spans="1:12" x14ac:dyDescent="0.3">
      <c r="A107">
        <v>106</v>
      </c>
      <c r="B107" t="s">
        <v>662</v>
      </c>
      <c r="C107">
        <v>54</v>
      </c>
      <c r="D107" t="s">
        <v>93</v>
      </c>
      <c r="E107" t="s">
        <v>613</v>
      </c>
      <c r="F107" t="s">
        <v>539</v>
      </c>
      <c r="G107">
        <v>7</v>
      </c>
      <c r="H107" t="s">
        <v>522</v>
      </c>
      <c r="I107" t="s">
        <v>495</v>
      </c>
      <c r="J107" t="s">
        <v>564</v>
      </c>
      <c r="K107" t="s">
        <v>522</v>
      </c>
      <c r="L107" t="b">
        <v>1</v>
      </c>
    </row>
    <row r="108" spans="1:12" x14ac:dyDescent="0.3">
      <c r="A108">
        <v>107</v>
      </c>
      <c r="B108" t="s">
        <v>614</v>
      </c>
      <c r="C108">
        <v>68</v>
      </c>
      <c r="D108" t="s">
        <v>94</v>
      </c>
      <c r="E108" t="s">
        <v>503</v>
      </c>
      <c r="F108" t="s">
        <v>474</v>
      </c>
      <c r="G108">
        <v>15</v>
      </c>
      <c r="H108">
        <v>4</v>
      </c>
      <c r="I108" t="s">
        <v>506</v>
      </c>
      <c r="J108" t="s">
        <v>564</v>
      </c>
      <c r="K108" t="s">
        <v>615</v>
      </c>
      <c r="L108" t="b">
        <v>1</v>
      </c>
    </row>
    <row r="109" spans="1:12" x14ac:dyDescent="0.3">
      <c r="A109">
        <v>108</v>
      </c>
      <c r="B109" t="s">
        <v>616</v>
      </c>
      <c r="C109">
        <v>34</v>
      </c>
      <c r="D109" t="s">
        <v>94</v>
      </c>
      <c r="E109" t="s">
        <v>608</v>
      </c>
      <c r="F109" t="s">
        <v>539</v>
      </c>
      <c r="G109">
        <v>6</v>
      </c>
      <c r="H109" t="s">
        <v>522</v>
      </c>
      <c r="I109" t="s">
        <v>569</v>
      </c>
      <c r="J109" t="s">
        <v>542</v>
      </c>
      <c r="K109" t="s">
        <v>522</v>
      </c>
      <c r="L109" t="b">
        <v>1</v>
      </c>
    </row>
    <row r="110" spans="1:12" x14ac:dyDescent="0.3">
      <c r="A110">
        <v>109</v>
      </c>
      <c r="B110" t="s">
        <v>617</v>
      </c>
      <c r="C110">
        <v>70</v>
      </c>
      <c r="D110" t="s">
        <v>93</v>
      </c>
      <c r="E110" t="s">
        <v>503</v>
      </c>
      <c r="F110" t="s">
        <v>539</v>
      </c>
      <c r="G110">
        <v>7</v>
      </c>
      <c r="H110" t="s">
        <v>522</v>
      </c>
      <c r="I110" t="s">
        <v>569</v>
      </c>
      <c r="J110" t="s">
        <v>542</v>
      </c>
      <c r="K110" t="s">
        <v>522</v>
      </c>
      <c r="L110" t="b">
        <v>1</v>
      </c>
    </row>
    <row r="111" spans="1:12" x14ac:dyDescent="0.3">
      <c r="A111">
        <v>110</v>
      </c>
      <c r="B111" t="s">
        <v>618</v>
      </c>
      <c r="C111">
        <v>33</v>
      </c>
      <c r="D111" t="s">
        <v>93</v>
      </c>
      <c r="E111" t="s">
        <v>503</v>
      </c>
      <c r="F111" t="s">
        <v>474</v>
      </c>
      <c r="G111">
        <v>10</v>
      </c>
      <c r="H111">
        <v>4</v>
      </c>
      <c r="I111" t="s">
        <v>515</v>
      </c>
      <c r="J111" t="s">
        <v>542</v>
      </c>
      <c r="K111" t="s">
        <v>550</v>
      </c>
      <c r="L111" t="b">
        <v>1</v>
      </c>
    </row>
    <row r="112" spans="1:12" x14ac:dyDescent="0.3">
      <c r="A112">
        <v>111</v>
      </c>
      <c r="B112" t="s">
        <v>619</v>
      </c>
      <c r="C112">
        <v>43</v>
      </c>
      <c r="D112" t="s">
        <v>93</v>
      </c>
      <c r="E112" t="s">
        <v>503</v>
      </c>
      <c r="F112" t="s">
        <v>539</v>
      </c>
      <c r="G112">
        <v>9</v>
      </c>
      <c r="H112" t="s">
        <v>522</v>
      </c>
      <c r="I112" t="s">
        <v>554</v>
      </c>
      <c r="J112" t="s">
        <v>620</v>
      </c>
      <c r="K112" t="s">
        <v>522</v>
      </c>
      <c r="L112" t="b">
        <v>1</v>
      </c>
    </row>
    <row r="113" spans="1:12" x14ac:dyDescent="0.3">
      <c r="A113">
        <v>112</v>
      </c>
      <c r="B113" t="s">
        <v>621</v>
      </c>
      <c r="C113">
        <v>62</v>
      </c>
      <c r="D113" t="s">
        <v>94</v>
      </c>
      <c r="E113" t="s">
        <v>503</v>
      </c>
      <c r="F113" t="s">
        <v>474</v>
      </c>
      <c r="G113">
        <v>12</v>
      </c>
      <c r="H113">
        <v>5</v>
      </c>
      <c r="I113" t="s">
        <v>482</v>
      </c>
      <c r="J113" t="s">
        <v>573</v>
      </c>
      <c r="K113" t="s">
        <v>622</v>
      </c>
      <c r="L113" t="b">
        <v>1</v>
      </c>
    </row>
    <row r="114" spans="1:12" x14ac:dyDescent="0.3">
      <c r="A114">
        <v>113</v>
      </c>
      <c r="B114" t="s">
        <v>663</v>
      </c>
      <c r="C114">
        <v>42</v>
      </c>
      <c r="D114" t="s">
        <v>93</v>
      </c>
      <c r="E114" t="s">
        <v>623</v>
      </c>
      <c r="F114" t="s">
        <v>539</v>
      </c>
      <c r="G114">
        <v>2</v>
      </c>
      <c r="H114" t="s">
        <v>522</v>
      </c>
      <c r="I114" t="s">
        <v>620</v>
      </c>
      <c r="J114" t="s">
        <v>573</v>
      </c>
      <c r="K114" t="s">
        <v>522</v>
      </c>
      <c r="L114" t="b">
        <v>1</v>
      </c>
    </row>
    <row r="115" spans="1:12" x14ac:dyDescent="0.3">
      <c r="A115">
        <v>114</v>
      </c>
      <c r="B115" t="s">
        <v>558</v>
      </c>
      <c r="C115">
        <v>62</v>
      </c>
      <c r="D115" t="s">
        <v>93</v>
      </c>
      <c r="E115" t="s">
        <v>503</v>
      </c>
      <c r="F115" t="s">
        <v>539</v>
      </c>
      <c r="G115">
        <v>6</v>
      </c>
      <c r="H115" t="s">
        <v>522</v>
      </c>
      <c r="I115" t="s">
        <v>561</v>
      </c>
      <c r="J115" t="s">
        <v>573</v>
      </c>
      <c r="K115" t="s">
        <v>522</v>
      </c>
      <c r="L115" t="b">
        <v>1</v>
      </c>
    </row>
    <row r="116" spans="1:12" x14ac:dyDescent="0.3">
      <c r="A116">
        <v>115</v>
      </c>
      <c r="B116" t="s">
        <v>621</v>
      </c>
      <c r="C116">
        <v>62</v>
      </c>
      <c r="D116" t="s">
        <v>94</v>
      </c>
      <c r="E116" t="s">
        <v>503</v>
      </c>
      <c r="F116" t="s">
        <v>539</v>
      </c>
      <c r="G116" t="s">
        <v>522</v>
      </c>
      <c r="H116" t="s">
        <v>522</v>
      </c>
      <c r="I116" t="s">
        <v>522</v>
      </c>
      <c r="J116" t="s">
        <v>583</v>
      </c>
      <c r="K116" t="s">
        <v>522</v>
      </c>
      <c r="L116" t="b">
        <v>1</v>
      </c>
    </row>
    <row r="117" spans="1:12" x14ac:dyDescent="0.3">
      <c r="A117">
        <v>116</v>
      </c>
      <c r="B117" t="s">
        <v>624</v>
      </c>
      <c r="C117">
        <v>50</v>
      </c>
      <c r="D117" t="s">
        <v>94</v>
      </c>
      <c r="E117" t="s">
        <v>503</v>
      </c>
      <c r="F117" t="s">
        <v>539</v>
      </c>
      <c r="G117">
        <v>5</v>
      </c>
      <c r="H117" t="s">
        <v>522</v>
      </c>
      <c r="I117" t="s">
        <v>517</v>
      </c>
      <c r="J117" t="s">
        <v>583</v>
      </c>
      <c r="K117" t="s">
        <v>522</v>
      </c>
      <c r="L117" t="b">
        <v>1</v>
      </c>
    </row>
    <row r="118" spans="1:12" x14ac:dyDescent="0.3">
      <c r="A118">
        <v>117</v>
      </c>
      <c r="B118" t="s">
        <v>625</v>
      </c>
      <c r="C118">
        <v>52</v>
      </c>
      <c r="D118" t="s">
        <v>94</v>
      </c>
      <c r="E118" t="s">
        <v>503</v>
      </c>
      <c r="F118" t="s">
        <v>539</v>
      </c>
      <c r="G118">
        <v>3</v>
      </c>
      <c r="H118" t="s">
        <v>522</v>
      </c>
      <c r="I118" t="s">
        <v>542</v>
      </c>
      <c r="J118" t="s">
        <v>583</v>
      </c>
      <c r="K118" t="s">
        <v>522</v>
      </c>
      <c r="L118" t="b">
        <v>1</v>
      </c>
    </row>
    <row r="119" spans="1:12" x14ac:dyDescent="0.3">
      <c r="A119">
        <v>118</v>
      </c>
      <c r="B119" t="s">
        <v>626</v>
      </c>
      <c r="C119">
        <v>33</v>
      </c>
      <c r="D119" t="s">
        <v>94</v>
      </c>
      <c r="E119" t="s">
        <v>503</v>
      </c>
      <c r="F119" t="s">
        <v>539</v>
      </c>
      <c r="G119">
        <v>6</v>
      </c>
      <c r="H119" t="s">
        <v>522</v>
      </c>
      <c r="I119" t="s">
        <v>517</v>
      </c>
      <c r="J119" t="s">
        <v>583</v>
      </c>
      <c r="K119" t="s">
        <v>522</v>
      </c>
      <c r="L119" t="b">
        <v>1</v>
      </c>
    </row>
    <row r="120" spans="1:12" x14ac:dyDescent="0.3">
      <c r="A120">
        <v>119</v>
      </c>
      <c r="B120" t="s">
        <v>568</v>
      </c>
      <c r="C120">
        <v>55</v>
      </c>
      <c r="D120" t="s">
        <v>93</v>
      </c>
      <c r="E120" t="s">
        <v>503</v>
      </c>
      <c r="F120" t="s">
        <v>539</v>
      </c>
      <c r="G120">
        <v>8</v>
      </c>
      <c r="H120" t="s">
        <v>522</v>
      </c>
      <c r="I120" t="s">
        <v>512</v>
      </c>
      <c r="J120" t="s">
        <v>583</v>
      </c>
      <c r="K120" t="s">
        <v>522</v>
      </c>
      <c r="L120" t="b">
        <v>1</v>
      </c>
    </row>
    <row r="121" spans="1:12" x14ac:dyDescent="0.3">
      <c r="A121">
        <v>120</v>
      </c>
      <c r="B121" t="s">
        <v>621</v>
      </c>
      <c r="C121">
        <v>62</v>
      </c>
      <c r="D121" t="s">
        <v>94</v>
      </c>
      <c r="E121" t="s">
        <v>503</v>
      </c>
      <c r="F121" t="s">
        <v>539</v>
      </c>
      <c r="G121">
        <v>4</v>
      </c>
      <c r="H121" t="s">
        <v>522</v>
      </c>
      <c r="I121" t="s">
        <v>542</v>
      </c>
      <c r="J121" t="s">
        <v>583</v>
      </c>
      <c r="K121" t="s">
        <v>522</v>
      </c>
      <c r="L121" t="b">
        <v>1</v>
      </c>
    </row>
    <row r="122" spans="1:12" x14ac:dyDescent="0.3">
      <c r="A122">
        <v>121</v>
      </c>
      <c r="B122" t="s">
        <v>575</v>
      </c>
      <c r="C122">
        <v>54</v>
      </c>
      <c r="D122" t="s">
        <v>94</v>
      </c>
      <c r="E122" t="s">
        <v>503</v>
      </c>
      <c r="F122" t="s">
        <v>539</v>
      </c>
      <c r="G122">
        <v>9</v>
      </c>
      <c r="H122" t="s">
        <v>522</v>
      </c>
      <c r="I122" t="s">
        <v>557</v>
      </c>
      <c r="J122" t="s">
        <v>583</v>
      </c>
      <c r="K122" t="s">
        <v>522</v>
      </c>
      <c r="L122" t="b">
        <v>1</v>
      </c>
    </row>
    <row r="123" spans="1:12" x14ac:dyDescent="0.3">
      <c r="A123">
        <v>122</v>
      </c>
      <c r="B123" t="s">
        <v>601</v>
      </c>
      <c r="C123">
        <v>64</v>
      </c>
      <c r="D123" t="s">
        <v>94</v>
      </c>
      <c r="E123" t="s">
        <v>503</v>
      </c>
      <c r="F123" t="s">
        <v>539</v>
      </c>
      <c r="G123">
        <v>3</v>
      </c>
      <c r="H123" t="s">
        <v>522</v>
      </c>
      <c r="I123" t="s">
        <v>620</v>
      </c>
      <c r="J123" t="s">
        <v>583</v>
      </c>
      <c r="K123" t="s">
        <v>522</v>
      </c>
      <c r="L123" t="b">
        <v>1</v>
      </c>
    </row>
    <row r="124" spans="1:12" x14ac:dyDescent="0.3">
      <c r="A124">
        <v>123</v>
      </c>
      <c r="B124" t="s">
        <v>600</v>
      </c>
      <c r="C124">
        <v>47</v>
      </c>
      <c r="D124" t="s">
        <v>93</v>
      </c>
      <c r="E124" t="s">
        <v>503</v>
      </c>
      <c r="F124" t="s">
        <v>539</v>
      </c>
      <c r="G124">
        <v>8</v>
      </c>
      <c r="H124" t="s">
        <v>522</v>
      </c>
      <c r="I124" t="s">
        <v>512</v>
      </c>
      <c r="J124" t="s">
        <v>583</v>
      </c>
      <c r="K124" t="s">
        <v>522</v>
      </c>
      <c r="L124" t="b">
        <v>1</v>
      </c>
    </row>
    <row r="125" spans="1:12" x14ac:dyDescent="0.3">
      <c r="A125">
        <v>124</v>
      </c>
      <c r="B125" t="s">
        <v>627</v>
      </c>
      <c r="C125">
        <v>37</v>
      </c>
      <c r="D125" t="s">
        <v>94</v>
      </c>
      <c r="E125" t="s">
        <v>503</v>
      </c>
      <c r="F125" t="s">
        <v>539</v>
      </c>
      <c r="G125">
        <v>1</v>
      </c>
      <c r="H125" t="s">
        <v>522</v>
      </c>
      <c r="I125" t="s">
        <v>583</v>
      </c>
      <c r="J125" t="s">
        <v>615</v>
      </c>
      <c r="K125" t="s">
        <v>522</v>
      </c>
      <c r="L125" t="b">
        <v>1</v>
      </c>
    </row>
    <row r="126" spans="1:12" x14ac:dyDescent="0.3">
      <c r="A126">
        <v>125</v>
      </c>
      <c r="B126" t="s">
        <v>628</v>
      </c>
      <c r="C126">
        <v>65</v>
      </c>
      <c r="D126" t="s">
        <v>94</v>
      </c>
      <c r="E126" t="s">
        <v>503</v>
      </c>
      <c r="F126" t="s">
        <v>539</v>
      </c>
      <c r="G126">
        <v>1</v>
      </c>
      <c r="H126" t="s">
        <v>522</v>
      </c>
      <c r="I126" t="s">
        <v>583</v>
      </c>
      <c r="J126" t="s">
        <v>615</v>
      </c>
      <c r="K126" t="s">
        <v>522</v>
      </c>
      <c r="L126" t="b">
        <v>1</v>
      </c>
    </row>
    <row r="127" spans="1:12" x14ac:dyDescent="0.3">
      <c r="A127">
        <v>126</v>
      </c>
      <c r="B127" t="s">
        <v>629</v>
      </c>
      <c r="C127">
        <v>77</v>
      </c>
      <c r="D127" t="s">
        <v>93</v>
      </c>
      <c r="E127" t="s">
        <v>503</v>
      </c>
      <c r="F127" t="s">
        <v>539</v>
      </c>
      <c r="G127">
        <v>1</v>
      </c>
      <c r="H127" t="s">
        <v>522</v>
      </c>
      <c r="I127" t="s">
        <v>583</v>
      </c>
      <c r="J127" t="s">
        <v>615</v>
      </c>
      <c r="K127" t="s">
        <v>522</v>
      </c>
      <c r="L127" t="b">
        <v>1</v>
      </c>
    </row>
    <row r="128" spans="1:12" x14ac:dyDescent="0.3">
      <c r="A128">
        <v>127</v>
      </c>
      <c r="B128" t="s">
        <v>601</v>
      </c>
      <c r="C128">
        <v>64</v>
      </c>
      <c r="D128" t="s">
        <v>94</v>
      </c>
      <c r="E128" t="s">
        <v>503</v>
      </c>
      <c r="F128" t="s">
        <v>539</v>
      </c>
      <c r="G128">
        <v>1</v>
      </c>
      <c r="H128" t="s">
        <v>522</v>
      </c>
      <c r="I128" t="s">
        <v>583</v>
      </c>
      <c r="J128" t="s">
        <v>583</v>
      </c>
      <c r="K128" t="s">
        <v>522</v>
      </c>
      <c r="L128" t="b">
        <v>1</v>
      </c>
    </row>
    <row r="129" spans="1:12" x14ac:dyDescent="0.3">
      <c r="A129">
        <v>128</v>
      </c>
      <c r="B129" t="s">
        <v>630</v>
      </c>
      <c r="C129">
        <v>70</v>
      </c>
      <c r="D129" t="s">
        <v>93</v>
      </c>
      <c r="E129" t="s">
        <v>503</v>
      </c>
      <c r="F129" t="s">
        <v>539</v>
      </c>
      <c r="G129">
        <v>1</v>
      </c>
      <c r="H129" t="s">
        <v>522</v>
      </c>
      <c r="I129" t="s">
        <v>583</v>
      </c>
      <c r="J129" t="s">
        <v>615</v>
      </c>
      <c r="K129" t="s">
        <v>522</v>
      </c>
      <c r="L129" t="b">
        <v>1</v>
      </c>
    </row>
    <row r="130" spans="1:12" x14ac:dyDescent="0.3">
      <c r="A130">
        <v>129</v>
      </c>
      <c r="B130" t="s">
        <v>614</v>
      </c>
      <c r="C130">
        <v>68</v>
      </c>
      <c r="D130" t="s">
        <v>94</v>
      </c>
      <c r="E130" t="s">
        <v>503</v>
      </c>
      <c r="F130" t="s">
        <v>539</v>
      </c>
      <c r="G130" t="s">
        <v>522</v>
      </c>
      <c r="H130" t="s">
        <v>522</v>
      </c>
      <c r="I130" t="s">
        <v>522</v>
      </c>
      <c r="J130" t="s">
        <v>615</v>
      </c>
      <c r="K130" t="s">
        <v>522</v>
      </c>
      <c r="L130" t="b">
        <v>1</v>
      </c>
    </row>
    <row r="131" spans="1:12" x14ac:dyDescent="0.3">
      <c r="A131">
        <v>130</v>
      </c>
      <c r="B131" t="s">
        <v>631</v>
      </c>
      <c r="C131">
        <v>66</v>
      </c>
      <c r="D131" t="s">
        <v>93</v>
      </c>
      <c r="E131" t="s">
        <v>503</v>
      </c>
      <c r="F131" t="s">
        <v>539</v>
      </c>
      <c r="G131" t="s">
        <v>522</v>
      </c>
      <c r="H131" t="s">
        <v>522</v>
      </c>
      <c r="I131" t="s">
        <v>522</v>
      </c>
      <c r="J131" t="s">
        <v>615</v>
      </c>
      <c r="K131" t="s">
        <v>522</v>
      </c>
      <c r="L131" t="b">
        <v>1</v>
      </c>
    </row>
    <row r="132" spans="1:12" x14ac:dyDescent="0.3">
      <c r="A132">
        <v>131</v>
      </c>
      <c r="B132" t="s">
        <v>631</v>
      </c>
      <c r="C132">
        <v>66</v>
      </c>
      <c r="D132" t="s">
        <v>93</v>
      </c>
      <c r="E132" t="s">
        <v>503</v>
      </c>
      <c r="F132" t="s">
        <v>539</v>
      </c>
      <c r="G132">
        <v>5</v>
      </c>
      <c r="H132" t="s">
        <v>522</v>
      </c>
      <c r="I132" t="s">
        <v>542</v>
      </c>
      <c r="J132" t="s">
        <v>615</v>
      </c>
      <c r="K132" t="s">
        <v>522</v>
      </c>
      <c r="L132" t="b">
        <v>1</v>
      </c>
    </row>
    <row r="133" spans="1:12" x14ac:dyDescent="0.3">
      <c r="A133">
        <v>132</v>
      </c>
      <c r="B133" t="s">
        <v>627</v>
      </c>
      <c r="C133">
        <v>37</v>
      </c>
      <c r="D133" t="s">
        <v>94</v>
      </c>
      <c r="E133" t="s">
        <v>503</v>
      </c>
      <c r="F133" t="s">
        <v>539</v>
      </c>
      <c r="G133">
        <v>7</v>
      </c>
      <c r="H133" t="s">
        <v>522</v>
      </c>
      <c r="I133" t="s">
        <v>517</v>
      </c>
      <c r="J133" t="s">
        <v>615</v>
      </c>
      <c r="K133" t="s">
        <v>522</v>
      </c>
      <c r="L133" t="b">
        <v>1</v>
      </c>
    </row>
    <row r="134" spans="1:12" x14ac:dyDescent="0.3">
      <c r="A134">
        <v>133</v>
      </c>
      <c r="B134" t="s">
        <v>632</v>
      </c>
      <c r="C134">
        <v>62</v>
      </c>
      <c r="D134" t="s">
        <v>94</v>
      </c>
      <c r="E134" t="s">
        <v>519</v>
      </c>
      <c r="F134" t="s">
        <v>539</v>
      </c>
      <c r="G134">
        <v>7</v>
      </c>
      <c r="H134" t="s">
        <v>522</v>
      </c>
      <c r="I134" t="s">
        <v>517</v>
      </c>
      <c r="J134" t="s">
        <v>615</v>
      </c>
      <c r="K134" t="s">
        <v>522</v>
      </c>
      <c r="L134" t="b">
        <v>1</v>
      </c>
    </row>
    <row r="135" spans="1:12" x14ac:dyDescent="0.3">
      <c r="A135">
        <v>134</v>
      </c>
      <c r="B135" t="s">
        <v>633</v>
      </c>
      <c r="C135">
        <v>56</v>
      </c>
      <c r="D135" t="s">
        <v>94</v>
      </c>
      <c r="E135" t="s">
        <v>503</v>
      </c>
      <c r="F135" t="s">
        <v>539</v>
      </c>
      <c r="G135">
        <v>8</v>
      </c>
      <c r="H135" t="s">
        <v>522</v>
      </c>
      <c r="I135" t="s">
        <v>561</v>
      </c>
      <c r="J135" t="s">
        <v>615</v>
      </c>
      <c r="K135" t="s">
        <v>522</v>
      </c>
      <c r="L135" t="b">
        <v>1</v>
      </c>
    </row>
    <row r="136" spans="1:12" x14ac:dyDescent="0.3">
      <c r="A136">
        <v>135</v>
      </c>
      <c r="B136" t="s">
        <v>634</v>
      </c>
      <c r="C136">
        <v>40</v>
      </c>
      <c r="D136" t="s">
        <v>93</v>
      </c>
      <c r="E136" t="s">
        <v>503</v>
      </c>
      <c r="F136" t="s">
        <v>539</v>
      </c>
      <c r="G136">
        <v>10</v>
      </c>
      <c r="H136" t="s">
        <v>522</v>
      </c>
      <c r="I136" t="s">
        <v>557</v>
      </c>
      <c r="J136" t="s">
        <v>615</v>
      </c>
      <c r="K136" t="s">
        <v>522</v>
      </c>
      <c r="L136" t="b">
        <v>1</v>
      </c>
    </row>
    <row r="137" spans="1:12" x14ac:dyDescent="0.3">
      <c r="A137">
        <v>136</v>
      </c>
      <c r="B137" t="s">
        <v>664</v>
      </c>
      <c r="C137">
        <v>36</v>
      </c>
      <c r="D137" t="s">
        <v>93</v>
      </c>
      <c r="E137" t="s">
        <v>635</v>
      </c>
      <c r="F137" t="s">
        <v>539</v>
      </c>
      <c r="G137">
        <v>6</v>
      </c>
      <c r="H137" t="s">
        <v>522</v>
      </c>
      <c r="I137" t="s">
        <v>564</v>
      </c>
      <c r="J137" t="s">
        <v>615</v>
      </c>
      <c r="K137" t="s">
        <v>522</v>
      </c>
      <c r="L137" t="b">
        <v>1</v>
      </c>
    </row>
    <row r="138" spans="1:12" x14ac:dyDescent="0.3">
      <c r="A138">
        <v>137</v>
      </c>
      <c r="B138" t="s">
        <v>636</v>
      </c>
      <c r="C138">
        <v>60</v>
      </c>
      <c r="D138" t="s">
        <v>93</v>
      </c>
      <c r="E138" t="s">
        <v>503</v>
      </c>
      <c r="F138" t="s">
        <v>539</v>
      </c>
      <c r="G138">
        <v>1</v>
      </c>
      <c r="H138" t="s">
        <v>522</v>
      </c>
      <c r="I138" t="s">
        <v>583</v>
      </c>
      <c r="J138" t="s">
        <v>615</v>
      </c>
      <c r="K138" t="s">
        <v>522</v>
      </c>
      <c r="L138" t="b">
        <v>1</v>
      </c>
    </row>
    <row r="139" spans="1:12" x14ac:dyDescent="0.3">
      <c r="A139">
        <v>138</v>
      </c>
      <c r="B139" t="s">
        <v>567</v>
      </c>
      <c r="C139">
        <v>26</v>
      </c>
      <c r="D139" t="s">
        <v>93</v>
      </c>
      <c r="E139" t="s">
        <v>503</v>
      </c>
      <c r="F139" t="s">
        <v>474</v>
      </c>
      <c r="G139" t="s">
        <v>522</v>
      </c>
      <c r="H139">
        <v>2</v>
      </c>
      <c r="I139" t="s">
        <v>522</v>
      </c>
      <c r="J139" t="s">
        <v>615</v>
      </c>
      <c r="K139" t="s">
        <v>622</v>
      </c>
      <c r="L139" t="b">
        <v>0</v>
      </c>
    </row>
    <row r="140" spans="1:12" x14ac:dyDescent="0.3">
      <c r="A140">
        <v>139</v>
      </c>
      <c r="B140" t="s">
        <v>637</v>
      </c>
      <c r="C140">
        <v>71</v>
      </c>
      <c r="D140" t="s">
        <v>93</v>
      </c>
      <c r="E140" t="s">
        <v>503</v>
      </c>
      <c r="F140" t="s">
        <v>539</v>
      </c>
      <c r="G140">
        <v>5</v>
      </c>
      <c r="H140" t="s">
        <v>522</v>
      </c>
      <c r="I140" t="s">
        <v>620</v>
      </c>
      <c r="J140" t="s">
        <v>550</v>
      </c>
      <c r="K140" t="s">
        <v>522</v>
      </c>
      <c r="L140" t="b">
        <v>1</v>
      </c>
    </row>
    <row r="141" spans="1:12" x14ac:dyDescent="0.3">
      <c r="A141">
        <v>140</v>
      </c>
      <c r="B141" t="s">
        <v>621</v>
      </c>
      <c r="C141">
        <v>62</v>
      </c>
      <c r="D141" t="s">
        <v>94</v>
      </c>
      <c r="E141" t="s">
        <v>503</v>
      </c>
      <c r="F141" t="s">
        <v>539</v>
      </c>
      <c r="G141">
        <v>9</v>
      </c>
      <c r="H141" t="s">
        <v>522</v>
      </c>
      <c r="I141" t="s">
        <v>561</v>
      </c>
      <c r="J141" t="s">
        <v>550</v>
      </c>
      <c r="K141" t="s">
        <v>522</v>
      </c>
      <c r="L141" t="b">
        <v>1</v>
      </c>
    </row>
    <row r="142" spans="1:12" x14ac:dyDescent="0.3">
      <c r="A142">
        <v>141</v>
      </c>
      <c r="B142" t="s">
        <v>638</v>
      </c>
      <c r="C142">
        <v>69</v>
      </c>
      <c r="D142" t="s">
        <v>93</v>
      </c>
      <c r="E142" t="s">
        <v>503</v>
      </c>
      <c r="F142" t="s">
        <v>539</v>
      </c>
      <c r="G142">
        <v>7</v>
      </c>
      <c r="H142" t="s">
        <v>522</v>
      </c>
      <c r="I142" t="s">
        <v>564</v>
      </c>
      <c r="J142" t="s">
        <v>550</v>
      </c>
      <c r="K142" t="s">
        <v>522</v>
      </c>
      <c r="L142" t="b">
        <v>1</v>
      </c>
    </row>
    <row r="143" spans="1:12" x14ac:dyDescent="0.3">
      <c r="A143">
        <v>142</v>
      </c>
      <c r="B143" t="s">
        <v>567</v>
      </c>
      <c r="C143">
        <v>26</v>
      </c>
      <c r="D143" t="s">
        <v>93</v>
      </c>
      <c r="E143" t="s">
        <v>503</v>
      </c>
      <c r="F143" t="s">
        <v>539</v>
      </c>
      <c r="G143">
        <v>3</v>
      </c>
      <c r="H143" t="s">
        <v>522</v>
      </c>
      <c r="I143" t="s">
        <v>583</v>
      </c>
      <c r="J143" t="s">
        <v>550</v>
      </c>
      <c r="K143" t="s">
        <v>522</v>
      </c>
      <c r="L143" t="b">
        <v>1</v>
      </c>
    </row>
    <row r="144" spans="1:12" x14ac:dyDescent="0.3">
      <c r="A144">
        <v>143</v>
      </c>
      <c r="B144" t="s">
        <v>639</v>
      </c>
      <c r="C144">
        <v>42</v>
      </c>
      <c r="D144" t="s">
        <v>93</v>
      </c>
      <c r="E144" t="s">
        <v>503</v>
      </c>
      <c r="F144" t="s">
        <v>539</v>
      </c>
      <c r="G144">
        <v>3</v>
      </c>
      <c r="H144" t="s">
        <v>522</v>
      </c>
      <c r="I144" t="s">
        <v>583</v>
      </c>
      <c r="J144" t="s">
        <v>550</v>
      </c>
      <c r="K144" t="s">
        <v>522</v>
      </c>
      <c r="L144" t="b">
        <v>1</v>
      </c>
    </row>
    <row r="145" spans="1:12" x14ac:dyDescent="0.3">
      <c r="A145">
        <v>144</v>
      </c>
      <c r="B145" t="s">
        <v>599</v>
      </c>
      <c r="C145">
        <v>58</v>
      </c>
      <c r="D145" t="s">
        <v>94</v>
      </c>
      <c r="E145" t="s">
        <v>503</v>
      </c>
      <c r="F145" t="s">
        <v>539</v>
      </c>
      <c r="G145">
        <v>5</v>
      </c>
      <c r="H145" t="s">
        <v>522</v>
      </c>
      <c r="I145" t="s">
        <v>620</v>
      </c>
      <c r="J145" t="s">
        <v>550</v>
      </c>
      <c r="K145" t="s">
        <v>522</v>
      </c>
      <c r="L145" t="b">
        <v>1</v>
      </c>
    </row>
    <row r="146" spans="1:12" x14ac:dyDescent="0.3">
      <c r="A146">
        <v>145</v>
      </c>
      <c r="B146" t="s">
        <v>640</v>
      </c>
      <c r="C146">
        <v>67</v>
      </c>
      <c r="D146" t="s">
        <v>94</v>
      </c>
      <c r="E146" t="s">
        <v>503</v>
      </c>
      <c r="F146" t="s">
        <v>539</v>
      </c>
      <c r="G146">
        <v>8</v>
      </c>
      <c r="H146" t="s">
        <v>522</v>
      </c>
      <c r="I146" t="s">
        <v>517</v>
      </c>
      <c r="J146" t="s">
        <v>641</v>
      </c>
      <c r="K146" t="s">
        <v>522</v>
      </c>
      <c r="L146" t="b">
        <v>1</v>
      </c>
    </row>
    <row r="147" spans="1:12" x14ac:dyDescent="0.3">
      <c r="A147">
        <v>146</v>
      </c>
      <c r="B147" t="s">
        <v>601</v>
      </c>
      <c r="C147">
        <v>64</v>
      </c>
      <c r="D147" t="s">
        <v>94</v>
      </c>
      <c r="E147" t="s">
        <v>503</v>
      </c>
      <c r="F147" t="s">
        <v>539</v>
      </c>
      <c r="G147">
        <v>4</v>
      </c>
      <c r="H147" t="s">
        <v>522</v>
      </c>
      <c r="I147" t="s">
        <v>573</v>
      </c>
      <c r="J147" t="s">
        <v>641</v>
      </c>
      <c r="K147" t="s">
        <v>522</v>
      </c>
      <c r="L147" t="b">
        <v>1</v>
      </c>
    </row>
    <row r="148" spans="1:12" x14ac:dyDescent="0.3">
      <c r="A148">
        <v>147</v>
      </c>
      <c r="B148" t="s">
        <v>642</v>
      </c>
      <c r="C148">
        <v>64</v>
      </c>
      <c r="D148" t="s">
        <v>93</v>
      </c>
      <c r="E148" t="s">
        <v>503</v>
      </c>
      <c r="F148" t="s">
        <v>539</v>
      </c>
      <c r="G148">
        <v>5</v>
      </c>
      <c r="H148" t="s">
        <v>522</v>
      </c>
      <c r="I148" t="s">
        <v>620</v>
      </c>
      <c r="J148" t="s">
        <v>641</v>
      </c>
      <c r="K148" t="s">
        <v>522</v>
      </c>
      <c r="L148" t="b">
        <v>1</v>
      </c>
    </row>
    <row r="149" spans="1:12" x14ac:dyDescent="0.3">
      <c r="A149">
        <v>148</v>
      </c>
      <c r="B149" t="s">
        <v>643</v>
      </c>
      <c r="C149">
        <v>67</v>
      </c>
      <c r="D149" t="s">
        <v>94</v>
      </c>
      <c r="E149" t="s">
        <v>503</v>
      </c>
      <c r="F149" t="s">
        <v>539</v>
      </c>
      <c r="G149">
        <v>13</v>
      </c>
      <c r="H149" t="s">
        <v>522</v>
      </c>
      <c r="I149" t="s">
        <v>554</v>
      </c>
      <c r="J149" t="s">
        <v>641</v>
      </c>
      <c r="K149" t="s">
        <v>522</v>
      </c>
      <c r="L149" t="b">
        <v>1</v>
      </c>
    </row>
    <row r="150" spans="1:12" x14ac:dyDescent="0.3">
      <c r="A150">
        <v>149</v>
      </c>
      <c r="B150" t="s">
        <v>644</v>
      </c>
      <c r="C150">
        <v>62</v>
      </c>
      <c r="D150" t="s">
        <v>93</v>
      </c>
      <c r="E150" t="s">
        <v>503</v>
      </c>
      <c r="F150" t="s">
        <v>539</v>
      </c>
      <c r="G150">
        <v>14</v>
      </c>
      <c r="H150" t="s">
        <v>522</v>
      </c>
      <c r="I150" t="s">
        <v>495</v>
      </c>
      <c r="J150" t="s">
        <v>641</v>
      </c>
      <c r="K150" t="s">
        <v>522</v>
      </c>
      <c r="L150" t="b">
        <v>1</v>
      </c>
    </row>
    <row r="151" spans="1:12" x14ac:dyDescent="0.3">
      <c r="A151">
        <v>150</v>
      </c>
      <c r="B151" t="s">
        <v>645</v>
      </c>
      <c r="C151">
        <v>53</v>
      </c>
      <c r="D151" t="s">
        <v>94</v>
      </c>
      <c r="E151" t="s">
        <v>503</v>
      </c>
      <c r="F151" t="s">
        <v>539</v>
      </c>
      <c r="G151">
        <v>8</v>
      </c>
      <c r="H151" t="s">
        <v>522</v>
      </c>
      <c r="I151" t="s">
        <v>517</v>
      </c>
      <c r="J151" t="s">
        <v>641</v>
      </c>
      <c r="K151" t="s">
        <v>522</v>
      </c>
      <c r="L151" t="b">
        <v>1</v>
      </c>
    </row>
    <row r="152" spans="1:12" x14ac:dyDescent="0.3">
      <c r="A152">
        <v>151</v>
      </c>
      <c r="B152" t="s">
        <v>646</v>
      </c>
      <c r="C152">
        <v>51</v>
      </c>
      <c r="D152" t="s">
        <v>93</v>
      </c>
      <c r="E152" t="s">
        <v>503</v>
      </c>
      <c r="F152" t="s">
        <v>474</v>
      </c>
      <c r="G152">
        <v>33</v>
      </c>
      <c r="H152">
        <v>0</v>
      </c>
      <c r="I152" t="s">
        <v>492</v>
      </c>
      <c r="J152" t="s">
        <v>641</v>
      </c>
      <c r="K152" t="s">
        <v>641</v>
      </c>
      <c r="L152" t="b">
        <v>1</v>
      </c>
    </row>
    <row r="153" spans="1:12" x14ac:dyDescent="0.3">
      <c r="A153">
        <v>152</v>
      </c>
      <c r="B153" t="s">
        <v>647</v>
      </c>
      <c r="C153">
        <v>65</v>
      </c>
      <c r="D153" t="s">
        <v>93</v>
      </c>
      <c r="E153" t="s">
        <v>519</v>
      </c>
      <c r="F153" t="s">
        <v>539</v>
      </c>
      <c r="G153">
        <v>9</v>
      </c>
      <c r="H153" t="s">
        <v>522</v>
      </c>
      <c r="I153" t="s">
        <v>561</v>
      </c>
      <c r="J153" t="s">
        <v>641</v>
      </c>
      <c r="K153" t="s">
        <v>522</v>
      </c>
      <c r="L153" t="b">
        <v>1</v>
      </c>
    </row>
    <row r="154" spans="1:12" x14ac:dyDescent="0.3">
      <c r="A154">
        <v>153</v>
      </c>
      <c r="B154" t="s">
        <v>648</v>
      </c>
      <c r="C154">
        <v>65</v>
      </c>
      <c r="D154" t="s">
        <v>94</v>
      </c>
      <c r="E154" t="s">
        <v>503</v>
      </c>
      <c r="F154" t="s">
        <v>539</v>
      </c>
      <c r="G154">
        <v>5</v>
      </c>
      <c r="H154" t="s">
        <v>522</v>
      </c>
      <c r="I154" t="s">
        <v>620</v>
      </c>
      <c r="J154" t="s">
        <v>641</v>
      </c>
      <c r="K154" t="s">
        <v>522</v>
      </c>
      <c r="L154" t="b">
        <v>1</v>
      </c>
    </row>
    <row r="155" spans="1:12" x14ac:dyDescent="0.3">
      <c r="A155">
        <v>154</v>
      </c>
      <c r="B155" t="s">
        <v>649</v>
      </c>
      <c r="C155">
        <v>52</v>
      </c>
      <c r="D155" t="s">
        <v>93</v>
      </c>
      <c r="E155" t="s">
        <v>650</v>
      </c>
      <c r="F155" t="s">
        <v>539</v>
      </c>
      <c r="G155" t="s">
        <v>522</v>
      </c>
      <c r="H155" t="s">
        <v>522</v>
      </c>
      <c r="I155" t="s">
        <v>522</v>
      </c>
      <c r="J155" t="s">
        <v>622</v>
      </c>
      <c r="K155" t="s">
        <v>522</v>
      </c>
      <c r="L155" t="b">
        <v>1</v>
      </c>
    </row>
    <row r="156" spans="1:12" x14ac:dyDescent="0.3">
      <c r="A156">
        <v>155</v>
      </c>
      <c r="B156" t="s">
        <v>665</v>
      </c>
      <c r="C156">
        <v>47</v>
      </c>
      <c r="D156" t="s">
        <v>94</v>
      </c>
      <c r="E156" t="s">
        <v>591</v>
      </c>
      <c r="F156" t="s">
        <v>539</v>
      </c>
      <c r="G156" t="s">
        <v>522</v>
      </c>
      <c r="H156" t="s">
        <v>522</v>
      </c>
      <c r="I156" t="s">
        <v>522</v>
      </c>
      <c r="J156" t="s">
        <v>622</v>
      </c>
      <c r="K156" t="s">
        <v>522</v>
      </c>
      <c r="L156" t="b">
        <v>1</v>
      </c>
    </row>
    <row r="157" spans="1:12" x14ac:dyDescent="0.3">
      <c r="A157">
        <v>156</v>
      </c>
      <c r="B157" t="s">
        <v>651</v>
      </c>
      <c r="C157">
        <v>50</v>
      </c>
      <c r="D157" t="s">
        <v>94</v>
      </c>
      <c r="E157" t="s">
        <v>503</v>
      </c>
      <c r="F157" t="s">
        <v>539</v>
      </c>
      <c r="G157" t="s">
        <v>522</v>
      </c>
      <c r="H157" t="s">
        <v>522</v>
      </c>
      <c r="I157" t="s">
        <v>522</v>
      </c>
      <c r="J157" t="s">
        <v>622</v>
      </c>
      <c r="K157" t="s">
        <v>522</v>
      </c>
      <c r="L157" t="b">
        <v>1</v>
      </c>
    </row>
    <row r="158" spans="1:12" x14ac:dyDescent="0.3">
      <c r="A158">
        <v>157</v>
      </c>
      <c r="B158" t="s">
        <v>652</v>
      </c>
      <c r="C158">
        <v>54</v>
      </c>
      <c r="D158" t="s">
        <v>93</v>
      </c>
      <c r="E158" t="s">
        <v>503</v>
      </c>
      <c r="F158" t="s">
        <v>539</v>
      </c>
      <c r="G158" t="s">
        <v>522</v>
      </c>
      <c r="H158" t="s">
        <v>522</v>
      </c>
      <c r="I158" t="s">
        <v>522</v>
      </c>
      <c r="J158" t="s">
        <v>622</v>
      </c>
      <c r="K158" t="s">
        <v>522</v>
      </c>
      <c r="L158" t="b">
        <v>1</v>
      </c>
    </row>
    <row r="159" spans="1:12" x14ac:dyDescent="0.3">
      <c r="A159">
        <v>158</v>
      </c>
      <c r="B159" t="s">
        <v>653</v>
      </c>
      <c r="C159">
        <v>53</v>
      </c>
      <c r="D159" t="s">
        <v>94</v>
      </c>
      <c r="E159" t="s">
        <v>503</v>
      </c>
      <c r="F159" t="s">
        <v>539</v>
      </c>
      <c r="G159" t="s">
        <v>522</v>
      </c>
      <c r="H159" t="s">
        <v>522</v>
      </c>
      <c r="I159" t="s">
        <v>522</v>
      </c>
      <c r="J159" t="s">
        <v>622</v>
      </c>
      <c r="K159" t="s">
        <v>522</v>
      </c>
      <c r="L159" t="b">
        <v>1</v>
      </c>
    </row>
    <row r="160" spans="1:12" x14ac:dyDescent="0.3">
      <c r="A160">
        <v>159</v>
      </c>
      <c r="B160" t="s">
        <v>654</v>
      </c>
      <c r="C160">
        <v>59</v>
      </c>
      <c r="D160" t="s">
        <v>93</v>
      </c>
      <c r="E160" t="s">
        <v>503</v>
      </c>
      <c r="F160" t="s">
        <v>539</v>
      </c>
      <c r="G160" t="s">
        <v>522</v>
      </c>
      <c r="H160" t="s">
        <v>522</v>
      </c>
      <c r="I160" t="s">
        <v>522</v>
      </c>
      <c r="J160" t="s">
        <v>622</v>
      </c>
      <c r="K160" t="s">
        <v>522</v>
      </c>
      <c r="L160" t="b">
        <v>1</v>
      </c>
    </row>
    <row r="161" spans="1:12" x14ac:dyDescent="0.3">
      <c r="A161">
        <v>160</v>
      </c>
      <c r="B161" t="s">
        <v>655</v>
      </c>
      <c r="C161">
        <v>5</v>
      </c>
      <c r="D161" t="s">
        <v>93</v>
      </c>
      <c r="E161" t="s">
        <v>503</v>
      </c>
      <c r="F161" t="s">
        <v>539</v>
      </c>
      <c r="G161" t="s">
        <v>522</v>
      </c>
      <c r="H161" t="s">
        <v>522</v>
      </c>
      <c r="I161" t="s">
        <v>522</v>
      </c>
      <c r="J161" t="s">
        <v>622</v>
      </c>
      <c r="K161" t="s">
        <v>522</v>
      </c>
      <c r="L161" t="b">
        <v>1</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9B1DB-C53A-41F7-AC4E-BD46A120BB0C}">
  <sheetPr codeName="Sheet2"/>
  <dimension ref="A1:C813"/>
  <sheetViews>
    <sheetView topLeftCell="A746" workbookViewId="0">
      <selection activeCell="E767" sqref="E767"/>
    </sheetView>
  </sheetViews>
  <sheetFormatPr defaultRowHeight="14.4" x14ac:dyDescent="0.3"/>
  <cols>
    <col min="2" max="2" width="29" bestFit="1" customWidth="1"/>
  </cols>
  <sheetData>
    <row r="1" spans="1:3" x14ac:dyDescent="0.3">
      <c r="A1" s="1" t="s">
        <v>0</v>
      </c>
      <c r="B1" s="1" t="s">
        <v>160</v>
      </c>
      <c r="C1" s="1" t="s">
        <v>159</v>
      </c>
    </row>
    <row r="2" spans="1:3" x14ac:dyDescent="0.3">
      <c r="A2" s="1">
        <v>19</v>
      </c>
      <c r="B2" s="1" t="s">
        <v>164</v>
      </c>
      <c r="C2" s="1" t="s">
        <v>163</v>
      </c>
    </row>
    <row r="3" spans="1:3" x14ac:dyDescent="0.3">
      <c r="A3" s="1">
        <v>19</v>
      </c>
      <c r="B3" s="1" t="s">
        <v>245</v>
      </c>
      <c r="C3" s="1" t="s">
        <v>161</v>
      </c>
    </row>
    <row r="4" spans="1:3" x14ac:dyDescent="0.3">
      <c r="A4" s="1">
        <v>19</v>
      </c>
      <c r="B4" s="1" t="s">
        <v>196</v>
      </c>
      <c r="C4" s="1" t="s">
        <v>161</v>
      </c>
    </row>
    <row r="5" spans="1:3" x14ac:dyDescent="0.3">
      <c r="A5" s="1">
        <v>20</v>
      </c>
      <c r="B5" s="1" t="s">
        <v>165</v>
      </c>
      <c r="C5" s="1" t="s">
        <v>163</v>
      </c>
    </row>
    <row r="6" spans="1:3" x14ac:dyDescent="0.3">
      <c r="A6" s="1">
        <v>21</v>
      </c>
      <c r="B6" s="1" t="s">
        <v>164</v>
      </c>
      <c r="C6" s="1" t="s">
        <v>163</v>
      </c>
    </row>
    <row r="7" spans="1:3" x14ac:dyDescent="0.3">
      <c r="A7" s="1">
        <v>24</v>
      </c>
      <c r="B7" s="1" t="s">
        <v>166</v>
      </c>
      <c r="C7" s="1" t="s">
        <v>163</v>
      </c>
    </row>
    <row r="8" spans="1:3" x14ac:dyDescent="0.3">
      <c r="A8" s="1">
        <v>24</v>
      </c>
      <c r="B8" s="1" t="s">
        <v>168</v>
      </c>
      <c r="C8" s="1" t="s">
        <v>161</v>
      </c>
    </row>
    <row r="9" spans="1:3" x14ac:dyDescent="0.3">
      <c r="A9" s="1">
        <v>24</v>
      </c>
      <c r="B9" s="1" t="s">
        <v>167</v>
      </c>
      <c r="C9" s="1" t="s">
        <v>162</v>
      </c>
    </row>
    <row r="10" spans="1:3" x14ac:dyDescent="0.3">
      <c r="A10" s="1">
        <v>25</v>
      </c>
      <c r="B10" s="1" t="s">
        <v>166</v>
      </c>
      <c r="C10" s="1" t="s">
        <v>163</v>
      </c>
    </row>
    <row r="11" spans="1:3" x14ac:dyDescent="0.3">
      <c r="A11" s="1">
        <v>25</v>
      </c>
      <c r="B11" s="1" t="s">
        <v>246</v>
      </c>
      <c r="C11" s="1" t="s">
        <v>162</v>
      </c>
    </row>
    <row r="12" spans="1:3" x14ac:dyDescent="0.3">
      <c r="A12" s="1">
        <v>25</v>
      </c>
      <c r="B12" s="1" t="s">
        <v>168</v>
      </c>
      <c r="C12" s="1" t="s">
        <v>161</v>
      </c>
    </row>
    <row r="13" spans="1:3" x14ac:dyDescent="0.3">
      <c r="A13" s="1">
        <v>25</v>
      </c>
      <c r="B13" s="1" t="s">
        <v>278</v>
      </c>
      <c r="C13" s="1" t="s">
        <v>161</v>
      </c>
    </row>
    <row r="14" spans="1:3" x14ac:dyDescent="0.3">
      <c r="A14" s="1">
        <v>29</v>
      </c>
      <c r="B14" s="1" t="s">
        <v>247</v>
      </c>
      <c r="C14" s="1" t="s">
        <v>161</v>
      </c>
    </row>
    <row r="15" spans="1:3" x14ac:dyDescent="0.3">
      <c r="A15" s="1">
        <v>30</v>
      </c>
      <c r="B15" s="1" t="s">
        <v>248</v>
      </c>
      <c r="C15" s="1" t="s">
        <v>161</v>
      </c>
    </row>
    <row r="16" spans="1:3" x14ac:dyDescent="0.3">
      <c r="A16" s="1">
        <v>30</v>
      </c>
      <c r="B16" s="1" t="s">
        <v>249</v>
      </c>
      <c r="C16" s="1" t="s">
        <v>161</v>
      </c>
    </row>
    <row r="17" spans="1:3" x14ac:dyDescent="0.3">
      <c r="A17" s="1">
        <v>30</v>
      </c>
      <c r="B17" s="1" t="s">
        <v>169</v>
      </c>
      <c r="C17" s="1" t="s">
        <v>163</v>
      </c>
    </row>
    <row r="18" spans="1:3" x14ac:dyDescent="0.3">
      <c r="A18" s="1">
        <v>31</v>
      </c>
      <c r="B18" s="1" t="s">
        <v>171</v>
      </c>
      <c r="C18" s="1" t="s">
        <v>1129</v>
      </c>
    </row>
    <row r="19" spans="1:3" x14ac:dyDescent="0.3">
      <c r="A19" s="1">
        <v>31</v>
      </c>
      <c r="B19" s="1" t="s">
        <v>170</v>
      </c>
      <c r="C19" s="1" t="s">
        <v>163</v>
      </c>
    </row>
    <row r="20" spans="1:3" x14ac:dyDescent="0.3">
      <c r="A20" s="1">
        <v>32</v>
      </c>
      <c r="B20" s="1" t="s">
        <v>174</v>
      </c>
      <c r="C20" s="1" t="s">
        <v>161</v>
      </c>
    </row>
    <row r="21" spans="1:3" x14ac:dyDescent="0.3">
      <c r="A21" s="1">
        <v>32</v>
      </c>
      <c r="B21" s="1" t="s">
        <v>172</v>
      </c>
      <c r="C21" s="1" t="s">
        <v>161</v>
      </c>
    </row>
    <row r="22" spans="1:3" x14ac:dyDescent="0.3">
      <c r="A22" s="1">
        <v>32</v>
      </c>
      <c r="B22" s="1" t="s">
        <v>175</v>
      </c>
      <c r="C22" s="1" t="s">
        <v>161</v>
      </c>
    </row>
    <row r="23" spans="1:3" x14ac:dyDescent="0.3">
      <c r="A23" s="1">
        <v>32</v>
      </c>
      <c r="B23" s="1" t="s">
        <v>173</v>
      </c>
      <c r="C23" s="1" t="s">
        <v>162</v>
      </c>
    </row>
    <row r="24" spans="1:3" x14ac:dyDescent="0.3">
      <c r="A24" s="1">
        <v>33</v>
      </c>
      <c r="B24" s="1" t="s">
        <v>171</v>
      </c>
      <c r="C24" s="1" t="s">
        <v>1129</v>
      </c>
    </row>
    <row r="25" spans="1:3" x14ac:dyDescent="0.3">
      <c r="A25" s="1">
        <v>34</v>
      </c>
      <c r="B25" s="1" t="s">
        <v>177</v>
      </c>
      <c r="C25" s="1" t="s">
        <v>176</v>
      </c>
    </row>
    <row r="26" spans="1:3" x14ac:dyDescent="0.3">
      <c r="A26" s="1">
        <v>35</v>
      </c>
      <c r="B26" s="1" t="s">
        <v>250</v>
      </c>
      <c r="C26" s="1" t="s">
        <v>161</v>
      </c>
    </row>
    <row r="27" spans="1:3" x14ac:dyDescent="0.3">
      <c r="A27" s="1">
        <v>35</v>
      </c>
      <c r="B27" s="1" t="s">
        <v>178</v>
      </c>
      <c r="C27" s="1" t="s">
        <v>161</v>
      </c>
    </row>
    <row r="28" spans="1:3" x14ac:dyDescent="0.3">
      <c r="A28" s="1">
        <v>35</v>
      </c>
      <c r="B28" s="1" t="s">
        <v>179</v>
      </c>
      <c r="C28" s="1" t="s">
        <v>163</v>
      </c>
    </row>
    <row r="29" spans="1:3" x14ac:dyDescent="0.3">
      <c r="A29" s="1">
        <v>35</v>
      </c>
      <c r="B29" s="1" t="s">
        <v>180</v>
      </c>
      <c r="C29" s="1" t="s">
        <v>161</v>
      </c>
    </row>
    <row r="30" spans="1:3" x14ac:dyDescent="0.3">
      <c r="A30" s="1">
        <v>36</v>
      </c>
      <c r="B30" s="1" t="s">
        <v>181</v>
      </c>
      <c r="C30" s="1" t="s">
        <v>163</v>
      </c>
    </row>
    <row r="31" spans="1:3" x14ac:dyDescent="0.3">
      <c r="A31" s="1">
        <v>36</v>
      </c>
      <c r="B31" s="1" t="s">
        <v>212</v>
      </c>
      <c r="C31" s="1" t="s">
        <v>161</v>
      </c>
    </row>
    <row r="32" spans="1:3" x14ac:dyDescent="0.3">
      <c r="A32" s="1">
        <v>37</v>
      </c>
      <c r="B32" s="1" t="s">
        <v>182</v>
      </c>
      <c r="C32" s="1" t="s">
        <v>163</v>
      </c>
    </row>
    <row r="33" spans="1:3" x14ac:dyDescent="0.3">
      <c r="A33" s="1">
        <v>37</v>
      </c>
      <c r="B33" s="1" t="s">
        <v>212</v>
      </c>
      <c r="C33" s="1" t="s">
        <v>161</v>
      </c>
    </row>
    <row r="34" spans="1:3" x14ac:dyDescent="0.3">
      <c r="A34" s="1">
        <v>38</v>
      </c>
      <c r="B34" s="1" t="s">
        <v>185</v>
      </c>
      <c r="C34" s="1" t="s">
        <v>161</v>
      </c>
    </row>
    <row r="35" spans="1:3" x14ac:dyDescent="0.3">
      <c r="A35" s="1">
        <v>38</v>
      </c>
      <c r="B35" s="1" t="s">
        <v>187</v>
      </c>
      <c r="C35" s="1" t="s">
        <v>163</v>
      </c>
    </row>
    <row r="36" spans="1:3" x14ac:dyDescent="0.3">
      <c r="A36" s="1">
        <v>38</v>
      </c>
      <c r="B36" s="1" t="s">
        <v>183</v>
      </c>
      <c r="C36" s="1" t="s">
        <v>161</v>
      </c>
    </row>
    <row r="37" spans="1:3" x14ac:dyDescent="0.3">
      <c r="A37" s="1">
        <v>38</v>
      </c>
      <c r="B37" s="1" t="s">
        <v>184</v>
      </c>
      <c r="C37" s="1" t="s">
        <v>161</v>
      </c>
    </row>
    <row r="38" spans="1:3" x14ac:dyDescent="0.3">
      <c r="A38" s="1">
        <v>38</v>
      </c>
      <c r="B38" s="1" t="s">
        <v>186</v>
      </c>
      <c r="C38" s="1" t="s">
        <v>161</v>
      </c>
    </row>
    <row r="39" spans="1:3" x14ac:dyDescent="0.3">
      <c r="A39" s="1">
        <v>39</v>
      </c>
      <c r="B39" s="1" t="s">
        <v>188</v>
      </c>
      <c r="C39" s="1" t="s">
        <v>163</v>
      </c>
    </row>
    <row r="40" spans="1:3" x14ac:dyDescent="0.3">
      <c r="A40" s="1">
        <v>39</v>
      </c>
      <c r="B40" s="1" t="s">
        <v>171</v>
      </c>
      <c r="C40" s="1" t="s">
        <v>1129</v>
      </c>
    </row>
    <row r="41" spans="1:3" x14ac:dyDescent="0.3">
      <c r="A41" s="1">
        <v>40</v>
      </c>
      <c r="B41" s="1" t="s">
        <v>189</v>
      </c>
      <c r="C41" s="1" t="s">
        <v>163</v>
      </c>
    </row>
    <row r="42" spans="1:3" x14ac:dyDescent="0.3">
      <c r="A42" s="1">
        <v>41</v>
      </c>
      <c r="B42" s="1" t="s">
        <v>264</v>
      </c>
      <c r="C42" s="1" t="s">
        <v>161</v>
      </c>
    </row>
    <row r="43" spans="1:3" x14ac:dyDescent="0.3">
      <c r="A43" s="1">
        <v>41</v>
      </c>
      <c r="B43" s="1" t="s">
        <v>251</v>
      </c>
      <c r="C43" s="1" t="s">
        <v>161</v>
      </c>
    </row>
    <row r="44" spans="1:3" x14ac:dyDescent="0.3">
      <c r="A44" s="1">
        <v>41</v>
      </c>
      <c r="B44" s="1" t="s">
        <v>279</v>
      </c>
      <c r="C44" s="1" t="s">
        <v>161</v>
      </c>
    </row>
    <row r="45" spans="1:3" x14ac:dyDescent="0.3">
      <c r="A45" s="1">
        <v>41</v>
      </c>
      <c r="B45" s="1" t="s">
        <v>168</v>
      </c>
      <c r="C45" s="1" t="s">
        <v>161</v>
      </c>
    </row>
    <row r="46" spans="1:3" x14ac:dyDescent="0.3">
      <c r="A46" s="1">
        <v>41</v>
      </c>
      <c r="B46" s="1" t="s">
        <v>196</v>
      </c>
      <c r="C46" s="1" t="s">
        <v>161</v>
      </c>
    </row>
    <row r="47" spans="1:3" x14ac:dyDescent="0.3">
      <c r="A47" s="1">
        <v>41</v>
      </c>
      <c r="B47" s="1" t="s">
        <v>190</v>
      </c>
      <c r="C47" s="1" t="s">
        <v>163</v>
      </c>
    </row>
    <row r="48" spans="1:3" x14ac:dyDescent="0.3">
      <c r="A48" s="1">
        <v>42</v>
      </c>
      <c r="B48" s="1" t="s">
        <v>254</v>
      </c>
      <c r="C48" s="1" t="s">
        <v>163</v>
      </c>
    </row>
    <row r="49" spans="1:3" x14ac:dyDescent="0.3">
      <c r="A49" s="1">
        <v>42</v>
      </c>
      <c r="B49" s="1" t="s">
        <v>191</v>
      </c>
      <c r="C49" s="1" t="s">
        <v>161</v>
      </c>
    </row>
    <row r="50" spans="1:3" x14ac:dyDescent="0.3">
      <c r="A50" s="1">
        <v>42</v>
      </c>
      <c r="B50" s="1" t="s">
        <v>252</v>
      </c>
      <c r="C50" s="1" t="s">
        <v>161</v>
      </c>
    </row>
    <row r="51" spans="1:3" x14ac:dyDescent="0.3">
      <c r="A51" s="1">
        <v>42</v>
      </c>
      <c r="B51" s="1" t="s">
        <v>252</v>
      </c>
      <c r="C51" s="1" t="s">
        <v>161</v>
      </c>
    </row>
    <row r="52" spans="1:3" x14ac:dyDescent="0.3">
      <c r="A52" s="1">
        <v>42</v>
      </c>
      <c r="B52" s="1" t="s">
        <v>253</v>
      </c>
      <c r="C52" s="1" t="s">
        <v>161</v>
      </c>
    </row>
    <row r="53" spans="1:3" x14ac:dyDescent="0.3">
      <c r="A53" s="1">
        <v>43</v>
      </c>
      <c r="B53" s="1" t="s">
        <v>193</v>
      </c>
      <c r="C53" s="1" t="s">
        <v>163</v>
      </c>
    </row>
    <row r="54" spans="1:3" x14ac:dyDescent="0.3">
      <c r="A54" s="1">
        <v>43</v>
      </c>
      <c r="B54" s="1" t="s">
        <v>171</v>
      </c>
      <c r="C54" s="1" t="s">
        <v>1129</v>
      </c>
    </row>
    <row r="55" spans="1:3" x14ac:dyDescent="0.3">
      <c r="A55" s="1">
        <v>43</v>
      </c>
      <c r="B55" s="1" t="s">
        <v>192</v>
      </c>
      <c r="C55" s="1" t="s">
        <v>162</v>
      </c>
    </row>
    <row r="56" spans="1:3" x14ac:dyDescent="0.3">
      <c r="A56" s="1">
        <v>44</v>
      </c>
      <c r="B56" s="1" t="s">
        <v>255</v>
      </c>
      <c r="C56" s="1" t="s">
        <v>162</v>
      </c>
    </row>
    <row r="57" spans="1:3" x14ac:dyDescent="0.3">
      <c r="A57" s="1">
        <v>44</v>
      </c>
      <c r="B57" s="1" t="s">
        <v>194</v>
      </c>
      <c r="C57" s="1" t="s">
        <v>163</v>
      </c>
    </row>
    <row r="58" spans="1:3" x14ac:dyDescent="0.3">
      <c r="A58" s="1">
        <v>44</v>
      </c>
      <c r="B58" s="1" t="s">
        <v>280</v>
      </c>
      <c r="C58" s="1" t="s">
        <v>162</v>
      </c>
    </row>
    <row r="59" spans="1:3" x14ac:dyDescent="0.3">
      <c r="A59" s="1">
        <v>46</v>
      </c>
      <c r="B59" s="1" t="s">
        <v>195</v>
      </c>
      <c r="C59" s="1" t="s">
        <v>1129</v>
      </c>
    </row>
    <row r="60" spans="1:3" x14ac:dyDescent="0.3">
      <c r="A60" s="1">
        <v>46</v>
      </c>
      <c r="B60" s="1" t="s">
        <v>256</v>
      </c>
      <c r="C60" s="1" t="s">
        <v>162</v>
      </c>
    </row>
    <row r="61" spans="1:3" x14ac:dyDescent="0.3">
      <c r="A61" s="1">
        <v>46</v>
      </c>
      <c r="B61" s="1" t="s">
        <v>196</v>
      </c>
      <c r="C61" s="1" t="s">
        <v>161</v>
      </c>
    </row>
    <row r="62" spans="1:3" x14ac:dyDescent="0.3">
      <c r="A62" s="1">
        <v>47</v>
      </c>
      <c r="B62" s="1" t="s">
        <v>197</v>
      </c>
      <c r="C62" s="1" t="s">
        <v>163</v>
      </c>
    </row>
    <row r="63" spans="1:3" x14ac:dyDescent="0.3">
      <c r="A63" s="1">
        <v>48</v>
      </c>
      <c r="B63" s="1" t="s">
        <v>260</v>
      </c>
      <c r="C63" s="1" t="s">
        <v>162</v>
      </c>
    </row>
    <row r="64" spans="1:3" x14ac:dyDescent="0.3">
      <c r="A64" s="1">
        <v>48</v>
      </c>
      <c r="B64" s="1" t="s">
        <v>258</v>
      </c>
      <c r="C64" s="1" t="s">
        <v>161</v>
      </c>
    </row>
    <row r="65" spans="1:3" x14ac:dyDescent="0.3">
      <c r="A65" s="1">
        <v>48</v>
      </c>
      <c r="B65" s="1" t="s">
        <v>259</v>
      </c>
      <c r="C65" s="1" t="s">
        <v>162</v>
      </c>
    </row>
    <row r="66" spans="1:3" x14ac:dyDescent="0.3">
      <c r="A66" s="1">
        <v>48</v>
      </c>
      <c r="B66" s="1" t="s">
        <v>198</v>
      </c>
      <c r="C66" s="1" t="s">
        <v>163</v>
      </c>
    </row>
    <row r="67" spans="1:3" x14ac:dyDescent="0.3">
      <c r="A67" s="1">
        <v>48</v>
      </c>
      <c r="B67" s="1" t="s">
        <v>171</v>
      </c>
      <c r="C67" s="1" t="s">
        <v>1129</v>
      </c>
    </row>
    <row r="68" spans="1:3" x14ac:dyDescent="0.3">
      <c r="A68" s="1">
        <v>48</v>
      </c>
      <c r="B68" s="1" t="s">
        <v>186</v>
      </c>
      <c r="C68" s="1" t="s">
        <v>161</v>
      </c>
    </row>
    <row r="69" spans="1:3" x14ac:dyDescent="0.3">
      <c r="A69" s="1">
        <v>48</v>
      </c>
      <c r="B69" s="1" t="s">
        <v>257</v>
      </c>
      <c r="C69" s="1" t="s">
        <v>161</v>
      </c>
    </row>
    <row r="70" spans="1:3" x14ac:dyDescent="0.3">
      <c r="A70" s="1">
        <v>49</v>
      </c>
      <c r="B70" s="1" t="s">
        <v>260</v>
      </c>
      <c r="C70" s="1" t="s">
        <v>162</v>
      </c>
    </row>
    <row r="71" spans="1:3" x14ac:dyDescent="0.3">
      <c r="A71" s="1">
        <v>49</v>
      </c>
      <c r="B71" s="1" t="s">
        <v>259</v>
      </c>
      <c r="C71" s="1" t="s">
        <v>162</v>
      </c>
    </row>
    <row r="72" spans="1:3" x14ac:dyDescent="0.3">
      <c r="A72" s="1">
        <v>49</v>
      </c>
      <c r="B72" s="1" t="s">
        <v>199</v>
      </c>
      <c r="C72" s="1" t="s">
        <v>163</v>
      </c>
    </row>
    <row r="73" spans="1:3" x14ac:dyDescent="0.3">
      <c r="A73" s="1">
        <v>50</v>
      </c>
      <c r="B73" s="1" t="s">
        <v>261</v>
      </c>
      <c r="C73" s="1" t="s">
        <v>162</v>
      </c>
    </row>
    <row r="74" spans="1:3" x14ac:dyDescent="0.3">
      <c r="A74" s="1">
        <v>50</v>
      </c>
      <c r="B74" s="1" t="s">
        <v>200</v>
      </c>
      <c r="C74" s="1" t="s">
        <v>163</v>
      </c>
    </row>
    <row r="75" spans="1:3" x14ac:dyDescent="0.3">
      <c r="A75" s="1">
        <v>51</v>
      </c>
      <c r="B75" s="1" t="s">
        <v>260</v>
      </c>
      <c r="C75" s="1" t="s">
        <v>162</v>
      </c>
    </row>
    <row r="76" spans="1:3" x14ac:dyDescent="0.3">
      <c r="A76" s="1">
        <v>51</v>
      </c>
      <c r="B76" s="1" t="s">
        <v>259</v>
      </c>
      <c r="C76" s="1" t="s">
        <v>162</v>
      </c>
    </row>
    <row r="77" spans="1:3" x14ac:dyDescent="0.3">
      <c r="A77" s="1">
        <v>51</v>
      </c>
      <c r="B77" s="1" t="s">
        <v>201</v>
      </c>
      <c r="C77" s="1" t="s">
        <v>163</v>
      </c>
    </row>
    <row r="78" spans="1:3" x14ac:dyDescent="0.3">
      <c r="A78" s="1">
        <v>52</v>
      </c>
      <c r="B78" s="1" t="s">
        <v>202</v>
      </c>
      <c r="C78" s="1" t="s">
        <v>163</v>
      </c>
    </row>
    <row r="79" spans="1:3" x14ac:dyDescent="0.3">
      <c r="A79" s="1">
        <v>52</v>
      </c>
      <c r="B79" s="1" t="s">
        <v>196</v>
      </c>
      <c r="C79" s="1" t="s">
        <v>161</v>
      </c>
    </row>
    <row r="80" spans="1:3" x14ac:dyDescent="0.3">
      <c r="A80" s="1">
        <v>53</v>
      </c>
      <c r="B80" s="1" t="s">
        <v>203</v>
      </c>
      <c r="C80" s="1" t="s">
        <v>163</v>
      </c>
    </row>
    <row r="81" spans="1:3" x14ac:dyDescent="0.3">
      <c r="A81" s="1">
        <v>53</v>
      </c>
      <c r="B81" s="1" t="s">
        <v>204</v>
      </c>
      <c r="C81" s="1" t="s">
        <v>162</v>
      </c>
    </row>
    <row r="82" spans="1:3" x14ac:dyDescent="0.3">
      <c r="A82" s="1">
        <v>54</v>
      </c>
      <c r="B82" s="1" t="s">
        <v>259</v>
      </c>
      <c r="C82" s="1" t="s">
        <v>162</v>
      </c>
    </row>
    <row r="83" spans="1:3" x14ac:dyDescent="0.3">
      <c r="A83" s="1">
        <v>54</v>
      </c>
      <c r="B83" s="1" t="s">
        <v>205</v>
      </c>
      <c r="C83" s="1" t="s">
        <v>163</v>
      </c>
    </row>
    <row r="84" spans="1:3" x14ac:dyDescent="0.3">
      <c r="A84" s="1">
        <v>55</v>
      </c>
      <c r="B84" s="1" t="s">
        <v>262</v>
      </c>
      <c r="C84" s="1" t="s">
        <v>161</v>
      </c>
    </row>
    <row r="85" spans="1:3" x14ac:dyDescent="0.3">
      <c r="A85" s="1">
        <v>55</v>
      </c>
      <c r="B85" s="1" t="s">
        <v>200</v>
      </c>
      <c r="C85" s="1" t="s">
        <v>163</v>
      </c>
    </row>
    <row r="86" spans="1:3" x14ac:dyDescent="0.3">
      <c r="A86" s="1">
        <v>55</v>
      </c>
      <c r="B86" s="1" t="s">
        <v>206</v>
      </c>
      <c r="C86" s="1" t="s">
        <v>162</v>
      </c>
    </row>
    <row r="87" spans="1:3" x14ac:dyDescent="0.3">
      <c r="A87" s="1">
        <v>56</v>
      </c>
      <c r="B87" s="1" t="s">
        <v>196</v>
      </c>
      <c r="C87" s="1" t="s">
        <v>161</v>
      </c>
    </row>
    <row r="88" spans="1:3" x14ac:dyDescent="0.3">
      <c r="A88" s="1">
        <v>57</v>
      </c>
      <c r="B88" s="1" t="s">
        <v>82</v>
      </c>
      <c r="C88" s="1" t="s">
        <v>162</v>
      </c>
    </row>
    <row r="89" spans="1:3" x14ac:dyDescent="0.3">
      <c r="A89" s="1">
        <v>57</v>
      </c>
      <c r="B89" s="1" t="s">
        <v>207</v>
      </c>
      <c r="C89" s="1" t="s">
        <v>163</v>
      </c>
    </row>
    <row r="90" spans="1:3" x14ac:dyDescent="0.3">
      <c r="A90" s="1">
        <v>58</v>
      </c>
      <c r="B90" s="1" t="s">
        <v>82</v>
      </c>
      <c r="C90" s="1" t="s">
        <v>162</v>
      </c>
    </row>
    <row r="91" spans="1:3" x14ac:dyDescent="0.3">
      <c r="A91" s="1">
        <v>58</v>
      </c>
      <c r="B91" s="1" t="s">
        <v>208</v>
      </c>
      <c r="C91" s="1" t="s">
        <v>163</v>
      </c>
    </row>
    <row r="92" spans="1:3" x14ac:dyDescent="0.3">
      <c r="A92" s="1">
        <v>59</v>
      </c>
      <c r="B92" s="1" t="s">
        <v>263</v>
      </c>
      <c r="C92" s="1" t="s">
        <v>161</v>
      </c>
    </row>
    <row r="93" spans="1:3" x14ac:dyDescent="0.3">
      <c r="A93" s="1">
        <v>59</v>
      </c>
      <c r="B93" s="1" t="s">
        <v>209</v>
      </c>
      <c r="C93" s="1" t="s">
        <v>161</v>
      </c>
    </row>
    <row r="94" spans="1:3" x14ac:dyDescent="0.3">
      <c r="A94" s="1">
        <v>59</v>
      </c>
      <c r="B94" s="1" t="s">
        <v>210</v>
      </c>
      <c r="C94" s="1" t="s">
        <v>163</v>
      </c>
    </row>
    <row r="95" spans="1:3" x14ac:dyDescent="0.3">
      <c r="A95" s="1">
        <v>60</v>
      </c>
      <c r="B95" s="1" t="s">
        <v>259</v>
      </c>
      <c r="C95" s="1" t="s">
        <v>162</v>
      </c>
    </row>
    <row r="96" spans="1:3" x14ac:dyDescent="0.3">
      <c r="A96" s="1">
        <v>60</v>
      </c>
      <c r="B96" s="1" t="s">
        <v>211</v>
      </c>
      <c r="C96" s="1" t="s">
        <v>163</v>
      </c>
    </row>
    <row r="97" spans="1:3" x14ac:dyDescent="0.3">
      <c r="A97" s="1">
        <v>61</v>
      </c>
      <c r="B97" s="1" t="s">
        <v>265</v>
      </c>
      <c r="C97" s="1" t="s">
        <v>162</v>
      </c>
    </row>
    <row r="98" spans="1:3" x14ac:dyDescent="0.3">
      <c r="A98" s="1">
        <v>61</v>
      </c>
      <c r="B98" s="1" t="s">
        <v>214</v>
      </c>
      <c r="C98" s="1" t="s">
        <v>163</v>
      </c>
    </row>
    <row r="99" spans="1:3" x14ac:dyDescent="0.3">
      <c r="A99" s="1">
        <v>61</v>
      </c>
      <c r="B99" s="1" t="s">
        <v>212</v>
      </c>
      <c r="C99" s="1" t="s">
        <v>161</v>
      </c>
    </row>
    <row r="100" spans="1:3" x14ac:dyDescent="0.3">
      <c r="A100" s="1">
        <v>61</v>
      </c>
      <c r="B100" s="1" t="s">
        <v>213</v>
      </c>
      <c r="C100" s="1" t="s">
        <v>161</v>
      </c>
    </row>
    <row r="101" spans="1:3" x14ac:dyDescent="0.3">
      <c r="A101" s="1">
        <v>62</v>
      </c>
      <c r="B101" s="1" t="s">
        <v>215</v>
      </c>
      <c r="C101" s="1" t="s">
        <v>163</v>
      </c>
    </row>
    <row r="102" spans="1:3" x14ac:dyDescent="0.3">
      <c r="A102" s="1">
        <v>63</v>
      </c>
      <c r="B102" s="1" t="s">
        <v>266</v>
      </c>
      <c r="C102" s="1" t="s">
        <v>161</v>
      </c>
    </row>
    <row r="103" spans="1:3" x14ac:dyDescent="0.3">
      <c r="A103" s="1">
        <v>63</v>
      </c>
      <c r="B103" s="1" t="s">
        <v>217</v>
      </c>
      <c r="C103" s="1" t="s">
        <v>163</v>
      </c>
    </row>
    <row r="104" spans="1:3" x14ac:dyDescent="0.3">
      <c r="A104" s="1">
        <v>63</v>
      </c>
      <c r="B104" s="1" t="s">
        <v>216</v>
      </c>
      <c r="C104" s="1" t="s">
        <v>162</v>
      </c>
    </row>
    <row r="105" spans="1:3" x14ac:dyDescent="0.3">
      <c r="A105" s="1">
        <v>64</v>
      </c>
      <c r="B105" s="1" t="s">
        <v>218</v>
      </c>
      <c r="C105" s="1" t="s">
        <v>163</v>
      </c>
    </row>
    <row r="106" spans="1:3" x14ac:dyDescent="0.3">
      <c r="A106" s="1">
        <v>65</v>
      </c>
      <c r="B106" s="1" t="s">
        <v>262</v>
      </c>
      <c r="C106" s="1" t="s">
        <v>161</v>
      </c>
    </row>
    <row r="107" spans="1:3" x14ac:dyDescent="0.3">
      <c r="A107" s="1">
        <v>65</v>
      </c>
      <c r="B107" s="1" t="s">
        <v>200</v>
      </c>
      <c r="C107" s="1" t="s">
        <v>163</v>
      </c>
    </row>
    <row r="108" spans="1:3" x14ac:dyDescent="0.3">
      <c r="A108" s="1">
        <v>66</v>
      </c>
      <c r="B108" s="1" t="s">
        <v>267</v>
      </c>
      <c r="C108" s="1" t="s">
        <v>161</v>
      </c>
    </row>
    <row r="109" spans="1:3" x14ac:dyDescent="0.3">
      <c r="A109" s="1">
        <v>66</v>
      </c>
      <c r="B109" s="1" t="s">
        <v>82</v>
      </c>
      <c r="C109" s="1" t="s">
        <v>162</v>
      </c>
    </row>
    <row r="110" spans="1:3" x14ac:dyDescent="0.3">
      <c r="A110" s="1">
        <v>66</v>
      </c>
      <c r="B110" s="1" t="s">
        <v>200</v>
      </c>
      <c r="C110" s="1" t="s">
        <v>163</v>
      </c>
    </row>
    <row r="111" spans="1:3" x14ac:dyDescent="0.3">
      <c r="A111" s="1">
        <v>67</v>
      </c>
      <c r="B111" s="1" t="s">
        <v>260</v>
      </c>
      <c r="C111" s="1" t="s">
        <v>161</v>
      </c>
    </row>
    <row r="112" spans="1:3" x14ac:dyDescent="0.3">
      <c r="A112" s="1">
        <v>67</v>
      </c>
      <c r="B112" s="1" t="s">
        <v>214</v>
      </c>
      <c r="C112" s="1" t="s">
        <v>163</v>
      </c>
    </row>
    <row r="113" spans="1:3" x14ac:dyDescent="0.3">
      <c r="A113" s="1">
        <v>67</v>
      </c>
      <c r="B113" s="1" t="s">
        <v>204</v>
      </c>
      <c r="C113" s="1" t="s">
        <v>161</v>
      </c>
    </row>
    <row r="114" spans="1:3" x14ac:dyDescent="0.3">
      <c r="A114" s="1">
        <v>67</v>
      </c>
      <c r="B114" s="1" t="s">
        <v>212</v>
      </c>
      <c r="C114" s="1" t="s">
        <v>161</v>
      </c>
    </row>
    <row r="115" spans="1:3" x14ac:dyDescent="0.3">
      <c r="A115" s="1">
        <v>68</v>
      </c>
      <c r="B115" s="1" t="s">
        <v>268</v>
      </c>
      <c r="C115" s="1" t="s">
        <v>161</v>
      </c>
    </row>
    <row r="116" spans="1:3" x14ac:dyDescent="0.3">
      <c r="A116" s="1">
        <v>68</v>
      </c>
      <c r="B116" s="1" t="s">
        <v>200</v>
      </c>
      <c r="C116" s="1" t="s">
        <v>163</v>
      </c>
    </row>
    <row r="117" spans="1:3" x14ac:dyDescent="0.3">
      <c r="A117" s="1">
        <v>70</v>
      </c>
      <c r="B117" s="1" t="s">
        <v>269</v>
      </c>
      <c r="C117" s="1" t="s">
        <v>162</v>
      </c>
    </row>
    <row r="118" spans="1:3" x14ac:dyDescent="0.3">
      <c r="A118" s="1">
        <v>70</v>
      </c>
      <c r="B118" s="1" t="s">
        <v>267</v>
      </c>
      <c r="C118" s="1" t="s">
        <v>161</v>
      </c>
    </row>
    <row r="119" spans="1:3" x14ac:dyDescent="0.3">
      <c r="A119" s="1">
        <v>70</v>
      </c>
      <c r="B119" s="1" t="s">
        <v>200</v>
      </c>
      <c r="C119" s="1" t="s">
        <v>163</v>
      </c>
    </row>
    <row r="120" spans="1:3" x14ac:dyDescent="0.3">
      <c r="A120" s="1">
        <v>71</v>
      </c>
      <c r="B120" s="1" t="s">
        <v>281</v>
      </c>
      <c r="C120" s="1" t="s">
        <v>161</v>
      </c>
    </row>
    <row r="121" spans="1:3" x14ac:dyDescent="0.3">
      <c r="A121" s="1">
        <v>71</v>
      </c>
      <c r="B121" s="1" t="s">
        <v>220</v>
      </c>
      <c r="C121" s="1" t="s">
        <v>162</v>
      </c>
    </row>
    <row r="122" spans="1:3" x14ac:dyDescent="0.3">
      <c r="A122" s="1">
        <v>71</v>
      </c>
      <c r="B122" s="1" t="s">
        <v>221</v>
      </c>
      <c r="C122" s="1" t="s">
        <v>163</v>
      </c>
    </row>
    <row r="123" spans="1:3" x14ac:dyDescent="0.3">
      <c r="A123" s="1">
        <v>71</v>
      </c>
      <c r="B123" s="1" t="s">
        <v>219</v>
      </c>
      <c r="C123" s="1" t="s">
        <v>161</v>
      </c>
    </row>
    <row r="124" spans="1:3" x14ac:dyDescent="0.3">
      <c r="A124" s="1">
        <v>72</v>
      </c>
      <c r="B124" s="1" t="s">
        <v>270</v>
      </c>
      <c r="C124" s="1" t="s">
        <v>161</v>
      </c>
    </row>
    <row r="125" spans="1:3" x14ac:dyDescent="0.3">
      <c r="A125" s="1">
        <v>72</v>
      </c>
      <c r="B125" s="1" t="s">
        <v>222</v>
      </c>
      <c r="C125" s="1" t="s">
        <v>163</v>
      </c>
    </row>
    <row r="126" spans="1:3" x14ac:dyDescent="0.3">
      <c r="A126" s="1">
        <v>72</v>
      </c>
      <c r="B126" s="1" t="s">
        <v>271</v>
      </c>
      <c r="C126" s="1" t="s">
        <v>162</v>
      </c>
    </row>
    <row r="127" spans="1:3" x14ac:dyDescent="0.3">
      <c r="A127" s="1">
        <v>73</v>
      </c>
      <c r="B127" s="1" t="s">
        <v>259</v>
      </c>
      <c r="C127" s="1" t="s">
        <v>161</v>
      </c>
    </row>
    <row r="128" spans="1:3" x14ac:dyDescent="0.3">
      <c r="A128" s="1">
        <v>73</v>
      </c>
      <c r="B128" s="1" t="s">
        <v>224</v>
      </c>
      <c r="C128" s="1" t="s">
        <v>163</v>
      </c>
    </row>
    <row r="129" spans="1:3" x14ac:dyDescent="0.3">
      <c r="A129" s="1">
        <v>73</v>
      </c>
      <c r="B129" s="1" t="s">
        <v>223</v>
      </c>
      <c r="C129" s="1" t="s">
        <v>162</v>
      </c>
    </row>
    <row r="130" spans="1:3" x14ac:dyDescent="0.3">
      <c r="A130" s="1">
        <v>74</v>
      </c>
      <c r="B130" s="1" t="s">
        <v>272</v>
      </c>
      <c r="C130" s="1" t="s">
        <v>162</v>
      </c>
    </row>
    <row r="131" spans="1:3" x14ac:dyDescent="0.3">
      <c r="A131" s="1">
        <v>74</v>
      </c>
      <c r="B131" s="1" t="s">
        <v>225</v>
      </c>
      <c r="C131" s="1" t="s">
        <v>163</v>
      </c>
    </row>
    <row r="132" spans="1:3" x14ac:dyDescent="0.3">
      <c r="A132" s="1">
        <v>77</v>
      </c>
      <c r="B132" s="1" t="s">
        <v>226</v>
      </c>
      <c r="C132" s="1" t="s">
        <v>163</v>
      </c>
    </row>
    <row r="133" spans="1:3" x14ac:dyDescent="0.3">
      <c r="A133" s="1">
        <v>77</v>
      </c>
      <c r="B133" s="1" t="s">
        <v>196</v>
      </c>
      <c r="C133" s="1" t="s">
        <v>161</v>
      </c>
    </row>
    <row r="134" spans="1:3" x14ac:dyDescent="0.3">
      <c r="A134" s="1">
        <v>78</v>
      </c>
      <c r="B134" s="1" t="s">
        <v>228</v>
      </c>
      <c r="C134" s="1" t="s">
        <v>163</v>
      </c>
    </row>
    <row r="135" spans="1:3" x14ac:dyDescent="0.3">
      <c r="A135" s="1">
        <v>78</v>
      </c>
      <c r="B135" s="1" t="s">
        <v>227</v>
      </c>
      <c r="C135" s="1" t="s">
        <v>162</v>
      </c>
    </row>
    <row r="136" spans="1:3" x14ac:dyDescent="0.3">
      <c r="A136" s="1">
        <v>79</v>
      </c>
      <c r="B136" s="1" t="s">
        <v>273</v>
      </c>
      <c r="C136" s="1" t="s">
        <v>162</v>
      </c>
    </row>
    <row r="137" spans="1:3" x14ac:dyDescent="0.3">
      <c r="A137" s="1">
        <v>79</v>
      </c>
      <c r="B137" s="1" t="s">
        <v>222</v>
      </c>
      <c r="C137" s="1" t="s">
        <v>163</v>
      </c>
    </row>
    <row r="138" spans="1:3" x14ac:dyDescent="0.3">
      <c r="A138" s="1">
        <v>80</v>
      </c>
      <c r="B138" s="1" t="s">
        <v>229</v>
      </c>
      <c r="C138" s="1" t="s">
        <v>163</v>
      </c>
    </row>
    <row r="139" spans="1:3" x14ac:dyDescent="0.3">
      <c r="A139" s="1">
        <v>80</v>
      </c>
      <c r="B139" s="1" t="s">
        <v>138</v>
      </c>
      <c r="C139" s="1" t="s">
        <v>162</v>
      </c>
    </row>
    <row r="140" spans="1:3" x14ac:dyDescent="0.3">
      <c r="A140" s="1">
        <v>81</v>
      </c>
      <c r="B140" s="1" t="s">
        <v>230</v>
      </c>
      <c r="C140" s="1" t="s">
        <v>163</v>
      </c>
    </row>
    <row r="141" spans="1:3" x14ac:dyDescent="0.3">
      <c r="A141" s="1">
        <v>82</v>
      </c>
      <c r="B141" s="1" t="s">
        <v>231</v>
      </c>
      <c r="C141" s="1" t="s">
        <v>161</v>
      </c>
    </row>
    <row r="142" spans="1:3" x14ac:dyDescent="0.3">
      <c r="A142" s="1">
        <v>82</v>
      </c>
      <c r="B142" s="1" t="s">
        <v>232</v>
      </c>
      <c r="C142" s="1" t="s">
        <v>163</v>
      </c>
    </row>
    <row r="143" spans="1:3" x14ac:dyDescent="0.3">
      <c r="A143" s="1">
        <v>83</v>
      </c>
      <c r="B143" s="1" t="s">
        <v>274</v>
      </c>
      <c r="C143" s="1" t="s">
        <v>162</v>
      </c>
    </row>
    <row r="144" spans="1:3" x14ac:dyDescent="0.3">
      <c r="A144" s="1">
        <v>83</v>
      </c>
      <c r="B144" s="1" t="s">
        <v>171</v>
      </c>
      <c r="C144" s="1" t="s">
        <v>1129</v>
      </c>
    </row>
    <row r="145" spans="1:3" x14ac:dyDescent="0.3">
      <c r="A145" s="1">
        <v>83</v>
      </c>
      <c r="B145" s="1" t="s">
        <v>233</v>
      </c>
      <c r="C145" s="1" t="s">
        <v>163</v>
      </c>
    </row>
    <row r="146" spans="1:3" x14ac:dyDescent="0.3">
      <c r="A146" s="1">
        <v>84</v>
      </c>
      <c r="B146" s="1" t="s">
        <v>275</v>
      </c>
      <c r="C146" s="1" t="s">
        <v>162</v>
      </c>
    </row>
    <row r="147" spans="1:3" x14ac:dyDescent="0.3">
      <c r="A147" s="1">
        <v>84</v>
      </c>
      <c r="B147" s="1" t="s">
        <v>235</v>
      </c>
      <c r="C147" s="1" t="s">
        <v>163</v>
      </c>
    </row>
    <row r="148" spans="1:3" x14ac:dyDescent="0.3">
      <c r="A148" s="1">
        <v>84</v>
      </c>
      <c r="B148" s="1" t="s">
        <v>234</v>
      </c>
      <c r="C148" s="1" t="s">
        <v>161</v>
      </c>
    </row>
    <row r="149" spans="1:3" x14ac:dyDescent="0.3">
      <c r="A149" s="1">
        <v>85</v>
      </c>
      <c r="B149" s="1" t="s">
        <v>237</v>
      </c>
      <c r="C149" s="1" t="s">
        <v>161</v>
      </c>
    </row>
    <row r="150" spans="1:3" x14ac:dyDescent="0.3">
      <c r="A150" s="1">
        <v>85</v>
      </c>
      <c r="B150" s="1" t="s">
        <v>238</v>
      </c>
      <c r="C150" s="1" t="s">
        <v>163</v>
      </c>
    </row>
    <row r="151" spans="1:3" x14ac:dyDescent="0.3">
      <c r="A151" s="1">
        <v>85</v>
      </c>
      <c r="B151" s="1" t="s">
        <v>236</v>
      </c>
      <c r="C151" s="1" t="s">
        <v>161</v>
      </c>
    </row>
    <row r="152" spans="1:3" x14ac:dyDescent="0.3">
      <c r="A152" s="1">
        <v>86</v>
      </c>
      <c r="B152" s="1" t="s">
        <v>239</v>
      </c>
      <c r="C152" s="1" t="s">
        <v>163</v>
      </c>
    </row>
    <row r="153" spans="1:3" x14ac:dyDescent="0.3">
      <c r="A153" s="1">
        <v>86</v>
      </c>
      <c r="B153" s="1" t="s">
        <v>241</v>
      </c>
      <c r="C153" s="1" t="s">
        <v>240</v>
      </c>
    </row>
    <row r="154" spans="1:3" x14ac:dyDescent="0.3">
      <c r="A154" s="1">
        <v>88</v>
      </c>
      <c r="B154" s="1" t="s">
        <v>242</v>
      </c>
      <c r="C154" s="1" t="s">
        <v>163</v>
      </c>
    </row>
    <row r="155" spans="1:3" x14ac:dyDescent="0.3">
      <c r="A155" s="1">
        <v>89</v>
      </c>
      <c r="B155" s="1" t="s">
        <v>276</v>
      </c>
      <c r="C155" s="1" t="s">
        <v>161</v>
      </c>
    </row>
    <row r="156" spans="1:3" x14ac:dyDescent="0.3">
      <c r="A156" s="1">
        <v>89</v>
      </c>
      <c r="B156" s="1" t="s">
        <v>277</v>
      </c>
      <c r="C156" s="1" t="s">
        <v>162</v>
      </c>
    </row>
    <row r="157" spans="1:3" x14ac:dyDescent="0.3">
      <c r="A157" s="1">
        <v>89</v>
      </c>
      <c r="B157" s="1" t="s">
        <v>243</v>
      </c>
      <c r="C157" s="1" t="s">
        <v>163</v>
      </c>
    </row>
    <row r="158" spans="1:3" x14ac:dyDescent="0.3">
      <c r="A158" s="1">
        <v>90</v>
      </c>
      <c r="B158" s="1" t="s">
        <v>244</v>
      </c>
      <c r="C158" s="1" t="s">
        <v>163</v>
      </c>
    </row>
    <row r="159" spans="1:3" x14ac:dyDescent="0.3">
      <c r="A159" s="6">
        <v>91</v>
      </c>
      <c r="B159" s="6" t="s">
        <v>284</v>
      </c>
      <c r="C159" s="6" t="s">
        <v>163</v>
      </c>
    </row>
    <row r="160" spans="1:3" x14ac:dyDescent="0.3">
      <c r="A160" s="6">
        <v>92</v>
      </c>
      <c r="B160" s="1" t="s">
        <v>243</v>
      </c>
      <c r="C160" s="6" t="s">
        <v>163</v>
      </c>
    </row>
    <row r="161" spans="1:3" x14ac:dyDescent="0.3">
      <c r="A161" s="6">
        <v>93</v>
      </c>
      <c r="B161" s="1" t="s">
        <v>294</v>
      </c>
      <c r="C161" s="6" t="s">
        <v>162</v>
      </c>
    </row>
    <row r="162" spans="1:3" x14ac:dyDescent="0.3">
      <c r="A162" s="6">
        <v>93</v>
      </c>
      <c r="B162" s="1" t="s">
        <v>181</v>
      </c>
      <c r="C162" s="6" t="s">
        <v>163</v>
      </c>
    </row>
    <row r="163" spans="1:3" x14ac:dyDescent="0.3">
      <c r="A163" s="6">
        <v>94</v>
      </c>
      <c r="B163" s="1" t="s">
        <v>287</v>
      </c>
      <c r="C163" s="6" t="s">
        <v>163</v>
      </c>
    </row>
    <row r="164" spans="1:3" x14ac:dyDescent="0.3">
      <c r="A164" s="1">
        <v>95</v>
      </c>
      <c r="B164" s="1" t="s">
        <v>299</v>
      </c>
      <c r="C164" s="1" t="s">
        <v>161</v>
      </c>
    </row>
    <row r="165" spans="1:3" x14ac:dyDescent="0.3">
      <c r="A165" s="6">
        <v>95</v>
      </c>
      <c r="B165" s="1" t="s">
        <v>294</v>
      </c>
      <c r="C165" s="6" t="s">
        <v>162</v>
      </c>
    </row>
    <row r="166" spans="1:3" x14ac:dyDescent="0.3">
      <c r="A166" s="1">
        <v>95</v>
      </c>
      <c r="B166" s="1" t="s">
        <v>301</v>
      </c>
      <c r="C166" s="1" t="s">
        <v>161</v>
      </c>
    </row>
    <row r="167" spans="1:3" x14ac:dyDescent="0.3">
      <c r="A167" s="1">
        <v>95</v>
      </c>
      <c r="B167" s="1" t="s">
        <v>298</v>
      </c>
      <c r="C167" s="1" t="s">
        <v>161</v>
      </c>
    </row>
    <row r="168" spans="1:3" x14ac:dyDescent="0.3">
      <c r="A168" s="1">
        <v>95</v>
      </c>
      <c r="B168" s="1" t="s">
        <v>300</v>
      </c>
      <c r="C168" s="1" t="s">
        <v>161</v>
      </c>
    </row>
    <row r="169" spans="1:3" x14ac:dyDescent="0.3">
      <c r="A169" s="1">
        <v>95</v>
      </c>
      <c r="B169" s="1" t="s">
        <v>313</v>
      </c>
      <c r="C169" s="1" t="s">
        <v>163</v>
      </c>
    </row>
    <row r="170" spans="1:3" x14ac:dyDescent="0.3">
      <c r="A170" s="1">
        <v>96</v>
      </c>
      <c r="B170" s="1" t="s">
        <v>304</v>
      </c>
      <c r="C170" s="1" t="s">
        <v>163</v>
      </c>
    </row>
    <row r="171" spans="1:3" x14ac:dyDescent="0.3">
      <c r="A171" s="1">
        <v>96</v>
      </c>
      <c r="B171" s="1" t="s">
        <v>303</v>
      </c>
      <c r="C171" s="1" t="s">
        <v>240</v>
      </c>
    </row>
    <row r="172" spans="1:3" x14ac:dyDescent="0.3">
      <c r="A172" s="6">
        <v>97</v>
      </c>
      <c r="B172" s="1" t="s">
        <v>294</v>
      </c>
      <c r="C172" s="6" t="s">
        <v>162</v>
      </c>
    </row>
    <row r="173" spans="1:3" x14ac:dyDescent="0.3">
      <c r="A173" s="6">
        <v>97</v>
      </c>
      <c r="B173" s="1" t="s">
        <v>295</v>
      </c>
      <c r="C173" s="6" t="s">
        <v>161</v>
      </c>
    </row>
    <row r="174" spans="1:3" x14ac:dyDescent="0.3">
      <c r="A174" s="1">
        <v>97</v>
      </c>
      <c r="B174" s="1" t="s">
        <v>295</v>
      </c>
      <c r="C174" s="1" t="s">
        <v>161</v>
      </c>
    </row>
    <row r="175" spans="1:3" x14ac:dyDescent="0.3">
      <c r="A175" s="1">
        <v>97</v>
      </c>
      <c r="B175" s="1" t="s">
        <v>310</v>
      </c>
      <c r="C175" s="1" t="s">
        <v>163</v>
      </c>
    </row>
    <row r="176" spans="1:3" x14ac:dyDescent="0.3">
      <c r="A176" s="6">
        <v>97</v>
      </c>
      <c r="B176" s="1" t="s">
        <v>296</v>
      </c>
      <c r="C176" s="6" t="s">
        <v>163</v>
      </c>
    </row>
    <row r="177" spans="1:3" x14ac:dyDescent="0.3">
      <c r="A177" s="6">
        <v>98</v>
      </c>
      <c r="B177" s="1" t="s">
        <v>294</v>
      </c>
      <c r="C177" s="6" t="s">
        <v>162</v>
      </c>
    </row>
    <row r="178" spans="1:3" x14ac:dyDescent="0.3">
      <c r="A178" s="1">
        <v>98</v>
      </c>
      <c r="B178" s="1" t="s">
        <v>311</v>
      </c>
      <c r="C178" s="1" t="s">
        <v>163</v>
      </c>
    </row>
    <row r="179" spans="1:3" x14ac:dyDescent="0.3">
      <c r="A179" s="1">
        <v>99</v>
      </c>
      <c r="B179" s="1" t="s">
        <v>218</v>
      </c>
      <c r="C179" s="1" t="s">
        <v>163</v>
      </c>
    </row>
    <row r="180" spans="1:3" x14ac:dyDescent="0.3">
      <c r="A180" s="1">
        <v>99</v>
      </c>
      <c r="B180" s="1" t="s">
        <v>213</v>
      </c>
      <c r="C180" s="1" t="s">
        <v>161</v>
      </c>
    </row>
    <row r="181" spans="1:3" x14ac:dyDescent="0.3">
      <c r="A181" s="1">
        <v>100</v>
      </c>
      <c r="B181" s="1" t="s">
        <v>312</v>
      </c>
      <c r="C181" s="1" t="s">
        <v>163</v>
      </c>
    </row>
    <row r="182" spans="1:3" x14ac:dyDescent="0.3">
      <c r="A182" s="1">
        <v>101</v>
      </c>
      <c r="B182" s="1" t="s">
        <v>322</v>
      </c>
      <c r="C182" s="1" t="s">
        <v>162</v>
      </c>
    </row>
    <row r="183" spans="1:3" x14ac:dyDescent="0.3">
      <c r="A183" s="1">
        <v>101</v>
      </c>
      <c r="B183" s="1" t="s">
        <v>321</v>
      </c>
      <c r="C183" s="1" t="s">
        <v>1129</v>
      </c>
    </row>
    <row r="184" spans="1:3" x14ac:dyDescent="0.3">
      <c r="A184" s="1">
        <v>101</v>
      </c>
      <c r="B184" s="1" t="s">
        <v>324</v>
      </c>
      <c r="C184" s="1" t="s">
        <v>323</v>
      </c>
    </row>
    <row r="185" spans="1:3" x14ac:dyDescent="0.3">
      <c r="A185" s="1">
        <v>102</v>
      </c>
      <c r="B185" s="1" t="s">
        <v>324</v>
      </c>
      <c r="C185" s="1" t="s">
        <v>163</v>
      </c>
    </row>
    <row r="186" spans="1:3" x14ac:dyDescent="0.3">
      <c r="A186" s="1">
        <v>103</v>
      </c>
      <c r="B186" s="1" t="s">
        <v>322</v>
      </c>
      <c r="C186" s="1" t="s">
        <v>162</v>
      </c>
    </row>
    <row r="187" spans="1:3" x14ac:dyDescent="0.3">
      <c r="A187" s="1">
        <v>103</v>
      </c>
      <c r="B187" s="1" t="s">
        <v>325</v>
      </c>
      <c r="C187" s="1" t="s">
        <v>1129</v>
      </c>
    </row>
    <row r="188" spans="1:3" x14ac:dyDescent="0.3">
      <c r="A188" s="1">
        <v>103</v>
      </c>
      <c r="B188" s="1" t="s">
        <v>181</v>
      </c>
      <c r="C188" s="1" t="s">
        <v>163</v>
      </c>
    </row>
    <row r="189" spans="1:3" x14ac:dyDescent="0.3">
      <c r="A189" s="1">
        <v>104</v>
      </c>
      <c r="B189" s="1" t="s">
        <v>325</v>
      </c>
      <c r="C189" s="1" t="s">
        <v>1129</v>
      </c>
    </row>
    <row r="190" spans="1:3" x14ac:dyDescent="0.3">
      <c r="A190" s="1">
        <v>104</v>
      </c>
      <c r="B190" s="1" t="s">
        <v>181</v>
      </c>
      <c r="C190" s="1" t="s">
        <v>163</v>
      </c>
    </row>
    <row r="191" spans="1:3" x14ac:dyDescent="0.3">
      <c r="A191" s="1">
        <v>105</v>
      </c>
      <c r="B191" s="1" t="s">
        <v>300</v>
      </c>
      <c r="C191" s="1" t="s">
        <v>161</v>
      </c>
    </row>
    <row r="192" spans="1:3" x14ac:dyDescent="0.3">
      <c r="A192" s="1">
        <v>105</v>
      </c>
      <c r="B192" s="1" t="s">
        <v>326</v>
      </c>
      <c r="C192" s="1" t="s">
        <v>163</v>
      </c>
    </row>
    <row r="193" spans="1:3" x14ac:dyDescent="0.3">
      <c r="A193" s="1">
        <v>106</v>
      </c>
      <c r="B193" s="1" t="s">
        <v>294</v>
      </c>
      <c r="C193" s="1" t="s">
        <v>162</v>
      </c>
    </row>
    <row r="194" spans="1:3" x14ac:dyDescent="0.3">
      <c r="A194" s="1">
        <v>106</v>
      </c>
      <c r="B194" s="1" t="s">
        <v>331</v>
      </c>
      <c r="C194" s="1" t="s">
        <v>163</v>
      </c>
    </row>
    <row r="195" spans="1:3" x14ac:dyDescent="0.3">
      <c r="A195" s="1">
        <v>107</v>
      </c>
      <c r="B195" s="1" t="s">
        <v>201</v>
      </c>
      <c r="C195" s="1" t="s">
        <v>163</v>
      </c>
    </row>
    <row r="196" spans="1:3" x14ac:dyDescent="0.3">
      <c r="A196" s="1">
        <v>107</v>
      </c>
      <c r="B196" s="1" t="s">
        <v>332</v>
      </c>
      <c r="C196" s="1" t="s">
        <v>1129</v>
      </c>
    </row>
    <row r="197" spans="1:3" x14ac:dyDescent="0.3">
      <c r="A197" s="1">
        <v>108</v>
      </c>
      <c r="B197" s="1" t="s">
        <v>324</v>
      </c>
      <c r="C197" s="1" t="s">
        <v>163</v>
      </c>
    </row>
    <row r="198" spans="1:3" x14ac:dyDescent="0.3">
      <c r="A198" s="1">
        <v>109</v>
      </c>
      <c r="B198" s="1" t="s">
        <v>336</v>
      </c>
      <c r="C198" s="1" t="s">
        <v>162</v>
      </c>
    </row>
    <row r="199" spans="1:3" x14ac:dyDescent="0.3">
      <c r="A199" s="1">
        <v>109</v>
      </c>
      <c r="B199" s="1" t="s">
        <v>337</v>
      </c>
      <c r="C199" s="1" t="s">
        <v>163</v>
      </c>
    </row>
    <row r="200" spans="1:3" x14ac:dyDescent="0.3">
      <c r="A200" s="1">
        <v>110</v>
      </c>
      <c r="B200" s="1" t="s">
        <v>341</v>
      </c>
      <c r="C200" s="1" t="s">
        <v>163</v>
      </c>
    </row>
    <row r="201" spans="1:3" x14ac:dyDescent="0.3">
      <c r="A201" s="1">
        <v>111</v>
      </c>
      <c r="B201" s="1" t="s">
        <v>344</v>
      </c>
      <c r="C201" s="1" t="s">
        <v>163</v>
      </c>
    </row>
    <row r="202" spans="1:3" x14ac:dyDescent="0.3">
      <c r="A202" s="1">
        <v>111</v>
      </c>
      <c r="B202" s="1" t="s">
        <v>343</v>
      </c>
      <c r="C202" s="1" t="s">
        <v>161</v>
      </c>
    </row>
    <row r="203" spans="1:3" x14ac:dyDescent="0.3">
      <c r="A203" s="1">
        <v>111</v>
      </c>
      <c r="B203" s="1" t="s">
        <v>342</v>
      </c>
      <c r="C203" s="1" t="s">
        <v>161</v>
      </c>
    </row>
    <row r="204" spans="1:3" x14ac:dyDescent="0.3">
      <c r="A204" s="1">
        <v>112</v>
      </c>
      <c r="B204" s="1" t="s">
        <v>345</v>
      </c>
      <c r="C204" s="1" t="s">
        <v>162</v>
      </c>
    </row>
    <row r="205" spans="1:3" x14ac:dyDescent="0.3">
      <c r="A205" s="1">
        <v>112</v>
      </c>
      <c r="B205" s="1" t="s">
        <v>353</v>
      </c>
      <c r="C205" s="1" t="s">
        <v>161</v>
      </c>
    </row>
    <row r="206" spans="1:3" x14ac:dyDescent="0.3">
      <c r="A206" s="1">
        <v>113</v>
      </c>
      <c r="B206" s="1" t="s">
        <v>354</v>
      </c>
      <c r="C206" s="1" t="s">
        <v>1129</v>
      </c>
    </row>
    <row r="207" spans="1:3" x14ac:dyDescent="0.3">
      <c r="A207" s="1">
        <v>113</v>
      </c>
      <c r="B207" s="1" t="s">
        <v>357</v>
      </c>
      <c r="C207" s="1" t="s">
        <v>161</v>
      </c>
    </row>
    <row r="208" spans="1:3" x14ac:dyDescent="0.3">
      <c r="A208" s="1">
        <v>113</v>
      </c>
      <c r="B208" s="1" t="s">
        <v>358</v>
      </c>
      <c r="C208" s="1" t="s">
        <v>163</v>
      </c>
    </row>
    <row r="209" spans="1:3" x14ac:dyDescent="0.3">
      <c r="A209" s="1">
        <v>113</v>
      </c>
      <c r="B209" s="1" t="s">
        <v>355</v>
      </c>
      <c r="C209" s="1" t="s">
        <v>1129</v>
      </c>
    </row>
    <row r="210" spans="1:3" x14ac:dyDescent="0.3">
      <c r="A210" s="1">
        <v>113</v>
      </c>
      <c r="B210" s="1" t="s">
        <v>356</v>
      </c>
      <c r="C210" s="1" t="s">
        <v>1129</v>
      </c>
    </row>
    <row r="211" spans="1:3" x14ac:dyDescent="0.3">
      <c r="A211" s="1">
        <v>114</v>
      </c>
      <c r="B211" s="1" t="s">
        <v>359</v>
      </c>
      <c r="C211" s="1" t="s">
        <v>163</v>
      </c>
    </row>
    <row r="212" spans="1:3" x14ac:dyDescent="0.3">
      <c r="A212" s="1">
        <v>116</v>
      </c>
      <c r="B212" s="1" t="s">
        <v>218</v>
      </c>
      <c r="C212" s="1" t="s">
        <v>163</v>
      </c>
    </row>
    <row r="213" spans="1:3" x14ac:dyDescent="0.3">
      <c r="A213" s="1">
        <v>117</v>
      </c>
      <c r="B213" s="1" t="s">
        <v>372</v>
      </c>
      <c r="C213" s="1" t="s">
        <v>161</v>
      </c>
    </row>
    <row r="214" spans="1:3" x14ac:dyDescent="0.3">
      <c r="A214" s="1">
        <v>117</v>
      </c>
      <c r="B214" s="1" t="s">
        <v>374</v>
      </c>
      <c r="C214" s="1" t="s">
        <v>161</v>
      </c>
    </row>
    <row r="215" spans="1:3" x14ac:dyDescent="0.3">
      <c r="A215" s="1">
        <v>117</v>
      </c>
      <c r="B215" s="1" t="s">
        <v>375</v>
      </c>
      <c r="C215" s="1" t="s">
        <v>161</v>
      </c>
    </row>
    <row r="216" spans="1:3" x14ac:dyDescent="0.3">
      <c r="A216" s="1">
        <v>117</v>
      </c>
      <c r="B216" s="1" t="s">
        <v>373</v>
      </c>
      <c r="C216" s="1" t="s">
        <v>161</v>
      </c>
    </row>
    <row r="217" spans="1:3" x14ac:dyDescent="0.3">
      <c r="A217" s="1">
        <v>117</v>
      </c>
      <c r="B217" s="1" t="s">
        <v>171</v>
      </c>
      <c r="C217" s="1" t="s">
        <v>1129</v>
      </c>
    </row>
    <row r="218" spans="1:3" x14ac:dyDescent="0.3">
      <c r="A218" s="1">
        <v>117</v>
      </c>
      <c r="B218" s="1" t="s">
        <v>360</v>
      </c>
      <c r="C218" s="1" t="s">
        <v>1129</v>
      </c>
    </row>
    <row r="219" spans="1:3" x14ac:dyDescent="0.3">
      <c r="A219" s="1">
        <v>117</v>
      </c>
      <c r="B219" s="1" t="s">
        <v>207</v>
      </c>
      <c r="C219" s="1" t="s">
        <v>163</v>
      </c>
    </row>
    <row r="220" spans="1:3" x14ac:dyDescent="0.3">
      <c r="A220" s="1">
        <v>118</v>
      </c>
      <c r="B220" s="1" t="s">
        <v>376</v>
      </c>
      <c r="C220" s="1" t="s">
        <v>161</v>
      </c>
    </row>
    <row r="221" spans="1:3" x14ac:dyDescent="0.3">
      <c r="A221" s="1">
        <v>118</v>
      </c>
      <c r="B221" s="1" t="s">
        <v>359</v>
      </c>
      <c r="C221" s="1" t="s">
        <v>163</v>
      </c>
    </row>
    <row r="222" spans="1:3" x14ac:dyDescent="0.3">
      <c r="A222" s="1">
        <v>119</v>
      </c>
      <c r="B222" s="1" t="s">
        <v>378</v>
      </c>
      <c r="C222" s="1" t="s">
        <v>162</v>
      </c>
    </row>
    <row r="223" spans="1:3" x14ac:dyDescent="0.3">
      <c r="A223" s="1">
        <v>119</v>
      </c>
      <c r="B223" s="1" t="s">
        <v>377</v>
      </c>
      <c r="C223" s="1" t="s">
        <v>163</v>
      </c>
    </row>
    <row r="224" spans="1:3" x14ac:dyDescent="0.3">
      <c r="A224" s="1">
        <v>120</v>
      </c>
      <c r="B224" s="1" t="s">
        <v>379</v>
      </c>
      <c r="C224" s="1" t="s">
        <v>161</v>
      </c>
    </row>
    <row r="225" spans="1:3" x14ac:dyDescent="0.3">
      <c r="A225" s="1">
        <v>120</v>
      </c>
      <c r="B225" s="1" t="s">
        <v>380</v>
      </c>
      <c r="C225" s="1" t="s">
        <v>163</v>
      </c>
    </row>
    <row r="226" spans="1:3" x14ac:dyDescent="0.3">
      <c r="A226" s="1">
        <v>121</v>
      </c>
      <c r="B226" s="1" t="s">
        <v>381</v>
      </c>
      <c r="C226" s="1" t="s">
        <v>163</v>
      </c>
    </row>
    <row r="227" spans="1:3" x14ac:dyDescent="0.3">
      <c r="A227" s="1">
        <v>122</v>
      </c>
      <c r="B227" s="1" t="s">
        <v>383</v>
      </c>
      <c r="C227" s="1" t="s">
        <v>161</v>
      </c>
    </row>
    <row r="228" spans="1:3" x14ac:dyDescent="0.3">
      <c r="A228" s="1">
        <v>122</v>
      </c>
      <c r="B228" s="1" t="s">
        <v>382</v>
      </c>
      <c r="C228" s="1" t="s">
        <v>161</v>
      </c>
    </row>
    <row r="229" spans="1:3" x14ac:dyDescent="0.3">
      <c r="A229" s="1">
        <v>122</v>
      </c>
      <c r="B229" s="1" t="s">
        <v>384</v>
      </c>
      <c r="C229" s="1" t="s">
        <v>163</v>
      </c>
    </row>
    <row r="230" spans="1:3" x14ac:dyDescent="0.3">
      <c r="A230" s="1">
        <v>123</v>
      </c>
      <c r="B230" s="1" t="s">
        <v>193</v>
      </c>
      <c r="C230" s="1" t="s">
        <v>163</v>
      </c>
    </row>
    <row r="231" spans="1:3" x14ac:dyDescent="0.3">
      <c r="A231" s="1">
        <v>123</v>
      </c>
      <c r="B231" s="1" t="s">
        <v>354</v>
      </c>
      <c r="C231" s="1" t="s">
        <v>1129</v>
      </c>
    </row>
    <row r="232" spans="1:3" x14ac:dyDescent="0.3">
      <c r="A232" s="1">
        <v>123</v>
      </c>
      <c r="B232" s="1" t="s">
        <v>386</v>
      </c>
      <c r="C232" s="1" t="s">
        <v>162</v>
      </c>
    </row>
    <row r="233" spans="1:3" x14ac:dyDescent="0.3">
      <c r="A233" s="1">
        <v>123</v>
      </c>
      <c r="B233" s="1" t="s">
        <v>385</v>
      </c>
      <c r="C233" s="1" t="s">
        <v>1129</v>
      </c>
    </row>
    <row r="234" spans="1:3" x14ac:dyDescent="0.3">
      <c r="A234" s="1">
        <v>124</v>
      </c>
      <c r="B234" s="1" t="s">
        <v>412</v>
      </c>
      <c r="C234" s="1" t="s">
        <v>163</v>
      </c>
    </row>
    <row r="235" spans="1:3" x14ac:dyDescent="0.3">
      <c r="A235" s="1">
        <v>124</v>
      </c>
      <c r="B235" s="1" t="s">
        <v>387</v>
      </c>
      <c r="C235" s="1" t="s">
        <v>1129</v>
      </c>
    </row>
    <row r="236" spans="1:3" x14ac:dyDescent="0.3">
      <c r="A236" s="1">
        <v>124</v>
      </c>
      <c r="B236" s="1" t="s">
        <v>196</v>
      </c>
      <c r="C236" s="1" t="s">
        <v>161</v>
      </c>
    </row>
    <row r="237" spans="1:3" x14ac:dyDescent="0.3">
      <c r="A237" s="1">
        <v>125</v>
      </c>
      <c r="B237" s="1" t="s">
        <v>413</v>
      </c>
      <c r="C237" s="1" t="s">
        <v>163</v>
      </c>
    </row>
    <row r="238" spans="1:3" x14ac:dyDescent="0.3">
      <c r="A238" s="1">
        <v>126</v>
      </c>
      <c r="B238" s="1" t="s">
        <v>414</v>
      </c>
      <c r="C238" s="1" t="s">
        <v>163</v>
      </c>
    </row>
    <row r="239" spans="1:3" x14ac:dyDescent="0.3">
      <c r="A239" s="1">
        <v>127</v>
      </c>
      <c r="B239" s="1" t="s">
        <v>415</v>
      </c>
      <c r="C239" s="1" t="s">
        <v>163</v>
      </c>
    </row>
    <row r="240" spans="1:3" x14ac:dyDescent="0.3">
      <c r="A240" s="1">
        <v>127</v>
      </c>
      <c r="B240" s="1" t="s">
        <v>196</v>
      </c>
      <c r="C240" s="1" t="s">
        <v>161</v>
      </c>
    </row>
    <row r="241" spans="1:3" x14ac:dyDescent="0.3">
      <c r="A241" s="1">
        <v>128</v>
      </c>
      <c r="B241" s="1" t="s">
        <v>413</v>
      </c>
      <c r="C241" s="1" t="s">
        <v>163</v>
      </c>
    </row>
    <row r="242" spans="1:3" x14ac:dyDescent="0.3">
      <c r="A242" s="1">
        <v>129</v>
      </c>
      <c r="B242" s="1" t="s">
        <v>417</v>
      </c>
      <c r="C242" s="1" t="s">
        <v>162</v>
      </c>
    </row>
    <row r="243" spans="1:3" x14ac:dyDescent="0.3">
      <c r="A243" s="1">
        <v>129</v>
      </c>
      <c r="B243" s="1" t="s">
        <v>416</v>
      </c>
      <c r="C243" s="1" t="s">
        <v>161</v>
      </c>
    </row>
    <row r="244" spans="1:3" x14ac:dyDescent="0.3">
      <c r="A244" s="1">
        <v>129</v>
      </c>
      <c r="B244" s="1" t="s">
        <v>418</v>
      </c>
      <c r="C244" s="1" t="s">
        <v>163</v>
      </c>
    </row>
    <row r="245" spans="1:3" x14ac:dyDescent="0.3">
      <c r="A245" s="1">
        <v>129</v>
      </c>
      <c r="B245" s="1" t="s">
        <v>213</v>
      </c>
      <c r="C245" s="1" t="s">
        <v>161</v>
      </c>
    </row>
    <row r="246" spans="1:3" x14ac:dyDescent="0.3">
      <c r="A246" s="1">
        <v>130</v>
      </c>
      <c r="B246" s="1" t="s">
        <v>419</v>
      </c>
      <c r="C246" s="1" t="s">
        <v>161</v>
      </c>
    </row>
    <row r="247" spans="1:3" x14ac:dyDescent="0.3">
      <c r="A247" s="1">
        <v>130</v>
      </c>
      <c r="B247" s="1" t="s">
        <v>417</v>
      </c>
      <c r="C247" s="1" t="s">
        <v>162</v>
      </c>
    </row>
    <row r="248" spans="1:3" x14ac:dyDescent="0.3">
      <c r="A248" s="1">
        <v>130</v>
      </c>
      <c r="B248" s="1" t="s">
        <v>418</v>
      </c>
      <c r="C248" s="1" t="s">
        <v>163</v>
      </c>
    </row>
    <row r="249" spans="1:3" x14ac:dyDescent="0.3">
      <c r="A249" s="1">
        <v>131</v>
      </c>
      <c r="B249" s="1" t="s">
        <v>421</v>
      </c>
      <c r="C249" s="1" t="s">
        <v>161</v>
      </c>
    </row>
    <row r="250" spans="1:3" x14ac:dyDescent="0.3">
      <c r="A250" s="1">
        <v>131</v>
      </c>
      <c r="B250" s="1" t="s">
        <v>420</v>
      </c>
      <c r="C250" s="1" t="s">
        <v>162</v>
      </c>
    </row>
    <row r="251" spans="1:3" x14ac:dyDescent="0.3">
      <c r="A251" s="1">
        <v>131</v>
      </c>
      <c r="B251" s="1" t="s">
        <v>422</v>
      </c>
      <c r="C251" s="1" t="s">
        <v>163</v>
      </c>
    </row>
    <row r="252" spans="1:3" x14ac:dyDescent="0.3">
      <c r="A252" s="1">
        <v>132</v>
      </c>
      <c r="B252" s="1" t="s">
        <v>424</v>
      </c>
      <c r="C252" s="1" t="s">
        <v>161</v>
      </c>
    </row>
    <row r="253" spans="1:3" x14ac:dyDescent="0.3">
      <c r="A253" s="1">
        <v>132</v>
      </c>
      <c r="B253" s="1" t="s">
        <v>423</v>
      </c>
      <c r="C253" s="1" t="s">
        <v>1129</v>
      </c>
    </row>
    <row r="254" spans="1:3" x14ac:dyDescent="0.3">
      <c r="A254" s="1">
        <v>132</v>
      </c>
      <c r="B254" s="1" t="s">
        <v>425</v>
      </c>
      <c r="C254" s="1" t="s">
        <v>163</v>
      </c>
    </row>
    <row r="255" spans="1:3" x14ac:dyDescent="0.3">
      <c r="A255" s="1">
        <v>133</v>
      </c>
      <c r="B255" s="1" t="s">
        <v>311</v>
      </c>
      <c r="C255" s="1" t="s">
        <v>163</v>
      </c>
    </row>
    <row r="256" spans="1:3" x14ac:dyDescent="0.3">
      <c r="A256" s="1">
        <v>133</v>
      </c>
      <c r="B256" s="1" t="s">
        <v>213</v>
      </c>
      <c r="C256" s="1" t="s">
        <v>161</v>
      </c>
    </row>
    <row r="257" spans="1:3" x14ac:dyDescent="0.3">
      <c r="A257" s="1">
        <v>134</v>
      </c>
      <c r="B257" s="1" t="s">
        <v>418</v>
      </c>
      <c r="C257" s="1" t="s">
        <v>163</v>
      </c>
    </row>
    <row r="258" spans="1:3" x14ac:dyDescent="0.3">
      <c r="A258" s="1">
        <v>135</v>
      </c>
      <c r="B258" s="1" t="s">
        <v>426</v>
      </c>
      <c r="C258" s="1" t="s">
        <v>162</v>
      </c>
    </row>
    <row r="259" spans="1:3" x14ac:dyDescent="0.3">
      <c r="A259" s="1">
        <v>135</v>
      </c>
      <c r="B259" s="1" t="s">
        <v>427</v>
      </c>
      <c r="C259" s="1" t="s">
        <v>163</v>
      </c>
    </row>
    <row r="260" spans="1:3" x14ac:dyDescent="0.3">
      <c r="A260" s="1">
        <v>136</v>
      </c>
      <c r="B260" s="1" t="s">
        <v>428</v>
      </c>
      <c r="C260" s="1" t="s">
        <v>1129</v>
      </c>
    </row>
    <row r="261" spans="1:3" x14ac:dyDescent="0.3">
      <c r="A261" s="1">
        <v>136</v>
      </c>
      <c r="B261" s="1" t="s">
        <v>429</v>
      </c>
      <c r="C261" s="1" t="s">
        <v>161</v>
      </c>
    </row>
    <row r="262" spans="1:3" x14ac:dyDescent="0.3">
      <c r="A262" s="1">
        <v>136</v>
      </c>
      <c r="B262" s="1" t="s">
        <v>215</v>
      </c>
      <c r="C262" s="1" t="s">
        <v>163</v>
      </c>
    </row>
    <row r="263" spans="1:3" x14ac:dyDescent="0.3">
      <c r="A263" s="1">
        <v>136</v>
      </c>
      <c r="B263" s="1" t="s">
        <v>937</v>
      </c>
      <c r="C263" s="1" t="s">
        <v>1129</v>
      </c>
    </row>
    <row r="264" spans="1:3" x14ac:dyDescent="0.3">
      <c r="A264" s="1">
        <v>137</v>
      </c>
      <c r="B264" s="1" t="s">
        <v>232</v>
      </c>
      <c r="C264" s="1" t="s">
        <v>163</v>
      </c>
    </row>
    <row r="265" spans="1:3" x14ac:dyDescent="0.3">
      <c r="A265" s="1">
        <v>138</v>
      </c>
      <c r="B265" s="1" t="s">
        <v>430</v>
      </c>
      <c r="C265" s="1" t="s">
        <v>161</v>
      </c>
    </row>
    <row r="266" spans="1:3" x14ac:dyDescent="0.3">
      <c r="A266" s="1">
        <v>138</v>
      </c>
      <c r="B266" s="1" t="s">
        <v>233</v>
      </c>
      <c r="C266" s="1" t="s">
        <v>163</v>
      </c>
    </row>
    <row r="267" spans="1:3" x14ac:dyDescent="0.3">
      <c r="A267" s="1">
        <v>139</v>
      </c>
      <c r="B267" s="1" t="s">
        <v>218</v>
      </c>
      <c r="C267" s="1" t="s">
        <v>163</v>
      </c>
    </row>
    <row r="268" spans="1:3" x14ac:dyDescent="0.3">
      <c r="A268" s="1">
        <v>140</v>
      </c>
      <c r="B268" s="1" t="s">
        <v>431</v>
      </c>
      <c r="C268" s="1" t="s">
        <v>162</v>
      </c>
    </row>
    <row r="269" spans="1:3" x14ac:dyDescent="0.3">
      <c r="A269" s="1">
        <v>140</v>
      </c>
      <c r="B269" s="1" t="s">
        <v>218</v>
      </c>
      <c r="C269" s="1" t="s">
        <v>163</v>
      </c>
    </row>
    <row r="270" spans="1:3" x14ac:dyDescent="0.3">
      <c r="A270" s="1">
        <v>141</v>
      </c>
      <c r="B270" s="1" t="s">
        <v>432</v>
      </c>
      <c r="C270" s="1" t="s">
        <v>162</v>
      </c>
    </row>
    <row r="271" spans="1:3" x14ac:dyDescent="0.3">
      <c r="A271" s="1">
        <v>141</v>
      </c>
      <c r="B271" s="1" t="s">
        <v>214</v>
      </c>
      <c r="C271" s="1" t="s">
        <v>163</v>
      </c>
    </row>
    <row r="272" spans="1:3" x14ac:dyDescent="0.3">
      <c r="A272" s="1">
        <v>142</v>
      </c>
      <c r="B272" s="1" t="s">
        <v>434</v>
      </c>
      <c r="C272" s="1" t="s">
        <v>161</v>
      </c>
    </row>
    <row r="273" spans="1:3" x14ac:dyDescent="0.3">
      <c r="A273" s="1">
        <v>142</v>
      </c>
      <c r="B273" s="1" t="s">
        <v>433</v>
      </c>
      <c r="C273" s="1" t="s">
        <v>162</v>
      </c>
    </row>
    <row r="274" spans="1:3" x14ac:dyDescent="0.3">
      <c r="A274" s="1">
        <v>142</v>
      </c>
      <c r="B274" s="1" t="s">
        <v>218</v>
      </c>
      <c r="C274" s="1" t="s">
        <v>163</v>
      </c>
    </row>
    <row r="275" spans="1:3" x14ac:dyDescent="0.3">
      <c r="A275" s="1">
        <v>143</v>
      </c>
      <c r="B275" s="1" t="s">
        <v>425</v>
      </c>
      <c r="C275" s="1" t="s">
        <v>163</v>
      </c>
    </row>
    <row r="276" spans="1:3" x14ac:dyDescent="0.3">
      <c r="A276" s="1">
        <v>143</v>
      </c>
      <c r="B276" s="1" t="s">
        <v>435</v>
      </c>
      <c r="C276" s="1" t="s">
        <v>1129</v>
      </c>
    </row>
    <row r="277" spans="1:3" x14ac:dyDescent="0.3">
      <c r="A277" s="1">
        <v>144</v>
      </c>
      <c r="B277" s="1" t="s">
        <v>436</v>
      </c>
      <c r="C277" s="1" t="s">
        <v>162</v>
      </c>
    </row>
    <row r="278" spans="1:3" x14ac:dyDescent="0.3">
      <c r="A278" s="1">
        <v>145</v>
      </c>
      <c r="B278" s="1" t="s">
        <v>448</v>
      </c>
      <c r="C278" s="1" t="s">
        <v>161</v>
      </c>
    </row>
    <row r="279" spans="1:3" x14ac:dyDescent="0.3">
      <c r="A279" s="1">
        <v>145</v>
      </c>
      <c r="B279" s="1" t="s">
        <v>449</v>
      </c>
      <c r="C279" s="1" t="s">
        <v>163</v>
      </c>
    </row>
    <row r="280" spans="1:3" x14ac:dyDescent="0.3">
      <c r="A280" s="1">
        <v>146</v>
      </c>
      <c r="B280" s="1" t="s">
        <v>450</v>
      </c>
      <c r="C280" s="1" t="s">
        <v>163</v>
      </c>
    </row>
    <row r="281" spans="1:3" x14ac:dyDescent="0.3">
      <c r="A281" s="1">
        <v>147</v>
      </c>
      <c r="B281" s="1" t="s">
        <v>437</v>
      </c>
      <c r="C281" s="1" t="s">
        <v>1129</v>
      </c>
    </row>
    <row r="282" spans="1:3" x14ac:dyDescent="0.3">
      <c r="A282" s="1">
        <v>147</v>
      </c>
      <c r="B282" s="1" t="s">
        <v>452</v>
      </c>
      <c r="C282" s="1" t="s">
        <v>163</v>
      </c>
    </row>
    <row r="283" spans="1:3" x14ac:dyDescent="0.3">
      <c r="A283" s="1">
        <v>147</v>
      </c>
      <c r="B283" s="1" t="s">
        <v>451</v>
      </c>
      <c r="C283" s="1" t="s">
        <v>161</v>
      </c>
    </row>
    <row r="284" spans="1:3" x14ac:dyDescent="0.3">
      <c r="A284" s="1">
        <v>148</v>
      </c>
      <c r="B284" s="1" t="s">
        <v>453</v>
      </c>
      <c r="C284" s="1" t="s">
        <v>161</v>
      </c>
    </row>
    <row r="285" spans="1:3" x14ac:dyDescent="0.3">
      <c r="A285" s="1">
        <v>148</v>
      </c>
      <c r="B285" s="1" t="s">
        <v>437</v>
      </c>
      <c r="C285" s="1" t="s">
        <v>1129</v>
      </c>
    </row>
    <row r="286" spans="1:3" x14ac:dyDescent="0.3">
      <c r="A286" s="1">
        <v>148</v>
      </c>
      <c r="B286" s="1" t="s">
        <v>454</v>
      </c>
      <c r="C286" s="1" t="s">
        <v>163</v>
      </c>
    </row>
    <row r="287" spans="1:3" x14ac:dyDescent="0.3">
      <c r="A287" s="1">
        <v>149</v>
      </c>
      <c r="B287" s="1" t="s">
        <v>455</v>
      </c>
      <c r="C287" s="1" t="s">
        <v>161</v>
      </c>
    </row>
    <row r="288" spans="1:3" x14ac:dyDescent="0.3">
      <c r="A288" s="1">
        <v>149</v>
      </c>
      <c r="B288" s="1" t="s">
        <v>182</v>
      </c>
      <c r="C288" s="1" t="s">
        <v>163</v>
      </c>
    </row>
    <row r="289" spans="1:3" x14ac:dyDescent="0.3">
      <c r="A289" s="1">
        <v>150</v>
      </c>
      <c r="B289" s="1" t="s">
        <v>214</v>
      </c>
      <c r="C289" s="1" t="s">
        <v>163</v>
      </c>
    </row>
    <row r="290" spans="1:3" x14ac:dyDescent="0.3">
      <c r="A290" s="1">
        <v>150</v>
      </c>
      <c r="B290" s="1" t="s">
        <v>456</v>
      </c>
      <c r="C290" s="1" t="s">
        <v>161</v>
      </c>
    </row>
    <row r="291" spans="1:3" x14ac:dyDescent="0.3">
      <c r="A291" s="1">
        <v>151</v>
      </c>
      <c r="B291" s="1" t="s">
        <v>200</v>
      </c>
      <c r="C291" s="1" t="s">
        <v>161</v>
      </c>
    </row>
    <row r="292" spans="1:3" x14ac:dyDescent="0.3">
      <c r="A292" s="1">
        <v>151</v>
      </c>
      <c r="B292" s="1" t="s">
        <v>236</v>
      </c>
      <c r="C292" s="1" t="s">
        <v>161</v>
      </c>
    </row>
    <row r="293" spans="1:3" x14ac:dyDescent="0.3">
      <c r="A293" s="1">
        <v>151</v>
      </c>
      <c r="B293" s="1" t="s">
        <v>457</v>
      </c>
      <c r="C293" s="1" t="s">
        <v>163</v>
      </c>
    </row>
    <row r="294" spans="1:3" x14ac:dyDescent="0.3">
      <c r="A294" s="1">
        <v>152</v>
      </c>
      <c r="B294" s="1" t="s">
        <v>437</v>
      </c>
      <c r="C294" s="1" t="s">
        <v>1129</v>
      </c>
    </row>
    <row r="295" spans="1:3" x14ac:dyDescent="0.3">
      <c r="A295" s="1">
        <v>153</v>
      </c>
      <c r="B295" s="1" t="s">
        <v>458</v>
      </c>
      <c r="C295" s="1" t="s">
        <v>161</v>
      </c>
    </row>
    <row r="296" spans="1:3" x14ac:dyDescent="0.3">
      <c r="A296" s="1">
        <v>153</v>
      </c>
      <c r="B296" s="1" t="s">
        <v>437</v>
      </c>
      <c r="C296" s="1" t="s">
        <v>1129</v>
      </c>
    </row>
    <row r="297" spans="1:3" x14ac:dyDescent="0.3">
      <c r="A297" s="1">
        <v>153</v>
      </c>
      <c r="B297" s="1" t="s">
        <v>459</v>
      </c>
      <c r="C297" s="1" t="s">
        <v>163</v>
      </c>
    </row>
    <row r="298" spans="1:3" x14ac:dyDescent="0.3">
      <c r="A298" s="1">
        <v>154</v>
      </c>
      <c r="B298" s="1" t="s">
        <v>682</v>
      </c>
      <c r="C298" s="1" t="s">
        <v>163</v>
      </c>
    </row>
    <row r="299" spans="1:3" x14ac:dyDescent="0.3">
      <c r="A299" s="1">
        <v>154</v>
      </c>
      <c r="B299" s="1" t="s">
        <v>681</v>
      </c>
      <c r="C299" s="1" t="s">
        <v>161</v>
      </c>
    </row>
    <row r="300" spans="1:3" x14ac:dyDescent="0.3">
      <c r="A300" s="1">
        <v>154</v>
      </c>
      <c r="B300" s="1" t="s">
        <v>680</v>
      </c>
      <c r="C300" s="1" t="s">
        <v>1129</v>
      </c>
    </row>
    <row r="301" spans="1:3" x14ac:dyDescent="0.3">
      <c r="A301" s="1">
        <v>154</v>
      </c>
      <c r="B301" s="1" t="s">
        <v>356</v>
      </c>
      <c r="C301" s="1" t="s">
        <v>1129</v>
      </c>
    </row>
    <row r="302" spans="1:3" x14ac:dyDescent="0.3">
      <c r="A302" s="1">
        <v>155</v>
      </c>
      <c r="B302" s="1" t="s">
        <v>683</v>
      </c>
      <c r="C302" s="1" t="s">
        <v>163</v>
      </c>
    </row>
    <row r="303" spans="1:3" x14ac:dyDescent="0.3">
      <c r="A303" s="1">
        <v>156</v>
      </c>
      <c r="B303" s="1" t="s">
        <v>436</v>
      </c>
      <c r="C303" s="1" t="s">
        <v>163</v>
      </c>
    </row>
    <row r="304" spans="1:3" x14ac:dyDescent="0.3">
      <c r="A304" s="1">
        <v>157</v>
      </c>
      <c r="B304" s="1" t="s">
        <v>218</v>
      </c>
      <c r="C304" s="1" t="s">
        <v>163</v>
      </c>
    </row>
    <row r="305" spans="1:3" x14ac:dyDescent="0.3">
      <c r="A305" s="1">
        <v>159</v>
      </c>
      <c r="B305" s="1" t="s">
        <v>684</v>
      </c>
      <c r="C305" s="1" t="s">
        <v>161</v>
      </c>
    </row>
    <row r="306" spans="1:3" x14ac:dyDescent="0.3">
      <c r="A306" s="1">
        <v>159</v>
      </c>
      <c r="B306" s="1" t="s">
        <v>685</v>
      </c>
      <c r="C306" s="1" t="s">
        <v>163</v>
      </c>
    </row>
    <row r="307" spans="1:3" x14ac:dyDescent="0.3">
      <c r="A307" s="1">
        <v>160</v>
      </c>
      <c r="B307" s="1" t="s">
        <v>686</v>
      </c>
      <c r="C307" s="1" t="s">
        <v>240</v>
      </c>
    </row>
    <row r="308" spans="1:3" x14ac:dyDescent="0.3">
      <c r="A308" s="1">
        <v>160</v>
      </c>
      <c r="B308" s="1" t="s">
        <v>449</v>
      </c>
      <c r="C308" s="1" t="s">
        <v>163</v>
      </c>
    </row>
    <row r="309" spans="1:3" x14ac:dyDescent="0.3">
      <c r="A309" s="1">
        <v>161</v>
      </c>
      <c r="B309" s="1" t="s">
        <v>201</v>
      </c>
      <c r="C309" s="1" t="s">
        <v>163</v>
      </c>
    </row>
    <row r="310" spans="1:3" x14ac:dyDescent="0.3">
      <c r="A310" s="1">
        <v>162</v>
      </c>
      <c r="B310" s="1" t="s">
        <v>688</v>
      </c>
      <c r="C310" s="1" t="s">
        <v>161</v>
      </c>
    </row>
    <row r="311" spans="1:3" x14ac:dyDescent="0.3">
      <c r="A311" s="1">
        <v>162</v>
      </c>
      <c r="B311" s="1" t="s">
        <v>687</v>
      </c>
      <c r="C311" s="1" t="s">
        <v>1129</v>
      </c>
    </row>
    <row r="312" spans="1:3" x14ac:dyDescent="0.3">
      <c r="A312" s="1">
        <v>162</v>
      </c>
      <c r="B312" s="1" t="s">
        <v>689</v>
      </c>
      <c r="C312" s="1" t="s">
        <v>163</v>
      </c>
    </row>
    <row r="313" spans="1:3" x14ac:dyDescent="0.3">
      <c r="A313" s="1">
        <v>163</v>
      </c>
      <c r="B313" s="1" t="s">
        <v>690</v>
      </c>
      <c r="C313" s="1" t="s">
        <v>161</v>
      </c>
    </row>
    <row r="314" spans="1:3" x14ac:dyDescent="0.3">
      <c r="A314" s="1">
        <v>163</v>
      </c>
      <c r="B314" s="1" t="s">
        <v>691</v>
      </c>
      <c r="C314" s="1" t="s">
        <v>161</v>
      </c>
    </row>
    <row r="315" spans="1:3" x14ac:dyDescent="0.3">
      <c r="A315" s="1">
        <v>163</v>
      </c>
      <c r="B315" s="1" t="s">
        <v>692</v>
      </c>
      <c r="C315" s="1" t="s">
        <v>163</v>
      </c>
    </row>
    <row r="316" spans="1:3" x14ac:dyDescent="0.3">
      <c r="A316" s="1">
        <v>164</v>
      </c>
      <c r="B316" s="1" t="s">
        <v>702</v>
      </c>
      <c r="C316" s="1" t="s">
        <v>163</v>
      </c>
    </row>
    <row r="317" spans="1:3" x14ac:dyDescent="0.3">
      <c r="A317" s="1">
        <v>164</v>
      </c>
      <c r="B317" s="1" t="s">
        <v>360</v>
      </c>
      <c r="C317" s="1" t="s">
        <v>1129</v>
      </c>
    </row>
    <row r="318" spans="1:3" x14ac:dyDescent="0.3">
      <c r="A318" s="1">
        <v>165</v>
      </c>
      <c r="B318" s="1" t="s">
        <v>354</v>
      </c>
      <c r="C318" s="1" t="s">
        <v>1129</v>
      </c>
    </row>
    <row r="319" spans="1:3" x14ac:dyDescent="0.3">
      <c r="A319" s="1">
        <v>165</v>
      </c>
      <c r="B319" s="1" t="s">
        <v>703</v>
      </c>
      <c r="C319" s="1" t="s">
        <v>1129</v>
      </c>
    </row>
    <row r="320" spans="1:3" x14ac:dyDescent="0.3">
      <c r="A320" s="1">
        <v>165</v>
      </c>
      <c r="B320" s="1" t="s">
        <v>704</v>
      </c>
      <c r="C320" s="1" t="s">
        <v>163</v>
      </c>
    </row>
    <row r="321" spans="1:3" x14ac:dyDescent="0.3">
      <c r="A321" s="1">
        <v>166</v>
      </c>
      <c r="B321" s="1" t="s">
        <v>705</v>
      </c>
      <c r="C321" s="1" t="s">
        <v>162</v>
      </c>
    </row>
    <row r="322" spans="1:3" x14ac:dyDescent="0.3">
      <c r="A322" s="1">
        <v>166</v>
      </c>
      <c r="B322" s="1" t="s">
        <v>415</v>
      </c>
      <c r="C322" s="1" t="s">
        <v>163</v>
      </c>
    </row>
    <row r="323" spans="1:3" x14ac:dyDescent="0.3">
      <c r="A323" s="1">
        <v>166</v>
      </c>
      <c r="B323" s="1" t="s">
        <v>171</v>
      </c>
      <c r="C323" s="1" t="s">
        <v>1129</v>
      </c>
    </row>
    <row r="324" spans="1:3" x14ac:dyDescent="0.3">
      <c r="A324" s="1">
        <v>167</v>
      </c>
      <c r="B324" s="1" t="s">
        <v>707</v>
      </c>
      <c r="C324" s="1" t="s">
        <v>163</v>
      </c>
    </row>
    <row r="325" spans="1:3" x14ac:dyDescent="0.3">
      <c r="A325" s="1">
        <v>167</v>
      </c>
      <c r="B325" s="1" t="s">
        <v>212</v>
      </c>
      <c r="C325" s="1" t="s">
        <v>162</v>
      </c>
    </row>
    <row r="326" spans="1:3" x14ac:dyDescent="0.3">
      <c r="A326" s="1">
        <v>167</v>
      </c>
      <c r="B326" s="1" t="s">
        <v>706</v>
      </c>
      <c r="C326" s="1" t="s">
        <v>1129</v>
      </c>
    </row>
    <row r="327" spans="1:3" x14ac:dyDescent="0.3">
      <c r="A327" s="1">
        <v>168</v>
      </c>
      <c r="B327" s="1" t="s">
        <v>708</v>
      </c>
      <c r="C327" s="1" t="s">
        <v>163</v>
      </c>
    </row>
    <row r="328" spans="1:3" x14ac:dyDescent="0.3">
      <c r="A328" s="1">
        <v>169</v>
      </c>
      <c r="B328" s="1" t="s">
        <v>703</v>
      </c>
      <c r="C328" s="1" t="s">
        <v>1129</v>
      </c>
    </row>
    <row r="329" spans="1:3" x14ac:dyDescent="0.3">
      <c r="A329" s="1">
        <v>169</v>
      </c>
      <c r="B329" s="1" t="s">
        <v>709</v>
      </c>
      <c r="C329" s="1" t="s">
        <v>161</v>
      </c>
    </row>
    <row r="330" spans="1:3" x14ac:dyDescent="0.3">
      <c r="A330" s="1">
        <v>169</v>
      </c>
      <c r="B330" s="1" t="s">
        <v>710</v>
      </c>
      <c r="C330" s="1" t="s">
        <v>163</v>
      </c>
    </row>
    <row r="331" spans="1:3" x14ac:dyDescent="0.3">
      <c r="A331" s="1">
        <v>170</v>
      </c>
      <c r="B331" s="1" t="s">
        <v>437</v>
      </c>
      <c r="C331" s="1" t="s">
        <v>1129</v>
      </c>
    </row>
    <row r="332" spans="1:3" x14ac:dyDescent="0.3">
      <c r="A332" s="1">
        <v>171</v>
      </c>
      <c r="B332" s="1" t="s">
        <v>703</v>
      </c>
      <c r="C332" s="1" t="s">
        <v>1129</v>
      </c>
    </row>
    <row r="333" spans="1:3" x14ac:dyDescent="0.3">
      <c r="A333" s="1">
        <v>171</v>
      </c>
      <c r="B333" s="1" t="s">
        <v>725</v>
      </c>
      <c r="C333" s="1" t="s">
        <v>163</v>
      </c>
    </row>
    <row r="334" spans="1:3" x14ac:dyDescent="0.3">
      <c r="A334" s="1">
        <v>171</v>
      </c>
      <c r="B334" s="1" t="s">
        <v>711</v>
      </c>
      <c r="C334" s="1" t="s">
        <v>1129</v>
      </c>
    </row>
    <row r="335" spans="1:3" x14ac:dyDescent="0.3">
      <c r="A335" s="1">
        <v>172</v>
      </c>
      <c r="B335" s="1" t="s">
        <v>726</v>
      </c>
      <c r="C335" s="1" t="s">
        <v>162</v>
      </c>
    </row>
    <row r="336" spans="1:3" x14ac:dyDescent="0.3">
      <c r="A336" s="1">
        <v>172</v>
      </c>
      <c r="B336" s="1" t="s">
        <v>727</v>
      </c>
      <c r="C336" s="1" t="s">
        <v>163</v>
      </c>
    </row>
    <row r="337" spans="1:3" x14ac:dyDescent="0.3">
      <c r="A337" s="1">
        <v>172</v>
      </c>
      <c r="B337" s="1" t="s">
        <v>706</v>
      </c>
      <c r="C337" s="1" t="s">
        <v>1129</v>
      </c>
    </row>
    <row r="338" spans="1:3" x14ac:dyDescent="0.3">
      <c r="A338" s="1">
        <v>173</v>
      </c>
      <c r="B338" s="1" t="s">
        <v>703</v>
      </c>
      <c r="C338" s="1" t="s">
        <v>1129</v>
      </c>
    </row>
    <row r="339" spans="1:3" x14ac:dyDescent="0.3">
      <c r="A339" s="1">
        <v>173</v>
      </c>
      <c r="B339" s="1" t="s">
        <v>728</v>
      </c>
      <c r="C339" s="1" t="s">
        <v>163</v>
      </c>
    </row>
    <row r="340" spans="1:3" x14ac:dyDescent="0.3">
      <c r="A340" s="1">
        <v>174</v>
      </c>
      <c r="B340" s="1" t="s">
        <v>729</v>
      </c>
      <c r="C340" s="1" t="s">
        <v>163</v>
      </c>
    </row>
    <row r="341" spans="1:3" x14ac:dyDescent="0.3">
      <c r="A341" s="1">
        <v>175</v>
      </c>
      <c r="B341" s="1" t="s">
        <v>703</v>
      </c>
      <c r="C341" s="1" t="s">
        <v>1129</v>
      </c>
    </row>
    <row r="342" spans="1:3" x14ac:dyDescent="0.3">
      <c r="A342" s="1">
        <v>175</v>
      </c>
      <c r="B342" s="1" t="s">
        <v>730</v>
      </c>
      <c r="C342" s="1" t="s">
        <v>163</v>
      </c>
    </row>
    <row r="343" spans="1:3" x14ac:dyDescent="0.3">
      <c r="A343" s="1">
        <v>176</v>
      </c>
      <c r="B343" s="1" t="s">
        <v>731</v>
      </c>
      <c r="C343" s="1" t="s">
        <v>163</v>
      </c>
    </row>
    <row r="344" spans="1:3" x14ac:dyDescent="0.3">
      <c r="A344" s="1">
        <v>176</v>
      </c>
      <c r="B344" s="1" t="s">
        <v>712</v>
      </c>
      <c r="C344" s="1" t="s">
        <v>1129</v>
      </c>
    </row>
    <row r="345" spans="1:3" x14ac:dyDescent="0.3">
      <c r="A345" s="1">
        <v>176</v>
      </c>
      <c r="B345" s="1" t="s">
        <v>356</v>
      </c>
      <c r="C345" s="1" t="s">
        <v>1129</v>
      </c>
    </row>
    <row r="346" spans="1:3" x14ac:dyDescent="0.3">
      <c r="A346" s="1">
        <v>177</v>
      </c>
      <c r="B346" s="1" t="s">
        <v>703</v>
      </c>
      <c r="C346" s="1" t="s">
        <v>1129</v>
      </c>
    </row>
    <row r="347" spans="1:3" x14ac:dyDescent="0.3">
      <c r="A347" s="1">
        <v>177</v>
      </c>
      <c r="B347" s="1" t="s">
        <v>728</v>
      </c>
      <c r="C347" s="1" t="s">
        <v>163</v>
      </c>
    </row>
    <row r="348" spans="1:3" x14ac:dyDescent="0.3">
      <c r="A348" s="1">
        <v>177</v>
      </c>
      <c r="B348" s="1" t="s">
        <v>356</v>
      </c>
      <c r="C348" s="1" t="s">
        <v>1129</v>
      </c>
    </row>
    <row r="349" spans="1:3" x14ac:dyDescent="0.3">
      <c r="A349" s="1">
        <v>177</v>
      </c>
      <c r="B349" s="1" t="s">
        <v>937</v>
      </c>
      <c r="C349" s="1" t="s">
        <v>1129</v>
      </c>
    </row>
    <row r="350" spans="1:3" x14ac:dyDescent="0.3">
      <c r="A350" s="1">
        <v>178</v>
      </c>
      <c r="B350" s="1" t="s">
        <v>707</v>
      </c>
      <c r="C350" s="1" t="s">
        <v>163</v>
      </c>
    </row>
    <row r="351" spans="1:3" x14ac:dyDescent="0.3">
      <c r="A351" s="1">
        <v>178</v>
      </c>
      <c r="B351" s="1" t="s">
        <v>706</v>
      </c>
      <c r="C351" s="1" t="s">
        <v>1129</v>
      </c>
    </row>
    <row r="352" spans="1:3" x14ac:dyDescent="0.3">
      <c r="A352" s="1">
        <v>179</v>
      </c>
      <c r="B352" s="1" t="s">
        <v>732</v>
      </c>
      <c r="C352" s="1" t="s">
        <v>163</v>
      </c>
    </row>
    <row r="353" spans="1:3" x14ac:dyDescent="0.3">
      <c r="A353" s="1">
        <v>179</v>
      </c>
      <c r="B353" s="1" t="s">
        <v>360</v>
      </c>
      <c r="C353" s="1" t="s">
        <v>1129</v>
      </c>
    </row>
    <row r="354" spans="1:3" x14ac:dyDescent="0.3">
      <c r="A354" s="1">
        <v>180</v>
      </c>
      <c r="B354" s="1" t="s">
        <v>782</v>
      </c>
      <c r="C354" s="1" t="s">
        <v>163</v>
      </c>
    </row>
    <row r="355" spans="1:3" x14ac:dyDescent="0.3">
      <c r="A355" s="1">
        <v>180</v>
      </c>
      <c r="B355" s="1" t="s">
        <v>937</v>
      </c>
      <c r="C355" s="1" t="s">
        <v>1129</v>
      </c>
    </row>
    <row r="356" spans="1:3" x14ac:dyDescent="0.3">
      <c r="A356" s="1">
        <v>181</v>
      </c>
      <c r="B356" s="1" t="s">
        <v>783</v>
      </c>
      <c r="C356" s="1" t="s">
        <v>163</v>
      </c>
    </row>
    <row r="357" spans="1:3" x14ac:dyDescent="0.3">
      <c r="A357" s="1">
        <v>181</v>
      </c>
      <c r="B357" s="1" t="s">
        <v>437</v>
      </c>
      <c r="C357" s="1" t="s">
        <v>1129</v>
      </c>
    </row>
    <row r="358" spans="1:3" x14ac:dyDescent="0.3">
      <c r="A358" s="1">
        <v>182</v>
      </c>
      <c r="B358" s="1" t="s">
        <v>783</v>
      </c>
      <c r="C358" s="1" t="s">
        <v>163</v>
      </c>
    </row>
    <row r="359" spans="1:3" x14ac:dyDescent="0.3">
      <c r="A359" s="1">
        <v>182</v>
      </c>
      <c r="B359" s="1" t="s">
        <v>437</v>
      </c>
      <c r="C359" s="1" t="s">
        <v>1129</v>
      </c>
    </row>
    <row r="360" spans="1:3" x14ac:dyDescent="0.3">
      <c r="A360" s="1">
        <v>183</v>
      </c>
      <c r="B360" s="1" t="s">
        <v>785</v>
      </c>
      <c r="C360" s="1" t="s">
        <v>161</v>
      </c>
    </row>
    <row r="361" spans="1:3" x14ac:dyDescent="0.3">
      <c r="A361" s="1">
        <v>183</v>
      </c>
      <c r="B361" s="1" t="s">
        <v>787</v>
      </c>
      <c r="C361" s="1" t="s">
        <v>161</v>
      </c>
    </row>
    <row r="362" spans="1:3" x14ac:dyDescent="0.3">
      <c r="A362" s="1">
        <v>183</v>
      </c>
      <c r="B362" s="1" t="s">
        <v>788</v>
      </c>
      <c r="C362" s="1" t="s">
        <v>161</v>
      </c>
    </row>
    <row r="363" spans="1:3" x14ac:dyDescent="0.3">
      <c r="A363" s="1">
        <v>183</v>
      </c>
      <c r="B363" s="1" t="s">
        <v>786</v>
      </c>
      <c r="C363" s="1" t="s">
        <v>161</v>
      </c>
    </row>
    <row r="364" spans="1:3" x14ac:dyDescent="0.3">
      <c r="A364" s="1">
        <v>183</v>
      </c>
      <c r="B364" s="1" t="s">
        <v>784</v>
      </c>
      <c r="C364" s="1" t="s">
        <v>162</v>
      </c>
    </row>
    <row r="365" spans="1:3" x14ac:dyDescent="0.3">
      <c r="A365" s="1">
        <v>183</v>
      </c>
      <c r="B365" s="1" t="s">
        <v>789</v>
      </c>
      <c r="C365" s="1" t="s">
        <v>163</v>
      </c>
    </row>
    <row r="366" spans="1:3" x14ac:dyDescent="0.3">
      <c r="A366" s="1">
        <v>183</v>
      </c>
      <c r="B366" s="1" t="s">
        <v>171</v>
      </c>
      <c r="C366" s="1" t="s">
        <v>1129</v>
      </c>
    </row>
    <row r="367" spans="1:3" x14ac:dyDescent="0.3">
      <c r="A367" s="1">
        <v>184</v>
      </c>
      <c r="B367" s="1" t="s">
        <v>727</v>
      </c>
      <c r="C367" s="1" t="s">
        <v>163</v>
      </c>
    </row>
    <row r="368" spans="1:3" x14ac:dyDescent="0.3">
      <c r="A368" s="1">
        <v>184</v>
      </c>
      <c r="B368" s="1" t="s">
        <v>706</v>
      </c>
      <c r="C368" s="1" t="s">
        <v>1129</v>
      </c>
    </row>
    <row r="369" spans="1:3" x14ac:dyDescent="0.3">
      <c r="A369" s="1">
        <v>185</v>
      </c>
      <c r="B369" s="1" t="s">
        <v>790</v>
      </c>
      <c r="C369" s="1" t="s">
        <v>163</v>
      </c>
    </row>
    <row r="370" spans="1:3" x14ac:dyDescent="0.3">
      <c r="A370" s="1">
        <v>185</v>
      </c>
      <c r="B370" s="1" t="s">
        <v>171</v>
      </c>
      <c r="C370" s="1" t="s">
        <v>1129</v>
      </c>
    </row>
    <row r="371" spans="1:3" x14ac:dyDescent="0.3">
      <c r="A371" s="1">
        <v>186</v>
      </c>
      <c r="B371" s="1" t="s">
        <v>705</v>
      </c>
      <c r="C371" s="1" t="s">
        <v>162</v>
      </c>
    </row>
    <row r="372" spans="1:3" x14ac:dyDescent="0.3">
      <c r="A372" s="1">
        <v>186</v>
      </c>
      <c r="B372" s="1" t="s">
        <v>791</v>
      </c>
      <c r="C372" s="1" t="s">
        <v>163</v>
      </c>
    </row>
    <row r="373" spans="1:3" x14ac:dyDescent="0.3">
      <c r="A373" s="1">
        <v>187</v>
      </c>
      <c r="B373" s="1" t="s">
        <v>792</v>
      </c>
      <c r="C373" s="1" t="s">
        <v>161</v>
      </c>
    </row>
    <row r="374" spans="1:3" x14ac:dyDescent="0.3">
      <c r="A374" s="1">
        <v>187</v>
      </c>
      <c r="B374" s="1" t="s">
        <v>360</v>
      </c>
      <c r="C374" s="1" t="s">
        <v>1129</v>
      </c>
    </row>
    <row r="375" spans="1:3" x14ac:dyDescent="0.3">
      <c r="A375" s="1">
        <v>187</v>
      </c>
      <c r="B375" s="1" t="s">
        <v>793</v>
      </c>
      <c r="C375" s="1" t="s">
        <v>163</v>
      </c>
    </row>
    <row r="376" spans="1:3" x14ac:dyDescent="0.3">
      <c r="A376" s="1">
        <v>188</v>
      </c>
      <c r="B376" s="1" t="s">
        <v>796</v>
      </c>
      <c r="C376" s="1" t="s">
        <v>161</v>
      </c>
    </row>
    <row r="377" spans="1:3" x14ac:dyDescent="0.3">
      <c r="A377" s="1">
        <v>188</v>
      </c>
      <c r="B377" s="1" t="s">
        <v>795</v>
      </c>
      <c r="C377" s="1" t="s">
        <v>161</v>
      </c>
    </row>
    <row r="378" spans="1:3" x14ac:dyDescent="0.3">
      <c r="A378" s="1">
        <v>188</v>
      </c>
      <c r="B378" s="1" t="s">
        <v>794</v>
      </c>
      <c r="C378" s="1" t="s">
        <v>1129</v>
      </c>
    </row>
    <row r="379" spans="1:3" x14ac:dyDescent="0.3">
      <c r="A379" s="1">
        <v>188</v>
      </c>
      <c r="B379" s="1" t="s">
        <v>797</v>
      </c>
      <c r="C379" s="1" t="s">
        <v>163</v>
      </c>
    </row>
    <row r="380" spans="1:3" x14ac:dyDescent="0.3">
      <c r="A380" s="1">
        <v>189</v>
      </c>
      <c r="B380" s="1" t="s">
        <v>799</v>
      </c>
      <c r="C380" s="1" t="s">
        <v>162</v>
      </c>
    </row>
    <row r="381" spans="1:3" x14ac:dyDescent="0.3">
      <c r="A381" s="1">
        <v>189</v>
      </c>
      <c r="B381" s="1" t="s">
        <v>798</v>
      </c>
      <c r="C381" s="1" t="s">
        <v>1129</v>
      </c>
    </row>
    <row r="382" spans="1:3" x14ac:dyDescent="0.3">
      <c r="A382" s="1">
        <v>189</v>
      </c>
      <c r="B382" s="1" t="s">
        <v>800</v>
      </c>
      <c r="C382" s="1" t="s">
        <v>163</v>
      </c>
    </row>
    <row r="383" spans="1:3" x14ac:dyDescent="0.3">
      <c r="A383" s="1">
        <v>190</v>
      </c>
      <c r="B383" s="1" t="s">
        <v>801</v>
      </c>
      <c r="C383" s="1" t="s">
        <v>163</v>
      </c>
    </row>
    <row r="384" spans="1:3" x14ac:dyDescent="0.3">
      <c r="A384" s="1">
        <v>191</v>
      </c>
      <c r="B384" s="1" t="s">
        <v>802</v>
      </c>
      <c r="C384" s="1" t="s">
        <v>1129</v>
      </c>
    </row>
    <row r="385" spans="1:3" x14ac:dyDescent="0.3">
      <c r="A385" s="1">
        <v>191</v>
      </c>
      <c r="B385" s="1" t="s">
        <v>360</v>
      </c>
      <c r="C385" s="1" t="s">
        <v>1129</v>
      </c>
    </row>
    <row r="386" spans="1:3" x14ac:dyDescent="0.3">
      <c r="A386" s="1">
        <v>191</v>
      </c>
      <c r="B386" s="1" t="s">
        <v>803</v>
      </c>
      <c r="C386" s="1" t="s">
        <v>163</v>
      </c>
    </row>
    <row r="387" spans="1:3" x14ac:dyDescent="0.3">
      <c r="A387" s="1">
        <v>192</v>
      </c>
      <c r="B387" s="1" t="s">
        <v>804</v>
      </c>
      <c r="C387" s="1" t="s">
        <v>163</v>
      </c>
    </row>
    <row r="388" spans="1:3" x14ac:dyDescent="0.3">
      <c r="A388" s="1">
        <v>192</v>
      </c>
      <c r="B388" s="1" t="s">
        <v>937</v>
      </c>
      <c r="C388" s="1" t="s">
        <v>1129</v>
      </c>
    </row>
    <row r="389" spans="1:3" x14ac:dyDescent="0.3">
      <c r="A389" s="1">
        <v>193</v>
      </c>
      <c r="B389" s="1" t="s">
        <v>806</v>
      </c>
      <c r="C389" s="1" t="s">
        <v>1129</v>
      </c>
    </row>
    <row r="390" spans="1:3" x14ac:dyDescent="0.3">
      <c r="A390" s="1">
        <v>193</v>
      </c>
      <c r="B390" s="1" t="s">
        <v>805</v>
      </c>
      <c r="C390" s="1" t="s">
        <v>1129</v>
      </c>
    </row>
    <row r="391" spans="1:3" x14ac:dyDescent="0.3">
      <c r="A391" s="1">
        <v>193</v>
      </c>
      <c r="B391" s="1" t="s">
        <v>802</v>
      </c>
      <c r="C391" s="1" t="s">
        <v>1129</v>
      </c>
    </row>
    <row r="392" spans="1:3" x14ac:dyDescent="0.3">
      <c r="A392" s="1">
        <v>193</v>
      </c>
      <c r="B392" s="1" t="s">
        <v>807</v>
      </c>
      <c r="C392" s="1" t="s">
        <v>1129</v>
      </c>
    </row>
    <row r="393" spans="1:3" x14ac:dyDescent="0.3">
      <c r="A393" s="1">
        <v>193</v>
      </c>
      <c r="B393" s="1" t="s">
        <v>728</v>
      </c>
      <c r="C393" s="1" t="s">
        <v>163</v>
      </c>
    </row>
    <row r="394" spans="1:3" x14ac:dyDescent="0.3">
      <c r="A394" s="1">
        <v>194</v>
      </c>
      <c r="B394" s="1" t="s">
        <v>806</v>
      </c>
      <c r="C394" s="1" t="s">
        <v>1129</v>
      </c>
    </row>
    <row r="395" spans="1:3" x14ac:dyDescent="0.3">
      <c r="A395" s="1">
        <v>194</v>
      </c>
      <c r="B395" s="1" t="s">
        <v>808</v>
      </c>
      <c r="C395" s="1" t="s">
        <v>1129</v>
      </c>
    </row>
    <row r="396" spans="1:3" x14ac:dyDescent="0.3">
      <c r="A396" s="1">
        <v>194</v>
      </c>
      <c r="B396" s="1" t="s">
        <v>387</v>
      </c>
      <c r="C396" s="1" t="s">
        <v>1129</v>
      </c>
    </row>
    <row r="397" spans="1:3" x14ac:dyDescent="0.3">
      <c r="A397" s="1">
        <v>194</v>
      </c>
      <c r="B397" s="1" t="s">
        <v>807</v>
      </c>
      <c r="C397" s="1" t="s">
        <v>1129</v>
      </c>
    </row>
    <row r="398" spans="1:3" x14ac:dyDescent="0.3">
      <c r="A398" s="1">
        <v>194</v>
      </c>
      <c r="B398" s="1" t="s">
        <v>728</v>
      </c>
      <c r="C398" s="1" t="s">
        <v>323</v>
      </c>
    </row>
    <row r="399" spans="1:3" x14ac:dyDescent="0.3">
      <c r="A399" s="1">
        <v>195</v>
      </c>
      <c r="B399" s="1" t="s">
        <v>810</v>
      </c>
      <c r="C399" s="1" t="s">
        <v>163</v>
      </c>
    </row>
    <row r="400" spans="1:3" x14ac:dyDescent="0.3">
      <c r="A400" s="1">
        <v>195</v>
      </c>
      <c r="B400" s="1" t="s">
        <v>809</v>
      </c>
      <c r="C400" s="1" t="s">
        <v>1129</v>
      </c>
    </row>
    <row r="401" spans="1:3" x14ac:dyDescent="0.3">
      <c r="A401" s="1">
        <v>195</v>
      </c>
      <c r="B401" s="1" t="s">
        <v>937</v>
      </c>
      <c r="C401" s="1" t="s">
        <v>1129</v>
      </c>
    </row>
    <row r="402" spans="1:3" x14ac:dyDescent="0.3">
      <c r="A402" s="1">
        <v>196</v>
      </c>
      <c r="B402" s="1" t="s">
        <v>811</v>
      </c>
      <c r="C402" s="1" t="s">
        <v>163</v>
      </c>
    </row>
    <row r="403" spans="1:3" x14ac:dyDescent="0.3">
      <c r="A403" s="1">
        <v>197</v>
      </c>
      <c r="B403" s="1" t="s">
        <v>815</v>
      </c>
      <c r="C403" s="1" t="s">
        <v>161</v>
      </c>
    </row>
    <row r="404" spans="1:3" x14ac:dyDescent="0.3">
      <c r="A404" s="1">
        <v>197</v>
      </c>
      <c r="B404" s="1" t="s">
        <v>813</v>
      </c>
      <c r="C404" s="1" t="s">
        <v>161</v>
      </c>
    </row>
    <row r="405" spans="1:3" x14ac:dyDescent="0.3">
      <c r="A405" s="1">
        <v>197</v>
      </c>
      <c r="B405" s="1" t="s">
        <v>814</v>
      </c>
      <c r="C405" s="1" t="s">
        <v>161</v>
      </c>
    </row>
    <row r="406" spans="1:3" x14ac:dyDescent="0.3">
      <c r="A406" s="1">
        <v>197</v>
      </c>
      <c r="B406" s="1" t="s">
        <v>786</v>
      </c>
      <c r="C406" s="1" t="s">
        <v>161</v>
      </c>
    </row>
    <row r="407" spans="1:3" x14ac:dyDescent="0.3">
      <c r="A407" s="1">
        <v>197</v>
      </c>
      <c r="B407" s="1" t="s">
        <v>812</v>
      </c>
      <c r="C407" s="1" t="s">
        <v>161</v>
      </c>
    </row>
    <row r="408" spans="1:3" x14ac:dyDescent="0.3">
      <c r="A408" s="1">
        <v>197</v>
      </c>
      <c r="B408" s="1" t="s">
        <v>816</v>
      </c>
      <c r="C408" s="1" t="s">
        <v>163</v>
      </c>
    </row>
    <row r="409" spans="1:3" x14ac:dyDescent="0.3">
      <c r="A409" s="1">
        <v>197</v>
      </c>
      <c r="B409" s="1" t="s">
        <v>171</v>
      </c>
      <c r="C409" s="1" t="s">
        <v>1129</v>
      </c>
    </row>
    <row r="410" spans="1:3" x14ac:dyDescent="0.3">
      <c r="A410" s="1">
        <v>198</v>
      </c>
      <c r="B410" s="1" t="s">
        <v>817</v>
      </c>
      <c r="C410" s="1" t="s">
        <v>163</v>
      </c>
    </row>
    <row r="411" spans="1:3" x14ac:dyDescent="0.3">
      <c r="A411" s="1">
        <v>199</v>
      </c>
      <c r="B411" s="1" t="s">
        <v>818</v>
      </c>
      <c r="C411" s="1" t="s">
        <v>161</v>
      </c>
    </row>
    <row r="412" spans="1:3" x14ac:dyDescent="0.3">
      <c r="A412" s="1">
        <v>199</v>
      </c>
      <c r="B412" s="1" t="s">
        <v>819</v>
      </c>
      <c r="C412" s="1" t="s">
        <v>163</v>
      </c>
    </row>
    <row r="413" spans="1:3" x14ac:dyDescent="0.3">
      <c r="A413" s="1">
        <v>199</v>
      </c>
      <c r="B413" s="1" t="s">
        <v>171</v>
      </c>
      <c r="C413" s="1" t="s">
        <v>1129</v>
      </c>
    </row>
    <row r="414" spans="1:3" x14ac:dyDescent="0.3">
      <c r="A414" s="1">
        <v>200</v>
      </c>
      <c r="B414" s="1" t="s">
        <v>704</v>
      </c>
      <c r="C414" s="1" t="s">
        <v>163</v>
      </c>
    </row>
    <row r="415" spans="1:3" x14ac:dyDescent="0.3">
      <c r="A415" s="1">
        <v>201</v>
      </c>
      <c r="B415" s="1" t="s">
        <v>449</v>
      </c>
      <c r="C415" s="1" t="s">
        <v>163</v>
      </c>
    </row>
    <row r="416" spans="1:3" x14ac:dyDescent="0.3">
      <c r="A416" s="1">
        <v>202</v>
      </c>
      <c r="B416" s="1" t="s">
        <v>818</v>
      </c>
      <c r="C416" s="1" t="s">
        <v>161</v>
      </c>
    </row>
    <row r="417" spans="1:3" x14ac:dyDescent="0.3">
      <c r="A417" s="1">
        <v>202</v>
      </c>
      <c r="B417" s="1" t="s">
        <v>821</v>
      </c>
      <c r="C417" s="1" t="s">
        <v>161</v>
      </c>
    </row>
    <row r="418" spans="1:3" x14ac:dyDescent="0.3">
      <c r="A418" s="1">
        <v>202</v>
      </c>
      <c r="B418" s="1" t="s">
        <v>820</v>
      </c>
      <c r="C418" s="1" t="s">
        <v>161</v>
      </c>
    </row>
    <row r="419" spans="1:3" x14ac:dyDescent="0.3">
      <c r="A419" s="1">
        <v>202</v>
      </c>
      <c r="B419" s="1" t="s">
        <v>822</v>
      </c>
      <c r="C419" s="1" t="s">
        <v>163</v>
      </c>
    </row>
    <row r="420" spans="1:3" x14ac:dyDescent="0.3">
      <c r="A420" s="1">
        <v>202</v>
      </c>
      <c r="B420" s="1" t="s">
        <v>360</v>
      </c>
      <c r="C420" s="1" t="s">
        <v>1129</v>
      </c>
    </row>
    <row r="421" spans="1:3" x14ac:dyDescent="0.3">
      <c r="A421" s="1">
        <v>203</v>
      </c>
      <c r="B421" s="1" t="s">
        <v>687</v>
      </c>
      <c r="C421" s="1" t="s">
        <v>1129</v>
      </c>
    </row>
    <row r="422" spans="1:3" x14ac:dyDescent="0.3">
      <c r="A422" s="1">
        <v>203</v>
      </c>
      <c r="B422" s="1" t="s">
        <v>823</v>
      </c>
      <c r="C422" s="1" t="s">
        <v>163</v>
      </c>
    </row>
    <row r="423" spans="1:3" x14ac:dyDescent="0.3">
      <c r="A423" s="1">
        <v>204</v>
      </c>
      <c r="B423" s="1" t="s">
        <v>712</v>
      </c>
      <c r="C423" s="1" t="s">
        <v>1129</v>
      </c>
    </row>
    <row r="424" spans="1:3" x14ac:dyDescent="0.3">
      <c r="A424" s="1">
        <v>204</v>
      </c>
      <c r="B424" s="1" t="s">
        <v>215</v>
      </c>
      <c r="C424" s="1" t="s">
        <v>163</v>
      </c>
    </row>
    <row r="425" spans="1:3" x14ac:dyDescent="0.3">
      <c r="A425" s="1">
        <v>205</v>
      </c>
      <c r="B425" s="1" t="s">
        <v>824</v>
      </c>
      <c r="C425" s="1" t="s">
        <v>162</v>
      </c>
    </row>
    <row r="426" spans="1:3" x14ac:dyDescent="0.3">
      <c r="A426" s="1">
        <v>205</v>
      </c>
      <c r="B426" s="1" t="s">
        <v>825</v>
      </c>
      <c r="C426" s="1" t="s">
        <v>163</v>
      </c>
    </row>
    <row r="427" spans="1:3" x14ac:dyDescent="0.3">
      <c r="A427" s="1">
        <v>205</v>
      </c>
      <c r="B427" s="1" t="s">
        <v>706</v>
      </c>
      <c r="C427" s="1" t="s">
        <v>1129</v>
      </c>
    </row>
    <row r="428" spans="1:3" x14ac:dyDescent="0.3">
      <c r="A428" s="1">
        <v>206</v>
      </c>
      <c r="B428" s="1" t="s">
        <v>826</v>
      </c>
      <c r="C428" s="1" t="s">
        <v>163</v>
      </c>
    </row>
    <row r="429" spans="1:3" x14ac:dyDescent="0.3">
      <c r="A429" s="1">
        <v>206</v>
      </c>
      <c r="B429" s="1" t="s">
        <v>937</v>
      </c>
      <c r="C429" s="1" t="s">
        <v>1129</v>
      </c>
    </row>
    <row r="430" spans="1:3" x14ac:dyDescent="0.3">
      <c r="A430" s="1">
        <v>207</v>
      </c>
      <c r="B430" s="1" t="s">
        <v>356</v>
      </c>
      <c r="C430" s="1" t="s">
        <v>1129</v>
      </c>
    </row>
    <row r="431" spans="1:3" x14ac:dyDescent="0.3">
      <c r="A431" s="1">
        <v>207</v>
      </c>
      <c r="B431" s="1" t="s">
        <v>827</v>
      </c>
      <c r="C431" s="1" t="s">
        <v>163</v>
      </c>
    </row>
    <row r="432" spans="1:3" x14ac:dyDescent="0.3">
      <c r="A432" s="1">
        <v>208</v>
      </c>
      <c r="B432" s="1" t="s">
        <v>828</v>
      </c>
      <c r="C432" s="1" t="s">
        <v>161</v>
      </c>
    </row>
    <row r="433" spans="1:3" x14ac:dyDescent="0.3">
      <c r="A433" s="1">
        <v>208</v>
      </c>
      <c r="B433" s="1" t="s">
        <v>829</v>
      </c>
      <c r="C433" s="1" t="s">
        <v>163</v>
      </c>
    </row>
    <row r="434" spans="1:3" x14ac:dyDescent="0.3">
      <c r="A434" s="1">
        <v>209</v>
      </c>
      <c r="B434" s="1" t="s">
        <v>243</v>
      </c>
      <c r="C434" s="1" t="s">
        <v>163</v>
      </c>
    </row>
    <row r="435" spans="1:3" x14ac:dyDescent="0.3">
      <c r="A435" s="1">
        <v>209</v>
      </c>
      <c r="B435" s="1" t="s">
        <v>245</v>
      </c>
      <c r="C435" s="1" t="s">
        <v>162</v>
      </c>
    </row>
    <row r="436" spans="1:3" x14ac:dyDescent="0.3">
      <c r="A436" s="1">
        <v>209</v>
      </c>
      <c r="B436" s="1" t="s">
        <v>937</v>
      </c>
      <c r="C436" s="1" t="s">
        <v>1129</v>
      </c>
    </row>
    <row r="437" spans="1:3" x14ac:dyDescent="0.3">
      <c r="A437" s="1">
        <v>210</v>
      </c>
      <c r="B437" s="1" t="s">
        <v>802</v>
      </c>
      <c r="C437" s="1" t="s">
        <v>1129</v>
      </c>
    </row>
    <row r="438" spans="1:3" x14ac:dyDescent="0.3">
      <c r="A438" s="1">
        <v>210</v>
      </c>
      <c r="B438" s="1" t="s">
        <v>830</v>
      </c>
      <c r="C438" s="1" t="s">
        <v>163</v>
      </c>
    </row>
    <row r="439" spans="1:3" x14ac:dyDescent="0.3">
      <c r="A439" s="1">
        <v>210</v>
      </c>
      <c r="B439" s="1" t="s">
        <v>680</v>
      </c>
      <c r="C439" s="1" t="s">
        <v>1129</v>
      </c>
    </row>
    <row r="440" spans="1:3" x14ac:dyDescent="0.3">
      <c r="A440" s="1">
        <v>211</v>
      </c>
      <c r="B440" s="1" t="s">
        <v>831</v>
      </c>
      <c r="C440" s="1" t="s">
        <v>163</v>
      </c>
    </row>
    <row r="441" spans="1:3" x14ac:dyDescent="0.3">
      <c r="A441" s="1">
        <v>212</v>
      </c>
      <c r="B441" s="1" t="s">
        <v>832</v>
      </c>
      <c r="C441" s="1" t="s">
        <v>163</v>
      </c>
    </row>
    <row r="442" spans="1:3" x14ac:dyDescent="0.3">
      <c r="A442" s="1">
        <v>212</v>
      </c>
      <c r="B442" s="1" t="s">
        <v>687</v>
      </c>
      <c r="C442" s="1" t="s">
        <v>1129</v>
      </c>
    </row>
    <row r="443" spans="1:3" x14ac:dyDescent="0.3">
      <c r="A443" s="1">
        <v>213</v>
      </c>
      <c r="B443" s="1" t="s">
        <v>687</v>
      </c>
      <c r="C443" s="1" t="s">
        <v>1129</v>
      </c>
    </row>
    <row r="444" spans="1:3" x14ac:dyDescent="0.3">
      <c r="A444" s="1">
        <v>213</v>
      </c>
      <c r="B444" s="1" t="s">
        <v>833</v>
      </c>
      <c r="C444" s="1" t="s">
        <v>163</v>
      </c>
    </row>
    <row r="445" spans="1:3" x14ac:dyDescent="0.3">
      <c r="A445" s="1">
        <v>214</v>
      </c>
      <c r="B445" s="1" t="s">
        <v>835</v>
      </c>
      <c r="C445" s="1" t="s">
        <v>161</v>
      </c>
    </row>
    <row r="446" spans="1:3" x14ac:dyDescent="0.3">
      <c r="A446" s="1">
        <v>214</v>
      </c>
      <c r="B446" s="1" t="s">
        <v>834</v>
      </c>
      <c r="C446" s="1" t="s">
        <v>161</v>
      </c>
    </row>
    <row r="447" spans="1:3" x14ac:dyDescent="0.3">
      <c r="A447" s="1">
        <v>214</v>
      </c>
      <c r="B447" s="1" t="s">
        <v>836</v>
      </c>
      <c r="C447" s="1" t="s">
        <v>161</v>
      </c>
    </row>
    <row r="448" spans="1:3" x14ac:dyDescent="0.3">
      <c r="A448" s="1">
        <v>214</v>
      </c>
      <c r="B448" s="1" t="s">
        <v>418</v>
      </c>
      <c r="C448" s="1" t="s">
        <v>163</v>
      </c>
    </row>
    <row r="449" spans="1:3" x14ac:dyDescent="0.3">
      <c r="A449" s="1">
        <v>215</v>
      </c>
      <c r="B449" s="1" t="s">
        <v>837</v>
      </c>
      <c r="C449" s="1" t="s">
        <v>162</v>
      </c>
    </row>
    <row r="450" spans="1:3" x14ac:dyDescent="0.3">
      <c r="A450" s="1">
        <v>215</v>
      </c>
      <c r="B450" s="1" t="s">
        <v>225</v>
      </c>
      <c r="C450" s="1" t="s">
        <v>163</v>
      </c>
    </row>
    <row r="451" spans="1:3" x14ac:dyDescent="0.3">
      <c r="A451" s="1">
        <v>215</v>
      </c>
      <c r="B451" s="1" t="s">
        <v>794</v>
      </c>
      <c r="C451" s="1" t="s">
        <v>1129</v>
      </c>
    </row>
    <row r="452" spans="1:3" x14ac:dyDescent="0.3">
      <c r="A452" s="1">
        <v>216</v>
      </c>
      <c r="B452" s="1" t="s">
        <v>838</v>
      </c>
      <c r="C452" s="1" t="s">
        <v>162</v>
      </c>
    </row>
    <row r="453" spans="1:3" x14ac:dyDescent="0.3">
      <c r="A453" s="1">
        <v>216</v>
      </c>
      <c r="B453" s="1" t="s">
        <v>839</v>
      </c>
      <c r="C453" s="1" t="s">
        <v>163</v>
      </c>
    </row>
    <row r="454" spans="1:3" x14ac:dyDescent="0.3">
      <c r="A454" s="1">
        <v>216</v>
      </c>
      <c r="B454" s="1" t="s">
        <v>808</v>
      </c>
      <c r="C454" s="1" t="s">
        <v>1129</v>
      </c>
    </row>
    <row r="455" spans="1:3" x14ac:dyDescent="0.3">
      <c r="A455" s="1">
        <v>216</v>
      </c>
      <c r="B455" s="1" t="s">
        <v>802</v>
      </c>
      <c r="C455" s="1" t="s">
        <v>1129</v>
      </c>
    </row>
    <row r="456" spans="1:3" x14ac:dyDescent="0.3">
      <c r="A456" s="1">
        <v>217</v>
      </c>
      <c r="B456" s="1" t="s">
        <v>841</v>
      </c>
      <c r="C456" s="1" t="s">
        <v>163</v>
      </c>
    </row>
    <row r="457" spans="1:3" x14ac:dyDescent="0.3">
      <c r="A457" s="1">
        <v>217</v>
      </c>
      <c r="B457" s="1" t="s">
        <v>840</v>
      </c>
      <c r="C457" s="1" t="s">
        <v>1129</v>
      </c>
    </row>
    <row r="458" spans="1:3" x14ac:dyDescent="0.3">
      <c r="A458" s="1">
        <v>218</v>
      </c>
      <c r="B458" s="1" t="s">
        <v>842</v>
      </c>
      <c r="C458" s="1" t="s">
        <v>163</v>
      </c>
    </row>
    <row r="459" spans="1:3" x14ac:dyDescent="0.3">
      <c r="A459" s="1">
        <v>219</v>
      </c>
      <c r="B459" s="1" t="s">
        <v>864</v>
      </c>
      <c r="C459" s="1" t="s">
        <v>161</v>
      </c>
    </row>
    <row r="460" spans="1:3" x14ac:dyDescent="0.3">
      <c r="A460" s="1">
        <v>219</v>
      </c>
      <c r="B460" s="1" t="s">
        <v>865</v>
      </c>
      <c r="C460" s="1" t="s">
        <v>161</v>
      </c>
    </row>
    <row r="461" spans="1:3" x14ac:dyDescent="0.3">
      <c r="A461" s="1">
        <v>219</v>
      </c>
      <c r="B461" s="1" t="s">
        <v>863</v>
      </c>
      <c r="C461" s="1" t="s">
        <v>162</v>
      </c>
    </row>
    <row r="462" spans="1:3" x14ac:dyDescent="0.3">
      <c r="A462" s="1">
        <v>219</v>
      </c>
      <c r="B462" s="1" t="s">
        <v>866</v>
      </c>
      <c r="C462" s="1" t="s">
        <v>163</v>
      </c>
    </row>
    <row r="463" spans="1:3" x14ac:dyDescent="0.3">
      <c r="A463" s="1">
        <v>220</v>
      </c>
      <c r="B463" s="1" t="s">
        <v>867</v>
      </c>
      <c r="C463" s="1" t="s">
        <v>162</v>
      </c>
    </row>
    <row r="464" spans="1:3" x14ac:dyDescent="0.3">
      <c r="A464" s="1">
        <v>220</v>
      </c>
      <c r="B464" s="1" t="s">
        <v>868</v>
      </c>
      <c r="C464" s="1" t="s">
        <v>163</v>
      </c>
    </row>
    <row r="465" spans="1:3" x14ac:dyDescent="0.3">
      <c r="A465" s="1">
        <v>220</v>
      </c>
      <c r="B465" s="1" t="s">
        <v>354</v>
      </c>
      <c r="C465" s="1" t="s">
        <v>1129</v>
      </c>
    </row>
    <row r="466" spans="1:3" x14ac:dyDescent="0.3">
      <c r="A466" s="1">
        <v>220</v>
      </c>
      <c r="B466" s="1" t="s">
        <v>354</v>
      </c>
      <c r="C466" s="1" t="s">
        <v>1129</v>
      </c>
    </row>
    <row r="467" spans="1:3" x14ac:dyDescent="0.3">
      <c r="A467" s="1">
        <v>221</v>
      </c>
      <c r="B467" s="1" t="s">
        <v>869</v>
      </c>
      <c r="C467" s="1" t="s">
        <v>161</v>
      </c>
    </row>
    <row r="468" spans="1:3" x14ac:dyDescent="0.3">
      <c r="A468" s="1">
        <v>221</v>
      </c>
      <c r="B468" s="1" t="s">
        <v>843</v>
      </c>
      <c r="C468" s="1" t="s">
        <v>162</v>
      </c>
    </row>
    <row r="469" spans="1:3" x14ac:dyDescent="0.3">
      <c r="A469" s="1">
        <v>221</v>
      </c>
      <c r="B469" s="1" t="s">
        <v>843</v>
      </c>
      <c r="C469" s="1" t="s">
        <v>162</v>
      </c>
    </row>
    <row r="470" spans="1:3" x14ac:dyDescent="0.3">
      <c r="A470" s="1">
        <v>221</v>
      </c>
      <c r="B470" s="1" t="s">
        <v>870</v>
      </c>
      <c r="C470" s="1" t="s">
        <v>161</v>
      </c>
    </row>
    <row r="471" spans="1:3" x14ac:dyDescent="0.3">
      <c r="A471" s="1">
        <v>221</v>
      </c>
      <c r="B471" s="1" t="s">
        <v>215</v>
      </c>
      <c r="C471" s="1" t="s">
        <v>163</v>
      </c>
    </row>
    <row r="472" spans="1:3" x14ac:dyDescent="0.3">
      <c r="A472" s="1">
        <v>222</v>
      </c>
      <c r="B472" s="1" t="s">
        <v>871</v>
      </c>
      <c r="C472" s="1" t="s">
        <v>162</v>
      </c>
    </row>
    <row r="473" spans="1:3" x14ac:dyDescent="0.3">
      <c r="A473" s="1">
        <v>222</v>
      </c>
      <c r="B473" s="1" t="s">
        <v>354</v>
      </c>
      <c r="C473" s="1" t="s">
        <v>1129</v>
      </c>
    </row>
    <row r="474" spans="1:3" x14ac:dyDescent="0.3">
      <c r="A474" s="1">
        <v>222</v>
      </c>
      <c r="B474" s="1" t="s">
        <v>354</v>
      </c>
      <c r="C474" s="1" t="s">
        <v>1129</v>
      </c>
    </row>
    <row r="475" spans="1:3" x14ac:dyDescent="0.3">
      <c r="A475" s="1">
        <v>222</v>
      </c>
      <c r="B475" s="1" t="s">
        <v>872</v>
      </c>
      <c r="C475" s="1" t="s">
        <v>163</v>
      </c>
    </row>
    <row r="476" spans="1:3" x14ac:dyDescent="0.3">
      <c r="A476" s="1">
        <v>222</v>
      </c>
      <c r="B476" s="1" t="s">
        <v>706</v>
      </c>
      <c r="C476" s="1" t="s">
        <v>1129</v>
      </c>
    </row>
    <row r="477" spans="1:3" x14ac:dyDescent="0.3">
      <c r="A477" s="1">
        <v>222</v>
      </c>
      <c r="B477" s="1" t="s">
        <v>706</v>
      </c>
      <c r="C477" s="1" t="s">
        <v>1129</v>
      </c>
    </row>
    <row r="478" spans="1:3" x14ac:dyDescent="0.3">
      <c r="A478" s="1">
        <v>222</v>
      </c>
      <c r="B478" s="1" t="s">
        <v>711</v>
      </c>
      <c r="C478" s="1" t="s">
        <v>1129</v>
      </c>
    </row>
    <row r="479" spans="1:3" x14ac:dyDescent="0.3">
      <c r="A479" s="1">
        <v>222</v>
      </c>
      <c r="B479" s="1" t="s">
        <v>711</v>
      </c>
      <c r="C479" s="1" t="s">
        <v>1129</v>
      </c>
    </row>
    <row r="480" spans="1:3" x14ac:dyDescent="0.3">
      <c r="A480" s="1">
        <v>223</v>
      </c>
      <c r="B480" s="1" t="s">
        <v>844</v>
      </c>
      <c r="C480" s="1" t="s">
        <v>1129</v>
      </c>
    </row>
    <row r="481" spans="1:3" x14ac:dyDescent="0.3">
      <c r="A481" s="1">
        <v>223</v>
      </c>
      <c r="B481" s="1" t="s">
        <v>844</v>
      </c>
      <c r="C481" s="1" t="s">
        <v>1129</v>
      </c>
    </row>
    <row r="482" spans="1:3" x14ac:dyDescent="0.3">
      <c r="A482" s="1">
        <v>223</v>
      </c>
      <c r="B482" s="1" t="s">
        <v>873</v>
      </c>
      <c r="C482" s="1" t="s">
        <v>163</v>
      </c>
    </row>
    <row r="483" spans="1:3" x14ac:dyDescent="0.3">
      <c r="A483" s="1">
        <v>223</v>
      </c>
      <c r="B483" s="1" t="s">
        <v>937</v>
      </c>
      <c r="C483" s="1" t="s">
        <v>1129</v>
      </c>
    </row>
    <row r="484" spans="1:3" x14ac:dyDescent="0.3">
      <c r="A484" s="1">
        <v>223</v>
      </c>
      <c r="B484" s="1" t="s">
        <v>937</v>
      </c>
      <c r="C484" s="1" t="s">
        <v>1129</v>
      </c>
    </row>
    <row r="485" spans="1:3" x14ac:dyDescent="0.3">
      <c r="A485" s="1">
        <v>224</v>
      </c>
      <c r="B485" s="1" t="s">
        <v>360</v>
      </c>
      <c r="C485" s="1" t="s">
        <v>1129</v>
      </c>
    </row>
    <row r="486" spans="1:3" x14ac:dyDescent="0.3">
      <c r="A486" s="1">
        <v>224</v>
      </c>
      <c r="B486" s="1" t="s">
        <v>360</v>
      </c>
      <c r="C486" s="1" t="s">
        <v>1129</v>
      </c>
    </row>
    <row r="487" spans="1:3" x14ac:dyDescent="0.3">
      <c r="A487" s="1">
        <v>224</v>
      </c>
      <c r="B487" s="1" t="s">
        <v>207</v>
      </c>
      <c r="C487" s="1" t="s">
        <v>163</v>
      </c>
    </row>
    <row r="488" spans="1:3" x14ac:dyDescent="0.3">
      <c r="A488" s="1">
        <v>225</v>
      </c>
      <c r="B488" s="1" t="s">
        <v>687</v>
      </c>
      <c r="C488" s="1" t="s">
        <v>1129</v>
      </c>
    </row>
    <row r="489" spans="1:3" x14ac:dyDescent="0.3">
      <c r="A489" s="1">
        <v>225</v>
      </c>
      <c r="B489" s="1" t="s">
        <v>687</v>
      </c>
      <c r="C489" s="1" t="s">
        <v>1129</v>
      </c>
    </row>
    <row r="490" spans="1:3" x14ac:dyDescent="0.3">
      <c r="A490" s="1">
        <v>225</v>
      </c>
      <c r="B490" s="1" t="s">
        <v>874</v>
      </c>
      <c r="C490" s="1" t="s">
        <v>163</v>
      </c>
    </row>
    <row r="491" spans="1:3" x14ac:dyDescent="0.3">
      <c r="A491" s="1">
        <v>226</v>
      </c>
      <c r="B491" s="1" t="s">
        <v>875</v>
      </c>
      <c r="C491" s="1" t="s">
        <v>1129</v>
      </c>
    </row>
    <row r="492" spans="1:3" x14ac:dyDescent="0.3">
      <c r="A492" s="1">
        <v>226</v>
      </c>
      <c r="B492" s="1" t="s">
        <v>876</v>
      </c>
      <c r="C492" s="1" t="s">
        <v>163</v>
      </c>
    </row>
    <row r="493" spans="1:3" x14ac:dyDescent="0.3">
      <c r="A493" s="1">
        <v>227</v>
      </c>
      <c r="B493" s="1" t="s">
        <v>703</v>
      </c>
      <c r="C493" s="1" t="s">
        <v>1129</v>
      </c>
    </row>
    <row r="494" spans="1:3" x14ac:dyDescent="0.3">
      <c r="A494" s="1">
        <v>227</v>
      </c>
      <c r="B494" s="1" t="s">
        <v>878</v>
      </c>
      <c r="C494" s="1" t="s">
        <v>163</v>
      </c>
    </row>
    <row r="495" spans="1:3" x14ac:dyDescent="0.3">
      <c r="A495" s="1">
        <v>227</v>
      </c>
      <c r="B495" s="1" t="s">
        <v>877</v>
      </c>
      <c r="C495" s="1" t="s">
        <v>162</v>
      </c>
    </row>
    <row r="496" spans="1:3" x14ac:dyDescent="0.3">
      <c r="A496" s="1">
        <v>228</v>
      </c>
      <c r="B496" s="1" t="s">
        <v>879</v>
      </c>
      <c r="C496" s="1" t="s">
        <v>161</v>
      </c>
    </row>
    <row r="497" spans="1:3" x14ac:dyDescent="0.3">
      <c r="A497" s="1">
        <v>228</v>
      </c>
      <c r="B497" s="1" t="s">
        <v>880</v>
      </c>
      <c r="C497" s="1" t="s">
        <v>163</v>
      </c>
    </row>
    <row r="498" spans="1:3" x14ac:dyDescent="0.3">
      <c r="A498" s="1">
        <v>229</v>
      </c>
      <c r="B498" s="1" t="s">
        <v>881</v>
      </c>
      <c r="C498" s="1" t="s">
        <v>163</v>
      </c>
    </row>
    <row r="499" spans="1:3" x14ac:dyDescent="0.3">
      <c r="A499" s="1">
        <v>229</v>
      </c>
      <c r="B499" s="1" t="s">
        <v>840</v>
      </c>
      <c r="C499" s="1" t="s">
        <v>1129</v>
      </c>
    </row>
    <row r="500" spans="1:3" x14ac:dyDescent="0.3">
      <c r="A500" s="1">
        <v>230</v>
      </c>
      <c r="B500" s="1" t="s">
        <v>882</v>
      </c>
      <c r="C500" s="1" t="s">
        <v>1129</v>
      </c>
    </row>
    <row r="501" spans="1:3" x14ac:dyDescent="0.3">
      <c r="A501" s="1">
        <v>230</v>
      </c>
      <c r="B501" s="1" t="s">
        <v>885</v>
      </c>
      <c r="C501" s="1" t="s">
        <v>163</v>
      </c>
    </row>
    <row r="502" spans="1:3" x14ac:dyDescent="0.3">
      <c r="A502" s="1">
        <v>230</v>
      </c>
      <c r="B502" s="1" t="s">
        <v>883</v>
      </c>
      <c r="C502" s="1" t="s">
        <v>162</v>
      </c>
    </row>
    <row r="503" spans="1:3" x14ac:dyDescent="0.3">
      <c r="A503" s="1">
        <v>230</v>
      </c>
      <c r="B503" s="1" t="s">
        <v>884</v>
      </c>
      <c r="C503" s="1" t="s">
        <v>162</v>
      </c>
    </row>
    <row r="504" spans="1:3" x14ac:dyDescent="0.3">
      <c r="A504" s="1">
        <v>231</v>
      </c>
      <c r="B504" s="1" t="s">
        <v>886</v>
      </c>
      <c r="C504" s="1" t="s">
        <v>163</v>
      </c>
    </row>
    <row r="505" spans="1:3" x14ac:dyDescent="0.3">
      <c r="A505" s="1">
        <v>231</v>
      </c>
      <c r="B505" s="1" t="s">
        <v>937</v>
      </c>
      <c r="C505" s="1" t="s">
        <v>1129</v>
      </c>
    </row>
    <row r="506" spans="1:3" x14ac:dyDescent="0.3">
      <c r="A506" s="1">
        <v>232</v>
      </c>
      <c r="B506" s="1" t="s">
        <v>886</v>
      </c>
      <c r="C506" s="1" t="s">
        <v>163</v>
      </c>
    </row>
    <row r="507" spans="1:3" x14ac:dyDescent="0.3">
      <c r="A507" s="1">
        <v>232</v>
      </c>
      <c r="B507" s="1" t="s">
        <v>937</v>
      </c>
      <c r="C507" s="1" t="s">
        <v>1129</v>
      </c>
    </row>
    <row r="508" spans="1:3" x14ac:dyDescent="0.3">
      <c r="A508" s="1">
        <v>233</v>
      </c>
      <c r="B508" s="1" t="s">
        <v>1031</v>
      </c>
      <c r="C508" s="1" t="s">
        <v>163</v>
      </c>
    </row>
    <row r="509" spans="1:3" x14ac:dyDescent="0.3">
      <c r="A509" s="1">
        <v>233</v>
      </c>
      <c r="B509" s="1" t="s">
        <v>1030</v>
      </c>
      <c r="C509" s="1" t="s">
        <v>161</v>
      </c>
    </row>
    <row r="510" spans="1:3" x14ac:dyDescent="0.3">
      <c r="A510" s="1">
        <v>233</v>
      </c>
      <c r="B510" s="1" t="s">
        <v>356</v>
      </c>
      <c r="C510" s="1" t="s">
        <v>1129</v>
      </c>
    </row>
    <row r="511" spans="1:3" x14ac:dyDescent="0.3">
      <c r="A511" s="1">
        <v>233</v>
      </c>
      <c r="B511" s="1" t="s">
        <v>356</v>
      </c>
      <c r="C511" s="1" t="s">
        <v>1129</v>
      </c>
    </row>
    <row r="512" spans="1:3" x14ac:dyDescent="0.3">
      <c r="A512" s="1">
        <v>234</v>
      </c>
      <c r="B512" s="1" t="s">
        <v>1032</v>
      </c>
      <c r="C512" s="1" t="s">
        <v>161</v>
      </c>
    </row>
    <row r="513" spans="1:3" x14ac:dyDescent="0.3">
      <c r="A513" s="1">
        <v>234</v>
      </c>
      <c r="B513" s="1" t="s">
        <v>1033</v>
      </c>
      <c r="C513" s="1" t="s">
        <v>163</v>
      </c>
    </row>
    <row r="514" spans="1:3" x14ac:dyDescent="0.3">
      <c r="A514" s="1">
        <v>235</v>
      </c>
      <c r="B514" s="1" t="s">
        <v>1034</v>
      </c>
      <c r="C514" s="1" t="s">
        <v>163</v>
      </c>
    </row>
    <row r="515" spans="1:3" x14ac:dyDescent="0.3">
      <c r="A515" s="1">
        <v>235</v>
      </c>
      <c r="B515" s="1" t="s">
        <v>828</v>
      </c>
      <c r="C515" s="1" t="s">
        <v>162</v>
      </c>
    </row>
    <row r="516" spans="1:3" x14ac:dyDescent="0.3">
      <c r="A516" s="1">
        <v>236</v>
      </c>
      <c r="B516" s="1" t="s">
        <v>866</v>
      </c>
      <c r="C516" s="1" t="s">
        <v>163</v>
      </c>
    </row>
    <row r="517" spans="1:3" x14ac:dyDescent="0.3">
      <c r="A517" s="1">
        <v>237</v>
      </c>
      <c r="B517" s="1" t="s">
        <v>1035</v>
      </c>
      <c r="C517" s="1" t="s">
        <v>163</v>
      </c>
    </row>
    <row r="518" spans="1:3" x14ac:dyDescent="0.3">
      <c r="A518" s="1">
        <v>238</v>
      </c>
      <c r="B518" s="1" t="s">
        <v>167</v>
      </c>
      <c r="C518" s="1" t="s">
        <v>163</v>
      </c>
    </row>
    <row r="519" spans="1:3" x14ac:dyDescent="0.3">
      <c r="A519" s="1">
        <v>238</v>
      </c>
      <c r="B519" s="1" t="s">
        <v>681</v>
      </c>
      <c r="C519" s="1" t="s">
        <v>161</v>
      </c>
    </row>
    <row r="520" spans="1:3" x14ac:dyDescent="0.3">
      <c r="A520" s="1">
        <v>239</v>
      </c>
      <c r="B520" s="1" t="s">
        <v>1036</v>
      </c>
      <c r="C520" s="1" t="s">
        <v>163</v>
      </c>
    </row>
    <row r="521" spans="1:3" x14ac:dyDescent="0.3">
      <c r="A521" s="1">
        <v>239</v>
      </c>
      <c r="B521" s="1" t="s">
        <v>703</v>
      </c>
      <c r="C521" s="1" t="s">
        <v>1129</v>
      </c>
    </row>
    <row r="522" spans="1:3" x14ac:dyDescent="0.3">
      <c r="A522" s="1">
        <v>240</v>
      </c>
      <c r="B522" s="1" t="s">
        <v>881</v>
      </c>
      <c r="C522" s="1" t="s">
        <v>163</v>
      </c>
    </row>
    <row r="523" spans="1:3" x14ac:dyDescent="0.3">
      <c r="A523" s="1">
        <v>240</v>
      </c>
      <c r="B523" s="1" t="s">
        <v>711</v>
      </c>
      <c r="C523" s="1" t="s">
        <v>1129</v>
      </c>
    </row>
    <row r="524" spans="1:3" x14ac:dyDescent="0.3">
      <c r="A524" s="1">
        <v>241</v>
      </c>
      <c r="B524" s="1" t="s">
        <v>1037</v>
      </c>
      <c r="C524" s="1" t="s">
        <v>163</v>
      </c>
    </row>
    <row r="525" spans="1:3" x14ac:dyDescent="0.3">
      <c r="A525" s="1">
        <v>241</v>
      </c>
      <c r="B525" s="1" t="s">
        <v>703</v>
      </c>
      <c r="C525" s="1" t="s">
        <v>1129</v>
      </c>
    </row>
    <row r="526" spans="1:3" x14ac:dyDescent="0.3">
      <c r="A526" s="1">
        <v>242</v>
      </c>
      <c r="B526" s="1" t="s">
        <v>729</v>
      </c>
      <c r="C526" s="1" t="s">
        <v>163</v>
      </c>
    </row>
    <row r="527" spans="1:3" x14ac:dyDescent="0.3">
      <c r="A527" s="1">
        <v>242</v>
      </c>
      <c r="B527" s="1" t="s">
        <v>360</v>
      </c>
      <c r="C527" s="1" t="s">
        <v>1129</v>
      </c>
    </row>
    <row r="528" spans="1:3" x14ac:dyDescent="0.3">
      <c r="A528" s="1">
        <v>243</v>
      </c>
      <c r="B528" s="1" t="s">
        <v>802</v>
      </c>
      <c r="C528" s="1" t="s">
        <v>1129</v>
      </c>
    </row>
    <row r="529" spans="1:3" x14ac:dyDescent="0.3">
      <c r="A529" s="1">
        <v>243</v>
      </c>
      <c r="B529" s="1" t="s">
        <v>1040</v>
      </c>
      <c r="C529" s="1" t="s">
        <v>163</v>
      </c>
    </row>
    <row r="530" spans="1:3" x14ac:dyDescent="0.3">
      <c r="A530" s="1">
        <v>243</v>
      </c>
      <c r="B530" s="1" t="s">
        <v>1038</v>
      </c>
      <c r="C530" s="1" t="s">
        <v>1129</v>
      </c>
    </row>
    <row r="531" spans="1:3" x14ac:dyDescent="0.3">
      <c r="A531" s="1">
        <v>243</v>
      </c>
      <c r="B531" s="1" t="s">
        <v>1039</v>
      </c>
      <c r="C531" s="1" t="s">
        <v>162</v>
      </c>
    </row>
    <row r="532" spans="1:3" x14ac:dyDescent="0.3">
      <c r="A532" s="1">
        <v>243</v>
      </c>
      <c r="B532" s="1" t="s">
        <v>680</v>
      </c>
      <c r="C532" s="1" t="s">
        <v>1129</v>
      </c>
    </row>
    <row r="533" spans="1:3" x14ac:dyDescent="0.3">
      <c r="A533" s="1">
        <v>244</v>
      </c>
      <c r="B533" s="1" t="s">
        <v>1041</v>
      </c>
      <c r="C533" s="1" t="s">
        <v>163</v>
      </c>
    </row>
    <row r="534" spans="1:3" x14ac:dyDescent="0.3">
      <c r="A534" s="1">
        <v>244</v>
      </c>
      <c r="B534" s="1" t="s">
        <v>802</v>
      </c>
      <c r="C534" s="1" t="s">
        <v>1129</v>
      </c>
    </row>
    <row r="535" spans="1:3" x14ac:dyDescent="0.3">
      <c r="A535" s="1">
        <v>244</v>
      </c>
      <c r="B535" s="1" t="s">
        <v>357</v>
      </c>
      <c r="C535" s="1" t="s">
        <v>161</v>
      </c>
    </row>
    <row r="536" spans="1:3" x14ac:dyDescent="0.3">
      <c r="A536" s="1">
        <v>244</v>
      </c>
      <c r="B536" s="1" t="s">
        <v>1038</v>
      </c>
      <c r="C536" s="1" t="s">
        <v>1129</v>
      </c>
    </row>
    <row r="537" spans="1:3" x14ac:dyDescent="0.3">
      <c r="A537" s="1">
        <v>244</v>
      </c>
      <c r="B537" s="1" t="s">
        <v>1039</v>
      </c>
      <c r="C537" s="1" t="s">
        <v>162</v>
      </c>
    </row>
    <row r="538" spans="1:3" x14ac:dyDescent="0.3">
      <c r="A538" s="1">
        <v>244</v>
      </c>
      <c r="B538" s="1" t="s">
        <v>680</v>
      </c>
      <c r="C538" s="1" t="s">
        <v>1129</v>
      </c>
    </row>
    <row r="539" spans="1:3" x14ac:dyDescent="0.3">
      <c r="A539" s="1">
        <v>245</v>
      </c>
      <c r="B539" s="1" t="s">
        <v>1042</v>
      </c>
      <c r="C539" s="1" t="s">
        <v>162</v>
      </c>
    </row>
    <row r="540" spans="1:3" x14ac:dyDescent="0.3">
      <c r="A540" s="1">
        <v>245</v>
      </c>
      <c r="B540" s="1" t="s">
        <v>1043</v>
      </c>
      <c r="C540" s="1" t="s">
        <v>163</v>
      </c>
    </row>
    <row r="541" spans="1:3" x14ac:dyDescent="0.3">
      <c r="A541" s="1">
        <v>246</v>
      </c>
      <c r="B541" s="1" t="s">
        <v>1044</v>
      </c>
      <c r="C541" s="1" t="s">
        <v>161</v>
      </c>
    </row>
    <row r="542" spans="1:3" x14ac:dyDescent="0.3">
      <c r="A542" s="1">
        <v>246</v>
      </c>
      <c r="B542" s="1" t="s">
        <v>712</v>
      </c>
      <c r="C542" s="1" t="s">
        <v>1129</v>
      </c>
    </row>
    <row r="543" spans="1:3" x14ac:dyDescent="0.3">
      <c r="A543" s="1">
        <v>246</v>
      </c>
      <c r="B543" s="1" t="s">
        <v>1045</v>
      </c>
      <c r="C543" s="1" t="s">
        <v>163</v>
      </c>
    </row>
    <row r="544" spans="1:3" x14ac:dyDescent="0.3">
      <c r="A544" s="1">
        <v>247</v>
      </c>
      <c r="B544" s="1" t="s">
        <v>703</v>
      </c>
      <c r="C544" s="1" t="s">
        <v>1129</v>
      </c>
    </row>
    <row r="545" spans="1:3" x14ac:dyDescent="0.3">
      <c r="A545" s="1">
        <v>247</v>
      </c>
      <c r="B545" s="1" t="s">
        <v>1046</v>
      </c>
      <c r="C545" s="1" t="s">
        <v>163</v>
      </c>
    </row>
    <row r="546" spans="1:3" x14ac:dyDescent="0.3">
      <c r="A546" s="1">
        <v>247</v>
      </c>
      <c r="B546" s="1" t="s">
        <v>356</v>
      </c>
      <c r="C546" s="1" t="s">
        <v>1129</v>
      </c>
    </row>
    <row r="547" spans="1:3" x14ac:dyDescent="0.3">
      <c r="A547" s="1">
        <v>248</v>
      </c>
      <c r="B547" s="1" t="s">
        <v>360</v>
      </c>
      <c r="C547" s="1" t="s">
        <v>1129</v>
      </c>
    </row>
    <row r="548" spans="1:3" x14ac:dyDescent="0.3">
      <c r="A548" s="1">
        <v>249</v>
      </c>
      <c r="B548" s="1" t="s">
        <v>937</v>
      </c>
      <c r="C548" s="1" t="s">
        <v>1129</v>
      </c>
    </row>
    <row r="549" spans="1:3" x14ac:dyDescent="0.3">
      <c r="A549" s="1">
        <v>250</v>
      </c>
      <c r="B549" s="1" t="s">
        <v>1047</v>
      </c>
      <c r="C549" s="1" t="s">
        <v>1129</v>
      </c>
    </row>
    <row r="550" spans="1:3" x14ac:dyDescent="0.3">
      <c r="A550" s="1">
        <v>250</v>
      </c>
      <c r="B550" s="1" t="s">
        <v>356</v>
      </c>
      <c r="C550" s="1" t="s">
        <v>1129</v>
      </c>
    </row>
    <row r="551" spans="1:3" x14ac:dyDescent="0.3">
      <c r="A551" s="1">
        <v>252</v>
      </c>
      <c r="B551" s="1" t="s">
        <v>360</v>
      </c>
      <c r="C551" s="1" t="s">
        <v>1129</v>
      </c>
    </row>
    <row r="552" spans="1:3" x14ac:dyDescent="0.3">
      <c r="A552" s="1">
        <v>253</v>
      </c>
      <c r="B552" s="1" t="s">
        <v>711</v>
      </c>
      <c r="C552" s="1" t="s">
        <v>1129</v>
      </c>
    </row>
    <row r="553" spans="1:3" x14ac:dyDescent="0.3">
      <c r="A553" s="1">
        <v>254</v>
      </c>
      <c r="B553" s="1" t="s">
        <v>703</v>
      </c>
      <c r="C553" s="1" t="s">
        <v>1129</v>
      </c>
    </row>
    <row r="554" spans="1:3" x14ac:dyDescent="0.3">
      <c r="A554" s="1">
        <v>255</v>
      </c>
      <c r="B554" s="1" t="s">
        <v>1049</v>
      </c>
      <c r="C554" s="1" t="s">
        <v>1129</v>
      </c>
    </row>
    <row r="555" spans="1:3" x14ac:dyDescent="0.3">
      <c r="A555" s="1">
        <v>255</v>
      </c>
      <c r="B555" s="1" t="s">
        <v>1048</v>
      </c>
      <c r="C555" s="1" t="s">
        <v>1129</v>
      </c>
    </row>
    <row r="556" spans="1:3" x14ac:dyDescent="0.3">
      <c r="A556" s="1">
        <v>255</v>
      </c>
      <c r="B556" s="1" t="s">
        <v>1050</v>
      </c>
      <c r="C556" s="1" t="s">
        <v>1129</v>
      </c>
    </row>
    <row r="557" spans="1:3" x14ac:dyDescent="0.3">
      <c r="A557" s="1">
        <v>257</v>
      </c>
      <c r="B557" s="1" t="s">
        <v>356</v>
      </c>
      <c r="C557" s="1" t="s">
        <v>1129</v>
      </c>
    </row>
    <row r="558" spans="1:3" x14ac:dyDescent="0.3">
      <c r="A558" s="1">
        <v>258</v>
      </c>
      <c r="B558" s="1" t="s">
        <v>1051</v>
      </c>
      <c r="C558" s="1" t="s">
        <v>1129</v>
      </c>
    </row>
    <row r="559" spans="1:3" x14ac:dyDescent="0.3">
      <c r="A559" s="1">
        <v>259</v>
      </c>
      <c r="B559" s="1" t="s">
        <v>706</v>
      </c>
      <c r="C559" s="1" t="s">
        <v>1129</v>
      </c>
    </row>
    <row r="560" spans="1:3" x14ac:dyDescent="0.3">
      <c r="A560" s="1">
        <v>261</v>
      </c>
      <c r="B560" s="1" t="s">
        <v>703</v>
      </c>
      <c r="C560" s="1" t="s">
        <v>1129</v>
      </c>
    </row>
    <row r="561" spans="1:3" x14ac:dyDescent="0.3">
      <c r="A561" s="1">
        <v>261</v>
      </c>
      <c r="B561" s="1" t="s">
        <v>937</v>
      </c>
      <c r="C561" s="1" t="s">
        <v>1129</v>
      </c>
    </row>
    <row r="562" spans="1:3" x14ac:dyDescent="0.3">
      <c r="A562" s="1">
        <v>262</v>
      </c>
      <c r="B562" s="1" t="s">
        <v>356</v>
      </c>
      <c r="C562" s="1" t="s">
        <v>1129</v>
      </c>
    </row>
    <row r="563" spans="1:3" x14ac:dyDescent="0.3">
      <c r="A563" s="1">
        <v>263</v>
      </c>
      <c r="B563" s="1" t="s">
        <v>355</v>
      </c>
      <c r="C563" s="1" t="s">
        <v>1129</v>
      </c>
    </row>
    <row r="564" spans="1:3" x14ac:dyDescent="0.3">
      <c r="A564" s="1">
        <v>263</v>
      </c>
      <c r="B564" s="1" t="s">
        <v>711</v>
      </c>
      <c r="C564" s="1" t="s">
        <v>1129</v>
      </c>
    </row>
    <row r="565" spans="1:3" x14ac:dyDescent="0.3">
      <c r="A565" s="1">
        <v>265</v>
      </c>
      <c r="B565" s="1" t="s">
        <v>356</v>
      </c>
      <c r="C565" s="1" t="s">
        <v>1129</v>
      </c>
    </row>
    <row r="566" spans="1:3" x14ac:dyDescent="0.3">
      <c r="A566" s="1">
        <v>266</v>
      </c>
      <c r="B566" s="1" t="s">
        <v>355</v>
      </c>
      <c r="C566" s="1" t="s">
        <v>1129</v>
      </c>
    </row>
    <row r="567" spans="1:3" x14ac:dyDescent="0.3">
      <c r="A567" s="1">
        <v>266</v>
      </c>
      <c r="B567" s="1" t="s">
        <v>711</v>
      </c>
      <c r="C567" s="1" t="s">
        <v>1129</v>
      </c>
    </row>
    <row r="568" spans="1:3" x14ac:dyDescent="0.3">
      <c r="A568" s="1">
        <v>267</v>
      </c>
      <c r="B568" s="1" t="s">
        <v>437</v>
      </c>
      <c r="C568" s="1" t="s">
        <v>1129</v>
      </c>
    </row>
    <row r="569" spans="1:3" x14ac:dyDescent="0.3">
      <c r="A569" s="1">
        <v>268</v>
      </c>
      <c r="B569" s="1" t="s">
        <v>1052</v>
      </c>
      <c r="C569" s="1" t="s">
        <v>1129</v>
      </c>
    </row>
    <row r="570" spans="1:3" x14ac:dyDescent="0.3">
      <c r="A570" s="1">
        <v>268</v>
      </c>
      <c r="B570" s="1" t="s">
        <v>356</v>
      </c>
      <c r="C570" s="1" t="s">
        <v>1129</v>
      </c>
    </row>
    <row r="571" spans="1:3" x14ac:dyDescent="0.3">
      <c r="A571" s="1">
        <v>269</v>
      </c>
      <c r="B571" s="1" t="s">
        <v>356</v>
      </c>
      <c r="C571" s="1" t="s">
        <v>1129</v>
      </c>
    </row>
    <row r="572" spans="1:3" x14ac:dyDescent="0.3">
      <c r="A572" s="1">
        <v>270</v>
      </c>
      <c r="B572" s="1" t="s">
        <v>806</v>
      </c>
      <c r="C572" s="1" t="s">
        <v>1129</v>
      </c>
    </row>
    <row r="573" spans="1:3" x14ac:dyDescent="0.3">
      <c r="A573" s="1">
        <v>270</v>
      </c>
      <c r="B573" s="1" t="s">
        <v>1054</v>
      </c>
      <c r="C573" s="1" t="s">
        <v>161</v>
      </c>
    </row>
    <row r="574" spans="1:3" x14ac:dyDescent="0.3">
      <c r="A574" s="1">
        <v>270</v>
      </c>
      <c r="B574" s="1" t="s">
        <v>1053</v>
      </c>
      <c r="C574" s="1" t="s">
        <v>1129</v>
      </c>
    </row>
    <row r="575" spans="1:3" x14ac:dyDescent="0.3">
      <c r="A575" s="1">
        <v>270</v>
      </c>
      <c r="B575" s="1" t="s">
        <v>1055</v>
      </c>
      <c r="C575" s="1" t="s">
        <v>1129</v>
      </c>
    </row>
    <row r="576" spans="1:3" x14ac:dyDescent="0.3">
      <c r="A576" s="1">
        <v>270</v>
      </c>
      <c r="B576" s="1" t="s">
        <v>1056</v>
      </c>
      <c r="C576" s="1" t="s">
        <v>1129</v>
      </c>
    </row>
    <row r="577" spans="1:3" x14ac:dyDescent="0.3">
      <c r="A577" s="1">
        <v>271</v>
      </c>
      <c r="B577" s="1" t="s">
        <v>356</v>
      </c>
      <c r="C577" s="1" t="s">
        <v>1129</v>
      </c>
    </row>
    <row r="578" spans="1:3" x14ac:dyDescent="0.3">
      <c r="A578" s="1">
        <v>272</v>
      </c>
      <c r="B578" s="1" t="s">
        <v>935</v>
      </c>
      <c r="C578" s="1" t="s">
        <v>1129</v>
      </c>
    </row>
    <row r="579" spans="1:3" x14ac:dyDescent="0.3">
      <c r="A579" s="1">
        <v>274</v>
      </c>
      <c r="B579" s="1" t="s">
        <v>937</v>
      </c>
      <c r="C579" s="1" t="s">
        <v>1129</v>
      </c>
    </row>
    <row r="580" spans="1:3" x14ac:dyDescent="0.3">
      <c r="A580" s="1">
        <v>275</v>
      </c>
      <c r="B580" s="1" t="s">
        <v>437</v>
      </c>
      <c r="C580" s="1" t="s">
        <v>1129</v>
      </c>
    </row>
    <row r="581" spans="1:3" x14ac:dyDescent="0.3">
      <c r="A581" s="1">
        <v>275</v>
      </c>
      <c r="B581" s="1" t="s">
        <v>171</v>
      </c>
      <c r="C581" s="1" t="s">
        <v>1129</v>
      </c>
    </row>
    <row r="582" spans="1:3" x14ac:dyDescent="0.3">
      <c r="A582" s="1">
        <v>276</v>
      </c>
      <c r="B582" s="1" t="s">
        <v>356</v>
      </c>
      <c r="C582" s="1" t="s">
        <v>1129</v>
      </c>
    </row>
    <row r="583" spans="1:3" x14ac:dyDescent="0.3">
      <c r="A583" s="1">
        <v>277</v>
      </c>
      <c r="B583" s="1" t="s">
        <v>937</v>
      </c>
      <c r="C583" s="1" t="s">
        <v>1129</v>
      </c>
    </row>
    <row r="584" spans="1:3" x14ac:dyDescent="0.3">
      <c r="A584" s="1">
        <v>278</v>
      </c>
      <c r="B584" s="1" t="s">
        <v>1052</v>
      </c>
      <c r="C584" s="1" t="s">
        <v>1129</v>
      </c>
    </row>
    <row r="585" spans="1:3" x14ac:dyDescent="0.3">
      <c r="A585" s="1">
        <v>278</v>
      </c>
      <c r="B585" s="1" t="s">
        <v>937</v>
      </c>
      <c r="C585" s="1" t="s">
        <v>1129</v>
      </c>
    </row>
    <row r="586" spans="1:3" x14ac:dyDescent="0.3">
      <c r="A586" s="1">
        <v>279</v>
      </c>
      <c r="B586" s="1" t="s">
        <v>706</v>
      </c>
      <c r="C586" s="1" t="s">
        <v>1129</v>
      </c>
    </row>
    <row r="587" spans="1:3" x14ac:dyDescent="0.3">
      <c r="A587" s="1">
        <v>280</v>
      </c>
      <c r="B587" s="1" t="s">
        <v>356</v>
      </c>
      <c r="C587" s="1" t="s">
        <v>1129</v>
      </c>
    </row>
    <row r="588" spans="1:3" x14ac:dyDescent="0.3">
      <c r="A588" s="1">
        <v>281</v>
      </c>
      <c r="B588" s="1" t="s">
        <v>1057</v>
      </c>
      <c r="C588" s="1" t="s">
        <v>1129</v>
      </c>
    </row>
    <row r="589" spans="1:3" x14ac:dyDescent="0.3">
      <c r="A589" s="1">
        <v>281</v>
      </c>
      <c r="B589" s="1" t="s">
        <v>937</v>
      </c>
      <c r="C589" s="1" t="s">
        <v>1129</v>
      </c>
    </row>
    <row r="590" spans="1:3" x14ac:dyDescent="0.3">
      <c r="A590" s="1">
        <v>282</v>
      </c>
      <c r="B590" s="1" t="s">
        <v>354</v>
      </c>
      <c r="C590" s="1" t="s">
        <v>1129</v>
      </c>
    </row>
    <row r="591" spans="1:3" x14ac:dyDescent="0.3">
      <c r="A591" s="1">
        <v>283</v>
      </c>
      <c r="B591" s="1" t="s">
        <v>171</v>
      </c>
      <c r="C591" s="1" t="s">
        <v>1129</v>
      </c>
    </row>
    <row r="592" spans="1:3" x14ac:dyDescent="0.3">
      <c r="A592" s="1">
        <v>284</v>
      </c>
      <c r="B592" s="1" t="s">
        <v>937</v>
      </c>
      <c r="C592" s="1" t="s">
        <v>1129</v>
      </c>
    </row>
    <row r="593" spans="1:3" x14ac:dyDescent="0.3">
      <c r="A593" s="1">
        <v>285</v>
      </c>
      <c r="B593" s="1" t="s">
        <v>435</v>
      </c>
      <c r="C593" s="1" t="s">
        <v>1129</v>
      </c>
    </row>
    <row r="594" spans="1:3" x14ac:dyDescent="0.3">
      <c r="A594" s="1">
        <v>286</v>
      </c>
      <c r="B594" s="1" t="s">
        <v>356</v>
      </c>
      <c r="C594" s="1" t="s">
        <v>1129</v>
      </c>
    </row>
    <row r="595" spans="1:3" x14ac:dyDescent="0.3">
      <c r="A595" s="1">
        <v>288</v>
      </c>
      <c r="B595" s="1" t="s">
        <v>171</v>
      </c>
      <c r="C595" s="1" t="s">
        <v>1129</v>
      </c>
    </row>
    <row r="596" spans="1:3" x14ac:dyDescent="0.3">
      <c r="A596" s="1">
        <v>291</v>
      </c>
      <c r="B596" s="1" t="s">
        <v>437</v>
      </c>
      <c r="C596" s="1" t="s">
        <v>1129</v>
      </c>
    </row>
    <row r="597" spans="1:3" x14ac:dyDescent="0.3">
      <c r="A597" s="1">
        <v>292</v>
      </c>
      <c r="B597" s="1" t="s">
        <v>948</v>
      </c>
      <c r="C597" s="1" t="s">
        <v>1129</v>
      </c>
    </row>
    <row r="598" spans="1:3" x14ac:dyDescent="0.3">
      <c r="A598" s="1">
        <v>293</v>
      </c>
      <c r="B598" s="1" t="s">
        <v>356</v>
      </c>
      <c r="C598" s="1" t="s">
        <v>1129</v>
      </c>
    </row>
    <row r="599" spans="1:3" x14ac:dyDescent="0.3">
      <c r="A599" s="1">
        <v>294</v>
      </c>
      <c r="B599" s="1" t="s">
        <v>437</v>
      </c>
      <c r="C599" s="1" t="s">
        <v>1129</v>
      </c>
    </row>
    <row r="600" spans="1:3" x14ac:dyDescent="0.3">
      <c r="A600" s="1">
        <v>295</v>
      </c>
      <c r="B600" s="1" t="s">
        <v>937</v>
      </c>
      <c r="C600" s="1" t="s">
        <v>1129</v>
      </c>
    </row>
    <row r="601" spans="1:3" x14ac:dyDescent="0.3">
      <c r="A601" s="1">
        <v>296</v>
      </c>
      <c r="B601" s="1" t="s">
        <v>356</v>
      </c>
      <c r="C601" s="1" t="s">
        <v>1129</v>
      </c>
    </row>
    <row r="602" spans="1:3" x14ac:dyDescent="0.3">
      <c r="A602" s="1">
        <v>297</v>
      </c>
      <c r="B602" s="1" t="s">
        <v>437</v>
      </c>
      <c r="C602" s="1" t="s">
        <v>1129</v>
      </c>
    </row>
    <row r="603" spans="1:3" x14ac:dyDescent="0.3">
      <c r="A603" s="1">
        <v>298</v>
      </c>
      <c r="B603" s="1" t="s">
        <v>951</v>
      </c>
      <c r="C603" s="1" t="s">
        <v>1129</v>
      </c>
    </row>
    <row r="604" spans="1:3" x14ac:dyDescent="0.3">
      <c r="A604" s="1">
        <v>299</v>
      </c>
      <c r="B604" s="1" t="s">
        <v>952</v>
      </c>
      <c r="C604" s="1" t="s">
        <v>1129</v>
      </c>
    </row>
    <row r="605" spans="1:3" x14ac:dyDescent="0.3">
      <c r="A605" s="1">
        <v>300</v>
      </c>
      <c r="B605" s="1" t="s">
        <v>806</v>
      </c>
      <c r="C605" s="1" t="s">
        <v>1129</v>
      </c>
    </row>
    <row r="606" spans="1:3" x14ac:dyDescent="0.3">
      <c r="A606" s="1">
        <v>300</v>
      </c>
      <c r="B606" s="1" t="s">
        <v>1052</v>
      </c>
      <c r="C606" s="1" t="s">
        <v>1129</v>
      </c>
    </row>
    <row r="607" spans="1:3" x14ac:dyDescent="0.3">
      <c r="A607" s="1">
        <v>301</v>
      </c>
      <c r="B607" s="1" t="s">
        <v>806</v>
      </c>
      <c r="C607" s="1" t="s">
        <v>1129</v>
      </c>
    </row>
    <row r="608" spans="1:3" x14ac:dyDescent="0.3">
      <c r="A608" s="1">
        <v>301</v>
      </c>
      <c r="B608" s="1" t="s">
        <v>1052</v>
      </c>
      <c r="C608" s="1" t="s">
        <v>1129</v>
      </c>
    </row>
    <row r="609" spans="1:3" x14ac:dyDescent="0.3">
      <c r="A609" s="1">
        <v>303</v>
      </c>
      <c r="B609" s="1" t="s">
        <v>171</v>
      </c>
      <c r="C609" s="1" t="s">
        <v>1129</v>
      </c>
    </row>
    <row r="610" spans="1:3" x14ac:dyDescent="0.3">
      <c r="A610" s="1">
        <v>304</v>
      </c>
      <c r="B610" s="1" t="s">
        <v>806</v>
      </c>
      <c r="C610" s="1" t="s">
        <v>1129</v>
      </c>
    </row>
    <row r="611" spans="1:3" x14ac:dyDescent="0.3">
      <c r="A611" s="1">
        <v>304</v>
      </c>
      <c r="B611" s="1" t="s">
        <v>1052</v>
      </c>
      <c r="C611" s="1" t="s">
        <v>1129</v>
      </c>
    </row>
    <row r="612" spans="1:3" x14ac:dyDescent="0.3">
      <c r="A612" s="1">
        <v>304</v>
      </c>
      <c r="B612" s="1" t="s">
        <v>356</v>
      </c>
      <c r="C612" s="1" t="s">
        <v>1129</v>
      </c>
    </row>
    <row r="613" spans="1:3" x14ac:dyDescent="0.3">
      <c r="A613" s="1">
        <v>306</v>
      </c>
      <c r="B613" s="1" t="s">
        <v>356</v>
      </c>
      <c r="C613" s="1" t="s">
        <v>1129</v>
      </c>
    </row>
    <row r="614" spans="1:3" x14ac:dyDescent="0.3">
      <c r="A614" s="1">
        <v>307</v>
      </c>
      <c r="B614" s="1" t="s">
        <v>952</v>
      </c>
      <c r="C614" s="1" t="s">
        <v>1129</v>
      </c>
    </row>
    <row r="615" spans="1:3" x14ac:dyDescent="0.3">
      <c r="A615" s="1">
        <v>308</v>
      </c>
      <c r="B615" s="1" t="s">
        <v>937</v>
      </c>
      <c r="C615" s="1" t="s">
        <v>1129</v>
      </c>
    </row>
    <row r="616" spans="1:3" x14ac:dyDescent="0.3">
      <c r="A616" s="1">
        <v>309</v>
      </c>
      <c r="B616" s="1" t="s">
        <v>806</v>
      </c>
      <c r="C616" s="1" t="s">
        <v>1129</v>
      </c>
    </row>
    <row r="617" spans="1:3" x14ac:dyDescent="0.3">
      <c r="A617" s="1">
        <v>309</v>
      </c>
      <c r="B617" s="1" t="s">
        <v>1053</v>
      </c>
      <c r="C617" s="1" t="s">
        <v>1129</v>
      </c>
    </row>
    <row r="618" spans="1:3" x14ac:dyDescent="0.3">
      <c r="A618" s="1">
        <v>312</v>
      </c>
      <c r="B618" s="1" t="s">
        <v>354</v>
      </c>
      <c r="C618" s="1" t="s">
        <v>1129</v>
      </c>
    </row>
    <row r="619" spans="1:3" x14ac:dyDescent="0.3">
      <c r="A619" s="1">
        <v>312</v>
      </c>
      <c r="B619" s="1" t="s">
        <v>387</v>
      </c>
      <c r="C619" s="1" t="s">
        <v>1129</v>
      </c>
    </row>
    <row r="620" spans="1:3" x14ac:dyDescent="0.3">
      <c r="A620" s="1">
        <v>313</v>
      </c>
      <c r="B620" s="1" t="s">
        <v>356</v>
      </c>
      <c r="C620" s="1" t="s">
        <v>1129</v>
      </c>
    </row>
    <row r="621" spans="1:3" x14ac:dyDescent="0.3">
      <c r="A621" s="1">
        <v>315</v>
      </c>
      <c r="B621" s="1" t="s">
        <v>1063</v>
      </c>
      <c r="C621" s="1" t="s">
        <v>1129</v>
      </c>
    </row>
    <row r="622" spans="1:3" x14ac:dyDescent="0.3">
      <c r="A622" s="1">
        <v>316</v>
      </c>
      <c r="B622" s="1" t="s">
        <v>360</v>
      </c>
      <c r="C622" s="1" t="s">
        <v>1129</v>
      </c>
    </row>
    <row r="623" spans="1:3" x14ac:dyDescent="0.3">
      <c r="A623" s="1">
        <v>317</v>
      </c>
      <c r="B623" s="1" t="s">
        <v>1063</v>
      </c>
      <c r="C623" s="1" t="s">
        <v>1129</v>
      </c>
    </row>
    <row r="624" spans="1:3" x14ac:dyDescent="0.3">
      <c r="A624" s="1">
        <v>319</v>
      </c>
      <c r="B624" s="1" t="s">
        <v>706</v>
      </c>
      <c r="C624" s="1" t="s">
        <v>1129</v>
      </c>
    </row>
    <row r="625" spans="1:3" x14ac:dyDescent="0.3">
      <c r="A625" s="1">
        <v>320</v>
      </c>
      <c r="B625" s="1" t="s">
        <v>1063</v>
      </c>
      <c r="C625" s="1" t="s">
        <v>1129</v>
      </c>
    </row>
    <row r="626" spans="1:3" x14ac:dyDescent="0.3">
      <c r="A626" s="1">
        <v>322</v>
      </c>
      <c r="B626" s="1" t="s">
        <v>703</v>
      </c>
      <c r="C626" s="1" t="s">
        <v>1129</v>
      </c>
    </row>
    <row r="627" spans="1:3" x14ac:dyDescent="0.3">
      <c r="A627" s="1">
        <v>322</v>
      </c>
      <c r="B627" s="1" t="s">
        <v>1052</v>
      </c>
      <c r="C627" s="1" t="s">
        <v>1129</v>
      </c>
    </row>
    <row r="628" spans="1:3" x14ac:dyDescent="0.3">
      <c r="A628" s="1">
        <v>323</v>
      </c>
      <c r="B628" s="1" t="s">
        <v>1063</v>
      </c>
      <c r="C628" s="1" t="s">
        <v>1129</v>
      </c>
    </row>
    <row r="629" spans="1:3" x14ac:dyDescent="0.3">
      <c r="A629" s="1">
        <v>324</v>
      </c>
      <c r="B629" s="1" t="s">
        <v>1063</v>
      </c>
      <c r="C629" s="1" t="s">
        <v>1129</v>
      </c>
    </row>
    <row r="630" spans="1:3" x14ac:dyDescent="0.3">
      <c r="A630" s="1">
        <v>325</v>
      </c>
      <c r="B630" s="1" t="s">
        <v>1063</v>
      </c>
      <c r="C630" s="1" t="s">
        <v>1129</v>
      </c>
    </row>
    <row r="631" spans="1:3" x14ac:dyDescent="0.3">
      <c r="A631" s="1">
        <v>326</v>
      </c>
      <c r="B631" s="1" t="s">
        <v>875</v>
      </c>
      <c r="C631" s="1" t="s">
        <v>1129</v>
      </c>
    </row>
    <row r="632" spans="1:3" x14ac:dyDescent="0.3">
      <c r="A632" s="1">
        <v>326</v>
      </c>
      <c r="B632" s="1" t="s">
        <v>356</v>
      </c>
      <c r="C632" s="1" t="s">
        <v>1129</v>
      </c>
    </row>
    <row r="633" spans="1:3" x14ac:dyDescent="0.3">
      <c r="A633" s="1">
        <v>327</v>
      </c>
      <c r="B633" s="1" t="s">
        <v>806</v>
      </c>
      <c r="C633" s="1" t="s">
        <v>1129</v>
      </c>
    </row>
    <row r="634" spans="1:3" x14ac:dyDescent="0.3">
      <c r="A634" s="1">
        <v>327</v>
      </c>
      <c r="B634" s="1" t="s">
        <v>387</v>
      </c>
      <c r="C634" s="1" t="s">
        <v>1129</v>
      </c>
    </row>
    <row r="635" spans="1:3" x14ac:dyDescent="0.3">
      <c r="A635" s="1">
        <v>327</v>
      </c>
      <c r="B635" s="1" t="s">
        <v>428</v>
      </c>
      <c r="C635" s="1" t="s">
        <v>1129</v>
      </c>
    </row>
    <row r="636" spans="1:3" x14ac:dyDescent="0.3">
      <c r="A636" s="1">
        <v>327</v>
      </c>
      <c r="B636" s="1" t="s">
        <v>1052</v>
      </c>
      <c r="C636" s="1" t="s">
        <v>1129</v>
      </c>
    </row>
    <row r="637" spans="1:3" x14ac:dyDescent="0.3">
      <c r="A637" s="1">
        <v>328</v>
      </c>
      <c r="B637" s="1" t="s">
        <v>680</v>
      </c>
      <c r="C637" s="1" t="s">
        <v>1129</v>
      </c>
    </row>
    <row r="638" spans="1:3" x14ac:dyDescent="0.3">
      <c r="A638" s="1">
        <v>328</v>
      </c>
      <c r="B638" s="1" t="s">
        <v>356</v>
      </c>
      <c r="C638" s="1" t="s">
        <v>1129</v>
      </c>
    </row>
    <row r="639" spans="1:3" x14ac:dyDescent="0.3">
      <c r="A639" s="1">
        <v>329</v>
      </c>
      <c r="B639" s="1" t="s">
        <v>1081</v>
      </c>
      <c r="C639" s="1" t="s">
        <v>1129</v>
      </c>
    </row>
    <row r="640" spans="1:3" x14ac:dyDescent="0.3">
      <c r="A640" s="1">
        <v>331</v>
      </c>
      <c r="B640" s="1" t="s">
        <v>1063</v>
      </c>
      <c r="C640" s="1" t="s">
        <v>1129</v>
      </c>
    </row>
    <row r="641" spans="1:3" x14ac:dyDescent="0.3">
      <c r="A641" s="1">
        <v>332</v>
      </c>
      <c r="B641" s="1" t="s">
        <v>1063</v>
      </c>
      <c r="C641" s="1" t="s">
        <v>1129</v>
      </c>
    </row>
    <row r="642" spans="1:3" x14ac:dyDescent="0.3">
      <c r="A642" s="1">
        <v>333</v>
      </c>
      <c r="B642" s="1" t="s">
        <v>1085</v>
      </c>
      <c r="C642" s="1" t="s">
        <v>1129</v>
      </c>
    </row>
    <row r="643" spans="1:3" x14ac:dyDescent="0.3">
      <c r="A643" s="1">
        <v>334</v>
      </c>
      <c r="B643" s="1" t="s">
        <v>1085</v>
      </c>
      <c r="C643" s="1" t="s">
        <v>1129</v>
      </c>
    </row>
    <row r="644" spans="1:3" x14ac:dyDescent="0.3">
      <c r="A644" s="1">
        <v>337</v>
      </c>
      <c r="B644" s="1" t="s">
        <v>354</v>
      </c>
      <c r="C644" s="1" t="s">
        <v>1129</v>
      </c>
    </row>
    <row r="645" spans="1:3" x14ac:dyDescent="0.3">
      <c r="A645" s="1">
        <v>337</v>
      </c>
      <c r="B645" s="1" t="s">
        <v>680</v>
      </c>
      <c r="C645" s="1" t="s">
        <v>1129</v>
      </c>
    </row>
    <row r="646" spans="1:3" x14ac:dyDescent="0.3">
      <c r="A646" s="1">
        <v>339</v>
      </c>
      <c r="B646" s="1" t="s">
        <v>706</v>
      </c>
      <c r="C646" s="1" t="s">
        <v>1129</v>
      </c>
    </row>
    <row r="647" spans="1:3" x14ac:dyDescent="0.3">
      <c r="A647" s="1">
        <v>340</v>
      </c>
      <c r="B647" s="1" t="s">
        <v>706</v>
      </c>
      <c r="C647" s="1" t="s">
        <v>1129</v>
      </c>
    </row>
    <row r="648" spans="1:3" x14ac:dyDescent="0.3">
      <c r="A648" s="1">
        <v>341</v>
      </c>
      <c r="B648" s="1" t="s">
        <v>1063</v>
      </c>
      <c r="C648" s="1" t="s">
        <v>1129</v>
      </c>
    </row>
    <row r="649" spans="1:3" x14ac:dyDescent="0.3">
      <c r="A649" s="1">
        <v>342</v>
      </c>
      <c r="B649" s="1" t="s">
        <v>794</v>
      </c>
      <c r="C649" s="1" t="s">
        <v>1129</v>
      </c>
    </row>
    <row r="650" spans="1:3" x14ac:dyDescent="0.3">
      <c r="A650" s="1">
        <v>343</v>
      </c>
      <c r="B650" s="1" t="s">
        <v>1063</v>
      </c>
      <c r="C650" s="1" t="s">
        <v>1129</v>
      </c>
    </row>
    <row r="651" spans="1:3" x14ac:dyDescent="0.3">
      <c r="A651" s="1">
        <v>344</v>
      </c>
      <c r="B651" s="1" t="s">
        <v>1063</v>
      </c>
      <c r="C651" s="1" t="s">
        <v>1129</v>
      </c>
    </row>
    <row r="652" spans="1:3" x14ac:dyDescent="0.3">
      <c r="A652" s="1">
        <v>345</v>
      </c>
      <c r="B652" s="1" t="s">
        <v>1063</v>
      </c>
      <c r="C652" s="1" t="s">
        <v>1129</v>
      </c>
    </row>
    <row r="653" spans="1:3" x14ac:dyDescent="0.3">
      <c r="A653" s="1">
        <v>346</v>
      </c>
      <c r="B653" s="1" t="s">
        <v>798</v>
      </c>
      <c r="C653" s="1" t="s">
        <v>1129</v>
      </c>
    </row>
    <row r="654" spans="1:3" x14ac:dyDescent="0.3">
      <c r="A654" s="1">
        <v>347</v>
      </c>
      <c r="B654" s="1" t="s">
        <v>1063</v>
      </c>
      <c r="C654" s="1" t="s">
        <v>1129</v>
      </c>
    </row>
    <row r="655" spans="1:3" x14ac:dyDescent="0.3">
      <c r="A655" s="1">
        <v>349</v>
      </c>
      <c r="B655" s="1" t="s">
        <v>1063</v>
      </c>
      <c r="C655" s="1" t="s">
        <v>1129</v>
      </c>
    </row>
    <row r="656" spans="1:3" x14ac:dyDescent="0.3">
      <c r="A656" s="1">
        <v>351</v>
      </c>
      <c r="B656" s="1" t="s">
        <v>687</v>
      </c>
      <c r="C656" s="1" t="s">
        <v>1129</v>
      </c>
    </row>
    <row r="657" spans="1:3" x14ac:dyDescent="0.3">
      <c r="A657" s="1">
        <v>352</v>
      </c>
      <c r="B657" s="1" t="s">
        <v>1197</v>
      </c>
      <c r="C657" s="1" t="s">
        <v>1129</v>
      </c>
    </row>
    <row r="658" spans="1:3" x14ac:dyDescent="0.3">
      <c r="A658" s="1">
        <v>352</v>
      </c>
      <c r="B658" s="1" t="s">
        <v>1198</v>
      </c>
      <c r="C658" s="1" t="s">
        <v>1129</v>
      </c>
    </row>
    <row r="659" spans="1:3" x14ac:dyDescent="0.3">
      <c r="A659" s="1">
        <v>352</v>
      </c>
      <c r="B659" s="1" t="s">
        <v>1199</v>
      </c>
      <c r="C659" s="1" t="s">
        <v>1129</v>
      </c>
    </row>
    <row r="660" spans="1:3" x14ac:dyDescent="0.3">
      <c r="A660" s="1">
        <v>352</v>
      </c>
      <c r="B660" s="1" t="s">
        <v>1200</v>
      </c>
      <c r="C660" s="1" t="s">
        <v>1129</v>
      </c>
    </row>
    <row r="661" spans="1:3" x14ac:dyDescent="0.3">
      <c r="A661" s="1">
        <v>354</v>
      </c>
      <c r="B661" s="1" t="s">
        <v>1063</v>
      </c>
      <c r="C661" s="1" t="s">
        <v>1129</v>
      </c>
    </row>
    <row r="662" spans="1:3" x14ac:dyDescent="0.3">
      <c r="A662" s="1">
        <v>355</v>
      </c>
      <c r="B662" s="1" t="s">
        <v>1063</v>
      </c>
      <c r="C662" s="1" t="s">
        <v>1129</v>
      </c>
    </row>
    <row r="663" spans="1:3" x14ac:dyDescent="0.3">
      <c r="A663" s="1">
        <v>356</v>
      </c>
      <c r="B663" s="1" t="s">
        <v>798</v>
      </c>
      <c r="C663" s="1" t="s">
        <v>1129</v>
      </c>
    </row>
    <row r="664" spans="1:3" x14ac:dyDescent="0.3">
      <c r="A664" s="1">
        <v>357</v>
      </c>
      <c r="B664" s="1" t="s">
        <v>387</v>
      </c>
      <c r="C664" s="1" t="s">
        <v>1129</v>
      </c>
    </row>
    <row r="665" spans="1:3" x14ac:dyDescent="0.3">
      <c r="A665" s="1">
        <v>357</v>
      </c>
      <c r="B665" s="1" t="s">
        <v>937</v>
      </c>
      <c r="C665" s="1" t="s">
        <v>1129</v>
      </c>
    </row>
    <row r="666" spans="1:3" x14ac:dyDescent="0.3">
      <c r="A666" s="1">
        <v>357</v>
      </c>
      <c r="B666" s="1" t="s">
        <v>354</v>
      </c>
      <c r="C666" s="1" t="s">
        <v>1129</v>
      </c>
    </row>
    <row r="667" spans="1:3" x14ac:dyDescent="0.3">
      <c r="A667" s="1">
        <v>357</v>
      </c>
      <c r="B667" s="1" t="s">
        <v>1201</v>
      </c>
      <c r="C667" s="1" t="s">
        <v>1129</v>
      </c>
    </row>
    <row r="668" spans="1:3" x14ac:dyDescent="0.3">
      <c r="A668" s="1">
        <v>360</v>
      </c>
      <c r="B668" s="1" t="s">
        <v>1063</v>
      </c>
      <c r="C668" s="1" t="s">
        <v>1129</v>
      </c>
    </row>
    <row r="669" spans="1:3" x14ac:dyDescent="0.3">
      <c r="A669" s="1">
        <v>361</v>
      </c>
      <c r="B669" s="1" t="s">
        <v>794</v>
      </c>
      <c r="C669" s="1" t="s">
        <v>1129</v>
      </c>
    </row>
    <row r="670" spans="1:3" x14ac:dyDescent="0.3">
      <c r="A670" s="1">
        <v>362</v>
      </c>
      <c r="B670" s="1" t="s">
        <v>387</v>
      </c>
      <c r="C670" s="1" t="s">
        <v>1129</v>
      </c>
    </row>
    <row r="671" spans="1:3" x14ac:dyDescent="0.3">
      <c r="A671" s="1">
        <v>362</v>
      </c>
      <c r="B671" s="1" t="s">
        <v>1202</v>
      </c>
      <c r="C671" s="1" t="s">
        <v>1129</v>
      </c>
    </row>
    <row r="672" spans="1:3" x14ac:dyDescent="0.3">
      <c r="A672" s="1">
        <v>363</v>
      </c>
      <c r="B672" s="1" t="s">
        <v>1063</v>
      </c>
      <c r="C672" s="1" t="s">
        <v>1129</v>
      </c>
    </row>
    <row r="673" spans="1:3" x14ac:dyDescent="0.3">
      <c r="A673" s="1">
        <v>365</v>
      </c>
      <c r="B673" s="1" t="s">
        <v>806</v>
      </c>
      <c r="C673" s="1" t="s">
        <v>1129</v>
      </c>
    </row>
    <row r="674" spans="1:3" x14ac:dyDescent="0.3">
      <c r="A674" s="1">
        <v>365</v>
      </c>
      <c r="B674" s="1" t="s">
        <v>1203</v>
      </c>
      <c r="C674" s="1" t="s">
        <v>1129</v>
      </c>
    </row>
    <row r="675" spans="1:3" x14ac:dyDescent="0.3">
      <c r="A675" s="1">
        <v>365</v>
      </c>
      <c r="B675" s="1" t="s">
        <v>356</v>
      </c>
      <c r="C675" s="1" t="s">
        <v>1129</v>
      </c>
    </row>
    <row r="676" spans="1:3" x14ac:dyDescent="0.3">
      <c r="A676" s="1">
        <v>366</v>
      </c>
      <c r="B676" s="1" t="s">
        <v>356</v>
      </c>
      <c r="C676" s="1" t="s">
        <v>1129</v>
      </c>
    </row>
    <row r="677" spans="1:3" x14ac:dyDescent="0.3">
      <c r="A677" s="1">
        <v>366</v>
      </c>
      <c r="B677" s="1" t="s">
        <v>1052</v>
      </c>
      <c r="C677" s="1" t="s">
        <v>1129</v>
      </c>
    </row>
    <row r="678" spans="1:3" x14ac:dyDescent="0.3">
      <c r="A678" s="1">
        <v>366</v>
      </c>
      <c r="B678" s="1" t="s">
        <v>806</v>
      </c>
      <c r="C678" s="1" t="s">
        <v>1129</v>
      </c>
    </row>
    <row r="679" spans="1:3" x14ac:dyDescent="0.3">
      <c r="A679" s="1">
        <v>367</v>
      </c>
      <c r="B679" s="1" t="s">
        <v>360</v>
      </c>
      <c r="C679" s="1" t="s">
        <v>1129</v>
      </c>
    </row>
    <row r="680" spans="1:3" x14ac:dyDescent="0.3">
      <c r="A680" s="1">
        <v>369</v>
      </c>
      <c r="B680" s="1" t="s">
        <v>794</v>
      </c>
      <c r="C680" s="1" t="s">
        <v>1129</v>
      </c>
    </row>
    <row r="681" spans="1:3" x14ac:dyDescent="0.3">
      <c r="A681" s="1">
        <v>370</v>
      </c>
      <c r="B681" s="1" t="s">
        <v>687</v>
      </c>
      <c r="C681" s="1" t="s">
        <v>1129</v>
      </c>
    </row>
    <row r="682" spans="1:3" x14ac:dyDescent="0.3">
      <c r="A682" s="1">
        <v>371</v>
      </c>
      <c r="B682" s="1" t="s">
        <v>1063</v>
      </c>
      <c r="C682" s="1" t="s">
        <v>1129</v>
      </c>
    </row>
    <row r="683" spans="1:3" x14ac:dyDescent="0.3">
      <c r="A683" s="1">
        <v>372</v>
      </c>
      <c r="B683" s="1" t="s">
        <v>1063</v>
      </c>
      <c r="C683" s="1" t="s">
        <v>1129</v>
      </c>
    </row>
    <row r="684" spans="1:3" x14ac:dyDescent="0.3">
      <c r="A684" s="1">
        <v>373</v>
      </c>
      <c r="B684" s="1" t="s">
        <v>1063</v>
      </c>
      <c r="C684" s="1" t="s">
        <v>1129</v>
      </c>
    </row>
    <row r="685" spans="1:3" x14ac:dyDescent="0.3">
      <c r="A685" s="1">
        <v>374</v>
      </c>
      <c r="B685" s="1" t="s">
        <v>1063</v>
      </c>
      <c r="C685" s="1" t="s">
        <v>1129</v>
      </c>
    </row>
    <row r="686" spans="1:3" x14ac:dyDescent="0.3">
      <c r="A686" s="1">
        <v>375</v>
      </c>
      <c r="B686" s="1" t="s">
        <v>1085</v>
      </c>
      <c r="C686" s="1" t="s">
        <v>1129</v>
      </c>
    </row>
    <row r="687" spans="1:3" x14ac:dyDescent="0.3">
      <c r="A687" s="1">
        <v>376</v>
      </c>
      <c r="B687" s="1" t="s">
        <v>1063</v>
      </c>
      <c r="C687" s="1" t="s">
        <v>1129</v>
      </c>
    </row>
    <row r="688" spans="1:3" x14ac:dyDescent="0.3">
      <c r="A688" s="1">
        <v>377</v>
      </c>
      <c r="B688" s="1" t="s">
        <v>1063</v>
      </c>
      <c r="C688" s="1" t="s">
        <v>1129</v>
      </c>
    </row>
    <row r="689" spans="1:3" x14ac:dyDescent="0.3">
      <c r="A689" s="1">
        <v>378</v>
      </c>
      <c r="B689" s="1" t="s">
        <v>1063</v>
      </c>
      <c r="C689" s="1" t="s">
        <v>1129</v>
      </c>
    </row>
    <row r="690" spans="1:3" x14ac:dyDescent="0.3">
      <c r="A690" s="1">
        <v>379</v>
      </c>
      <c r="B690" s="1" t="s">
        <v>687</v>
      </c>
      <c r="C690" s="1" t="s">
        <v>1129</v>
      </c>
    </row>
    <row r="691" spans="1:3" x14ac:dyDescent="0.3">
      <c r="A691" s="1">
        <v>380</v>
      </c>
      <c r="B691" s="1" t="s">
        <v>680</v>
      </c>
      <c r="C691" s="1" t="s">
        <v>1129</v>
      </c>
    </row>
    <row r="692" spans="1:3" x14ac:dyDescent="0.3">
      <c r="A692" s="1">
        <v>381</v>
      </c>
      <c r="B692" s="1" t="s">
        <v>711</v>
      </c>
      <c r="C692" s="1" t="s">
        <v>1129</v>
      </c>
    </row>
    <row r="693" spans="1:3" x14ac:dyDescent="0.3">
      <c r="A693" s="1">
        <v>382</v>
      </c>
      <c r="B693" s="1" t="s">
        <v>1063</v>
      </c>
      <c r="C693" s="1" t="s">
        <v>1129</v>
      </c>
    </row>
    <row r="694" spans="1:3" x14ac:dyDescent="0.3">
      <c r="A694" s="1">
        <v>383</v>
      </c>
      <c r="B694" s="1" t="s">
        <v>1063</v>
      </c>
      <c r="C694" s="1" t="s">
        <v>1129</v>
      </c>
    </row>
    <row r="695" spans="1:3" x14ac:dyDescent="0.3">
      <c r="A695" s="1">
        <v>385</v>
      </c>
      <c r="B695" s="1" t="s">
        <v>1063</v>
      </c>
      <c r="C695" s="1" t="s">
        <v>1129</v>
      </c>
    </row>
    <row r="696" spans="1:3" x14ac:dyDescent="0.3">
      <c r="A696" s="1">
        <v>387</v>
      </c>
      <c r="B696" s="1" t="s">
        <v>354</v>
      </c>
      <c r="C696" s="1" t="s">
        <v>1129</v>
      </c>
    </row>
    <row r="697" spans="1:3" x14ac:dyDescent="0.3">
      <c r="A697" s="1">
        <v>387</v>
      </c>
      <c r="B697" s="1" t="s">
        <v>680</v>
      </c>
      <c r="C697" s="1" t="s">
        <v>1129</v>
      </c>
    </row>
    <row r="698" spans="1:3" x14ac:dyDescent="0.3">
      <c r="A698" s="1">
        <v>389</v>
      </c>
      <c r="B698" s="1" t="s">
        <v>798</v>
      </c>
      <c r="C698" s="1" t="s">
        <v>1129</v>
      </c>
    </row>
    <row r="699" spans="1:3" x14ac:dyDescent="0.3">
      <c r="A699" s="1">
        <v>390</v>
      </c>
      <c r="B699" s="1" t="s">
        <v>1063</v>
      </c>
      <c r="C699" s="1" t="s">
        <v>1129</v>
      </c>
    </row>
    <row r="700" spans="1:3" x14ac:dyDescent="0.3">
      <c r="A700" s="1">
        <v>391</v>
      </c>
      <c r="B700" s="1" t="s">
        <v>1204</v>
      </c>
      <c r="C700" s="1" t="s">
        <v>1129</v>
      </c>
    </row>
    <row r="701" spans="1:3" x14ac:dyDescent="0.3">
      <c r="A701" s="1">
        <v>391</v>
      </c>
      <c r="B701" s="1" t="s">
        <v>1085</v>
      </c>
      <c r="C701" s="1" t="s">
        <v>1129</v>
      </c>
    </row>
    <row r="702" spans="1:3" x14ac:dyDescent="0.3">
      <c r="A702" s="1">
        <v>392</v>
      </c>
      <c r="B702" s="1" t="s">
        <v>687</v>
      </c>
      <c r="C702" s="1" t="s">
        <v>1129</v>
      </c>
    </row>
    <row r="703" spans="1:3" x14ac:dyDescent="0.3">
      <c r="A703" s="1">
        <v>393</v>
      </c>
      <c r="B703" s="1" t="s">
        <v>1063</v>
      </c>
      <c r="C703" s="1" t="s">
        <v>1129</v>
      </c>
    </row>
    <row r="704" spans="1:3" x14ac:dyDescent="0.3">
      <c r="A704" s="1">
        <v>394</v>
      </c>
      <c r="B704" s="1" t="s">
        <v>706</v>
      </c>
      <c r="C704" s="1" t="s">
        <v>1129</v>
      </c>
    </row>
    <row r="705" spans="1:3" x14ac:dyDescent="0.3">
      <c r="A705" s="1">
        <v>397</v>
      </c>
      <c r="B705" s="1" t="s">
        <v>1167</v>
      </c>
      <c r="C705" s="1" t="s">
        <v>1129</v>
      </c>
    </row>
    <row r="706" spans="1:3" x14ac:dyDescent="0.3">
      <c r="A706" s="1">
        <v>399</v>
      </c>
      <c r="B706" s="1" t="s">
        <v>1063</v>
      </c>
      <c r="C706" s="1" t="s">
        <v>1129</v>
      </c>
    </row>
    <row r="707" spans="1:3" x14ac:dyDescent="0.3">
      <c r="A707" s="1">
        <v>400</v>
      </c>
      <c r="B707" s="1" t="s">
        <v>1063</v>
      </c>
      <c r="C707" s="1" t="s">
        <v>1129</v>
      </c>
    </row>
    <row r="708" spans="1:3" x14ac:dyDescent="0.3">
      <c r="A708" s="1">
        <v>401</v>
      </c>
      <c r="B708" s="1" t="s">
        <v>1063</v>
      </c>
      <c r="C708" s="1" t="s">
        <v>1129</v>
      </c>
    </row>
    <row r="709" spans="1:3" x14ac:dyDescent="0.3">
      <c r="A709" s="1">
        <v>403</v>
      </c>
      <c r="B709" s="1" t="s">
        <v>687</v>
      </c>
      <c r="C709" s="1" t="s">
        <v>1129</v>
      </c>
    </row>
    <row r="710" spans="1:3" x14ac:dyDescent="0.3">
      <c r="A710" s="1">
        <v>404</v>
      </c>
      <c r="B710" s="1" t="s">
        <v>171</v>
      </c>
      <c r="C710" s="1" t="s">
        <v>1129</v>
      </c>
    </row>
    <row r="711" spans="1:3" x14ac:dyDescent="0.3">
      <c r="A711" s="1">
        <v>404</v>
      </c>
      <c r="B711" s="1" t="s">
        <v>706</v>
      </c>
      <c r="C711" s="1" t="s">
        <v>1129</v>
      </c>
    </row>
    <row r="712" spans="1:3" x14ac:dyDescent="0.3">
      <c r="A712" s="1">
        <v>405</v>
      </c>
      <c r="B712" s="1" t="s">
        <v>1063</v>
      </c>
      <c r="C712" s="1" t="s">
        <v>1129</v>
      </c>
    </row>
    <row r="713" spans="1:3" x14ac:dyDescent="0.3">
      <c r="A713" s="1">
        <v>406</v>
      </c>
      <c r="B713" s="1" t="s">
        <v>1176</v>
      </c>
      <c r="C713" s="1" t="s">
        <v>1129</v>
      </c>
    </row>
    <row r="714" spans="1:3" x14ac:dyDescent="0.3">
      <c r="A714" s="1">
        <v>407</v>
      </c>
      <c r="B714" s="1" t="s">
        <v>1178</v>
      </c>
      <c r="C714" s="1" t="s">
        <v>1129</v>
      </c>
    </row>
    <row r="715" spans="1:3" x14ac:dyDescent="0.3">
      <c r="A715" s="1">
        <v>408</v>
      </c>
      <c r="B715" s="1" t="s">
        <v>1085</v>
      </c>
      <c r="C715" s="1" t="s">
        <v>1129</v>
      </c>
    </row>
    <row r="716" spans="1:3" x14ac:dyDescent="0.3">
      <c r="A716" s="1">
        <v>409</v>
      </c>
      <c r="B716" s="1" t="s">
        <v>1085</v>
      </c>
      <c r="C716" s="1" t="s">
        <v>1129</v>
      </c>
    </row>
    <row r="717" spans="1:3" x14ac:dyDescent="0.3">
      <c r="A717" s="1">
        <v>410</v>
      </c>
      <c r="B717" s="1" t="s">
        <v>1063</v>
      </c>
      <c r="C717" s="1" t="s">
        <v>1129</v>
      </c>
    </row>
    <row r="718" spans="1:3" x14ac:dyDescent="0.3">
      <c r="A718" s="1">
        <v>411</v>
      </c>
      <c r="B718" s="1" t="s">
        <v>1063</v>
      </c>
      <c r="C718" s="1" t="s">
        <v>1129</v>
      </c>
    </row>
    <row r="719" spans="1:3" x14ac:dyDescent="0.3">
      <c r="A719" s="1">
        <v>412</v>
      </c>
      <c r="B719" s="1" t="s">
        <v>1063</v>
      </c>
      <c r="C719" s="1" t="s">
        <v>1129</v>
      </c>
    </row>
    <row r="720" spans="1:3" x14ac:dyDescent="0.3">
      <c r="A720" s="1">
        <v>413</v>
      </c>
      <c r="B720" s="1" t="s">
        <v>680</v>
      </c>
      <c r="C720" s="1" t="s">
        <v>1129</v>
      </c>
    </row>
    <row r="721" spans="1:3" x14ac:dyDescent="0.3">
      <c r="A721" s="1">
        <v>414</v>
      </c>
      <c r="B721" s="1" t="s">
        <v>1085</v>
      </c>
      <c r="C721" s="1" t="s">
        <v>1129</v>
      </c>
    </row>
    <row r="722" spans="1:3" x14ac:dyDescent="0.3">
      <c r="A722" s="1">
        <v>415</v>
      </c>
      <c r="B722" s="1" t="s">
        <v>687</v>
      </c>
      <c r="C722" s="1" t="s">
        <v>1129</v>
      </c>
    </row>
    <row r="723" spans="1:3" x14ac:dyDescent="0.3">
      <c r="A723" s="1">
        <v>416</v>
      </c>
      <c r="B723" s="1" t="s">
        <v>1063</v>
      </c>
      <c r="C723" s="1" t="s">
        <v>1129</v>
      </c>
    </row>
    <row r="724" spans="1:3" x14ac:dyDescent="0.3">
      <c r="A724" s="1">
        <v>417</v>
      </c>
      <c r="B724" s="1" t="s">
        <v>1063</v>
      </c>
      <c r="C724" s="1" t="s">
        <v>1129</v>
      </c>
    </row>
    <row r="725" spans="1:3" x14ac:dyDescent="0.3">
      <c r="A725" s="1">
        <v>418</v>
      </c>
      <c r="B725" s="1" t="s">
        <v>1085</v>
      </c>
      <c r="C725" s="1" t="s">
        <v>1129</v>
      </c>
    </row>
    <row r="726" spans="1:3" x14ac:dyDescent="0.3">
      <c r="A726" s="1">
        <v>419</v>
      </c>
      <c r="B726" s="1" t="s">
        <v>1178</v>
      </c>
      <c r="C726" s="1" t="s">
        <v>1129</v>
      </c>
    </row>
    <row r="727" spans="1:3" x14ac:dyDescent="0.3">
      <c r="A727" s="1">
        <v>420</v>
      </c>
      <c r="B727" s="1" t="s">
        <v>1063</v>
      </c>
      <c r="C727" s="1" t="s">
        <v>1129</v>
      </c>
    </row>
    <row r="728" spans="1:3" x14ac:dyDescent="0.3">
      <c r="A728" s="1">
        <v>421</v>
      </c>
      <c r="B728" s="1" t="s">
        <v>1063</v>
      </c>
      <c r="C728" s="1" t="s">
        <v>1129</v>
      </c>
    </row>
    <row r="729" spans="1:3" x14ac:dyDescent="0.3">
      <c r="A729" s="1">
        <v>422</v>
      </c>
      <c r="B729" s="1" t="s">
        <v>1085</v>
      </c>
      <c r="C729" s="1" t="s">
        <v>1129</v>
      </c>
    </row>
    <row r="730" spans="1:3" x14ac:dyDescent="0.3">
      <c r="A730" s="1">
        <v>423</v>
      </c>
      <c r="B730" s="1" t="s">
        <v>1167</v>
      </c>
      <c r="C730" s="1" t="s">
        <v>1129</v>
      </c>
    </row>
    <row r="731" spans="1:3" x14ac:dyDescent="0.3">
      <c r="A731" s="1">
        <v>424</v>
      </c>
      <c r="B731" s="1" t="s">
        <v>1085</v>
      </c>
      <c r="C731" s="1" t="s">
        <v>1129</v>
      </c>
    </row>
    <row r="732" spans="1:3" x14ac:dyDescent="0.3">
      <c r="A732" s="1">
        <v>425</v>
      </c>
      <c r="B732" s="1" t="s">
        <v>1085</v>
      </c>
      <c r="C732" s="1" t="s">
        <v>1129</v>
      </c>
    </row>
    <row r="733" spans="1:3" x14ac:dyDescent="0.3">
      <c r="A733" s="1">
        <v>427</v>
      </c>
      <c r="B733" s="1" t="s">
        <v>1085</v>
      </c>
      <c r="C733" s="1" t="s">
        <v>1129</v>
      </c>
    </row>
    <row r="734" spans="1:3" x14ac:dyDescent="0.3">
      <c r="A734" s="1">
        <v>428</v>
      </c>
      <c r="B734" s="1" t="s">
        <v>1063</v>
      </c>
      <c r="C734" s="1" t="s">
        <v>1129</v>
      </c>
    </row>
    <row r="735" spans="1:3" x14ac:dyDescent="0.3">
      <c r="A735" s="1">
        <v>429</v>
      </c>
      <c r="B735" s="1" t="s">
        <v>387</v>
      </c>
      <c r="C735" s="1" t="s">
        <v>1129</v>
      </c>
    </row>
    <row r="736" spans="1:3" x14ac:dyDescent="0.3">
      <c r="A736" s="1">
        <v>429</v>
      </c>
      <c r="B736" s="1" t="s">
        <v>1063</v>
      </c>
      <c r="C736" s="1" t="s">
        <v>1129</v>
      </c>
    </row>
    <row r="737" spans="1:3" x14ac:dyDescent="0.3">
      <c r="A737" s="1">
        <v>431</v>
      </c>
      <c r="B737" s="1" t="s">
        <v>1063</v>
      </c>
      <c r="C737" s="1" t="s">
        <v>1129</v>
      </c>
    </row>
    <row r="738" spans="1:3" x14ac:dyDescent="0.3">
      <c r="A738" s="1">
        <v>432</v>
      </c>
      <c r="B738" s="1" t="s">
        <v>687</v>
      </c>
      <c r="C738" s="1" t="s">
        <v>1129</v>
      </c>
    </row>
    <row r="739" spans="1:3" x14ac:dyDescent="0.3">
      <c r="A739" s="1">
        <v>433</v>
      </c>
      <c r="B739" s="1" t="s">
        <v>809</v>
      </c>
      <c r="C739" s="1" t="s">
        <v>1129</v>
      </c>
    </row>
    <row r="740" spans="1:3" x14ac:dyDescent="0.3">
      <c r="A740" s="1">
        <v>434</v>
      </c>
      <c r="B740" s="1" t="s">
        <v>360</v>
      </c>
      <c r="C740" s="1" t="s">
        <v>1129</v>
      </c>
    </row>
    <row r="741" spans="1:3" x14ac:dyDescent="0.3">
      <c r="A741" s="1">
        <v>435</v>
      </c>
      <c r="B741" s="1" t="s">
        <v>360</v>
      </c>
      <c r="C741" s="1" t="s">
        <v>1129</v>
      </c>
    </row>
    <row r="742" spans="1:3" x14ac:dyDescent="0.3">
      <c r="A742" s="1">
        <v>436</v>
      </c>
      <c r="B742" s="1" t="s">
        <v>706</v>
      </c>
      <c r="C742" s="1" t="s">
        <v>1129</v>
      </c>
    </row>
    <row r="743" spans="1:3" x14ac:dyDescent="0.3">
      <c r="A743" s="1">
        <v>437</v>
      </c>
      <c r="B743" s="1" t="s">
        <v>1205</v>
      </c>
      <c r="C743" s="1" t="s">
        <v>1129</v>
      </c>
    </row>
    <row r="744" spans="1:3" x14ac:dyDescent="0.3">
      <c r="A744" s="1">
        <v>437</v>
      </c>
      <c r="B744" s="1" t="s">
        <v>1052</v>
      </c>
      <c r="C744" s="1" t="s">
        <v>1129</v>
      </c>
    </row>
    <row r="745" spans="1:3" x14ac:dyDescent="0.3">
      <c r="A745" s="1">
        <v>437</v>
      </c>
      <c r="B745" s="1" t="s">
        <v>703</v>
      </c>
      <c r="C745" s="1" t="s">
        <v>1129</v>
      </c>
    </row>
    <row r="746" spans="1:3" x14ac:dyDescent="0.3">
      <c r="A746" s="1">
        <v>438</v>
      </c>
      <c r="B746" s="1" t="s">
        <v>1085</v>
      </c>
      <c r="C746" s="1" t="s">
        <v>1129</v>
      </c>
    </row>
    <row r="747" spans="1:3" x14ac:dyDescent="0.3">
      <c r="A747" s="1">
        <v>439</v>
      </c>
      <c r="B747" s="1" t="s">
        <v>1049</v>
      </c>
      <c r="C747" s="1" t="s">
        <v>1129</v>
      </c>
    </row>
    <row r="748" spans="1:3" x14ac:dyDescent="0.3">
      <c r="A748" s="1">
        <v>440</v>
      </c>
      <c r="B748" s="1" t="s">
        <v>1063</v>
      </c>
      <c r="C748" s="1" t="s">
        <v>1129</v>
      </c>
    </row>
    <row r="749" spans="1:3" x14ac:dyDescent="0.3">
      <c r="A749" s="1">
        <v>441</v>
      </c>
      <c r="B749" s="1" t="s">
        <v>937</v>
      </c>
      <c r="C749" s="1" t="s">
        <v>1129</v>
      </c>
    </row>
    <row r="750" spans="1:3" x14ac:dyDescent="0.3">
      <c r="A750" s="1">
        <v>441</v>
      </c>
      <c r="B750" s="1" t="s">
        <v>1206</v>
      </c>
      <c r="C750" s="1" t="s">
        <v>1129</v>
      </c>
    </row>
    <row r="751" spans="1:3" x14ac:dyDescent="0.3">
      <c r="A751" s="1">
        <v>445</v>
      </c>
      <c r="B751" s="1" t="s">
        <v>1063</v>
      </c>
      <c r="C751" s="1" t="s">
        <v>1129</v>
      </c>
    </row>
    <row r="752" spans="1:3" x14ac:dyDescent="0.3">
      <c r="A752" s="1">
        <v>446</v>
      </c>
      <c r="B752" s="1" t="s">
        <v>1063</v>
      </c>
      <c r="C752" s="1" t="s">
        <v>1129</v>
      </c>
    </row>
    <row r="753" spans="1:3" x14ac:dyDescent="0.3">
      <c r="A753" s="1">
        <v>447</v>
      </c>
      <c r="B753" s="1" t="s">
        <v>1063</v>
      </c>
      <c r="C753" s="1" t="s">
        <v>1129</v>
      </c>
    </row>
    <row r="754" spans="1:3" x14ac:dyDescent="0.3">
      <c r="A754" s="1">
        <v>448</v>
      </c>
      <c r="B754" s="1" t="s">
        <v>1063</v>
      </c>
      <c r="C754" s="1" t="s">
        <v>1129</v>
      </c>
    </row>
    <row r="755" spans="1:3" x14ac:dyDescent="0.3">
      <c r="A755" s="1">
        <v>449</v>
      </c>
      <c r="B755" s="1" t="s">
        <v>1063</v>
      </c>
      <c r="C755" s="1" t="s">
        <v>1129</v>
      </c>
    </row>
    <row r="756" spans="1:3" x14ac:dyDescent="0.3">
      <c r="A756" s="1">
        <v>452</v>
      </c>
      <c r="B756" s="1" t="s">
        <v>1063</v>
      </c>
      <c r="C756" s="1" t="s">
        <v>1129</v>
      </c>
    </row>
    <row r="757" spans="1:3" x14ac:dyDescent="0.3">
      <c r="A757" s="1">
        <v>453</v>
      </c>
      <c r="B757" s="1" t="s">
        <v>1063</v>
      </c>
      <c r="C757" s="1" t="s">
        <v>1129</v>
      </c>
    </row>
    <row r="758" spans="1:3" x14ac:dyDescent="0.3">
      <c r="A758" s="1">
        <v>454</v>
      </c>
      <c r="B758" s="1" t="s">
        <v>1085</v>
      </c>
      <c r="C758" s="1" t="s">
        <v>1129</v>
      </c>
    </row>
    <row r="759" spans="1:3" x14ac:dyDescent="0.3">
      <c r="A759" s="1">
        <v>455</v>
      </c>
      <c r="B759" s="1" t="s">
        <v>1063</v>
      </c>
      <c r="C759" s="1" t="s">
        <v>1129</v>
      </c>
    </row>
    <row r="760" spans="1:3" x14ac:dyDescent="0.3">
      <c r="A760" s="1">
        <v>456</v>
      </c>
      <c r="B760" s="1" t="s">
        <v>1063</v>
      </c>
      <c r="C760" s="1" t="s">
        <v>1129</v>
      </c>
    </row>
    <row r="761" spans="1:3" x14ac:dyDescent="0.3">
      <c r="A761" s="1">
        <v>458</v>
      </c>
      <c r="B761" s="1" t="s">
        <v>1063</v>
      </c>
      <c r="C761" s="1" t="s">
        <v>1129</v>
      </c>
    </row>
    <row r="762" spans="1:3" x14ac:dyDescent="0.3">
      <c r="A762" s="1">
        <v>460</v>
      </c>
      <c r="B762" s="1" t="s">
        <v>1063</v>
      </c>
      <c r="C762" s="1" t="s">
        <v>1129</v>
      </c>
    </row>
    <row r="763" spans="1:3" x14ac:dyDescent="0.3">
      <c r="A763" s="1">
        <v>461</v>
      </c>
      <c r="B763" s="1" t="s">
        <v>360</v>
      </c>
      <c r="C763" s="1" t="s">
        <v>1129</v>
      </c>
    </row>
    <row r="764" spans="1:3" x14ac:dyDescent="0.3">
      <c r="A764" s="1">
        <v>462</v>
      </c>
      <c r="B764" s="1" t="s">
        <v>1063</v>
      </c>
      <c r="C764" s="1" t="s">
        <v>1129</v>
      </c>
    </row>
    <row r="765" spans="1:3" x14ac:dyDescent="0.3">
      <c r="A765" s="1">
        <v>463</v>
      </c>
      <c r="B765" s="1" t="s">
        <v>171</v>
      </c>
      <c r="C765" s="1" t="s">
        <v>1129</v>
      </c>
    </row>
    <row r="766" spans="1:3" x14ac:dyDescent="0.3">
      <c r="A766" s="1">
        <v>463</v>
      </c>
      <c r="B766" s="1" t="s">
        <v>687</v>
      </c>
      <c r="C766" s="1" t="s">
        <v>1129</v>
      </c>
    </row>
    <row r="767" spans="1:3" x14ac:dyDescent="0.3">
      <c r="A767" s="1">
        <v>464</v>
      </c>
      <c r="B767" s="1" t="s">
        <v>1063</v>
      </c>
      <c r="C767" s="1" t="s">
        <v>1129</v>
      </c>
    </row>
    <row r="768" spans="1:3" x14ac:dyDescent="0.3">
      <c r="A768" s="1">
        <v>465</v>
      </c>
      <c r="B768" s="1" t="s">
        <v>1063</v>
      </c>
      <c r="C768" s="1" t="s">
        <v>1129</v>
      </c>
    </row>
    <row r="769" spans="1:3" x14ac:dyDescent="0.3">
      <c r="A769" s="1">
        <v>466</v>
      </c>
      <c r="B769" s="1" t="s">
        <v>687</v>
      </c>
      <c r="C769" s="1" t="s">
        <v>1129</v>
      </c>
    </row>
    <row r="770" spans="1:3" x14ac:dyDescent="0.3">
      <c r="A770" s="1">
        <v>467</v>
      </c>
      <c r="B770" s="1" t="s">
        <v>1063</v>
      </c>
      <c r="C770" s="1" t="s">
        <v>1129</v>
      </c>
    </row>
    <row r="771" spans="1:3" x14ac:dyDescent="0.3">
      <c r="A771" s="1">
        <v>468</v>
      </c>
      <c r="B771" s="1" t="s">
        <v>1063</v>
      </c>
      <c r="C771" s="1" t="s">
        <v>1129</v>
      </c>
    </row>
    <row r="772" spans="1:3" x14ac:dyDescent="0.3">
      <c r="A772" s="1">
        <v>469</v>
      </c>
      <c r="B772" s="1" t="s">
        <v>840</v>
      </c>
      <c r="C772" s="1" t="s">
        <v>1129</v>
      </c>
    </row>
    <row r="773" spans="1:3" x14ac:dyDescent="0.3">
      <c r="A773" s="1">
        <v>469</v>
      </c>
      <c r="B773" s="1" t="s">
        <v>360</v>
      </c>
      <c r="C773" s="1" t="s">
        <v>1129</v>
      </c>
    </row>
    <row r="774" spans="1:3" x14ac:dyDescent="0.3">
      <c r="A774" s="1">
        <v>470</v>
      </c>
      <c r="B774" s="1" t="s">
        <v>687</v>
      </c>
      <c r="C774" s="1" t="s">
        <v>1129</v>
      </c>
    </row>
    <row r="775" spans="1:3" x14ac:dyDescent="0.3">
      <c r="A775" s="1">
        <v>471</v>
      </c>
      <c r="B775" s="1" t="s">
        <v>1063</v>
      </c>
      <c r="C775" s="1" t="s">
        <v>1129</v>
      </c>
    </row>
    <row r="776" spans="1:3" x14ac:dyDescent="0.3">
      <c r="A776" s="1">
        <v>472</v>
      </c>
      <c r="B776" s="1" t="s">
        <v>1063</v>
      </c>
      <c r="C776" s="1" t="s">
        <v>1129</v>
      </c>
    </row>
    <row r="777" spans="1:3" x14ac:dyDescent="0.3">
      <c r="A777" s="1">
        <v>473</v>
      </c>
      <c r="B777" s="1" t="s">
        <v>1063</v>
      </c>
      <c r="C777" s="1" t="s">
        <v>1129</v>
      </c>
    </row>
    <row r="778" spans="1:3" x14ac:dyDescent="0.3">
      <c r="A778" s="1">
        <v>474</v>
      </c>
      <c r="B778" s="1" t="s">
        <v>1063</v>
      </c>
      <c r="C778" s="1" t="s">
        <v>1129</v>
      </c>
    </row>
    <row r="779" spans="1:3" x14ac:dyDescent="0.3">
      <c r="A779" s="1">
        <v>475</v>
      </c>
      <c r="B779" s="1" t="s">
        <v>1167</v>
      </c>
      <c r="C779" s="1" t="s">
        <v>1129</v>
      </c>
    </row>
    <row r="780" spans="1:3" x14ac:dyDescent="0.3">
      <c r="A780" s="1">
        <v>476</v>
      </c>
      <c r="B780" s="1" t="s">
        <v>687</v>
      </c>
      <c r="C780" s="1" t="s">
        <v>1129</v>
      </c>
    </row>
    <row r="781" spans="1:3" x14ac:dyDescent="0.3">
      <c r="A781" s="1">
        <v>481</v>
      </c>
      <c r="B781" s="1" t="s">
        <v>1063</v>
      </c>
      <c r="C781" s="1" t="s">
        <v>1129</v>
      </c>
    </row>
    <row r="782" spans="1:3" x14ac:dyDescent="0.3">
      <c r="A782" s="1">
        <v>482</v>
      </c>
      <c r="B782" s="1" t="s">
        <v>1085</v>
      </c>
      <c r="C782" s="1" t="s">
        <v>1129</v>
      </c>
    </row>
    <row r="783" spans="1:3" x14ac:dyDescent="0.3">
      <c r="A783" s="1">
        <v>483</v>
      </c>
      <c r="B783" s="1" t="s">
        <v>1085</v>
      </c>
      <c r="C783" s="1" t="s">
        <v>1129</v>
      </c>
    </row>
    <row r="784" spans="1:3" x14ac:dyDescent="0.3">
      <c r="A784" s="1">
        <v>484</v>
      </c>
      <c r="B784" s="1" t="s">
        <v>1063</v>
      </c>
      <c r="C784" s="1" t="s">
        <v>1129</v>
      </c>
    </row>
    <row r="785" spans="1:3" x14ac:dyDescent="0.3">
      <c r="A785" s="1">
        <v>485</v>
      </c>
      <c r="B785" s="1" t="s">
        <v>1063</v>
      </c>
      <c r="C785" s="1" t="s">
        <v>1129</v>
      </c>
    </row>
    <row r="786" spans="1:3" x14ac:dyDescent="0.3">
      <c r="A786" s="1">
        <v>486</v>
      </c>
      <c r="B786" s="1" t="s">
        <v>1063</v>
      </c>
      <c r="C786" s="1" t="s">
        <v>1129</v>
      </c>
    </row>
    <row r="787" spans="1:3" x14ac:dyDescent="0.3">
      <c r="A787" s="1">
        <v>487</v>
      </c>
      <c r="B787" s="1" t="s">
        <v>687</v>
      </c>
      <c r="C787" s="1" t="s">
        <v>1129</v>
      </c>
    </row>
    <row r="788" spans="1:3" x14ac:dyDescent="0.3">
      <c r="A788" s="1">
        <v>488</v>
      </c>
      <c r="B788" s="1" t="s">
        <v>1063</v>
      </c>
      <c r="C788" s="1" t="s">
        <v>1129</v>
      </c>
    </row>
    <row r="789" spans="1:3" x14ac:dyDescent="0.3">
      <c r="A789" s="1">
        <v>489</v>
      </c>
      <c r="B789" s="1" t="s">
        <v>1063</v>
      </c>
      <c r="C789" s="1" t="s">
        <v>1129</v>
      </c>
    </row>
    <row r="790" spans="1:3" x14ac:dyDescent="0.3">
      <c r="A790" s="1">
        <v>490</v>
      </c>
      <c r="B790" s="1" t="s">
        <v>354</v>
      </c>
      <c r="C790" s="1" t="s">
        <v>1129</v>
      </c>
    </row>
    <row r="791" spans="1:3" x14ac:dyDescent="0.3">
      <c r="A791" s="1">
        <v>490</v>
      </c>
      <c r="B791" s="1" t="s">
        <v>1063</v>
      </c>
      <c r="C791" s="1" t="s">
        <v>1129</v>
      </c>
    </row>
    <row r="792" spans="1:3" x14ac:dyDescent="0.3">
      <c r="A792" s="1">
        <v>491</v>
      </c>
      <c r="B792" s="1" t="s">
        <v>1063</v>
      </c>
      <c r="C792" s="1" t="s">
        <v>1129</v>
      </c>
    </row>
    <row r="793" spans="1:3" x14ac:dyDescent="0.3">
      <c r="A793" s="1">
        <v>492</v>
      </c>
      <c r="B793" s="1" t="s">
        <v>1063</v>
      </c>
      <c r="C793" s="1" t="s">
        <v>1129</v>
      </c>
    </row>
    <row r="794" spans="1:3" x14ac:dyDescent="0.3">
      <c r="A794" s="1">
        <v>493</v>
      </c>
      <c r="B794" s="1" t="s">
        <v>1063</v>
      </c>
      <c r="C794" s="1" t="s">
        <v>1129</v>
      </c>
    </row>
    <row r="795" spans="1:3" x14ac:dyDescent="0.3">
      <c r="A795" s="1">
        <v>494</v>
      </c>
      <c r="B795" s="1" t="s">
        <v>1050</v>
      </c>
      <c r="C795" s="1" t="s">
        <v>1129</v>
      </c>
    </row>
    <row r="796" spans="1:3" x14ac:dyDescent="0.3">
      <c r="A796" s="1">
        <v>495</v>
      </c>
      <c r="B796" s="1" t="s">
        <v>1063</v>
      </c>
      <c r="C796" s="1" t="s">
        <v>1129</v>
      </c>
    </row>
    <row r="797" spans="1:3" x14ac:dyDescent="0.3">
      <c r="A797" s="1">
        <v>496</v>
      </c>
      <c r="B797" s="1" t="s">
        <v>1063</v>
      </c>
      <c r="C797" s="1" t="s">
        <v>1129</v>
      </c>
    </row>
    <row r="798" spans="1:3" x14ac:dyDescent="0.3">
      <c r="A798" s="1">
        <v>497</v>
      </c>
      <c r="B798" s="1" t="s">
        <v>1063</v>
      </c>
      <c r="C798" s="1" t="s">
        <v>1129</v>
      </c>
    </row>
    <row r="799" spans="1:3" x14ac:dyDescent="0.3">
      <c r="A799" s="1">
        <v>498</v>
      </c>
      <c r="B799" s="1" t="s">
        <v>1063</v>
      </c>
      <c r="C799" s="1" t="s">
        <v>1129</v>
      </c>
    </row>
    <row r="800" spans="1:3" x14ac:dyDescent="0.3">
      <c r="A800" s="1">
        <v>499</v>
      </c>
      <c r="B800" s="1" t="s">
        <v>1085</v>
      </c>
      <c r="C800" s="1" t="s">
        <v>1129</v>
      </c>
    </row>
    <row r="801" spans="1:3" x14ac:dyDescent="0.3">
      <c r="A801" s="1">
        <v>500</v>
      </c>
      <c r="B801" s="1" t="s">
        <v>1052</v>
      </c>
      <c r="C801" s="1" t="s">
        <v>1129</v>
      </c>
    </row>
    <row r="802" spans="1:3" x14ac:dyDescent="0.3">
      <c r="A802" s="1">
        <v>500</v>
      </c>
      <c r="B802" s="1" t="s">
        <v>1221</v>
      </c>
      <c r="C802" s="1" t="s">
        <v>1129</v>
      </c>
    </row>
    <row r="803" spans="1:3" x14ac:dyDescent="0.3">
      <c r="A803" s="1">
        <v>501</v>
      </c>
      <c r="B803" s="1" t="s">
        <v>1063</v>
      </c>
      <c r="C803" s="1" t="s">
        <v>1129</v>
      </c>
    </row>
    <row r="804" spans="1:3" x14ac:dyDescent="0.3">
      <c r="A804" s="1">
        <v>502</v>
      </c>
      <c r="B804" s="1" t="s">
        <v>1063</v>
      </c>
      <c r="C804" s="1" t="s">
        <v>1129</v>
      </c>
    </row>
    <row r="805" spans="1:3" x14ac:dyDescent="0.3">
      <c r="A805" s="1">
        <v>503</v>
      </c>
      <c r="B805" s="1" t="s">
        <v>1063</v>
      </c>
      <c r="C805" s="1" t="s">
        <v>1129</v>
      </c>
    </row>
    <row r="806" spans="1:3" x14ac:dyDescent="0.3">
      <c r="A806" s="1">
        <v>504</v>
      </c>
      <c r="B806" s="1" t="s">
        <v>1203</v>
      </c>
      <c r="C806" s="1" t="s">
        <v>1129</v>
      </c>
    </row>
    <row r="807" spans="1:3" x14ac:dyDescent="0.3">
      <c r="A807" s="1">
        <v>504</v>
      </c>
      <c r="B807" s="1" t="s">
        <v>1063</v>
      </c>
      <c r="C807" s="1" t="s">
        <v>1129</v>
      </c>
    </row>
    <row r="808" spans="1:3" x14ac:dyDescent="0.3">
      <c r="A808" s="1">
        <v>505</v>
      </c>
      <c r="B808" s="1" t="s">
        <v>1063</v>
      </c>
      <c r="C808" s="1" t="s">
        <v>1129</v>
      </c>
    </row>
    <row r="809" spans="1:3" x14ac:dyDescent="0.3">
      <c r="A809" s="1">
        <v>506</v>
      </c>
      <c r="B809" s="1" t="s">
        <v>354</v>
      </c>
      <c r="C809" s="1" t="s">
        <v>1129</v>
      </c>
    </row>
    <row r="810" spans="1:3" x14ac:dyDescent="0.3">
      <c r="A810" s="1">
        <v>506</v>
      </c>
      <c r="B810" s="1" t="s">
        <v>1063</v>
      </c>
      <c r="C810" s="1" t="s">
        <v>1129</v>
      </c>
    </row>
    <row r="811" spans="1:3" x14ac:dyDescent="0.3">
      <c r="A811" s="1">
        <v>507</v>
      </c>
      <c r="B811" s="1" t="s">
        <v>1063</v>
      </c>
      <c r="C811" s="1" t="s">
        <v>1129</v>
      </c>
    </row>
    <row r="812" spans="1:3" x14ac:dyDescent="0.3">
      <c r="A812" s="1">
        <v>508</v>
      </c>
      <c r="B812" s="1" t="s">
        <v>1063</v>
      </c>
      <c r="C812" s="1" t="s">
        <v>1129</v>
      </c>
    </row>
    <row r="813" spans="1:3" x14ac:dyDescent="0.3">
      <c r="A813" s="1">
        <v>509</v>
      </c>
      <c r="B813" s="1" t="s">
        <v>687</v>
      </c>
      <c r="C813" s="1" t="s">
        <v>1129</v>
      </c>
    </row>
  </sheetData>
  <sortState ref="A2:B653">
    <sortCondition ref="A2:A653"/>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43B7E-17EC-4ACA-9A5D-A77F5A691D42}">
  <sheetPr codeName="Sheet3"/>
  <dimension ref="A1:C149"/>
  <sheetViews>
    <sheetView topLeftCell="A126" workbookViewId="0">
      <selection activeCell="E139" sqref="E139"/>
    </sheetView>
  </sheetViews>
  <sheetFormatPr defaultRowHeight="14.4" x14ac:dyDescent="0.3"/>
  <cols>
    <col min="1" max="1" width="4.88671875" bestFit="1" customWidth="1"/>
    <col min="2" max="2" width="27.109375" customWidth="1"/>
  </cols>
  <sheetData>
    <row r="1" spans="1:3" x14ac:dyDescent="0.3">
      <c r="A1" s="1" t="s">
        <v>0</v>
      </c>
      <c r="B1" s="1" t="s">
        <v>55</v>
      </c>
      <c r="C1" s="1" t="s">
        <v>56</v>
      </c>
    </row>
    <row r="2" spans="1:3" x14ac:dyDescent="0.3">
      <c r="A2" s="1">
        <v>1</v>
      </c>
      <c r="B2" s="1" t="s">
        <v>111</v>
      </c>
      <c r="C2" s="1">
        <v>3</v>
      </c>
    </row>
    <row r="3" spans="1:3" x14ac:dyDescent="0.3">
      <c r="A3" s="1">
        <v>2</v>
      </c>
      <c r="B3" s="1" t="s">
        <v>57</v>
      </c>
      <c r="C3" s="1">
        <v>13</v>
      </c>
    </row>
    <row r="4" spans="1:3" x14ac:dyDescent="0.3">
      <c r="A4" s="1">
        <v>4</v>
      </c>
      <c r="B4" s="1" t="s">
        <v>72</v>
      </c>
      <c r="C4" s="1">
        <v>11</v>
      </c>
    </row>
    <row r="5" spans="1:3" x14ac:dyDescent="0.3">
      <c r="A5" s="1">
        <v>8</v>
      </c>
      <c r="B5" s="1" t="s">
        <v>73</v>
      </c>
      <c r="C5" s="1">
        <v>9</v>
      </c>
    </row>
    <row r="6" spans="1:3" x14ac:dyDescent="0.3">
      <c r="A6" s="1">
        <v>12</v>
      </c>
      <c r="B6" s="1" t="s">
        <v>72</v>
      </c>
      <c r="C6" s="1">
        <v>18</v>
      </c>
    </row>
    <row r="7" spans="1:3" x14ac:dyDescent="0.3">
      <c r="A7" s="1">
        <v>13</v>
      </c>
      <c r="B7" s="1" t="s">
        <v>112</v>
      </c>
      <c r="C7" s="1">
        <v>26</v>
      </c>
    </row>
    <row r="8" spans="1:3" x14ac:dyDescent="0.3">
      <c r="A8" s="1">
        <v>19</v>
      </c>
      <c r="B8" s="1" t="s">
        <v>73</v>
      </c>
      <c r="C8" s="1">
        <v>27</v>
      </c>
    </row>
    <row r="9" spans="1:3" x14ac:dyDescent="0.3">
      <c r="A9" s="1">
        <v>21</v>
      </c>
      <c r="B9" s="1" t="s">
        <v>75</v>
      </c>
      <c r="C9" s="1">
        <v>19</v>
      </c>
    </row>
    <row r="10" spans="1:3" x14ac:dyDescent="0.3">
      <c r="A10" s="1">
        <v>24</v>
      </c>
      <c r="B10" s="1" t="s">
        <v>73</v>
      </c>
      <c r="C10" s="1">
        <v>25</v>
      </c>
    </row>
    <row r="11" spans="1:3" x14ac:dyDescent="0.3">
      <c r="A11" s="1">
        <v>28</v>
      </c>
      <c r="B11" s="1" t="s">
        <v>74</v>
      </c>
      <c r="C11" s="1">
        <v>19</v>
      </c>
    </row>
    <row r="12" spans="1:3" x14ac:dyDescent="0.3">
      <c r="A12" s="1">
        <v>44</v>
      </c>
      <c r="B12" s="1" t="s">
        <v>320</v>
      </c>
      <c r="C12" s="1">
        <v>13</v>
      </c>
    </row>
    <row r="13" spans="1:3" x14ac:dyDescent="0.3">
      <c r="A13" s="1">
        <v>44</v>
      </c>
      <c r="B13" s="1" t="s">
        <v>320</v>
      </c>
      <c r="C13" s="1">
        <v>26</v>
      </c>
    </row>
    <row r="14" spans="1:3" x14ac:dyDescent="0.3">
      <c r="A14" s="6">
        <v>55</v>
      </c>
      <c r="B14" s="1" t="s">
        <v>371</v>
      </c>
      <c r="C14" s="1">
        <v>50</v>
      </c>
    </row>
    <row r="15" spans="1:3" x14ac:dyDescent="0.3">
      <c r="A15" s="6">
        <v>19</v>
      </c>
      <c r="B15" s="6" t="s">
        <v>113</v>
      </c>
      <c r="C15" s="6">
        <v>28</v>
      </c>
    </row>
    <row r="16" spans="1:3" x14ac:dyDescent="0.3">
      <c r="A16" s="6">
        <v>67</v>
      </c>
      <c r="B16" s="6" t="s">
        <v>371</v>
      </c>
      <c r="C16" s="6">
        <v>61</v>
      </c>
    </row>
    <row r="17" spans="1:3" x14ac:dyDescent="0.3">
      <c r="A17" s="6">
        <v>65</v>
      </c>
      <c r="B17" s="6" t="s">
        <v>371</v>
      </c>
      <c r="C17" s="6">
        <v>50</v>
      </c>
    </row>
    <row r="18" spans="1:3" x14ac:dyDescent="0.3">
      <c r="A18" s="6">
        <v>65</v>
      </c>
      <c r="B18" s="6" t="s">
        <v>371</v>
      </c>
      <c r="C18" s="6">
        <v>55</v>
      </c>
    </row>
    <row r="19" spans="1:3" x14ac:dyDescent="0.3">
      <c r="A19" s="6">
        <v>56</v>
      </c>
      <c r="B19" s="6" t="s">
        <v>57</v>
      </c>
      <c r="C19" s="6">
        <v>47</v>
      </c>
    </row>
    <row r="20" spans="1:3" x14ac:dyDescent="0.3">
      <c r="A20" s="6">
        <v>68</v>
      </c>
      <c r="B20" s="6" t="s">
        <v>371</v>
      </c>
      <c r="C20" s="6">
        <v>66</v>
      </c>
    </row>
    <row r="21" spans="1:3" x14ac:dyDescent="0.3">
      <c r="A21" s="6">
        <v>70</v>
      </c>
      <c r="B21" s="6" t="s">
        <v>371</v>
      </c>
      <c r="C21" s="6">
        <v>66</v>
      </c>
    </row>
    <row r="22" spans="1:3" x14ac:dyDescent="0.3">
      <c r="A22" s="6">
        <v>71</v>
      </c>
      <c r="B22" s="6" t="s">
        <v>320</v>
      </c>
      <c r="C22" s="6">
        <v>66</v>
      </c>
    </row>
    <row r="23" spans="1:3" x14ac:dyDescent="0.3">
      <c r="A23" s="6">
        <v>72</v>
      </c>
      <c r="B23" s="6" t="s">
        <v>320</v>
      </c>
      <c r="C23" s="6">
        <v>59</v>
      </c>
    </row>
    <row r="24" spans="1:3" x14ac:dyDescent="0.3">
      <c r="A24" s="6">
        <v>75</v>
      </c>
      <c r="B24" s="6" t="s">
        <v>371</v>
      </c>
      <c r="C24" s="6">
        <v>41</v>
      </c>
    </row>
    <row r="25" spans="1:3" x14ac:dyDescent="0.3">
      <c r="A25" s="6">
        <v>73</v>
      </c>
      <c r="B25" s="6" t="s">
        <v>57</v>
      </c>
      <c r="C25" s="6">
        <v>51</v>
      </c>
    </row>
    <row r="26" spans="1:3" x14ac:dyDescent="0.3">
      <c r="A26" s="6">
        <v>77</v>
      </c>
      <c r="B26" s="6" t="s">
        <v>320</v>
      </c>
      <c r="C26" s="6">
        <v>50</v>
      </c>
    </row>
    <row r="27" spans="1:3" x14ac:dyDescent="0.3">
      <c r="A27" s="6">
        <v>79</v>
      </c>
      <c r="B27" s="6" t="s">
        <v>371</v>
      </c>
      <c r="C27" s="6">
        <v>72</v>
      </c>
    </row>
    <row r="28" spans="1:3" x14ac:dyDescent="0.3">
      <c r="A28" s="6">
        <v>80</v>
      </c>
      <c r="B28" s="6" t="s">
        <v>320</v>
      </c>
      <c r="C28" s="6">
        <v>66</v>
      </c>
    </row>
    <row r="29" spans="1:3" x14ac:dyDescent="0.3">
      <c r="A29" s="6">
        <v>84</v>
      </c>
      <c r="B29" s="6" t="s">
        <v>320</v>
      </c>
      <c r="C29" s="6">
        <v>66</v>
      </c>
    </row>
    <row r="30" spans="1:3" x14ac:dyDescent="0.3">
      <c r="A30" s="6">
        <v>86</v>
      </c>
      <c r="B30" s="6" t="s">
        <v>320</v>
      </c>
      <c r="C30" s="6">
        <v>82</v>
      </c>
    </row>
    <row r="31" spans="1:3" x14ac:dyDescent="0.3">
      <c r="A31" s="6">
        <v>87</v>
      </c>
      <c r="B31" s="6" t="s">
        <v>320</v>
      </c>
      <c r="C31" s="6">
        <v>76</v>
      </c>
    </row>
    <row r="32" spans="1:3" x14ac:dyDescent="0.3">
      <c r="A32" s="6">
        <v>88</v>
      </c>
      <c r="B32" s="6" t="s">
        <v>320</v>
      </c>
      <c r="C32" s="6">
        <v>66</v>
      </c>
    </row>
    <row r="33" spans="1:3" x14ac:dyDescent="0.3">
      <c r="A33" s="6">
        <v>91</v>
      </c>
      <c r="B33" s="6" t="s">
        <v>320</v>
      </c>
      <c r="C33" s="6">
        <v>66</v>
      </c>
    </row>
    <row r="34" spans="1:3" x14ac:dyDescent="0.3">
      <c r="A34" s="6">
        <v>95</v>
      </c>
      <c r="B34" s="6" t="s">
        <v>320</v>
      </c>
      <c r="C34" s="6">
        <v>93</v>
      </c>
    </row>
    <row r="35" spans="1:3" x14ac:dyDescent="0.3">
      <c r="A35" s="6">
        <v>96</v>
      </c>
      <c r="B35" s="6" t="s">
        <v>320</v>
      </c>
      <c r="C35" s="6">
        <v>94</v>
      </c>
    </row>
    <row r="36" spans="1:3" x14ac:dyDescent="0.3">
      <c r="A36" s="1">
        <v>97</v>
      </c>
      <c r="B36" s="6" t="s">
        <v>57</v>
      </c>
      <c r="C36" s="1">
        <v>93</v>
      </c>
    </row>
    <row r="37" spans="1:3" x14ac:dyDescent="0.3">
      <c r="A37" s="1">
        <v>99</v>
      </c>
      <c r="B37" s="6" t="s">
        <v>57</v>
      </c>
      <c r="C37" s="1">
        <v>93</v>
      </c>
    </row>
    <row r="38" spans="1:3" x14ac:dyDescent="0.3">
      <c r="A38" s="1">
        <v>100</v>
      </c>
      <c r="B38" s="6" t="s">
        <v>57</v>
      </c>
      <c r="C38" s="1">
        <v>93</v>
      </c>
    </row>
    <row r="39" spans="1:3" x14ac:dyDescent="0.3">
      <c r="A39" s="1">
        <v>102</v>
      </c>
      <c r="B39" s="1" t="s">
        <v>309</v>
      </c>
      <c r="C39" s="1">
        <v>101</v>
      </c>
    </row>
    <row r="40" spans="1:3" x14ac:dyDescent="0.3">
      <c r="A40" s="1">
        <v>101</v>
      </c>
      <c r="B40" s="1" t="s">
        <v>320</v>
      </c>
      <c r="C40" s="1">
        <v>103</v>
      </c>
    </row>
    <row r="41" spans="1:3" x14ac:dyDescent="0.3">
      <c r="A41" s="1">
        <v>104</v>
      </c>
      <c r="B41" s="1" t="s">
        <v>309</v>
      </c>
      <c r="C41" s="1">
        <v>103</v>
      </c>
    </row>
    <row r="42" spans="1:3" x14ac:dyDescent="0.3">
      <c r="A42" s="1">
        <v>107</v>
      </c>
      <c r="B42" s="1" t="s">
        <v>320</v>
      </c>
      <c r="C42" s="1">
        <v>94</v>
      </c>
    </row>
    <row r="43" spans="1:3" x14ac:dyDescent="0.3">
      <c r="A43" s="1">
        <v>108</v>
      </c>
      <c r="B43" s="1" t="s">
        <v>330</v>
      </c>
      <c r="C43" s="1">
        <v>101</v>
      </c>
    </row>
    <row r="44" spans="1:3" x14ac:dyDescent="0.3">
      <c r="A44" s="6">
        <v>112</v>
      </c>
      <c r="B44" s="1" t="s">
        <v>320</v>
      </c>
      <c r="C44" s="1">
        <v>94</v>
      </c>
    </row>
    <row r="45" spans="1:3" x14ac:dyDescent="0.3">
      <c r="A45" s="1">
        <v>114</v>
      </c>
      <c r="B45" s="1" t="s">
        <v>352</v>
      </c>
      <c r="C45" s="1">
        <v>115</v>
      </c>
    </row>
    <row r="46" spans="1:3" x14ac:dyDescent="0.3">
      <c r="A46" s="6">
        <v>126</v>
      </c>
      <c r="B46" s="1" t="s">
        <v>320</v>
      </c>
      <c r="C46" s="6">
        <v>109</v>
      </c>
    </row>
    <row r="47" spans="1:3" x14ac:dyDescent="0.3">
      <c r="A47" s="1">
        <v>122</v>
      </c>
      <c r="B47" s="1" t="s">
        <v>57</v>
      </c>
      <c r="C47" s="1">
        <v>117</v>
      </c>
    </row>
    <row r="48" spans="1:3" x14ac:dyDescent="0.3">
      <c r="A48" s="1">
        <v>125</v>
      </c>
      <c r="B48" s="1" t="s">
        <v>352</v>
      </c>
      <c r="C48" s="1">
        <v>128</v>
      </c>
    </row>
    <row r="49" spans="1:3" x14ac:dyDescent="0.3">
      <c r="A49" s="1">
        <v>126</v>
      </c>
      <c r="B49" s="1" t="s">
        <v>370</v>
      </c>
      <c r="C49" s="1">
        <v>109</v>
      </c>
    </row>
    <row r="50" spans="1:3" x14ac:dyDescent="0.3">
      <c r="A50" s="1">
        <v>127</v>
      </c>
      <c r="B50" s="1" t="s">
        <v>57</v>
      </c>
      <c r="C50" s="1">
        <v>117</v>
      </c>
    </row>
    <row r="51" spans="1:3" x14ac:dyDescent="0.3">
      <c r="A51" s="1">
        <v>129</v>
      </c>
      <c r="B51" s="1" t="s">
        <v>371</v>
      </c>
      <c r="C51" s="1">
        <v>130</v>
      </c>
    </row>
    <row r="52" spans="1:3" x14ac:dyDescent="0.3">
      <c r="A52" s="1">
        <v>138</v>
      </c>
      <c r="B52" s="1" t="s">
        <v>411</v>
      </c>
      <c r="C52" s="1">
        <v>66</v>
      </c>
    </row>
    <row r="53" spans="1:3" x14ac:dyDescent="0.3">
      <c r="A53" s="1">
        <v>138</v>
      </c>
      <c r="B53" s="1" t="s">
        <v>371</v>
      </c>
      <c r="C53" s="1">
        <v>83</v>
      </c>
    </row>
    <row r="54" spans="1:3" x14ac:dyDescent="0.3">
      <c r="A54" s="1">
        <v>138</v>
      </c>
      <c r="B54" s="1" t="s">
        <v>371</v>
      </c>
      <c r="C54" s="1">
        <v>91</v>
      </c>
    </row>
    <row r="55" spans="1:3" x14ac:dyDescent="0.3">
      <c r="A55" s="1">
        <v>140</v>
      </c>
      <c r="B55" s="1" t="s">
        <v>371</v>
      </c>
      <c r="C55" s="1">
        <v>139</v>
      </c>
    </row>
    <row r="56" spans="1:3" x14ac:dyDescent="0.3">
      <c r="A56" s="1">
        <v>140</v>
      </c>
      <c r="B56" s="1" t="s">
        <v>371</v>
      </c>
      <c r="C56" s="1">
        <v>142</v>
      </c>
    </row>
    <row r="57" spans="1:3" x14ac:dyDescent="0.3">
      <c r="A57" s="1">
        <v>143</v>
      </c>
      <c r="B57" s="1" t="s">
        <v>371</v>
      </c>
      <c r="C57" s="1">
        <v>132</v>
      </c>
    </row>
    <row r="58" spans="1:3" x14ac:dyDescent="0.3">
      <c r="A58" s="1">
        <v>144</v>
      </c>
      <c r="B58" s="1" t="s">
        <v>320</v>
      </c>
      <c r="C58" s="1">
        <v>140</v>
      </c>
    </row>
    <row r="59" spans="1:3" x14ac:dyDescent="0.3">
      <c r="A59" s="1">
        <v>145</v>
      </c>
      <c r="B59" s="1" t="s">
        <v>320</v>
      </c>
      <c r="C59" s="1">
        <v>107</v>
      </c>
    </row>
    <row r="60" spans="1:3" x14ac:dyDescent="0.3">
      <c r="A60" s="1">
        <v>145</v>
      </c>
      <c r="B60" s="1" t="s">
        <v>320</v>
      </c>
      <c r="C60" s="1">
        <v>134</v>
      </c>
    </row>
    <row r="61" spans="1:3" x14ac:dyDescent="0.3">
      <c r="A61" s="1">
        <v>146</v>
      </c>
      <c r="B61" s="1" t="s">
        <v>320</v>
      </c>
      <c r="C61" s="1">
        <v>134</v>
      </c>
    </row>
    <row r="62" spans="1:3" x14ac:dyDescent="0.3">
      <c r="A62" s="1">
        <v>148</v>
      </c>
      <c r="B62" s="1" t="s">
        <v>320</v>
      </c>
      <c r="C62" s="1">
        <v>107</v>
      </c>
    </row>
    <row r="63" spans="1:3" x14ac:dyDescent="0.3">
      <c r="A63" s="1">
        <v>150</v>
      </c>
      <c r="B63" s="1" t="s">
        <v>320</v>
      </c>
      <c r="C63" s="1">
        <v>115</v>
      </c>
    </row>
    <row r="64" spans="1:3" x14ac:dyDescent="0.3">
      <c r="A64" s="1">
        <v>150</v>
      </c>
      <c r="B64" s="1" t="s">
        <v>320</v>
      </c>
      <c r="C64" s="1">
        <v>134</v>
      </c>
    </row>
    <row r="65" spans="1:3" x14ac:dyDescent="0.3">
      <c r="A65" s="6">
        <v>151</v>
      </c>
      <c r="B65" s="1" t="s">
        <v>320</v>
      </c>
      <c r="C65" s="6">
        <v>66</v>
      </c>
    </row>
    <row r="66" spans="1:3" x14ac:dyDescent="0.3">
      <c r="A66" s="6">
        <v>151</v>
      </c>
      <c r="B66" s="1" t="s">
        <v>320</v>
      </c>
      <c r="C66" s="6">
        <v>91</v>
      </c>
    </row>
    <row r="67" spans="1:3" x14ac:dyDescent="0.3">
      <c r="A67" s="6">
        <v>155</v>
      </c>
      <c r="B67" s="1" t="s">
        <v>320</v>
      </c>
      <c r="C67" s="6">
        <v>128</v>
      </c>
    </row>
    <row r="68" spans="1:3" x14ac:dyDescent="0.3">
      <c r="A68" s="6">
        <v>157</v>
      </c>
      <c r="B68" s="1" t="s">
        <v>320</v>
      </c>
      <c r="C68" s="6">
        <v>137</v>
      </c>
    </row>
    <row r="69" spans="1:3" x14ac:dyDescent="0.3">
      <c r="A69" s="6">
        <v>160</v>
      </c>
      <c r="B69" s="6" t="s">
        <v>371</v>
      </c>
      <c r="C69" s="6">
        <v>145</v>
      </c>
    </row>
    <row r="70" spans="1:3" x14ac:dyDescent="0.3">
      <c r="A70" s="1">
        <v>142</v>
      </c>
      <c r="B70" s="1" t="s">
        <v>320</v>
      </c>
      <c r="C70" s="1">
        <v>162</v>
      </c>
    </row>
    <row r="71" spans="1:3" x14ac:dyDescent="0.3">
      <c r="A71" s="1">
        <v>142</v>
      </c>
      <c r="B71" s="1" t="s">
        <v>320</v>
      </c>
      <c r="C71" s="1">
        <v>163</v>
      </c>
    </row>
    <row r="72" spans="1:3" x14ac:dyDescent="0.3">
      <c r="A72" s="1">
        <v>158</v>
      </c>
      <c r="B72" s="1" t="s">
        <v>352</v>
      </c>
      <c r="C72" s="1">
        <v>159</v>
      </c>
    </row>
    <row r="73" spans="1:3" x14ac:dyDescent="0.3">
      <c r="A73" s="1">
        <v>161</v>
      </c>
      <c r="B73" s="1" t="s">
        <v>320</v>
      </c>
      <c r="C73" s="1">
        <v>107</v>
      </c>
    </row>
    <row r="74" spans="1:3" x14ac:dyDescent="0.3">
      <c r="A74" s="1">
        <v>162</v>
      </c>
      <c r="B74" s="1" t="s">
        <v>320</v>
      </c>
      <c r="C74" s="1">
        <v>142</v>
      </c>
    </row>
    <row r="75" spans="1:3" x14ac:dyDescent="0.3">
      <c r="A75" s="1">
        <v>163</v>
      </c>
      <c r="B75" s="1" t="s">
        <v>679</v>
      </c>
      <c r="C75" s="1">
        <v>142</v>
      </c>
    </row>
    <row r="76" spans="1:3" x14ac:dyDescent="0.3">
      <c r="A76" s="1">
        <v>164</v>
      </c>
      <c r="B76" s="1" t="s">
        <v>320</v>
      </c>
      <c r="C76" s="1">
        <v>134</v>
      </c>
    </row>
    <row r="77" spans="1:3" x14ac:dyDescent="0.3">
      <c r="A77" s="1">
        <v>166</v>
      </c>
      <c r="B77" s="1" t="s">
        <v>320</v>
      </c>
      <c r="C77" s="1">
        <v>134</v>
      </c>
    </row>
    <row r="78" spans="1:3" x14ac:dyDescent="0.3">
      <c r="A78" s="6">
        <v>167</v>
      </c>
      <c r="B78" s="1" t="s">
        <v>371</v>
      </c>
      <c r="C78" s="6">
        <v>178</v>
      </c>
    </row>
    <row r="79" spans="1:3" x14ac:dyDescent="0.3">
      <c r="A79" s="1">
        <v>165</v>
      </c>
      <c r="B79" s="1" t="s">
        <v>320</v>
      </c>
      <c r="C79" s="1">
        <v>169</v>
      </c>
    </row>
    <row r="80" spans="1:3" x14ac:dyDescent="0.3">
      <c r="A80" s="1">
        <v>165</v>
      </c>
      <c r="B80" s="1" t="s">
        <v>320</v>
      </c>
      <c r="C80" s="1">
        <v>173</v>
      </c>
    </row>
    <row r="81" spans="1:3" x14ac:dyDescent="0.3">
      <c r="A81" s="1">
        <v>165</v>
      </c>
      <c r="B81" s="1" t="s">
        <v>320</v>
      </c>
      <c r="C81" s="1">
        <v>175</v>
      </c>
    </row>
    <row r="82" spans="1:3" x14ac:dyDescent="0.3">
      <c r="A82" s="1">
        <v>170</v>
      </c>
      <c r="B82" s="1" t="s">
        <v>371</v>
      </c>
      <c r="C82" s="1">
        <v>152</v>
      </c>
    </row>
    <row r="83" spans="1:3" x14ac:dyDescent="0.3">
      <c r="A83" s="6">
        <v>184</v>
      </c>
      <c r="B83" s="1" t="s">
        <v>320</v>
      </c>
      <c r="C83" s="6">
        <v>172</v>
      </c>
    </row>
    <row r="84" spans="1:3" x14ac:dyDescent="0.3">
      <c r="A84" s="6">
        <v>174</v>
      </c>
      <c r="B84" s="1" t="s">
        <v>320</v>
      </c>
      <c r="C84" s="6">
        <v>122</v>
      </c>
    </row>
    <row r="85" spans="1:3" x14ac:dyDescent="0.3">
      <c r="A85" s="6">
        <v>179</v>
      </c>
      <c r="B85" s="1" t="s">
        <v>320</v>
      </c>
      <c r="C85" s="6">
        <v>121</v>
      </c>
    </row>
    <row r="86" spans="1:3" x14ac:dyDescent="0.3">
      <c r="A86" s="6">
        <v>181</v>
      </c>
      <c r="B86" s="1" t="s">
        <v>371</v>
      </c>
      <c r="C86" s="6">
        <v>182</v>
      </c>
    </row>
    <row r="87" spans="1:3" x14ac:dyDescent="0.3">
      <c r="A87" s="6">
        <v>185</v>
      </c>
      <c r="B87" s="1" t="s">
        <v>320</v>
      </c>
      <c r="C87" s="6">
        <v>142</v>
      </c>
    </row>
    <row r="88" spans="1:3" x14ac:dyDescent="0.3">
      <c r="A88" s="6">
        <v>186</v>
      </c>
      <c r="B88" s="1" t="s">
        <v>320</v>
      </c>
      <c r="C88" s="6">
        <v>166</v>
      </c>
    </row>
    <row r="89" spans="1:3" x14ac:dyDescent="0.3">
      <c r="A89" s="6">
        <v>190</v>
      </c>
      <c r="B89" s="1" t="s">
        <v>320</v>
      </c>
      <c r="C89" s="6">
        <v>172</v>
      </c>
    </row>
    <row r="90" spans="1:3" x14ac:dyDescent="0.3">
      <c r="A90" s="6">
        <v>193</v>
      </c>
      <c r="B90" s="1" t="s">
        <v>320</v>
      </c>
      <c r="C90" s="6">
        <v>194</v>
      </c>
    </row>
    <row r="91" spans="1:3" x14ac:dyDescent="0.3">
      <c r="A91" s="6">
        <v>196</v>
      </c>
      <c r="B91" s="1" t="s">
        <v>320</v>
      </c>
      <c r="C91" s="6">
        <v>107</v>
      </c>
    </row>
    <row r="92" spans="1:3" x14ac:dyDescent="0.3">
      <c r="A92" s="6">
        <v>196</v>
      </c>
      <c r="B92" s="1" t="s">
        <v>320</v>
      </c>
      <c r="C92" s="6">
        <v>148</v>
      </c>
    </row>
    <row r="93" spans="1:3" x14ac:dyDescent="0.3">
      <c r="A93" s="6">
        <v>200</v>
      </c>
      <c r="B93" s="1" t="s">
        <v>371</v>
      </c>
      <c r="C93" s="6">
        <v>165</v>
      </c>
    </row>
    <row r="94" spans="1:3" x14ac:dyDescent="0.3">
      <c r="A94" s="6">
        <v>211</v>
      </c>
      <c r="B94" s="1" t="s">
        <v>320</v>
      </c>
      <c r="C94" s="6">
        <v>142</v>
      </c>
    </row>
    <row r="95" spans="1:3" x14ac:dyDescent="0.3">
      <c r="A95" s="6">
        <v>219</v>
      </c>
      <c r="B95" s="1" t="s">
        <v>320</v>
      </c>
      <c r="C95" s="6">
        <v>142</v>
      </c>
    </row>
    <row r="96" spans="1:3" x14ac:dyDescent="0.3">
      <c r="A96" s="6">
        <v>219</v>
      </c>
      <c r="B96" s="1" t="s">
        <v>320</v>
      </c>
      <c r="C96" s="6">
        <v>211</v>
      </c>
    </row>
    <row r="97" spans="1:3" x14ac:dyDescent="0.3">
      <c r="A97" s="6">
        <v>214</v>
      </c>
      <c r="B97" s="1" t="s">
        <v>320</v>
      </c>
      <c r="C97" s="6">
        <v>208</v>
      </c>
    </row>
    <row r="98" spans="1:3" x14ac:dyDescent="0.3">
      <c r="A98" s="6">
        <v>221</v>
      </c>
      <c r="B98" s="1" t="s">
        <v>320</v>
      </c>
      <c r="C98" s="6">
        <v>204</v>
      </c>
    </row>
    <row r="99" spans="1:3" x14ac:dyDescent="0.3">
      <c r="A99" s="6">
        <v>224</v>
      </c>
      <c r="B99" s="1" t="s">
        <v>320</v>
      </c>
      <c r="C99" s="6">
        <v>117</v>
      </c>
    </row>
    <row r="100" spans="1:3" x14ac:dyDescent="0.3">
      <c r="A100" s="1">
        <v>236</v>
      </c>
      <c r="B100" s="1" t="s">
        <v>320</v>
      </c>
      <c r="C100" s="1">
        <v>142</v>
      </c>
    </row>
    <row r="101" spans="1:3" x14ac:dyDescent="0.3">
      <c r="A101" s="1">
        <v>242</v>
      </c>
      <c r="B101" s="1" t="s">
        <v>320</v>
      </c>
      <c r="C101" s="1">
        <v>166</v>
      </c>
    </row>
    <row r="102" spans="1:3" x14ac:dyDescent="0.3">
      <c r="A102" s="1">
        <v>235</v>
      </c>
      <c r="B102" s="1" t="s">
        <v>320</v>
      </c>
      <c r="C102" s="1">
        <v>208</v>
      </c>
    </row>
    <row r="103" spans="1:3" x14ac:dyDescent="0.3">
      <c r="A103" s="1">
        <v>237</v>
      </c>
      <c r="B103" s="1" t="s">
        <v>320</v>
      </c>
      <c r="C103" s="1">
        <v>225</v>
      </c>
    </row>
    <row r="104" spans="1:3" x14ac:dyDescent="0.3">
      <c r="A104" s="1">
        <v>219</v>
      </c>
      <c r="B104" s="1" t="s">
        <v>371</v>
      </c>
      <c r="C104" s="1">
        <v>236</v>
      </c>
    </row>
    <row r="105" spans="1:3" x14ac:dyDescent="0.3">
      <c r="A105" s="1">
        <v>229</v>
      </c>
      <c r="B105" s="1" t="s">
        <v>371</v>
      </c>
      <c r="C105" s="1">
        <v>240</v>
      </c>
    </row>
    <row r="106" spans="1:3" x14ac:dyDescent="0.3">
      <c r="A106" s="1">
        <v>231</v>
      </c>
      <c r="B106" s="1" t="s">
        <v>371</v>
      </c>
      <c r="C106" s="1">
        <v>232</v>
      </c>
    </row>
    <row r="107" spans="1:3" x14ac:dyDescent="0.3">
      <c r="A107" s="1">
        <v>242</v>
      </c>
      <c r="B107" s="1" t="s">
        <v>320</v>
      </c>
      <c r="C107" s="1">
        <v>166</v>
      </c>
    </row>
    <row r="108" spans="1:3" x14ac:dyDescent="0.3">
      <c r="A108" s="1">
        <v>251</v>
      </c>
      <c r="B108" s="1" t="s">
        <v>371</v>
      </c>
      <c r="C108" s="1">
        <v>186</v>
      </c>
    </row>
    <row r="109" spans="1:3" x14ac:dyDescent="0.3">
      <c r="A109" s="1">
        <v>256</v>
      </c>
      <c r="B109" s="1" t="s">
        <v>320</v>
      </c>
      <c r="C109" s="1">
        <v>205</v>
      </c>
    </row>
    <row r="110" spans="1:3" x14ac:dyDescent="0.3">
      <c r="A110" s="1">
        <v>294</v>
      </c>
      <c r="B110" s="1" t="s">
        <v>320</v>
      </c>
      <c r="C110" s="1">
        <v>225</v>
      </c>
    </row>
    <row r="111" spans="1:3" x14ac:dyDescent="0.3">
      <c r="A111" s="1">
        <v>294</v>
      </c>
      <c r="B111" s="1" t="s">
        <v>320</v>
      </c>
      <c r="C111" s="1">
        <v>237</v>
      </c>
    </row>
    <row r="112" spans="1:3" x14ac:dyDescent="0.3">
      <c r="A112" s="1">
        <v>287</v>
      </c>
      <c r="B112" s="1" t="s">
        <v>320</v>
      </c>
      <c r="C112" s="1">
        <v>266</v>
      </c>
    </row>
    <row r="113" spans="1:3" x14ac:dyDescent="0.3">
      <c r="A113" s="1">
        <v>289</v>
      </c>
      <c r="B113" s="1" t="s">
        <v>320</v>
      </c>
      <c r="C113" s="1">
        <v>212</v>
      </c>
    </row>
    <row r="114" spans="1:3" x14ac:dyDescent="0.3">
      <c r="A114" s="1">
        <v>291</v>
      </c>
      <c r="B114" s="1" t="s">
        <v>371</v>
      </c>
      <c r="C114" s="1">
        <v>260</v>
      </c>
    </row>
    <row r="115" spans="1:3" x14ac:dyDescent="0.3">
      <c r="A115" s="1">
        <v>303</v>
      </c>
      <c r="B115" s="1" t="s">
        <v>371</v>
      </c>
      <c r="C115" s="1">
        <v>248</v>
      </c>
    </row>
    <row r="116" spans="1:3" x14ac:dyDescent="0.3">
      <c r="A116" s="1">
        <v>311</v>
      </c>
      <c r="B116" s="1" t="s">
        <v>371</v>
      </c>
      <c r="C116" s="1">
        <v>234</v>
      </c>
    </row>
    <row r="117" spans="1:3" x14ac:dyDescent="0.3">
      <c r="A117" s="6">
        <v>239</v>
      </c>
      <c r="B117" s="1" t="s">
        <v>320</v>
      </c>
      <c r="C117" s="6">
        <v>241</v>
      </c>
    </row>
    <row r="118" spans="1:3" x14ac:dyDescent="0.3">
      <c r="A118" s="6">
        <v>240</v>
      </c>
      <c r="B118" s="6" t="s">
        <v>371</v>
      </c>
      <c r="C118" s="6">
        <v>229</v>
      </c>
    </row>
    <row r="119" spans="1:3" x14ac:dyDescent="0.3">
      <c r="A119" s="6">
        <v>242</v>
      </c>
      <c r="B119" s="1" t="s">
        <v>320</v>
      </c>
      <c r="C119" s="6">
        <v>166</v>
      </c>
    </row>
    <row r="120" spans="1:3" x14ac:dyDescent="0.3">
      <c r="A120" s="6">
        <v>243</v>
      </c>
      <c r="B120" s="1" t="s">
        <v>320</v>
      </c>
      <c r="C120" s="6">
        <v>244</v>
      </c>
    </row>
    <row r="121" spans="1:3" x14ac:dyDescent="0.3">
      <c r="A121" s="6">
        <v>263</v>
      </c>
      <c r="B121" s="1" t="s">
        <v>320</v>
      </c>
      <c r="C121" s="6">
        <v>266</v>
      </c>
    </row>
    <row r="122" spans="1:3" x14ac:dyDescent="0.3">
      <c r="A122" s="6">
        <v>287</v>
      </c>
      <c r="B122" s="6" t="s">
        <v>371</v>
      </c>
      <c r="C122" s="6">
        <v>267</v>
      </c>
    </row>
    <row r="123" spans="1:3" x14ac:dyDescent="0.3">
      <c r="A123" s="6">
        <v>299</v>
      </c>
      <c r="B123" s="6" t="s">
        <v>371</v>
      </c>
      <c r="C123" s="6">
        <v>259</v>
      </c>
    </row>
    <row r="124" spans="1:3" x14ac:dyDescent="0.3">
      <c r="A124" s="6">
        <v>300</v>
      </c>
      <c r="B124" s="1" t="s">
        <v>320</v>
      </c>
      <c r="C124" s="6">
        <v>250</v>
      </c>
    </row>
    <row r="125" spans="1:3" x14ac:dyDescent="0.3">
      <c r="A125" s="6">
        <v>308</v>
      </c>
      <c r="B125" s="1" t="s">
        <v>320</v>
      </c>
      <c r="C125" s="6">
        <v>277</v>
      </c>
    </row>
    <row r="126" spans="1:3" x14ac:dyDescent="0.3">
      <c r="A126" s="6">
        <v>309</v>
      </c>
      <c r="B126" s="1" t="s">
        <v>320</v>
      </c>
      <c r="C126" s="6">
        <v>230</v>
      </c>
    </row>
    <row r="127" spans="1:3" x14ac:dyDescent="0.3">
      <c r="A127" s="6">
        <v>310</v>
      </c>
      <c r="B127" s="1" t="s">
        <v>320</v>
      </c>
      <c r="C127" s="6">
        <v>183</v>
      </c>
    </row>
    <row r="128" spans="1:3" x14ac:dyDescent="0.3">
      <c r="A128" s="6">
        <v>310</v>
      </c>
      <c r="B128" s="1" t="s">
        <v>320</v>
      </c>
      <c r="C128" s="6">
        <v>252</v>
      </c>
    </row>
    <row r="129" spans="1:3" x14ac:dyDescent="0.3">
      <c r="A129" s="6">
        <v>335</v>
      </c>
      <c r="B129" s="1" t="s">
        <v>320</v>
      </c>
      <c r="C129" s="6">
        <v>234</v>
      </c>
    </row>
    <row r="130" spans="1:3" x14ac:dyDescent="0.3">
      <c r="A130" s="6">
        <v>335</v>
      </c>
      <c r="B130" s="1" t="s">
        <v>320</v>
      </c>
      <c r="C130" s="6">
        <v>311</v>
      </c>
    </row>
    <row r="131" spans="1:3" x14ac:dyDescent="0.3">
      <c r="A131" s="31">
        <v>348</v>
      </c>
      <c r="B131" s="1" t="s">
        <v>320</v>
      </c>
      <c r="C131" s="6">
        <v>227</v>
      </c>
    </row>
    <row r="132" spans="1:3" x14ac:dyDescent="0.3">
      <c r="A132" s="6">
        <v>353</v>
      </c>
      <c r="B132" s="1" t="s">
        <v>320</v>
      </c>
      <c r="C132" s="6">
        <v>177</v>
      </c>
    </row>
    <row r="133" spans="1:3" x14ac:dyDescent="0.3">
      <c r="A133" s="6">
        <v>359</v>
      </c>
      <c r="B133" s="1" t="s">
        <v>320</v>
      </c>
      <c r="C133" s="6">
        <v>321</v>
      </c>
    </row>
    <row r="134" spans="1:3" x14ac:dyDescent="0.3">
      <c r="A134" s="6">
        <v>361</v>
      </c>
      <c r="B134" s="1" t="s">
        <v>320</v>
      </c>
      <c r="C134" s="6">
        <v>318</v>
      </c>
    </row>
    <row r="135" spans="1:3" x14ac:dyDescent="0.3">
      <c r="A135" s="6">
        <v>364</v>
      </c>
      <c r="B135" s="1" t="s">
        <v>320</v>
      </c>
      <c r="C135" s="6">
        <v>225</v>
      </c>
    </row>
    <row r="136" spans="1:3" x14ac:dyDescent="0.3">
      <c r="A136" s="6">
        <v>367</v>
      </c>
      <c r="B136" s="1" t="s">
        <v>320</v>
      </c>
      <c r="C136" s="6">
        <v>338</v>
      </c>
    </row>
    <row r="137" spans="1:3" x14ac:dyDescent="0.3">
      <c r="A137" s="6">
        <v>368</v>
      </c>
      <c r="B137" s="1" t="s">
        <v>320</v>
      </c>
      <c r="C137" s="6">
        <v>225</v>
      </c>
    </row>
    <row r="138" spans="1:3" x14ac:dyDescent="0.3">
      <c r="A138" s="6">
        <v>368</v>
      </c>
      <c r="B138" s="1" t="s">
        <v>320</v>
      </c>
      <c r="C138" s="6">
        <v>294</v>
      </c>
    </row>
    <row r="139" spans="1:3" x14ac:dyDescent="0.3">
      <c r="A139" s="6">
        <v>368</v>
      </c>
      <c r="B139" s="1" t="s">
        <v>320</v>
      </c>
      <c r="C139" s="6">
        <v>237</v>
      </c>
    </row>
    <row r="140" spans="1:3" x14ac:dyDescent="0.3">
      <c r="A140" s="6">
        <v>388</v>
      </c>
      <c r="B140" s="1" t="s">
        <v>320</v>
      </c>
      <c r="C140" s="6">
        <v>351</v>
      </c>
    </row>
    <row r="141" spans="1:3" x14ac:dyDescent="0.3">
      <c r="A141" s="6">
        <v>430</v>
      </c>
      <c r="B141" s="1" t="s">
        <v>320</v>
      </c>
      <c r="C141" s="6">
        <v>350</v>
      </c>
    </row>
    <row r="142" spans="1:3" x14ac:dyDescent="0.3">
      <c r="A142" s="6">
        <v>442</v>
      </c>
      <c r="B142" s="1" t="s">
        <v>320</v>
      </c>
      <c r="C142" s="6">
        <v>398</v>
      </c>
    </row>
    <row r="143" spans="1:3" x14ac:dyDescent="0.3">
      <c r="A143" s="6">
        <v>451</v>
      </c>
      <c r="B143" s="1" t="s">
        <v>320</v>
      </c>
      <c r="C143" s="6">
        <v>404</v>
      </c>
    </row>
    <row r="144" spans="1:3" x14ac:dyDescent="0.3">
      <c r="A144">
        <v>446</v>
      </c>
      <c r="B144" t="s">
        <v>679</v>
      </c>
      <c r="C144">
        <v>378</v>
      </c>
    </row>
    <row r="145" spans="1:3" x14ac:dyDescent="0.3">
      <c r="A145">
        <v>475</v>
      </c>
      <c r="B145" t="s">
        <v>679</v>
      </c>
      <c r="C145">
        <v>423</v>
      </c>
    </row>
    <row r="146" spans="1:3" x14ac:dyDescent="0.3">
      <c r="A146">
        <v>481</v>
      </c>
      <c r="B146" t="s">
        <v>352</v>
      </c>
      <c r="C146">
        <v>440</v>
      </c>
    </row>
    <row r="147" spans="1:3" x14ac:dyDescent="0.3">
      <c r="A147">
        <v>491</v>
      </c>
      <c r="B147" t="s">
        <v>679</v>
      </c>
      <c r="C147">
        <v>269</v>
      </c>
    </row>
    <row r="148" spans="1:3" x14ac:dyDescent="0.3">
      <c r="A148">
        <v>495</v>
      </c>
      <c r="B148" t="s">
        <v>352</v>
      </c>
      <c r="C148">
        <v>468</v>
      </c>
    </row>
    <row r="149" spans="1:3" x14ac:dyDescent="0.3">
      <c r="A149">
        <v>509</v>
      </c>
      <c r="B149" t="s">
        <v>679</v>
      </c>
      <c r="C149">
        <v>212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E4A12-2052-4624-AAAD-318DC55C3243}">
  <sheetPr codeName="Sheet4"/>
  <dimension ref="A1:O62"/>
  <sheetViews>
    <sheetView workbookViewId="0"/>
  </sheetViews>
  <sheetFormatPr defaultRowHeight="14.4" x14ac:dyDescent="0.3"/>
  <cols>
    <col min="1" max="1" width="9.6640625" bestFit="1" customWidth="1"/>
    <col min="2" max="2" width="9.21875" customWidth="1"/>
  </cols>
  <sheetData>
    <row r="1" spans="1:15" x14ac:dyDescent="0.3">
      <c r="A1" s="1" t="s">
        <v>8</v>
      </c>
      <c r="B1" s="1" t="s">
        <v>0</v>
      </c>
      <c r="C1" s="1" t="s">
        <v>80</v>
      </c>
      <c r="D1" s="1" t="s">
        <v>9</v>
      </c>
      <c r="E1" s="1" t="s">
        <v>81</v>
      </c>
      <c r="F1" s="1" t="s">
        <v>10</v>
      </c>
      <c r="G1" s="1" t="s">
        <v>1132</v>
      </c>
      <c r="H1" s="1" t="s">
        <v>11</v>
      </c>
      <c r="I1" s="1" t="s">
        <v>12</v>
      </c>
      <c r="J1" s="1" t="s">
        <v>13</v>
      </c>
      <c r="K1" s="1" t="s">
        <v>14</v>
      </c>
      <c r="L1" s="1" t="s">
        <v>15</v>
      </c>
      <c r="M1" s="1" t="s">
        <v>16</v>
      </c>
      <c r="N1" s="6" t="s">
        <v>126</v>
      </c>
      <c r="O1" s="6" t="s">
        <v>127</v>
      </c>
    </row>
    <row r="2" spans="1:15" x14ac:dyDescent="0.3">
      <c r="A2" s="2">
        <v>43853</v>
      </c>
      <c r="B2" s="1">
        <v>1</v>
      </c>
      <c r="C2" s="1">
        <f>B2</f>
        <v>1</v>
      </c>
      <c r="D2" s="1"/>
      <c r="E2" s="1"/>
      <c r="F2" s="1"/>
      <c r="G2" s="1"/>
      <c r="H2" s="1"/>
      <c r="I2" s="1"/>
      <c r="J2" s="1"/>
      <c r="K2" s="1"/>
      <c r="L2" s="1"/>
      <c r="M2" s="1"/>
      <c r="N2" s="1"/>
      <c r="O2" s="1"/>
    </row>
    <row r="3" spans="1:15" x14ac:dyDescent="0.3">
      <c r="A3" s="2">
        <v>43854</v>
      </c>
      <c r="B3" s="1">
        <v>2</v>
      </c>
      <c r="C3" s="1">
        <f t="shared" ref="C3:E62" si="0">B3+C2</f>
        <v>3</v>
      </c>
      <c r="D3" s="1"/>
      <c r="E3" s="1"/>
      <c r="F3" s="1"/>
      <c r="G3" s="1"/>
      <c r="H3" s="1"/>
      <c r="I3" s="1"/>
      <c r="J3" s="1"/>
      <c r="K3" s="1"/>
      <c r="L3" s="1"/>
      <c r="M3" s="1"/>
      <c r="N3" s="1"/>
      <c r="O3" s="1"/>
    </row>
    <row r="4" spans="1:15" x14ac:dyDescent="0.3">
      <c r="A4" s="2">
        <v>43855</v>
      </c>
      <c r="B4" s="1">
        <v>1</v>
      </c>
      <c r="C4" s="1">
        <f t="shared" si="0"/>
        <v>4</v>
      </c>
      <c r="D4" s="1"/>
      <c r="E4" s="1"/>
      <c r="F4" s="1"/>
      <c r="G4" s="1"/>
      <c r="H4" s="1"/>
      <c r="I4" s="1"/>
      <c r="J4" s="1"/>
      <c r="K4" s="1"/>
      <c r="L4" s="1"/>
      <c r="M4" s="1"/>
      <c r="N4" s="1"/>
      <c r="O4" s="1"/>
    </row>
    <row r="5" spans="1:15" x14ac:dyDescent="0.3">
      <c r="A5" s="2">
        <v>43856</v>
      </c>
      <c r="B5" s="1">
        <v>0</v>
      </c>
      <c r="C5" s="1">
        <f t="shared" si="0"/>
        <v>4</v>
      </c>
      <c r="D5" s="1"/>
      <c r="E5" s="1"/>
      <c r="F5" s="1"/>
      <c r="G5" s="1"/>
      <c r="H5" s="1"/>
      <c r="I5" s="1"/>
      <c r="J5" s="1"/>
      <c r="K5" s="1"/>
      <c r="L5" s="1"/>
      <c r="M5" s="1"/>
      <c r="N5" s="1"/>
      <c r="O5" s="1"/>
    </row>
    <row r="6" spans="1:15" x14ac:dyDescent="0.3">
      <c r="A6" s="2">
        <v>43857</v>
      </c>
      <c r="B6" s="1">
        <v>1</v>
      </c>
      <c r="C6" s="1">
        <f t="shared" si="0"/>
        <v>5</v>
      </c>
      <c r="D6" s="1"/>
      <c r="E6" s="1"/>
      <c r="F6" s="1"/>
      <c r="G6" s="1"/>
      <c r="H6" s="1"/>
      <c r="I6" s="1"/>
      <c r="J6" s="1"/>
      <c r="K6" s="1"/>
      <c r="L6" s="1"/>
      <c r="M6" s="1"/>
      <c r="N6" s="1"/>
      <c r="O6" s="1"/>
    </row>
    <row r="7" spans="1:15" x14ac:dyDescent="0.3">
      <c r="A7" s="2">
        <v>43858</v>
      </c>
      <c r="B7" s="1">
        <v>2</v>
      </c>
      <c r="C7" s="1">
        <f t="shared" si="0"/>
        <v>7</v>
      </c>
      <c r="D7" s="1"/>
      <c r="E7" s="1"/>
      <c r="F7" s="1"/>
      <c r="G7" s="1"/>
      <c r="H7" s="1"/>
      <c r="I7" s="1"/>
      <c r="J7" s="1"/>
      <c r="K7" s="1"/>
      <c r="L7" s="1"/>
      <c r="M7" s="1"/>
      <c r="N7" s="1"/>
      <c r="O7" s="1"/>
    </row>
    <row r="8" spans="1:15" x14ac:dyDescent="0.3">
      <c r="A8" s="2">
        <v>43859</v>
      </c>
      <c r="B8" s="1">
        <v>3</v>
      </c>
      <c r="C8" s="1">
        <f t="shared" si="0"/>
        <v>10</v>
      </c>
      <c r="D8" s="1"/>
      <c r="E8" s="1"/>
      <c r="F8" s="1"/>
      <c r="G8" s="1"/>
      <c r="H8" s="1"/>
      <c r="I8" s="1"/>
      <c r="J8" s="1"/>
      <c r="K8" s="1"/>
      <c r="L8" s="1"/>
      <c r="M8" s="1"/>
      <c r="N8" s="1"/>
      <c r="O8" s="1"/>
    </row>
    <row r="9" spans="1:15" x14ac:dyDescent="0.3">
      <c r="A9" s="2">
        <v>43860</v>
      </c>
      <c r="B9" s="1">
        <v>3</v>
      </c>
      <c r="C9" s="1">
        <f t="shared" si="0"/>
        <v>13</v>
      </c>
      <c r="D9" s="1"/>
      <c r="E9" s="1"/>
      <c r="F9" s="1"/>
      <c r="G9" s="1"/>
      <c r="H9" s="1"/>
      <c r="I9" s="1"/>
      <c r="J9" s="1"/>
      <c r="K9" s="1"/>
      <c r="L9" s="1"/>
      <c r="M9" s="1"/>
      <c r="N9" s="1"/>
      <c r="O9" s="1"/>
    </row>
    <row r="10" spans="1:15" x14ac:dyDescent="0.3">
      <c r="A10" s="2">
        <v>43861</v>
      </c>
      <c r="B10" s="1">
        <v>3</v>
      </c>
      <c r="C10" s="1">
        <f t="shared" si="0"/>
        <v>16</v>
      </c>
      <c r="D10" s="1"/>
      <c r="E10" s="1"/>
      <c r="F10" s="1"/>
      <c r="G10" s="1"/>
      <c r="H10" s="1"/>
      <c r="I10" s="1"/>
      <c r="J10" s="1"/>
      <c r="K10" s="1"/>
      <c r="L10" s="1"/>
      <c r="M10" s="1"/>
      <c r="N10" s="1"/>
      <c r="O10" s="1"/>
    </row>
    <row r="11" spans="1:15" x14ac:dyDescent="0.3">
      <c r="A11" s="2">
        <v>43862</v>
      </c>
      <c r="B11" s="1">
        <v>2</v>
      </c>
      <c r="C11" s="1">
        <f t="shared" si="0"/>
        <v>18</v>
      </c>
      <c r="D11" s="1"/>
      <c r="E11" s="1"/>
      <c r="F11" s="1"/>
      <c r="G11" s="1"/>
      <c r="H11" s="1"/>
      <c r="I11" s="1"/>
      <c r="J11" s="1"/>
      <c r="K11" s="1"/>
      <c r="L11" s="1"/>
      <c r="M11" s="1"/>
      <c r="N11" s="1"/>
      <c r="O11" s="1"/>
    </row>
    <row r="12" spans="1:15" x14ac:dyDescent="0.3">
      <c r="A12" s="2">
        <v>43863</v>
      </c>
      <c r="B12" s="1">
        <v>0</v>
      </c>
      <c r="C12" s="1">
        <f t="shared" si="0"/>
        <v>18</v>
      </c>
      <c r="D12" s="1"/>
      <c r="E12" s="1"/>
      <c r="F12" s="1"/>
      <c r="G12" s="1"/>
      <c r="H12" s="1"/>
      <c r="I12" s="1"/>
      <c r="J12" s="1"/>
      <c r="K12" s="1"/>
      <c r="L12" s="1"/>
      <c r="M12" s="1"/>
      <c r="N12" s="1"/>
      <c r="O12" s="1"/>
    </row>
    <row r="13" spans="1:15" x14ac:dyDescent="0.3">
      <c r="A13" s="2">
        <v>43864</v>
      </c>
      <c r="B13" s="1">
        <v>0</v>
      </c>
      <c r="C13" s="1">
        <f t="shared" si="0"/>
        <v>18</v>
      </c>
      <c r="D13" s="1"/>
      <c r="E13" s="1"/>
      <c r="F13" s="1"/>
      <c r="G13" s="1"/>
      <c r="H13" s="1"/>
      <c r="I13" s="1"/>
      <c r="J13" s="1"/>
      <c r="K13" s="1"/>
      <c r="L13" s="1"/>
      <c r="M13" s="1"/>
      <c r="N13" s="1"/>
      <c r="O13" s="1"/>
    </row>
    <row r="14" spans="1:15" x14ac:dyDescent="0.3">
      <c r="A14" s="2">
        <v>43865</v>
      </c>
      <c r="B14" s="1">
        <v>6</v>
      </c>
      <c r="C14" s="1">
        <f t="shared" si="0"/>
        <v>24</v>
      </c>
      <c r="D14" s="1">
        <v>1</v>
      </c>
      <c r="E14" s="1">
        <f t="shared" si="0"/>
        <v>1</v>
      </c>
      <c r="F14" s="1"/>
      <c r="G14" s="1"/>
      <c r="H14" s="1"/>
      <c r="I14" s="1">
        <v>289</v>
      </c>
      <c r="J14" s="1">
        <v>20</v>
      </c>
      <c r="K14" s="1">
        <v>311</v>
      </c>
      <c r="L14" s="1">
        <v>239</v>
      </c>
      <c r="M14" s="1">
        <v>234</v>
      </c>
      <c r="N14" s="10"/>
      <c r="O14" s="10"/>
    </row>
    <row r="15" spans="1:15" x14ac:dyDescent="0.3">
      <c r="A15" s="2">
        <v>43866</v>
      </c>
      <c r="B15" s="1">
        <v>4</v>
      </c>
      <c r="C15" s="1">
        <f t="shared" si="0"/>
        <v>28</v>
      </c>
      <c r="D15" s="1"/>
      <c r="E15" s="1">
        <f t="shared" si="0"/>
        <v>1</v>
      </c>
      <c r="F15" s="1"/>
      <c r="G15" s="1"/>
      <c r="H15" s="1"/>
      <c r="I15" s="1">
        <v>295</v>
      </c>
      <c r="J15" s="1">
        <v>62</v>
      </c>
      <c r="K15" s="1">
        <v>379</v>
      </c>
      <c r="L15" s="1">
        <v>304</v>
      </c>
      <c r="M15" s="1">
        <v>299</v>
      </c>
      <c r="N15" s="10"/>
      <c r="O15" s="10"/>
    </row>
    <row r="16" spans="1:15" x14ac:dyDescent="0.3">
      <c r="A16" s="2">
        <v>43867</v>
      </c>
      <c r="B16" s="1">
        <v>2</v>
      </c>
      <c r="C16" s="1">
        <f t="shared" si="0"/>
        <v>30</v>
      </c>
      <c r="D16" s="1"/>
      <c r="E16" s="1">
        <f t="shared" si="0"/>
        <v>1</v>
      </c>
      <c r="F16" s="1">
        <v>1</v>
      </c>
      <c r="G16" s="1"/>
      <c r="H16" s="1">
        <v>1</v>
      </c>
      <c r="I16" s="1">
        <v>310</v>
      </c>
      <c r="J16" s="1">
        <v>147</v>
      </c>
      <c r="K16" s="1">
        <v>435</v>
      </c>
      <c r="L16" s="1">
        <v>353</v>
      </c>
      <c r="M16" s="1">
        <v>348</v>
      </c>
      <c r="N16" s="10"/>
      <c r="O16" s="10"/>
    </row>
    <row r="17" spans="1:15" x14ac:dyDescent="0.3">
      <c r="A17" s="2">
        <v>43868</v>
      </c>
      <c r="B17" s="1">
        <v>3</v>
      </c>
      <c r="C17" s="1">
        <f t="shared" si="0"/>
        <v>33</v>
      </c>
      <c r="D17" s="1">
        <v>1</v>
      </c>
      <c r="E17" s="1">
        <f t="shared" si="0"/>
        <v>2</v>
      </c>
      <c r="F17" s="1">
        <v>2</v>
      </c>
      <c r="G17" s="1"/>
      <c r="H17" s="1"/>
      <c r="I17" s="10"/>
      <c r="J17" s="10"/>
      <c r="K17" s="10"/>
      <c r="L17" s="10"/>
      <c r="M17" s="10"/>
      <c r="N17" s="10"/>
      <c r="O17" s="10"/>
    </row>
    <row r="18" spans="1:15" x14ac:dyDescent="0.3">
      <c r="A18" s="2">
        <v>43869</v>
      </c>
      <c r="B18" s="1">
        <v>7</v>
      </c>
      <c r="C18" s="1">
        <f t="shared" si="0"/>
        <v>40</v>
      </c>
      <c r="D18" s="1"/>
      <c r="E18" s="1">
        <f t="shared" si="0"/>
        <v>2</v>
      </c>
      <c r="F18" s="1">
        <v>4</v>
      </c>
      <c r="G18" s="1"/>
      <c r="H18" s="1">
        <v>1</v>
      </c>
      <c r="I18" s="1">
        <v>438</v>
      </c>
      <c r="J18" s="1">
        <v>181</v>
      </c>
      <c r="K18" s="1">
        <v>758</v>
      </c>
      <c r="L18" s="1">
        <v>663</v>
      </c>
      <c r="M18" s="1">
        <v>647</v>
      </c>
      <c r="N18" s="10"/>
      <c r="O18" s="10"/>
    </row>
    <row r="19" spans="1:15" x14ac:dyDescent="0.3">
      <c r="A19" s="2">
        <v>43870</v>
      </c>
      <c r="B19" s="1">
        <v>3</v>
      </c>
      <c r="C19" s="1">
        <f t="shared" si="0"/>
        <v>43</v>
      </c>
      <c r="D19" s="1">
        <v>4</v>
      </c>
      <c r="E19" s="1">
        <f t="shared" si="0"/>
        <v>6</v>
      </c>
      <c r="F19" s="1">
        <v>6</v>
      </c>
      <c r="G19" s="1"/>
      <c r="H19" s="1"/>
      <c r="I19" s="1">
        <v>516</v>
      </c>
      <c r="J19" s="1">
        <v>98</v>
      </c>
      <c r="K19" s="1">
        <v>989</v>
      </c>
      <c r="L19" s="1">
        <v>892</v>
      </c>
      <c r="M19" s="1">
        <v>845</v>
      </c>
      <c r="N19" s="10"/>
      <c r="O19" s="10"/>
    </row>
    <row r="20" spans="1:15" x14ac:dyDescent="0.3">
      <c r="A20" s="2">
        <v>43871</v>
      </c>
      <c r="B20" s="1">
        <v>2</v>
      </c>
      <c r="C20" s="1">
        <f t="shared" si="0"/>
        <v>45</v>
      </c>
      <c r="D20" s="1">
        <v>1</v>
      </c>
      <c r="E20" s="1">
        <f t="shared" si="0"/>
        <v>7</v>
      </c>
      <c r="F20" s="1">
        <v>7</v>
      </c>
      <c r="G20" s="1"/>
      <c r="H20" s="1"/>
      <c r="I20" s="1">
        <v>581</v>
      </c>
      <c r="J20" s="1">
        <v>39</v>
      </c>
      <c r="K20" s="1">
        <v>1026</v>
      </c>
      <c r="L20" s="1">
        <v>927</v>
      </c>
      <c r="M20" s="1">
        <v>896</v>
      </c>
      <c r="N20" s="10"/>
      <c r="O20" s="10"/>
    </row>
    <row r="21" spans="1:15" x14ac:dyDescent="0.3">
      <c r="A21" s="2">
        <v>43872</v>
      </c>
      <c r="B21" s="1">
        <v>2</v>
      </c>
      <c r="C21" s="1">
        <f t="shared" si="0"/>
        <v>47</v>
      </c>
      <c r="D21" s="1">
        <v>2</v>
      </c>
      <c r="E21" s="1">
        <f t="shared" si="0"/>
        <v>9</v>
      </c>
      <c r="F21" s="1">
        <v>7</v>
      </c>
      <c r="G21" s="1"/>
      <c r="H21" s="1"/>
      <c r="I21" s="1">
        <v>608</v>
      </c>
      <c r="J21" s="1">
        <v>43</v>
      </c>
      <c r="K21" s="1">
        <v>1124</v>
      </c>
      <c r="L21" s="1">
        <v>1021</v>
      </c>
      <c r="M21" s="1">
        <v>989</v>
      </c>
      <c r="N21" s="10"/>
      <c r="O21" s="10"/>
    </row>
    <row r="22" spans="1:15" x14ac:dyDescent="0.3">
      <c r="A22" s="2">
        <v>43873</v>
      </c>
      <c r="B22" s="6">
        <v>3</v>
      </c>
      <c r="C22" s="1">
        <f t="shared" si="0"/>
        <v>50</v>
      </c>
      <c r="D22" s="6">
        <v>6</v>
      </c>
      <c r="E22" s="1">
        <f t="shared" si="0"/>
        <v>15</v>
      </c>
      <c r="F22" s="1">
        <v>8</v>
      </c>
      <c r="G22" s="1"/>
      <c r="H22" s="1"/>
      <c r="I22" s="1">
        <v>638</v>
      </c>
      <c r="J22" s="1">
        <v>125</v>
      </c>
      <c r="K22" s="1">
        <v>1090</v>
      </c>
      <c r="L22" s="1">
        <v>984</v>
      </c>
      <c r="M22" s="1">
        <v>961</v>
      </c>
      <c r="N22" s="10"/>
      <c r="O22" s="10"/>
    </row>
    <row r="23" spans="1:15" x14ac:dyDescent="0.3">
      <c r="A23" s="2">
        <v>43874</v>
      </c>
      <c r="B23" s="6">
        <v>8</v>
      </c>
      <c r="C23" s="1">
        <f t="shared" si="0"/>
        <v>58</v>
      </c>
      <c r="D23" s="1"/>
      <c r="E23" s="1">
        <f t="shared" si="0"/>
        <v>15</v>
      </c>
      <c r="F23" s="1">
        <v>7</v>
      </c>
      <c r="G23" s="1"/>
      <c r="H23" s="1"/>
      <c r="I23" s="1">
        <v>711</v>
      </c>
      <c r="J23" s="1">
        <v>82</v>
      </c>
      <c r="K23" s="1">
        <v>1278</v>
      </c>
      <c r="L23" s="1">
        <v>1161</v>
      </c>
      <c r="M23" s="1">
        <v>1144</v>
      </c>
      <c r="N23" s="10"/>
      <c r="O23" s="10"/>
    </row>
    <row r="24" spans="1:15" x14ac:dyDescent="0.3">
      <c r="A24" s="2">
        <v>43875</v>
      </c>
      <c r="B24" s="6">
        <v>9</v>
      </c>
      <c r="C24" s="1">
        <f t="shared" si="0"/>
        <v>67</v>
      </c>
      <c r="D24" s="6">
        <v>2</v>
      </c>
      <c r="E24" s="1">
        <f t="shared" si="0"/>
        <v>17</v>
      </c>
      <c r="F24" s="6">
        <v>6</v>
      </c>
      <c r="G24" s="6"/>
      <c r="H24" s="1"/>
      <c r="I24" s="6">
        <v>764</v>
      </c>
      <c r="J24" s="6">
        <v>91</v>
      </c>
      <c r="K24" s="6">
        <v>1368</v>
      </c>
      <c r="L24" s="6">
        <v>1247</v>
      </c>
      <c r="M24" s="6">
        <v>1234</v>
      </c>
      <c r="N24" s="10"/>
      <c r="O24" s="10"/>
    </row>
    <row r="25" spans="1:15" x14ac:dyDescent="0.3">
      <c r="A25" s="2">
        <v>43876</v>
      </c>
      <c r="B25" s="6">
        <v>5</v>
      </c>
      <c r="C25" s="1">
        <f t="shared" si="0"/>
        <v>72</v>
      </c>
      <c r="D25" s="6">
        <v>1</v>
      </c>
      <c r="E25" s="1">
        <f t="shared" si="0"/>
        <v>18</v>
      </c>
      <c r="F25" s="6">
        <v>6</v>
      </c>
      <c r="G25" s="6"/>
      <c r="H25" s="1"/>
      <c r="I25" s="6">
        <v>812</v>
      </c>
      <c r="J25" s="6">
        <v>107</v>
      </c>
      <c r="K25" s="6">
        <v>2093</v>
      </c>
      <c r="L25" s="6">
        <v>1959</v>
      </c>
      <c r="M25" s="6">
        <v>1697</v>
      </c>
      <c r="N25" s="10"/>
      <c r="O25" s="10"/>
    </row>
    <row r="26" spans="1:15" x14ac:dyDescent="0.3">
      <c r="A26" s="2">
        <v>43877</v>
      </c>
      <c r="B26" s="6">
        <v>3</v>
      </c>
      <c r="C26" s="1">
        <f t="shared" si="0"/>
        <v>75</v>
      </c>
      <c r="D26" s="6">
        <v>1</v>
      </c>
      <c r="E26" s="1">
        <f t="shared" si="0"/>
        <v>19</v>
      </c>
      <c r="F26" s="6">
        <v>5</v>
      </c>
      <c r="G26" s="6"/>
      <c r="H26" s="1"/>
      <c r="I26" s="6">
        <v>871</v>
      </c>
      <c r="J26" s="6">
        <v>119</v>
      </c>
      <c r="K26" s="6">
        <v>2179</v>
      </c>
      <c r="L26" s="6">
        <v>2045</v>
      </c>
      <c r="M26" s="6">
        <v>1781</v>
      </c>
      <c r="N26" s="10"/>
      <c r="O26" s="10"/>
    </row>
    <row r="27" spans="1:15" x14ac:dyDescent="0.3">
      <c r="A27" s="2">
        <v>43878</v>
      </c>
      <c r="B27" s="6">
        <v>2</v>
      </c>
      <c r="C27" s="1">
        <f t="shared" si="0"/>
        <v>77</v>
      </c>
      <c r="D27" s="6">
        <v>5</v>
      </c>
      <c r="E27" s="1">
        <f t="shared" si="0"/>
        <v>24</v>
      </c>
      <c r="F27" s="6">
        <v>4</v>
      </c>
      <c r="G27" s="6"/>
      <c r="H27" s="1"/>
      <c r="I27" s="6">
        <v>937</v>
      </c>
      <c r="J27" s="6">
        <v>103</v>
      </c>
      <c r="K27" s="6">
        <v>2358</v>
      </c>
      <c r="L27" s="10"/>
      <c r="M27" s="10"/>
      <c r="N27" s="1">
        <v>1081</v>
      </c>
      <c r="O27" s="1">
        <v>1277</v>
      </c>
    </row>
    <row r="28" spans="1:15" x14ac:dyDescent="0.3">
      <c r="A28" s="2">
        <v>43879</v>
      </c>
      <c r="B28" s="6">
        <v>4</v>
      </c>
      <c r="C28" s="1">
        <f t="shared" si="0"/>
        <v>81</v>
      </c>
      <c r="D28" s="6">
        <v>5</v>
      </c>
      <c r="E28" s="1">
        <f t="shared" si="0"/>
        <v>29</v>
      </c>
      <c r="F28" s="6">
        <v>4</v>
      </c>
      <c r="G28" s="6"/>
      <c r="H28" s="1"/>
      <c r="I28" s="10"/>
      <c r="J28" s="10"/>
      <c r="K28" s="6">
        <v>2486</v>
      </c>
      <c r="L28" s="10"/>
      <c r="M28" s="10"/>
      <c r="N28" s="1">
        <v>1160</v>
      </c>
      <c r="O28" s="1">
        <v>1326</v>
      </c>
    </row>
    <row r="29" spans="1:15" x14ac:dyDescent="0.3">
      <c r="A29" s="2">
        <v>43880</v>
      </c>
      <c r="B29" s="6">
        <v>3</v>
      </c>
      <c r="C29" s="1">
        <f t="shared" si="0"/>
        <v>84</v>
      </c>
      <c r="D29" s="6">
        <v>5</v>
      </c>
      <c r="E29" s="1">
        <f t="shared" si="0"/>
        <v>34</v>
      </c>
      <c r="F29" s="6">
        <v>4</v>
      </c>
      <c r="G29" s="6"/>
      <c r="H29" s="1"/>
      <c r="I29" s="10"/>
      <c r="J29" s="10"/>
      <c r="K29" s="6">
        <v>2593</v>
      </c>
      <c r="L29" s="10"/>
      <c r="M29" s="10"/>
      <c r="N29" s="1">
        <v>1172</v>
      </c>
      <c r="O29" s="1">
        <v>1421</v>
      </c>
    </row>
    <row r="30" spans="1:15" x14ac:dyDescent="0.3">
      <c r="A30" s="2">
        <v>43881</v>
      </c>
      <c r="B30" s="6">
        <v>1</v>
      </c>
      <c r="C30" s="1">
        <f t="shared" si="0"/>
        <v>85</v>
      </c>
      <c r="D30" s="6">
        <v>3</v>
      </c>
      <c r="E30" s="1">
        <f t="shared" si="0"/>
        <v>37</v>
      </c>
      <c r="F30" s="6">
        <v>4</v>
      </c>
      <c r="G30" s="6"/>
      <c r="H30" s="1"/>
      <c r="I30" s="10"/>
      <c r="J30" s="10"/>
      <c r="K30" s="6">
        <v>2616</v>
      </c>
      <c r="L30" s="10"/>
      <c r="M30" s="10"/>
      <c r="N30" s="6">
        <v>1147</v>
      </c>
      <c r="O30" s="6">
        <v>1469</v>
      </c>
    </row>
    <row r="31" spans="1:15" x14ac:dyDescent="0.3">
      <c r="A31" s="2">
        <v>43882</v>
      </c>
      <c r="B31" s="6">
        <v>1</v>
      </c>
      <c r="C31" s="1">
        <f t="shared" si="0"/>
        <v>86</v>
      </c>
      <c r="D31" s="6">
        <v>10</v>
      </c>
      <c r="E31" s="1">
        <f t="shared" si="0"/>
        <v>47</v>
      </c>
      <c r="F31" s="6">
        <v>5</v>
      </c>
      <c r="G31" s="6"/>
      <c r="H31" s="1"/>
      <c r="I31" s="10"/>
      <c r="J31" s="10"/>
      <c r="K31" s="6">
        <v>2696</v>
      </c>
      <c r="L31" s="10"/>
      <c r="M31" s="10"/>
      <c r="N31" s="6">
        <v>1122</v>
      </c>
      <c r="O31" s="6">
        <v>1574</v>
      </c>
    </row>
    <row r="32" spans="1:15" x14ac:dyDescent="0.3">
      <c r="A32" s="2">
        <v>43883</v>
      </c>
      <c r="B32" s="6">
        <v>3</v>
      </c>
      <c r="C32" s="1">
        <f t="shared" si="0"/>
        <v>89</v>
      </c>
      <c r="D32" s="6">
        <v>2</v>
      </c>
      <c r="E32" s="1">
        <f t="shared" si="0"/>
        <v>49</v>
      </c>
      <c r="F32" s="6">
        <v>5</v>
      </c>
      <c r="G32" s="6"/>
      <c r="H32" s="1"/>
      <c r="I32" s="10"/>
      <c r="J32" s="10"/>
      <c r="K32" s="6">
        <v>2734</v>
      </c>
      <c r="L32" s="10"/>
      <c r="M32" s="10"/>
      <c r="N32" s="6">
        <v>1101</v>
      </c>
      <c r="O32" s="6">
        <v>1633</v>
      </c>
    </row>
    <row r="33" spans="1:15" x14ac:dyDescent="0.3">
      <c r="A33" s="2">
        <v>43884</v>
      </c>
      <c r="B33" s="6">
        <v>0</v>
      </c>
      <c r="C33" s="1">
        <f t="shared" si="0"/>
        <v>89</v>
      </c>
      <c r="D33" s="6">
        <v>2</v>
      </c>
      <c r="E33" s="1">
        <f t="shared" si="0"/>
        <v>51</v>
      </c>
      <c r="F33" s="6">
        <v>5</v>
      </c>
      <c r="G33" s="6"/>
      <c r="H33" s="1"/>
      <c r="I33" s="10"/>
      <c r="J33" s="10"/>
      <c r="K33" s="6">
        <v>2812</v>
      </c>
      <c r="L33" s="10"/>
      <c r="M33" s="10"/>
      <c r="N33" s="6">
        <v>908</v>
      </c>
      <c r="O33" s="6">
        <v>1904</v>
      </c>
    </row>
    <row r="34" spans="1:15" x14ac:dyDescent="0.3">
      <c r="A34" s="2">
        <v>43885</v>
      </c>
      <c r="B34" s="6">
        <v>1</v>
      </c>
      <c r="C34" s="1">
        <f t="shared" si="0"/>
        <v>90</v>
      </c>
      <c r="D34" s="6">
        <v>2</v>
      </c>
      <c r="E34" s="1">
        <f t="shared" si="0"/>
        <v>53</v>
      </c>
      <c r="F34" s="6">
        <v>7</v>
      </c>
      <c r="G34" s="6"/>
      <c r="H34" s="1"/>
      <c r="I34" s="10"/>
      <c r="J34" s="10"/>
      <c r="K34" s="6">
        <v>2842</v>
      </c>
      <c r="L34" s="10"/>
      <c r="M34" s="10"/>
      <c r="N34" s="6">
        <v>856</v>
      </c>
      <c r="O34" s="6">
        <v>1986</v>
      </c>
    </row>
    <row r="35" spans="1:15" x14ac:dyDescent="0.3">
      <c r="A35" s="2">
        <v>43886</v>
      </c>
      <c r="B35" s="6">
        <v>1</v>
      </c>
      <c r="C35" s="1">
        <f t="shared" si="0"/>
        <v>91</v>
      </c>
      <c r="D35" s="6">
        <v>5</v>
      </c>
      <c r="E35" s="1">
        <f t="shared" si="0"/>
        <v>58</v>
      </c>
      <c r="F35" s="6">
        <v>7</v>
      </c>
      <c r="G35" s="6"/>
      <c r="H35" s="1"/>
      <c r="I35" s="10"/>
      <c r="J35" s="10"/>
      <c r="K35" s="6">
        <v>2846</v>
      </c>
      <c r="L35" s="10"/>
      <c r="M35" s="10"/>
      <c r="N35" s="6">
        <v>371</v>
      </c>
      <c r="O35" s="6">
        <v>2475</v>
      </c>
    </row>
    <row r="36" spans="1:15" x14ac:dyDescent="0.3">
      <c r="A36" s="2">
        <v>43887</v>
      </c>
      <c r="B36" s="6">
        <v>2</v>
      </c>
      <c r="C36" s="1">
        <f t="shared" si="0"/>
        <v>93</v>
      </c>
      <c r="D36" s="6">
        <v>4</v>
      </c>
      <c r="E36" s="1">
        <f t="shared" si="0"/>
        <v>62</v>
      </c>
      <c r="F36" s="6">
        <v>7</v>
      </c>
      <c r="G36" s="6"/>
      <c r="H36" s="1"/>
      <c r="I36" s="1"/>
      <c r="J36" s="1"/>
      <c r="K36" s="6">
        <v>2848</v>
      </c>
      <c r="L36" s="1"/>
      <c r="M36" s="1"/>
      <c r="N36" s="6">
        <v>259</v>
      </c>
      <c r="O36" s="6">
        <v>2589</v>
      </c>
    </row>
    <row r="37" spans="1:15" x14ac:dyDescent="0.3">
      <c r="A37" s="2">
        <v>43888</v>
      </c>
      <c r="B37" s="6">
        <v>3</v>
      </c>
      <c r="C37" s="1">
        <f t="shared" si="0"/>
        <v>96</v>
      </c>
      <c r="D37" s="6">
        <v>4</v>
      </c>
      <c r="E37" s="1">
        <f t="shared" si="0"/>
        <v>66</v>
      </c>
      <c r="F37" s="6">
        <v>8</v>
      </c>
      <c r="G37" s="6"/>
      <c r="H37" s="1"/>
      <c r="I37" s="1"/>
      <c r="J37" s="1"/>
      <c r="K37" s="6">
        <v>2887</v>
      </c>
      <c r="L37" s="1"/>
      <c r="M37" s="1"/>
      <c r="N37" s="6">
        <v>245</v>
      </c>
      <c r="O37" s="6">
        <v>2642</v>
      </c>
    </row>
    <row r="38" spans="1:15" x14ac:dyDescent="0.3">
      <c r="A38" s="2">
        <v>43889</v>
      </c>
      <c r="B38" s="6">
        <v>2</v>
      </c>
      <c r="C38" s="1">
        <f t="shared" si="0"/>
        <v>98</v>
      </c>
      <c r="D38" s="6">
        <v>3</v>
      </c>
      <c r="E38" s="1">
        <f t="shared" si="0"/>
        <v>69</v>
      </c>
      <c r="F38" s="6">
        <v>7</v>
      </c>
      <c r="G38" s="6"/>
      <c r="H38" s="1"/>
      <c r="I38" s="1"/>
      <c r="J38" s="1"/>
      <c r="K38" s="6">
        <v>2940</v>
      </c>
      <c r="L38" s="1"/>
      <c r="M38" s="1"/>
      <c r="N38" s="6">
        <v>191</v>
      </c>
      <c r="O38" s="6">
        <v>2749</v>
      </c>
    </row>
    <row r="39" spans="1:15" x14ac:dyDescent="0.3">
      <c r="A39" s="2">
        <v>43890</v>
      </c>
      <c r="B39" s="6">
        <v>4</v>
      </c>
      <c r="C39" s="1">
        <f t="shared" si="0"/>
        <v>102</v>
      </c>
      <c r="D39" s="6">
        <v>3</v>
      </c>
      <c r="E39" s="1">
        <f t="shared" si="0"/>
        <v>72</v>
      </c>
      <c r="F39" s="6">
        <v>7</v>
      </c>
      <c r="G39" s="6"/>
      <c r="H39" s="1"/>
      <c r="I39" s="1"/>
      <c r="J39" s="1"/>
      <c r="K39" s="6">
        <v>3033</v>
      </c>
      <c r="L39" s="1"/>
      <c r="M39" s="1"/>
      <c r="N39" s="6">
        <v>269</v>
      </c>
      <c r="O39" s="6">
        <v>2764</v>
      </c>
    </row>
    <row r="40" spans="1:15" x14ac:dyDescent="0.3">
      <c r="A40" s="2">
        <v>43891</v>
      </c>
      <c r="B40" s="6">
        <v>4</v>
      </c>
      <c r="C40" s="1">
        <f t="shared" si="0"/>
        <v>106</v>
      </c>
      <c r="D40" s="6">
        <v>2</v>
      </c>
      <c r="E40" s="1">
        <f t="shared" si="0"/>
        <v>74</v>
      </c>
      <c r="F40" s="6">
        <v>7</v>
      </c>
      <c r="G40" s="6"/>
      <c r="H40" s="1"/>
      <c r="I40" s="1"/>
      <c r="J40" s="1"/>
      <c r="K40" s="6">
        <v>3133</v>
      </c>
      <c r="L40" s="1"/>
      <c r="M40" s="1"/>
      <c r="N40" s="6">
        <v>367</v>
      </c>
      <c r="O40" s="6">
        <v>2766</v>
      </c>
    </row>
    <row r="41" spans="1:15" x14ac:dyDescent="0.3">
      <c r="A41" s="2">
        <v>43892</v>
      </c>
      <c r="B41" s="6">
        <v>2</v>
      </c>
      <c r="C41" s="1">
        <f t="shared" si="0"/>
        <v>108</v>
      </c>
      <c r="D41" s="6">
        <v>4</v>
      </c>
      <c r="E41" s="1">
        <f t="shared" si="0"/>
        <v>78</v>
      </c>
      <c r="F41" s="6">
        <v>6</v>
      </c>
      <c r="G41" s="6"/>
      <c r="H41" s="1"/>
      <c r="I41" s="1"/>
      <c r="J41" s="1"/>
      <c r="K41" s="6">
        <v>3140</v>
      </c>
      <c r="L41" s="1"/>
      <c r="M41" s="1"/>
      <c r="N41" s="6">
        <v>335</v>
      </c>
      <c r="O41" s="6">
        <v>2805</v>
      </c>
    </row>
    <row r="42" spans="1:15" x14ac:dyDescent="0.3">
      <c r="A42" s="2">
        <v>43893</v>
      </c>
      <c r="B42" s="6">
        <v>2</v>
      </c>
      <c r="C42" s="1">
        <f t="shared" si="0"/>
        <v>110</v>
      </c>
      <c r="D42" s="6">
        <v>0</v>
      </c>
      <c r="E42" s="1">
        <f t="shared" si="0"/>
        <v>78</v>
      </c>
      <c r="F42" s="6">
        <v>7</v>
      </c>
      <c r="G42" s="6"/>
      <c r="H42" s="1"/>
      <c r="I42" s="1"/>
      <c r="J42" s="1"/>
      <c r="K42" s="6">
        <v>3173</v>
      </c>
      <c r="L42" s="1"/>
      <c r="M42" s="1"/>
      <c r="N42" s="6">
        <v>336</v>
      </c>
      <c r="O42" s="6">
        <v>2837</v>
      </c>
    </row>
    <row r="43" spans="1:15" x14ac:dyDescent="0.3">
      <c r="A43" s="2">
        <v>43894</v>
      </c>
      <c r="B43" s="6">
        <v>2</v>
      </c>
      <c r="C43" s="1">
        <f t="shared" si="0"/>
        <v>112</v>
      </c>
      <c r="D43" s="6">
        <v>1</v>
      </c>
      <c r="E43" s="1">
        <f t="shared" si="0"/>
        <v>79</v>
      </c>
      <c r="F43" s="6">
        <v>7</v>
      </c>
      <c r="G43" s="6"/>
      <c r="H43" s="1"/>
      <c r="I43" s="1"/>
      <c r="J43" s="1"/>
      <c r="K43" s="6">
        <v>3204</v>
      </c>
      <c r="L43" s="1"/>
      <c r="M43" s="1"/>
      <c r="N43" s="6">
        <v>355</v>
      </c>
      <c r="O43" s="6">
        <v>2849</v>
      </c>
    </row>
    <row r="44" spans="1:15" x14ac:dyDescent="0.3">
      <c r="A44" s="2">
        <v>43895</v>
      </c>
      <c r="B44" s="6">
        <v>5</v>
      </c>
      <c r="C44" s="1">
        <f t="shared" si="0"/>
        <v>117</v>
      </c>
      <c r="D44" s="6">
        <v>2</v>
      </c>
      <c r="E44" s="1">
        <f t="shared" si="0"/>
        <v>81</v>
      </c>
      <c r="F44" s="6">
        <v>7</v>
      </c>
      <c r="G44" s="6"/>
      <c r="H44" s="1"/>
      <c r="I44" s="1"/>
      <c r="J44" s="1"/>
      <c r="K44" s="6">
        <v>3291</v>
      </c>
      <c r="L44" s="1"/>
      <c r="M44" s="1"/>
      <c r="N44" s="6">
        <v>381</v>
      </c>
      <c r="O44" s="6">
        <v>2910</v>
      </c>
    </row>
    <row r="45" spans="1:15" x14ac:dyDescent="0.3">
      <c r="A45" s="2">
        <v>43896</v>
      </c>
      <c r="B45" s="6">
        <v>13</v>
      </c>
      <c r="C45" s="1">
        <f t="shared" si="0"/>
        <v>130</v>
      </c>
      <c r="D45" s="6">
        <v>1</v>
      </c>
      <c r="E45" s="1">
        <f t="shared" si="0"/>
        <v>82</v>
      </c>
      <c r="F45" s="6">
        <v>9</v>
      </c>
      <c r="G45" s="6"/>
      <c r="H45" s="1"/>
      <c r="I45" s="1"/>
      <c r="J45" s="1"/>
      <c r="K45" s="6">
        <v>3366</v>
      </c>
      <c r="L45" s="1"/>
      <c r="M45" s="1"/>
      <c r="N45" s="6">
        <v>389</v>
      </c>
      <c r="O45" s="6">
        <v>2977</v>
      </c>
    </row>
    <row r="46" spans="1:15" x14ac:dyDescent="0.3">
      <c r="A46" s="2">
        <v>43897</v>
      </c>
      <c r="B46" s="6">
        <v>8</v>
      </c>
      <c r="C46" s="1">
        <f t="shared" si="0"/>
        <v>138</v>
      </c>
      <c r="D46" s="6">
        <v>8</v>
      </c>
      <c r="E46" s="1">
        <f t="shared" si="0"/>
        <v>90</v>
      </c>
      <c r="F46" s="6">
        <v>8</v>
      </c>
      <c r="G46" s="6"/>
      <c r="H46" s="1"/>
      <c r="I46" s="1"/>
      <c r="J46" s="1"/>
      <c r="K46" s="6">
        <v>3452</v>
      </c>
      <c r="L46" s="1"/>
      <c r="M46" s="1"/>
      <c r="N46" s="6">
        <v>446</v>
      </c>
      <c r="O46" s="6">
        <v>3006</v>
      </c>
    </row>
    <row r="47" spans="1:15" x14ac:dyDescent="0.3">
      <c r="A47" s="2">
        <v>43898</v>
      </c>
      <c r="B47" s="6">
        <v>12</v>
      </c>
      <c r="C47" s="1">
        <f t="shared" si="0"/>
        <v>150</v>
      </c>
      <c r="D47" s="6">
        <v>0</v>
      </c>
      <c r="E47" s="1">
        <f t="shared" si="0"/>
        <v>90</v>
      </c>
      <c r="F47" s="6">
        <v>9</v>
      </c>
      <c r="G47" s="6"/>
      <c r="H47" s="1"/>
      <c r="I47" s="1"/>
      <c r="J47" s="1"/>
      <c r="K47" s="6">
        <v>3649</v>
      </c>
      <c r="L47" s="1"/>
      <c r="M47" s="1"/>
      <c r="N47" s="6">
        <v>615</v>
      </c>
      <c r="O47" s="6">
        <v>3034</v>
      </c>
    </row>
    <row r="48" spans="1:15" x14ac:dyDescent="0.3">
      <c r="A48" s="2">
        <v>43899</v>
      </c>
      <c r="B48" s="6">
        <v>10</v>
      </c>
      <c r="C48" s="1">
        <f t="shared" si="0"/>
        <v>160</v>
      </c>
      <c r="D48" s="6">
        <v>3</v>
      </c>
      <c r="E48" s="1">
        <f t="shared" si="0"/>
        <v>93</v>
      </c>
      <c r="F48" s="6">
        <v>10</v>
      </c>
      <c r="G48" s="6"/>
      <c r="H48" s="1"/>
      <c r="I48" s="1"/>
      <c r="J48" s="1"/>
      <c r="K48" s="6">
        <v>3784</v>
      </c>
      <c r="L48" s="1"/>
      <c r="M48" s="1"/>
      <c r="N48" s="6">
        <v>724</v>
      </c>
      <c r="O48" s="6">
        <v>3060</v>
      </c>
    </row>
    <row r="49" spans="1:15" x14ac:dyDescent="0.3">
      <c r="A49" s="2">
        <v>43900</v>
      </c>
      <c r="B49" s="6">
        <v>6</v>
      </c>
      <c r="C49" s="1">
        <f t="shared" si="0"/>
        <v>166</v>
      </c>
      <c r="D49" s="6">
        <v>0</v>
      </c>
      <c r="E49" s="1">
        <f t="shared" si="0"/>
        <v>93</v>
      </c>
      <c r="F49" s="6">
        <v>12</v>
      </c>
      <c r="G49" s="6"/>
      <c r="H49" s="1"/>
      <c r="I49" s="1"/>
      <c r="J49" s="1"/>
      <c r="K49" s="6">
        <v>4004</v>
      </c>
      <c r="L49" s="1"/>
      <c r="M49" s="1"/>
      <c r="N49" s="6">
        <v>872</v>
      </c>
      <c r="O49" s="6">
        <v>3132</v>
      </c>
    </row>
    <row r="50" spans="1:15" x14ac:dyDescent="0.3">
      <c r="A50" s="2">
        <v>43901</v>
      </c>
      <c r="B50" s="6">
        <v>12</v>
      </c>
      <c r="C50" s="1">
        <f t="shared" si="0"/>
        <v>178</v>
      </c>
      <c r="D50" s="6">
        <v>3</v>
      </c>
      <c r="E50" s="1">
        <f t="shared" si="0"/>
        <v>96</v>
      </c>
      <c r="F50" s="6">
        <v>9</v>
      </c>
      <c r="G50" s="6"/>
      <c r="H50" s="1"/>
      <c r="I50" s="1"/>
      <c r="J50" s="1"/>
      <c r="K50" s="6">
        <v>4218</v>
      </c>
      <c r="L50" s="1"/>
      <c r="M50" s="1"/>
      <c r="N50" s="6">
        <v>981</v>
      </c>
      <c r="O50" s="6">
        <v>3237</v>
      </c>
    </row>
    <row r="51" spans="1:15" x14ac:dyDescent="0.3">
      <c r="A51" s="2">
        <v>43902</v>
      </c>
      <c r="B51" s="6">
        <v>9</v>
      </c>
      <c r="C51" s="1">
        <f t="shared" si="0"/>
        <v>187</v>
      </c>
      <c r="D51" s="6">
        <v>0</v>
      </c>
      <c r="E51" s="1">
        <f t="shared" si="0"/>
        <v>96</v>
      </c>
      <c r="F51" s="6">
        <v>9</v>
      </c>
      <c r="G51" s="6"/>
      <c r="H51" s="1"/>
      <c r="I51" s="1"/>
      <c r="J51" s="1"/>
      <c r="K51" s="6">
        <v>4550</v>
      </c>
      <c r="L51" s="1"/>
      <c r="M51" s="1"/>
      <c r="N51" s="6">
        <v>1248</v>
      </c>
      <c r="O51" s="6">
        <v>3302</v>
      </c>
    </row>
    <row r="52" spans="1:15" x14ac:dyDescent="0.3">
      <c r="A52" s="2">
        <v>43903</v>
      </c>
      <c r="B52" s="6">
        <v>13</v>
      </c>
      <c r="C52" s="1">
        <f t="shared" si="0"/>
        <v>200</v>
      </c>
      <c r="D52" s="6">
        <v>1</v>
      </c>
      <c r="E52" s="1">
        <f t="shared" si="0"/>
        <v>97</v>
      </c>
      <c r="F52" s="6">
        <v>11</v>
      </c>
      <c r="G52" s="6"/>
      <c r="H52" s="1"/>
      <c r="I52" s="1"/>
      <c r="J52" s="1"/>
      <c r="K52" s="6">
        <v>4910</v>
      </c>
      <c r="L52" s="1"/>
      <c r="M52" s="1"/>
      <c r="N52" s="6">
        <v>1491</v>
      </c>
      <c r="O52" s="6">
        <v>3419</v>
      </c>
    </row>
    <row r="53" spans="1:15" x14ac:dyDescent="0.3">
      <c r="A53" s="2">
        <v>43904</v>
      </c>
      <c r="B53" s="6">
        <v>12</v>
      </c>
      <c r="C53" s="1">
        <f t="shared" si="0"/>
        <v>212</v>
      </c>
      <c r="D53" s="6">
        <v>8</v>
      </c>
      <c r="E53" s="1">
        <f t="shared" si="0"/>
        <v>105</v>
      </c>
      <c r="F53" s="6">
        <v>14</v>
      </c>
      <c r="G53" s="6"/>
      <c r="H53" s="1"/>
      <c r="I53" s="1"/>
      <c r="J53" s="1"/>
      <c r="K53" s="6">
        <v>5244</v>
      </c>
      <c r="L53" s="1"/>
      <c r="M53" s="1"/>
      <c r="N53" s="6">
        <v>1712</v>
      </c>
      <c r="O53" s="6">
        <v>3532</v>
      </c>
    </row>
    <row r="54" spans="1:15" x14ac:dyDescent="0.3">
      <c r="A54" s="2">
        <v>43905</v>
      </c>
      <c r="B54" s="6">
        <v>14</v>
      </c>
      <c r="C54" s="1">
        <f t="shared" si="0"/>
        <v>226</v>
      </c>
      <c r="D54" s="6">
        <v>0</v>
      </c>
      <c r="E54" s="1">
        <f t="shared" si="0"/>
        <v>105</v>
      </c>
      <c r="F54" s="6">
        <v>13</v>
      </c>
      <c r="G54" s="6"/>
      <c r="H54" s="1"/>
      <c r="I54" s="1"/>
      <c r="J54" s="1"/>
      <c r="K54" s="6">
        <v>5472</v>
      </c>
      <c r="L54" s="1"/>
      <c r="M54" s="1"/>
      <c r="N54" s="6">
        <v>1817</v>
      </c>
      <c r="O54" s="6">
        <v>3655</v>
      </c>
    </row>
    <row r="55" spans="1:15" x14ac:dyDescent="0.3">
      <c r="A55" s="2">
        <v>43906</v>
      </c>
      <c r="B55" s="6">
        <v>17</v>
      </c>
      <c r="C55" s="1">
        <f t="shared" si="0"/>
        <v>243</v>
      </c>
      <c r="D55" s="6">
        <v>4</v>
      </c>
      <c r="E55" s="1">
        <f t="shared" si="0"/>
        <v>109</v>
      </c>
      <c r="F55" s="6">
        <v>13</v>
      </c>
      <c r="G55" s="6"/>
      <c r="H55" s="1"/>
      <c r="I55" s="1"/>
      <c r="J55" s="1"/>
      <c r="K55" s="6">
        <v>5711</v>
      </c>
      <c r="L55" s="1"/>
      <c r="M55" s="1"/>
      <c r="N55" s="6">
        <v>1951</v>
      </c>
      <c r="O55" s="6">
        <v>3760</v>
      </c>
    </row>
    <row r="56" spans="1:15" x14ac:dyDescent="0.3">
      <c r="A56" s="2">
        <v>43907</v>
      </c>
      <c r="B56" s="6">
        <v>23</v>
      </c>
      <c r="C56" s="1">
        <f t="shared" si="0"/>
        <v>266</v>
      </c>
      <c r="D56" s="6">
        <v>5</v>
      </c>
      <c r="E56" s="1">
        <f t="shared" si="0"/>
        <v>114</v>
      </c>
      <c r="F56" s="6">
        <v>14</v>
      </c>
      <c r="G56" s="6"/>
      <c r="H56" s="1"/>
      <c r="I56" s="1"/>
      <c r="J56" s="1"/>
      <c r="K56" s="6">
        <v>5939</v>
      </c>
      <c r="L56" s="1"/>
      <c r="M56" s="1"/>
      <c r="N56" s="6">
        <v>2062</v>
      </c>
      <c r="O56" s="6">
        <v>3877</v>
      </c>
    </row>
    <row r="57" spans="1:15" x14ac:dyDescent="0.3">
      <c r="A57" s="2">
        <v>43908</v>
      </c>
      <c r="B57" s="6">
        <v>47</v>
      </c>
      <c r="C57" s="1">
        <f t="shared" si="0"/>
        <v>313</v>
      </c>
      <c r="D57" s="6">
        <v>3</v>
      </c>
      <c r="E57" s="1">
        <f t="shared" si="0"/>
        <v>117</v>
      </c>
      <c r="F57" s="6">
        <v>15</v>
      </c>
      <c r="G57" s="6"/>
      <c r="H57" s="1"/>
      <c r="I57" s="1"/>
      <c r="J57" s="1"/>
      <c r="K57" s="6">
        <v>6250</v>
      </c>
      <c r="L57" s="1"/>
      <c r="M57" s="1"/>
      <c r="N57" s="6">
        <v>2221</v>
      </c>
      <c r="O57" s="6">
        <v>4029</v>
      </c>
    </row>
    <row r="58" spans="1:15" x14ac:dyDescent="0.3">
      <c r="A58" s="2">
        <v>43909</v>
      </c>
      <c r="B58" s="6">
        <v>32</v>
      </c>
      <c r="C58" s="1">
        <f t="shared" si="0"/>
        <v>345</v>
      </c>
      <c r="D58" s="6">
        <v>7</v>
      </c>
      <c r="E58" s="1">
        <f t="shared" si="0"/>
        <v>124</v>
      </c>
      <c r="F58" s="6">
        <v>15</v>
      </c>
      <c r="G58" s="6"/>
      <c r="H58" s="1"/>
      <c r="I58" s="1"/>
      <c r="J58" s="1"/>
      <c r="K58" s="6">
        <v>6574</v>
      </c>
      <c r="L58" s="1"/>
      <c r="M58" s="1"/>
      <c r="N58" s="6">
        <v>2273</v>
      </c>
      <c r="O58" s="6">
        <v>4301</v>
      </c>
    </row>
    <row r="59" spans="1:15" x14ac:dyDescent="0.3">
      <c r="A59" s="2">
        <v>43910</v>
      </c>
      <c r="B59" s="6">
        <v>40</v>
      </c>
      <c r="C59" s="1">
        <f t="shared" si="0"/>
        <v>385</v>
      </c>
      <c r="D59" s="6">
        <v>7</v>
      </c>
      <c r="E59" s="1">
        <f t="shared" si="0"/>
        <v>131</v>
      </c>
      <c r="F59" s="6">
        <v>16</v>
      </c>
      <c r="G59" s="6"/>
      <c r="H59" s="1"/>
      <c r="I59" s="1"/>
      <c r="J59" s="1"/>
      <c r="K59" s="6">
        <v>7065</v>
      </c>
      <c r="L59" s="1"/>
      <c r="M59" s="1"/>
      <c r="N59" s="6">
        <v>2437</v>
      </c>
      <c r="O59" s="6">
        <v>4628</v>
      </c>
    </row>
    <row r="60" spans="1:15" x14ac:dyDescent="0.3">
      <c r="A60" s="2">
        <v>43911</v>
      </c>
      <c r="B60" s="6">
        <v>47</v>
      </c>
      <c r="C60" s="1">
        <f t="shared" si="0"/>
        <v>432</v>
      </c>
      <c r="D60" s="6">
        <v>9</v>
      </c>
      <c r="E60" s="1">
        <f t="shared" si="0"/>
        <v>140</v>
      </c>
      <c r="F60" s="6">
        <v>14</v>
      </c>
      <c r="G60" s="6">
        <v>2</v>
      </c>
      <c r="H60" s="1"/>
      <c r="I60" s="1"/>
      <c r="J60" s="1"/>
      <c r="K60" s="6">
        <v>7544</v>
      </c>
      <c r="L60" s="1"/>
      <c r="M60" s="1"/>
      <c r="N60" s="6">
        <v>2587</v>
      </c>
      <c r="O60" s="6">
        <v>4957</v>
      </c>
    </row>
    <row r="61" spans="1:15" x14ac:dyDescent="0.3">
      <c r="A61" s="2">
        <v>43912</v>
      </c>
      <c r="B61" s="6">
        <v>23</v>
      </c>
      <c r="C61" s="1">
        <f t="shared" si="0"/>
        <v>455</v>
      </c>
      <c r="D61" s="6">
        <v>4</v>
      </c>
      <c r="E61" s="1">
        <f t="shared" si="0"/>
        <v>144</v>
      </c>
      <c r="F61" s="6">
        <v>14</v>
      </c>
      <c r="G61" s="6"/>
      <c r="H61" s="1"/>
      <c r="I61" s="1"/>
      <c r="J61" s="1"/>
      <c r="K61" s="6">
        <v>7957</v>
      </c>
      <c r="L61" s="1"/>
      <c r="M61" s="1"/>
      <c r="N61" s="6">
        <v>2310</v>
      </c>
      <c r="O61" s="6">
        <v>5647</v>
      </c>
    </row>
    <row r="62" spans="1:15" x14ac:dyDescent="0.3">
      <c r="A62" s="2">
        <v>43913</v>
      </c>
      <c r="B62" s="6">
        <v>54</v>
      </c>
      <c r="C62" s="1">
        <f t="shared" si="0"/>
        <v>509</v>
      </c>
      <c r="D62" s="6">
        <v>8</v>
      </c>
      <c r="E62" s="1">
        <f t="shared" si="0"/>
        <v>152</v>
      </c>
      <c r="F62" s="6">
        <v>15</v>
      </c>
      <c r="G62" s="1"/>
      <c r="H62" s="1"/>
      <c r="I62" s="1"/>
      <c r="J62" s="1"/>
      <c r="K62" s="6">
        <v>8351</v>
      </c>
      <c r="L62" s="1"/>
      <c r="M62" s="1"/>
      <c r="N62" s="6">
        <v>2529</v>
      </c>
      <c r="O62" s="6">
        <v>5822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10</vt:i4>
      </vt:variant>
    </vt:vector>
  </HeadingPairs>
  <TitlesOfParts>
    <vt:vector size="17" baseType="lpstr">
      <vt:lpstr>Details</vt:lpstr>
      <vt:lpstr>Annex</vt:lpstr>
      <vt:lpstr>Cluster</vt:lpstr>
      <vt:lpstr>Sheet1</vt:lpstr>
      <vt:lpstr>Movement</vt:lpstr>
      <vt:lpstr>Relationship</vt:lpstr>
      <vt:lpstr>Case</vt:lpstr>
      <vt:lpstr>Annex!_ftn1</vt:lpstr>
      <vt:lpstr>Annex!_ftn2</vt:lpstr>
      <vt:lpstr>Annex!_ftn3</vt:lpstr>
      <vt:lpstr>Annex!_ftn4</vt:lpstr>
      <vt:lpstr>Annex!_ftn5</vt:lpstr>
      <vt:lpstr>Annex!_ftnref1</vt:lpstr>
      <vt:lpstr>Annex!_ftnref2</vt:lpstr>
      <vt:lpstr>Annex!_ftnref3</vt:lpstr>
      <vt:lpstr>Annex!_ftnref4</vt:lpstr>
      <vt:lpstr>Annex!_ftnref5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Edy Tan</dc:creator>
  <cp:lastModifiedBy>Edy Tan</cp:lastModifiedBy>
  <dcterms:created xsi:type="dcterms:W3CDTF">2020-02-12T00:32:42Z</dcterms:created>
  <dcterms:modified xsi:type="dcterms:W3CDTF">2020-03-24T01:14:43Z</dcterms:modified>
</cp:coreProperties>
</file>